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1e24dda55d4ae3" /></Relationships>
</file>

<file path=xl/workbook.xml><?xml version="1.0" encoding="utf-8"?>
<x:workbook xmlns:x="http://schemas.openxmlformats.org/spreadsheetml/2006/main">
  <x:sheets>
    <x:sheet xmlns:r="http://schemas.openxmlformats.org/officeDocument/2006/relationships" name="Index" sheetId="1" r:id="R2b2089f98752474f"/>
    <x:sheet xmlns:r="http://schemas.openxmlformats.org/officeDocument/2006/relationships" name="Executive Charter" sheetId="2" r:id="R2c3ad3c8aaec4b8a"/>
    <x:sheet xmlns:r="http://schemas.openxmlformats.org/officeDocument/2006/relationships" name="Market Landscape" sheetId="3" r:id="R9ef7d821621c4bee"/>
    <x:sheet xmlns:r="http://schemas.openxmlformats.org/officeDocument/2006/relationships" name="GitHub OSS Scan" sheetId="4" r:id="Rff742ada5f004a12"/>
    <x:sheet xmlns:r="http://schemas.openxmlformats.org/officeDocument/2006/relationships" name="Gap Matrix" sheetId="5" r:id="Rd2c5206b44b44582"/>
    <x:sheet xmlns:r="http://schemas.openxmlformats.org/officeDocument/2006/relationships" name="Delivery Stages" sheetId="6" r:id="R74531bca780143a8"/>
    <x:sheet xmlns:r="http://schemas.openxmlformats.org/officeDocument/2006/relationships" name="Microservices Map" sheetId="7" r:id="Raa4afb533af04139"/>
    <x:sheet xmlns:r="http://schemas.openxmlformats.org/officeDocument/2006/relationships" name="MVP Backlog" sheetId="8" r:id="R1f0ab12ad6e74b54"/>
    <x:sheet xmlns:r="http://schemas.openxmlformats.org/officeDocument/2006/relationships" name="Event Data Model" sheetId="9" r:id="R452ca637987c4def"/>
    <x:sheet xmlns:r="http://schemas.openxmlformats.org/officeDocument/2006/relationships" name="AI Capability System" sheetId="10" r:id="R4bbda00e3f1143af"/>
    <x:sheet xmlns:r="http://schemas.openxmlformats.org/officeDocument/2006/relationships" name="Governance" sheetId="11" r:id="R9586bff720bd4447"/>
    <x:sheet xmlns:r="http://schemas.openxmlformats.org/officeDocument/2006/relationships" name="Risk Register" sheetId="12" r:id="Rf586aa766dbe459d"/>
    <x:sheet xmlns:r="http://schemas.openxmlformats.org/officeDocument/2006/relationships" name="KPI Dashboard" sheetId="13" r:id="Rc8580a5ab13c46f8"/>
    <x:sheet xmlns:r="http://schemas.openxmlformats.org/officeDocument/2006/relationships" name="Source Register" sheetId="14" r:id="R9633e1333b2e496e"/>
    <x:sheet xmlns:r="http://schemas.openxmlformats.org/officeDocument/2006/relationships" name="Master Prompts" sheetId="15" r:id="R92f89dfc441a4fe4"/>
    <x:sheet xmlns:r="http://schemas.openxmlformats.org/officeDocument/2006/relationships" name="Foundation Dashboard" sheetId="16" r:id="Ra80678d9bbcd483e"/>
    <x:sheet xmlns:r="http://schemas.openxmlformats.org/officeDocument/2006/relationships" name="Stage 0-1 Workplan" sheetId="17" r:id="Re2f00523fb054e07"/>
    <x:sheet xmlns:r="http://schemas.openxmlformats.org/officeDocument/2006/relationships" name="Product Charter v1" sheetId="18" r:id="Ra02d87c3a6414e4d"/>
    <x:sheet xmlns:r="http://schemas.openxmlformats.org/officeDocument/2006/relationships" name="Purpose Policy Matrix" sheetId="19" r:id="R1ec1bd9daa834132"/>
    <x:sheet xmlns:r="http://schemas.openxmlformats.org/officeDocument/2006/relationships" name="Stakeholder RACI" sheetId="20" r:id="R9dbb4dcdbe1841ef"/>
    <x:sheet xmlns:r="http://schemas.openxmlformats.org/officeDocument/2006/relationships" name="Build Buy Decisions" sheetId="21" r:id="R0da7c64147cf455d"/>
    <x:sheet xmlns:r="http://schemas.openxmlformats.org/officeDocument/2006/relationships" name="Reference Architecture" sheetId="22" r:id="Re4b65c8c0ec94802"/>
    <x:sheet xmlns:r="http://schemas.openxmlformats.org/officeDocument/2006/relationships" name="Architecture Decisions" sheetId="23" r:id="R1926c0c925df4ecc"/>
    <x:sheet xmlns:r="http://schemas.openxmlformats.org/officeDocument/2006/relationships" name="Stage 0-1 Gates" sheetId="24" r:id="R822a8265203746d4"/>
    <x:sheet xmlns:r="http://schemas.openxmlformats.org/officeDocument/2006/relationships" name="Assumptions Questions" sheetId="25" r:id="R0f5c39673993465d"/>
    <x:sheet xmlns:r="http://schemas.openxmlformats.org/officeDocument/2006/relationships" name="Foundation Threats" sheetId="26" r:id="Rf645de5886b94aba"/>
    <x:sheet xmlns:r="http://schemas.openxmlformats.org/officeDocument/2006/relationships" name="Pilot Definition" sheetId="27" r:id="Rc0d1fc9f10ec4259"/>
    <x:sheet xmlns:r="http://schemas.openxmlformats.org/officeDocument/2006/relationships" name="Stage 2-3 Dashboard" sheetId="28" r:id="Rb5b1229d298d49dd"/>
    <x:sheet xmlns:r="http://schemas.openxmlformats.org/officeDocument/2006/relationships" name="Ontology Overview" sheetId="29" r:id="Raf5f01c19fa44619"/>
    <x:sheet xmlns:r="http://schemas.openxmlformats.org/officeDocument/2006/relationships" name="Entity Dictionary" sheetId="30" r:id="R674e7380258d4569"/>
    <x:sheet xmlns:r="http://schemas.openxmlformats.org/officeDocument/2006/relationships" name="Relationship Model" sheetId="31" r:id="R8795167270b34fd0"/>
    <x:sheet xmlns:r="http://schemas.openxmlformats.org/officeDocument/2006/relationships" name="Capability-Level Rubric" sheetId="32" r:id="R710b1230419f4c02"/>
    <x:sheet xmlns:r="http://schemas.openxmlformats.org/officeDocument/2006/relationships" name="Role Templates" sheetId="33" r:id="Rf084457bc59b4a3f"/>
    <x:sheet xmlns:r="http://schemas.openxmlformats.org/officeDocument/2006/relationships" name="Task Contract Templates" sheetId="34" r:id="Rf918cea9b9464fd5"/>
    <x:sheet xmlns:r="http://schemas.openxmlformats.org/officeDocument/2006/relationships" name="Evidence Scoring" sheetId="35" r:id="R99146755689d44d1"/>
    <x:sheet xmlns:r="http://schemas.openxmlformats.org/officeDocument/2006/relationships" name="Worked Examples" sheetId="36" r:id="R3d570c24742741d3"/>
    <x:sheet xmlns:r="http://schemas.openxmlformats.org/officeDocument/2006/relationships" name="APIs and Events" sheetId="37" r:id="R982095ec5d904bbb"/>
    <x:sheet xmlns:r="http://schemas.openxmlformats.org/officeDocument/2006/relationships" name="Stage 2 Backlog" sheetId="38" r:id="Rac4a0d8a0dfb467e"/>
    <x:sheet xmlns:r="http://schemas.openxmlformats.org/officeDocument/2006/relationships" name="Stage 2 Risks" sheetId="39" r:id="R0e15758fc7db48fc"/>
    <x:sheet xmlns:r="http://schemas.openxmlformats.org/officeDocument/2006/relationships" name="Stage 2 Decisions" sheetId="40" r:id="Rc784025039674b1c"/>
    <x:sheet xmlns:r="http://schemas.openxmlformats.org/officeDocument/2006/relationships" name="Stage 2 Gate" sheetId="41" r:id="R053f7b16b24d4896"/>
    <x:sheet xmlns:r="http://schemas.openxmlformats.org/officeDocument/2006/relationships" name="Stage 2 Sources" sheetId="42" r:id="R71727d8d1918457a"/>
    <x:sheet xmlns:r="http://schemas.openxmlformats.org/officeDocument/2006/relationships" name="Agent Architecture" sheetId="43" r:id="R9300302d7ef64b50"/>
    <x:sheet xmlns:r="http://schemas.openxmlformats.org/officeDocument/2006/relationships" name="OS Capability Matrix" sheetId="44" r:id="R577cb89b89984883"/>
    <x:sheet xmlns:r="http://schemas.openxmlformats.org/officeDocument/2006/relationships" name="Agent Module Specification" sheetId="45" r:id="R98f10d928ca24106"/>
    <x:sheet xmlns:r="http://schemas.openxmlformats.org/officeDocument/2006/relationships" name="Session State Machine" sheetId="46" r:id="Rd97dc8a4297f41e4"/>
    <x:sheet xmlns:r="http://schemas.openxmlformats.org/officeDocument/2006/relationships" name="Device Identity and Key Model" sheetId="47" r:id="R224295a6565d4eb4"/>
    <x:sheet xmlns:r="http://schemas.openxmlformats.org/officeDocument/2006/relationships" name="Policy Bundle" sheetId="48" r:id="Rcb9c30f8da4e44c3"/>
    <x:sheet xmlns:r="http://schemas.openxmlformats.org/officeDocument/2006/relationships" name="Local Storage Model" sheetId="49" r:id="R4cbcead7dc0f4f72"/>
    <x:sheet xmlns:r="http://schemas.openxmlformats.org/officeDocument/2006/relationships" name="Event and API Contracts" sheetId="50" r:id="Raff4c0fdb4b6489f"/>
    <x:sheet xmlns:r="http://schemas.openxmlformats.org/officeDocument/2006/relationships" name="Technical Spikes" sheetId="51" r:id="Rc7bad6ca53d246c6"/>
    <x:sheet xmlns:r="http://schemas.openxmlformats.org/officeDocument/2006/relationships" name="Performance Budgets" sheetId="52" r:id="R1992e23ff3b043d8"/>
    <x:sheet xmlns:r="http://schemas.openxmlformats.org/officeDocument/2006/relationships" name="Stage 3 Threat Model" sheetId="53" r:id="Rd141808ec2d6428b"/>
    <x:sheet xmlns:r="http://schemas.openxmlformats.org/officeDocument/2006/relationships" name="Test Matrix" sheetId="54" r:id="R33635676f661439c"/>
    <x:sheet xmlns:r="http://schemas.openxmlformats.org/officeDocument/2006/relationships" name="Repository and CI/CD Plan" sheetId="55" r:id="R6dd7cd2b7ce045de"/>
    <x:sheet xmlns:r="http://schemas.openxmlformats.org/officeDocument/2006/relationships" name="Stage 3 Backlog" sheetId="56" r:id="Rb0de17ac7081413d"/>
    <x:sheet xmlns:r="http://schemas.openxmlformats.org/officeDocument/2006/relationships" name="Stage 3 ADRs" sheetId="57" r:id="R820c25a61b8a43f2"/>
    <x:sheet xmlns:r="http://schemas.openxmlformats.org/officeDocument/2006/relationships" name="Stage 3 Gate" sheetId="58" r:id="Re09d7b0ba9e94563"/>
    <x:sheet xmlns:r="http://schemas.openxmlformats.org/officeDocument/2006/relationships" name="Stage 3 Sources" sheetId="59" r:id="R3a8e7e4c0a854c2e"/>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dd-mmm-yyyy"/>
    <x:numFmt numFmtId="204" formatCode="0.00"/>
  </x:numFmts>
  <x:fonts count="19">
    <x:font>
      <x:sz val="11"/>
      <x:name val="Carlito"/>
    </x:font>
    <x:font>
      <x:b/>
      <x:sz val="16"/>
      <x:color rgb="FFFFFFFF"/>
      <x:name val="Carlito"/>
    </x:font>
    <x:font>
      <x:sz val="11"/>
      <x:color rgb="FF111827"/>
      <x:name val="Carlito"/>
    </x:font>
    <x:font>
      <x:b/>
      <x:sz val="11"/>
      <x:color rgb="FFFFFFFF"/>
      <x:name val="Carlito"/>
    </x:font>
    <x:font>
      <x:b/>
      <x:sz val="12"/>
      <x:color rgb="FFFFFFFF"/>
      <x:name val="Carlito"/>
    </x:font>
    <x:font>
      <x:b/>
      <x:sz val="10"/>
      <x:color rgb="FFFFFFFF"/>
      <x:name val="Calibri"/>
    </x:font>
    <x:font>
      <x:sz val="10"/>
      <x:name val="Calibri"/>
    </x:font>
    <x:font>
      <x:sz val="10"/>
      <x:color rgb="FF111827"/>
      <x:name val="Calibri"/>
    </x:font>
    <x:font>
      <x:b/>
      <x:sz val="16"/>
      <x:color rgb="FFFFFFFF"/>
      <x:name val="Calibri"/>
    </x:font>
    <x:font>
      <x:b/>
      <x:sz val="18"/>
      <x:color rgb="FFFFFFFF"/>
      <x:name val="Carlito"/>
    </x:font>
    <x:font>
      <x:i/>
      <x:sz val="10"/>
      <x:color rgb="FF1F1F1F"/>
      <x:name val="Carlito"/>
    </x:font>
    <x:font>
      <x:b/>
      <x:sz val="10"/>
      <x:color rgb="FFFFFFFF"/>
      <x:name val="Carlito"/>
    </x:font>
    <x:font>
      <x:sz val="9"/>
      <x:color rgb="FF1F1F1F"/>
      <x:name val="Carlito"/>
    </x:font>
    <x:font>
      <x:b/>
      <x:sz val="13"/>
      <x:color rgb="FFFFFFFF"/>
      <x:name val="Carlito"/>
    </x:font>
    <x:font>
      <x:b/>
      <x:sz val="18"/>
      <x:color rgb="FFFFFFFF"/>
      <x:name val="Calibri"/>
    </x:font>
    <x:font>
      <x:i/>
      <x:sz val="10"/>
      <x:color rgb="FF1F1F1F"/>
      <x:name val="Calibri"/>
    </x:font>
    <x:font>
      <x:sz val="9"/>
      <x:color rgb="FF1F1F1F"/>
      <x:name val="Calibri"/>
    </x:font>
    <x:font>
      <x:b/>
      <x:sz val="9"/>
      <x:color rgb="FF1F1F1F"/>
      <x:name val="Calibri"/>
    </x:font>
    <x:font>
      <x:b/>
      <x:sz val="12"/>
      <x:color rgb="FFFFFFFF"/>
      <x:name val="Calibri"/>
    </x:font>
  </x:fonts>
  <x:fills count="17">
    <x:fill>
      <x:patternFill patternType="none"/>
    </x:fill>
    <x:fill>
      <x:patternFill patternType="gray125"/>
    </x:fill>
    <x:fill>
      <x:patternFill patternType="solid">
        <x:fgColor rgb="FF0B1F3A"/>
      </x:patternFill>
    </x:fill>
    <x:fill>
      <x:patternFill patternType="solid">
        <x:fgColor rgb="FFF3F4F6"/>
      </x:patternFill>
    </x:fill>
    <x:fill>
      <x:patternFill patternType="solid">
        <x:fgColor rgb="FF1D4ED8"/>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s>
  <x:borders count="34">
    <x:border/>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border>
    <x:border>
      <x:right/>
    </x:border>
    <x:border>
      <x:left/>
      <x:bottom/>
    </x:border>
    <x:border>
      <x:bottom/>
    </x:border>
    <x:border>
      <x:right/>
      <x:bottom/>
    </x:border>
    <x:border>
      <x:left/>
    </x:border>
    <x:border>
      <x:right/>
    </x:border>
  </x:borders>
  <x:cellStyleXfs count="1">
    <x:xf numFmtId="0" fontId="0" fillId="0" borderId="0"/>
  </x:cellStyleXfs>
  <x:cellXfs count="4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lef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applyAlignment="1">
      <x:alignment wrapText="1"/>
    </x:xf>
    <x:xf numFmtId="0" fontId="5" fillId="4" borderId="1" xfId="0" applyNumberFormat="1" applyFont="1" applyFill="1" applyBorder="1" applyAlignment="1">
      <x:alignment horizontal="left" vertical="center" wrapText="1"/>
    </x:xf>
    <x:xf numFmtId="20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0" fontId="5" fillId="4" borderId="0" xfId="0" applyNumberFormat="1" applyFont="1" applyFill="1" applyBorder="1" applyAlignment="1">
      <x:alignment horizontal="left" vertical="center"/>
    </x:xf>
    <x:xf numFmtId="0" fontId="5" fillId="4" borderId="1" xfId="0" applyNumberFormat="1" applyFont="1" applyFill="1" applyBorder="1" applyAlignment="1">
      <x:alignment horizontal="left" vertical="center"/>
    </x:xf>
    <x:xf numFmtId="0" fontId="8" fillId="2" borderId="0" xfId="0" applyNumberFormat="1" applyFont="1" applyFill="1" applyBorder="1" applyAlignment="1">
      <x:alignment horizontal="center" vertical="center"/>
    </x:xf>
    <x:xf numFmtId="0" fontId="8" fillId="0" borderId="0" xfId="0" applyNumberFormat="1" applyFont="1" applyFill="1" applyBorder="1"/>
    <x:xf numFmtId="0" fontId="8" fillId="2" borderId="1" xfId="0" applyNumberFormat="1" applyFont="1" applyFill="1" applyBorder="1" applyAlignment="1">
      <x:alignment horizontal="center" vertical="center"/>
    </x:xf>
    <x:xf numFmtId="0" fontId="8" fillId="0"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3" xfId="0" applyNumberFormat="1" applyFont="1" applyFill="1" applyBorder="1"/>
    <x:xf numFmtId="0" fontId="11" fillId="7" borderId="4" xfId="0" applyNumberFormat="1" applyFont="1" applyFill="1" applyBorder="1"/>
    <x:xf numFmtId="0" fontId="11" fillId="7" borderId="2" xfId="0" applyNumberFormat="1" applyFont="1" applyFill="1" applyBorder="1" applyAlignment="1">
      <x:alignment wrapText="1"/>
    </x:xf>
    <x:xf numFmtId="0" fontId="11" fillId="7" borderId="3" xfId="0" applyNumberFormat="1" applyFont="1" applyFill="1" applyBorder="1" applyAlignment="1">
      <x:alignment wrapText="1"/>
    </x:xf>
    <x:xf numFmtId="0" fontId="11" fillId="7" borderId="4" xfId="0" applyNumberFormat="1" applyFont="1" applyFill="1" applyBorder="1" applyAlignment="1">
      <x:alignment wrapText="1"/>
    </x:xf>
    <x:xf numFmtId="0" fontId="11" fillId="7" borderId="2" xfId="0" applyNumberFormat="1" applyFont="1" applyFill="1" applyBorder="1" applyAlignment="1">
      <x:alignment horizontal="center" wrapText="1"/>
    </x:xf>
    <x:xf numFmtId="0" fontId="11" fillId="7" borderId="3" xfId="0" applyNumberFormat="1" applyFont="1" applyFill="1" applyBorder="1" applyAlignment="1">
      <x:alignment horizontal="center" wrapText="1"/>
    </x:xf>
    <x:xf numFmtId="0" fontId="11" fillId="7" borderId="4" xfId="0" applyNumberFormat="1" applyFont="1" applyFill="1" applyBorder="1" applyAlignment="1">
      <x:alignment horizontal="center" wrapText="1"/>
    </x:xf>
    <x:xf numFmtId="0" fontId="11" fillId="7" borderId="2" xfId="0" applyNumberFormat="1" applyFont="1" applyFill="1" applyBorder="1" applyAlignment="1">
      <x:alignment horizontal="center" vertical="center" wrapText="1"/>
    </x:xf>
    <x:xf numFmtId="0" fontId="11" fillId="7" borderId="3" xfId="0" applyNumberFormat="1" applyFont="1" applyFill="1" applyBorder="1" applyAlignment="1">
      <x:alignment horizontal="center" vertical="center" wrapText="1"/>
    </x:xf>
    <x:xf numFmtId="0" fontId="11" fillId="7" borderId="4" xfId="0" applyNumberFormat="1" applyFont="1" applyFill="1" applyBorder="1" applyAlignment="1">
      <x:alignment horizontal="center" vertical="center" wrapText="1"/>
    </x:xf>
    <x:xf numFmtId="0" fontId="12" fillId="0" borderId="0"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xfId="0" applyNumberFormat="1" applyFont="1" applyFill="1" applyBorder="0"/>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xfId="0" applyNumberFormat="1" applyFont="1" applyFill="1" applyBorder="0"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xfId="0" applyNumberFormat="1" applyFont="1" applyFill="1" applyBorder="0"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0" fillId="10" borderId="0" xfId="0" applyNumberFormat="1" applyFont="1" applyFill="1" applyBorder="1"/>
    <x:xf numFmtId="0" fontId="13" fillId="1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202" fontId="12" fillId="0" borderId="6" xfId="0" applyNumberFormat="1" applyFont="1" applyFill="1" applyBorder="1" applyAlignment="1">
      <x:alignment vertical="top" wrapText="1"/>
    </x:xf>
    <x:xf numFmtId="202" fontId="12" fillId="8" xfId="0" applyNumberFormat="1" applyFont="1" applyFill="1" applyBorder="0" applyAlignment="1">
      <x:alignment vertical="top" wrapText="1"/>
    </x:xf>
    <x:xf numFmtId="202" fontId="12" fillId="0" xfId="0" applyNumberFormat="1" applyFont="1" applyFill="1" applyBorder="0" applyAlignment="1">
      <x:alignment vertical="top" wrapText="1"/>
    </x:xf>
    <x:xf numFmtId="202" fontId="12" fillId="0" borderId="1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horizontal="center"/>
    </x:xf>
    <x:xf numFmtId="202" fontId="12" fillId="0" borderId="7" xfId="0" applyNumberFormat="1" applyFont="1" applyFill="1" applyBorder="1" applyAlignment="1">
      <x:alignment vertical="top" wrapText="1"/>
    </x:xf>
    <x:xf numFmtId="202" fontId="12" fillId="0" borderId="9" xfId="0" applyNumberFormat="1" applyFont="1" applyFill="1" applyBorder="1" applyAlignment="1">
      <x:alignment vertical="top" wrapText="1"/>
    </x:xf>
    <x:xf numFmtId="202" fontId="0" fillId="0" borderId="0" xfId="0" applyNumberFormat="1" applyFont="1" applyFill="1" applyBorder="1"/>
    <x:xf numFmtId="202" fontId="12" fillId="0" borderId="0" xfId="0" applyNumberFormat="1" applyFont="1" applyFill="1" applyBorder="1"/>
    <x:xf numFmtId="202" fontId="12" fillId="0" borderId="7" xfId="0" applyNumberFormat="1" applyFont="1" applyFill="1" applyBorder="1"/>
    <x:xf numFmtId="202" fontId="12" fillId="0" borderId="9" xfId="0" applyNumberFormat="1" applyFont="1" applyFill="1" applyBorder="1"/>
    <x:xf numFmtId="202" fontId="12" fillId="0" borderId="12" xfId="0" applyNumberFormat="1" applyFont="1" applyFill="1" applyBorder="1"/>
    <x:xf numFmtId="202" fontId="12" fillId="0" borderId="7" xfId="0" applyNumberFormat="1" applyFont="1" applyFill="1" applyBorder="1" applyAlignment="1">
      <x:alignment wrapText="1"/>
    </x:xf>
    <x:xf numFmtId="202" fontId="12" fillId="0" borderId="9" xfId="0" applyNumberFormat="1" applyFont="1" applyFill="1" applyBorder="1" applyAlignment="1">
      <x:alignment wrapText="1"/>
    </x:xf>
    <x:xf numFmtId="202" fontId="12" fillId="0" borderId="12" xfId="0" applyNumberFormat="1" applyFont="1" applyFill="1" applyBorder="1" applyAlignment="1">
      <x:alignment wrapText="1"/>
    </x:xf>
    <x:xf numFmtId="202"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9" borderId="0" xfId="0" applyNumberFormat="1" applyFont="1" applyFill="1" applyBorder="1"/>
    <x:xf numFmtId="0" fontId="4" fillId="10" borderId="0" xfId="0" applyNumberFormat="1" applyFont="1" applyFill="1" applyBorder="1"/>
    <x:xf numFmtId="0" fontId="8"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left" vertical="center"/>
    </x:xf>
    <x:xf numFmtId="0" fontId="7" fillId="6" borderId="0"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6" fillId="7"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5" fillId="7"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3" xfId="0" applyNumberFormat="1" applyFont="1" applyFill="1" applyBorder="1" applyAlignment="1">
      <x:alignment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5" fillId="7" borderId="3" xfId="0" applyNumberFormat="1" applyFont="1" applyFill="1" applyBorder="1" applyAlignment="1">
      <x:alignment horizontal="center" wrapText="1"/>
    </x:xf>
    <x:xf numFmtId="0" fontId="5" fillId="7" borderId="4"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3" borderId="0" xfId="0" applyNumberFormat="1" applyFont="1" applyFill="1" applyBorder="1" applyAlignment="1">
      <x:alignment vertical="top" wrapText="1"/>
    </x:xf>
    <x:xf numFmtId="0" fontId="16" fillId="0" borderId="0"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3" borderId="6"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0" borderId="8" xfId="0" applyNumberFormat="1" applyFont="1" applyFill="1" applyBorder="1" applyAlignment="1">
      <x:alignment wrapText="1"/>
    </x:xf>
    <x:xf numFmtId="0" fontId="16" fillId="0" xfId="0" applyNumberFormat="1" applyFont="1" applyFill="1" applyBorder="0" applyAlignment="1">
      <x:alignment wrapText="1"/>
    </x:xf>
    <x:xf numFmtId="0" fontId="16" fillId="3" xfId="0" applyNumberFormat="1" applyFont="1" applyFill="1" applyBorder="0" applyAlignment="1">
      <x:alignment vertical="top" wrapText="1"/>
    </x:xf>
    <x:xf numFmtId="0" fontId="16" fillId="3" borderId="9" xfId="0" applyNumberFormat="1" applyFont="1" applyFill="1" applyBorder="1" applyAlignment="1">
      <x:alignment vertical="top" wrapText="1"/>
    </x:xf>
    <x:xf numFmtId="0" fontId="16" fillId="0" borderId="9" xfId="0" applyNumberFormat="1" applyFont="1" applyFill="1" applyBorder="1" applyAlignment="1">
      <x:alignment wrapText="1"/>
    </x:xf>
    <x:xf numFmtId="0" fontId="16" fillId="0" borderId="8" xfId="0" applyNumberFormat="1" applyFont="1" applyFill="1" applyBorder="1"/>
    <x:xf numFmtId="0" fontId="16" fillId="0" xfId="0" applyNumberFormat="1" applyFont="1" applyFill="1" applyBorder="0"/>
    <x:xf numFmtId="0" fontId="16" fillId="0" borderId="9" xfId="0" applyNumberFormat="1" applyFont="1" applyFill="1" applyBorder="1"/>
    <x:xf numFmtId="0" fontId="16" fillId="0" borderId="1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0" xfId="0" applyNumberFormat="1" applyFont="1" applyFill="1" applyBorder="1" applyAlignment="1">
      <x:alignment wrapText="1"/>
    </x:xf>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xfId="0" applyNumberFormat="1" applyFont="1" applyFill="1" applyBorder="0" applyAlignment="1">
      <x:alignment vertical="top" wrapText="1"/>
    </x:xf>
    <x:xf numFmtId="0" fontId="16" fillId="8" borderId="9"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6" fillId="7" borderId="0" xfId="0" applyNumberFormat="1" applyFont="1" applyFill="1" applyBorder="1"/>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4" xfId="0" applyNumberFormat="1" applyFont="1" applyFill="1" applyBorder="1" applyAlignment="1">
      <x:alignment wrapText="1"/>
    </x:xf>
    <x:xf numFmtId="0" fontId="5" fillId="7" borderId="4" xfId="0" applyNumberFormat="1" applyFont="1" applyFill="1" applyBorder="1" applyAlignment="1">
      <x:alignment horizontal="center" wrapText="1"/>
    </x:xf>
    <x:xf numFmtId="0" fontId="16" fillId="0" borderId="6" xfId="0" applyNumberFormat="1" applyFont="1" applyFill="1" applyBorder="1"/>
    <x:xf numFmtId="0" fontId="16" fillId="0" borderId="7" xfId="0" applyNumberFormat="1" applyFont="1" applyFill="1" applyBorder="1"/>
    <x:xf numFmtId="0" fontId="16" fillId="0" borderId="7" xfId="0" applyNumberFormat="1" applyFont="1" applyFill="1" applyBorder="1" applyAlignment="1">
      <x:alignment wrapText="1"/>
    </x:xf>
    <x:xf numFmtId="0" fontId="16" fillId="0" borderId="7" xfId="0" applyNumberFormat="1" applyFont="1" applyFill="1" applyBorder="1" applyAlignment="1">
      <x:alignment vertical="top" wrapText="1"/>
    </x:xf>
    <x:xf numFmtId="0" fontId="8"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horizontal="left"/>
    </x:xf>
    <x:xf numFmtId="0" fontId="6"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6" xfId="0" applyNumberFormat="1" applyFont="1" applyFill="1" applyBorder="1" applyAlignment="1">
      <x:alignment wrapText="1"/>
    </x:xf>
    <x:xf numFmtId="201" fontId="16" fillId="0" borderId="7" xfId="0" applyNumberFormat="1" applyFont="1" applyFill="1" applyBorder="1" applyAlignment="1">
      <x:alignment wrapText="1"/>
    </x:xf>
    <x:xf numFmtId="200" fontId="16" fillId="0" xfId="0" applyNumberFormat="1" applyFont="1" applyFill="1" applyBorder="0" applyAlignment="1">
      <x:alignment wrapText="1"/>
    </x:xf>
    <x:xf numFmtId="201" fontId="16" fillId="0" borderId="9" xfId="0" applyNumberFormat="1" applyFont="1" applyFill="1" applyBorder="1" applyAlignment="1">
      <x:alignment wrapText="1"/>
    </x:xf>
    <x:xf numFmtId="200" fontId="16" fillId="0" borderId="11" xfId="0" applyNumberFormat="1" applyFont="1" applyFill="1" applyBorder="1" applyAlignment="1">
      <x:alignment wrapText="1"/>
    </x:xf>
    <x:xf numFmtId="201" fontId="16" fillId="0" borderId="12" xfId="0" applyNumberFormat="1" applyFont="1" applyFill="1" applyBorder="1" applyAlignment="1">
      <x:alignment wrapText="1"/>
    </x:xf>
    <x:xf numFmtId="200" fontId="16" fillId="0" borderId="6" xfId="0" applyNumberFormat="1" applyFont="1" applyFill="1" applyBorder="1" applyAlignment="1">
      <x:alignment vertical="top" wrapText="1"/>
    </x:xf>
    <x:xf numFmtId="201" fontId="16" fillId="0" borderId="7" xfId="0" applyNumberFormat="1" applyFont="1" applyFill="1" applyBorder="1" applyAlignment="1">
      <x:alignment vertical="top" wrapText="1"/>
    </x:xf>
    <x:xf numFmtId="200" fontId="16" fillId="0" xfId="0" applyNumberFormat="1" applyFont="1" applyFill="1" applyBorder="0" applyAlignment="1">
      <x:alignment vertical="top" wrapText="1"/>
    </x:xf>
    <x:xf numFmtId="201" fontId="16" fillId="0" borderId="9" xfId="0" applyNumberFormat="1" applyFont="1" applyFill="1" applyBorder="1" applyAlignment="1">
      <x:alignment vertical="top" wrapText="1"/>
    </x:xf>
    <x:xf numFmtId="200" fontId="16" fillId="0" borderId="11"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0" fontId="16" fillId="8" xfId="0" applyNumberFormat="1" applyFont="1" applyFill="1" applyBorder="0" applyAlignment="1">
      <x:alignment vertical="top" wrapText="1"/>
    </x:xf>
    <x:xf numFmtId="201" fontId="16" fillId="8" borderId="9" xfId="0" applyNumberFormat="1" applyFont="1" applyFill="1" applyBorder="1" applyAlignment="1">
      <x:alignment vertical="top" wrapText="1"/>
    </x:xf>
    <x:xf numFmtId="203" fontId="16" fillId="0" borderId="6" xfId="0" applyNumberFormat="1" applyFont="1" applyFill="1" applyBorder="1" applyAlignment="1">
      <x:alignment vertical="top" wrapText="1"/>
    </x:xf>
    <x:xf numFmtId="203" fontId="16" fillId="8" xfId="0" applyNumberFormat="1" applyFont="1" applyFill="1" applyBorder="0" applyAlignment="1">
      <x:alignment vertical="top" wrapText="1"/>
    </x:xf>
    <x:xf numFmtId="203" fontId="16" fillId="0" xfId="0" applyNumberFormat="1" applyFont="1" applyFill="1" applyBorder="0" applyAlignment="1">
      <x:alignment vertical="top" wrapText="1"/>
    </x:xf>
    <x:xf numFmtId="203" fontId="16" fillId="0" borderId="11" xfId="0" applyNumberFormat="1" applyFont="1" applyFill="1" applyBorder="1" applyAlignment="1">
      <x:alignment vertical="top" wrapText="1"/>
    </x:xf>
    <x:xf numFmtId="202" fontId="16" fillId="0" borderId="9" xfId="0" applyNumberFormat="1" applyFont="1" applyFill="1" applyBorder="1" applyAlignment="1">
      <x:alignment vertical="top" wrapText="1"/>
    </x:xf>
    <x:xf numFmtId="0" fontId="5" fillId="7" borderId="0" xfId="0" applyNumberFormat="1" applyFont="1" applyFill="1" applyBorder="1" applyAlignment="1">
      <x:alignment horizontal="left" vertical="center"/>
    </x:xf>
    <x:xf numFmtId="0" fontId="5" fillId="7" borderId="2" xfId="0" applyNumberFormat="1" applyFont="1" applyFill="1" applyBorder="1"/>
    <x:xf numFmtId="0" fontId="5" fillId="7" borderId="3" xfId="0" applyNumberFormat="1" applyFont="1" applyFill="1" applyBorder="1" applyAlignment="1">
      <x:alignment horizontal="left" vertical="center"/>
    </x:xf>
    <x:xf numFmtId="0" fontId="5" fillId="7" borderId="4" xfId="0" applyNumberFormat="1" applyFont="1" applyFill="1" applyBorder="1" applyAlignment="1">
      <x:alignment horizontal="left" vertical="center"/>
    </x:xf>
    <x:xf numFmtId="0" fontId="5" fillId="7" borderId="2" xfId="0" applyNumberFormat="1" applyFont="1" applyFill="1" applyBorder="1" applyAlignment="1">
      <x:alignment wrapText="1"/>
    </x:xf>
    <x:xf numFmtId="0" fontId="5" fillId="7" borderId="2"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6" fillId="0" borderId="5" xfId="0" applyNumberFormat="1" applyFont="1" applyFill="1" applyBorder="1"/>
    <x:xf numFmtId="0" fontId="17" fillId="2" xfId="0" applyNumberFormat="1" applyFont="1" applyFill="1" applyBorder="0" applyAlignment="1">
      <x:alignment horizontal="center" vertical="center" wrapText="1"/>
    </x:xf>
    <x:xf numFmtId="0" fontId="17" fillId="2" borderId="9" xfId="0" applyNumberFormat="1" applyFont="1" applyFill="1" applyBorder="1" applyAlignment="1">
      <x:alignment horizontal="center" vertical="center" wrapText="1"/>
    </x:xf>
    <x:xf numFmtId="0" fontId="17" fillId="2" xfId="0" applyNumberFormat="1" applyFont="1" applyFill="1" applyBorder="0" applyAlignment="1">
      <x:alignment horizontal="center" vertical="top" wrapText="1"/>
    </x:xf>
    <x:xf numFmtId="0" fontId="17" fillId="2" borderId="9" xfId="0" applyNumberFormat="1" applyFont="1" applyFill="1" applyBorder="1" applyAlignment="1">
      <x:alignment horizontal="center" vertical="top" wrapText="1"/>
    </x:xf>
    <x:xf numFmtId="0" fontId="6" fillId="9" borderId="0" xfId="0" applyNumberFormat="1" applyFont="1" applyFill="1" applyBorder="1"/>
    <x:xf numFmtId="0" fontId="18" fillId="9" borderId="0" xfId="0" applyNumberFormat="1" applyFont="1" applyFill="1" applyBorder="1"/>
    <x:xf numFmtId="0" fontId="16" fillId="0" borderId="13" xfId="0" applyNumberFormat="1" applyFont="1" applyFill="1" applyBorder="1" applyAlignment="1">
      <x:alignment vertical="top" wrapText="1"/>
    </x:xf>
    <x:xf numFmtId="0" fontId="6" fillId="0" borderId="14" xfId="0" applyNumberFormat="1" applyFont="1" applyFill="1" applyBorder="1"/>
    <x:xf numFmtId="0" fontId="6" fillId="0" borderId="15" xfId="0" applyNumberFormat="1" applyFont="1" applyFill="1" applyBorder="1"/>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12" fillId="0" borderId="12" xfId="0" applyNumberFormat="1" applyFont="1" applyFill="1" applyBorder="1" applyAlignment="1">
      <x:alignment vertical="top" wrapText="1"/>
    </x:xf>
    <x:xf numFmtId="0" fontId="11" fillId="7" borderId="0" xfId="0" applyNumberFormat="1" applyFont="1" applyFill="1" applyBorder="1" applyAlignment="1">
      <x:alignment wrapText="1"/>
    </x:xf>
    <x:xf numFmtId="0" fontId="11" fillId="7" borderId="0" xfId="0" applyNumberFormat="1" applyFont="1" applyFill="1" applyBorder="1" applyAlignment="1">
      <x:alignment horizontal="center" wrapText="1"/>
    </x:xf>
    <x:xf numFmtId="0" fontId="11" fillId="7" borderId="0"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12" fillId="0" borderId="0" xfId="0" applyNumberFormat="1" applyFont="1" applyFill="1" applyBorder="1" applyAlignment="1">
      <x:alignment vertical="top" wrapText="1"/>
    </x:xf>
    <x:xf numFmtId="202" fontId="1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7" borderId="0"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201" fontId="16" fillId="0" borderId="0" xfId="0" applyNumberFormat="1" applyFont="1" applyFill="1" applyBorder="1" applyAlignment="1">
      <x:alignment vertical="top" wrapText="1"/>
    </x:xf>
    <x:xf numFmtId="201" fontId="16" fillId="8" borderId="0" xfId="0" applyNumberFormat="1" applyFont="1" applyFill="1" applyBorder="1" applyAlignment="1">
      <x:alignment vertical="top" wrapText="1"/>
    </x:xf>
    <x:xf numFmtId="203" fontId="16" fillId="0" borderId="0" xfId="0" applyNumberFormat="1" applyFont="1" applyFill="1" applyBorder="1" applyAlignment="1">
      <x:alignment vertical="top" wrapText="1"/>
    </x:xf>
    <x:xf numFmtId="202" fontId="16" fillId="0"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0" fontId="9" fillId="11" borderId="0" xfId="0" applyNumberFormat="1" applyFont="1" applyFill="1" applyBorder="1" applyAlignment="1">
      <x:alignment horizontal="lef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8" xfId="0" applyNumberFormat="1" applyFont="1" applyFill="1" applyBorder="1"/>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8" xfId="0" applyNumberFormat="1" applyFont="1" applyFill="1" applyBorder="1" applyAlignment="1">
      <x:alignment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8" xfId="0" applyNumberFormat="1" applyFont="1" applyFill="1" applyBorder="1" applyAlignment="1">
      <x:alignment horizont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11" fillId="13" borderId="18" xfId="0" applyNumberFormat="1" applyFont="1" applyFill="1" applyBorder="1" applyAlignment="1">
      <x:alignment horizontal="center" vertical="center" wrapText="1"/>
    </x:xf>
    <x:xf numFmtId="0" fontId="12" fillId="0" borderId="19" xfId="0" applyNumberFormat="1" applyFont="1" applyFill="1" applyBorder="1"/>
    <x:xf numFmtId="0" fontId="12" fillId="0" borderId="20" xfId="0" applyNumberFormat="1" applyFont="1" applyFill="1" applyBorder="1"/>
    <x:xf numFmtId="0" fontId="12" fillId="0" borderId="21" xfId="0" applyNumberFormat="1" applyFont="1" applyFill="1" applyBorder="1"/>
    <x:xf numFmtId="0" fontId="12" fillId="0" borderId="22" xfId="0" applyNumberFormat="1" applyFont="1" applyFill="1" applyBorder="1"/>
    <x:xf numFmtId="0" fontId="12" fillId="0" borderId="23" xfId="0" applyNumberFormat="1" applyFont="1" applyFill="1" applyBorder="1"/>
    <x:xf numFmtId="0" fontId="12" fillId="0" borderId="24" xfId="0" applyNumberFormat="1" applyFont="1" applyFill="1" applyBorder="1"/>
    <x:xf numFmtId="0" fontId="12" fillId="0" borderId="25" xfId="0" applyNumberFormat="1" applyFont="1" applyFill="1" applyBorder="1"/>
    <x:xf numFmtId="0" fontId="12" fillId="0" borderId="26" xfId="0" applyNumberFormat="1" applyFont="1" applyFill="1" applyBorder="1"/>
    <x:xf numFmtId="0" fontId="12" fillId="0" borderId="19" xfId="0" applyNumberFormat="1" applyFont="1" applyFill="1" applyBorder="1" applyAlignment="1">
      <x:alignment wrapText="1"/>
    </x:xf>
    <x:xf numFmtId="0" fontId="12" fillId="0" borderId="20" xfId="0" applyNumberFormat="1" applyFont="1" applyFill="1" applyBorder="1" applyAlignment="1">
      <x:alignment wrapText="1"/>
    </x:xf>
    <x:xf numFmtId="0" fontId="12" fillId="0" borderId="21" xfId="0" applyNumberFormat="1" applyFont="1" applyFill="1" applyBorder="1" applyAlignment="1">
      <x:alignment wrapText="1"/>
    </x:xf>
    <x:xf numFmtId="0" fontId="12" fillId="0" borderId="22" xfId="0" applyNumberFormat="1" applyFont="1" applyFill="1" applyBorder="1" applyAlignment="1">
      <x:alignment wrapText="1"/>
    </x:xf>
    <x:xf numFmtId="0" fontId="12" fillId="0" borderId="23" xfId="0" applyNumberFormat="1" applyFont="1" applyFill="1" applyBorder="1" applyAlignment="1">
      <x:alignment wrapText="1"/>
    </x:xf>
    <x:xf numFmtId="0" fontId="12" fillId="0" borderId="24" xfId="0" applyNumberFormat="1" applyFont="1" applyFill="1" applyBorder="1" applyAlignment="1">
      <x:alignment wrapText="1"/>
    </x:xf>
    <x:xf numFmtId="0" fontId="12" fillId="0" borderId="25" xfId="0" applyNumberFormat="1" applyFont="1" applyFill="1" applyBorder="1" applyAlignment="1">
      <x:alignment wrapText="1"/>
    </x:xf>
    <x:xf numFmtId="0" fontId="12" fillId="0" borderId="26" xfId="0" applyNumberFormat="1" applyFont="1" applyFill="1" applyBorder="1" applyAlignment="1">
      <x:alignment wrapText="1"/>
    </x:xf>
    <x:xf numFmtId="0" fontId="12" fillId="0" borderId="19" xfId="0" applyNumberFormat="1" applyFont="1" applyFill="1" applyBorder="1" applyAlignment="1">
      <x:alignment vertical="top" wrapText="1"/>
    </x:xf>
    <x:xf numFmtId="0" fontId="12" fillId="0" borderId="20" xfId="0" applyNumberFormat="1" applyFont="1" applyFill="1" applyBorder="1" applyAlignment="1">
      <x:alignment vertical="top" wrapText="1"/>
    </x:xf>
    <x:xf numFmtId="0" fontId="12" fillId="0" borderId="21" xfId="0" applyNumberFormat="1" applyFont="1" applyFill="1" applyBorder="1" applyAlignment="1">
      <x:alignment vertical="top" wrapText="1"/>
    </x:xf>
    <x:xf numFmtId="0" fontId="12" fillId="0" borderId="22" xfId="0" applyNumberFormat="1" applyFont="1" applyFill="1" applyBorder="1" applyAlignment="1">
      <x:alignment vertical="top" wrapText="1"/>
    </x:xf>
    <x:xf numFmtId="0" fontId="12" fillId="0" borderId="23" xfId="0" applyNumberFormat="1" applyFont="1" applyFill="1" applyBorder="1" applyAlignment="1">
      <x:alignment vertical="top" wrapText="1"/>
    </x:xf>
    <x:xf numFmtId="0" fontId="12" fillId="0" borderId="24" xfId="0" applyNumberFormat="1" applyFont="1" applyFill="1" applyBorder="1" applyAlignment="1">
      <x:alignment vertical="top"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14" borderId="22" xfId="0" applyNumberFormat="1" applyFont="1" applyFill="1" applyBorder="1" applyAlignment="1">
      <x:alignment vertical="top" wrapText="1"/>
    </x:xf>
    <x:xf numFmtId="0" fontId="12" fillId="14" xfId="0" applyNumberFormat="1" applyFont="1" applyFill="1" applyBorder="0" applyAlignment="1">
      <x:alignment vertical="top" wrapText="1"/>
    </x:xf>
    <x:xf numFmtId="0" fontId="12" fillId="14" borderId="23" xfId="0" applyNumberFormat="1" applyFont="1" applyFill="1" applyBorder="1" applyAlignment="1">
      <x:alignment vertical="top" wrapText="1"/>
    </x:xf>
    <x:xf numFmtId="0" fontId="12" fillId="14" borderId="24" xfId="0" applyNumberFormat="1" applyFont="1" applyFill="1" applyBorder="1" applyAlignment="1">
      <x:alignment vertical="top" wrapText="1"/>
    </x:xf>
    <x:xf numFmtId="0" fontId="12" fillId="14" borderId="25" xfId="0" applyNumberFormat="1" applyFont="1" applyFill="1" applyBorder="1" applyAlignment="1">
      <x:alignment vertical="top" wrapText="1"/>
    </x:xf>
    <x:xf numFmtId="0" fontId="12" fillId="14" borderId="26" xfId="0" applyNumberFormat="1" applyFont="1" applyFill="1" applyBorder="1" applyAlignment="1">
      <x:alignment vertical="top" wrapText="1"/>
    </x:xf>
    <x:xf numFmtId="204" fontId="12" fillId="0" borderId="20" xfId="0" applyNumberFormat="1" applyFont="1" applyFill="1" applyBorder="1" applyAlignment="1">
      <x:alignment vertical="top" wrapText="1"/>
    </x:xf>
    <x:xf numFmtId="204" fontId="12" fillId="14" xfId="0" applyNumberFormat="1" applyFont="1" applyFill="1" applyBorder="0" applyAlignment="1">
      <x:alignment vertical="top" wrapText="1"/>
    </x:xf>
    <x:xf numFmtId="204" fontId="12" fillId="0" xfId="0" applyNumberFormat="1" applyFont="1" applyFill="1" applyBorder="0" applyAlignment="1">
      <x:alignment vertical="top" wrapText="1"/>
    </x:xf>
    <x:xf numFmtId="204" fontId="12" fillId="14" borderId="25" xfId="0" applyNumberFormat="1" applyFont="1" applyFill="1" applyBorder="1" applyAlignment="1">
      <x:alignment vertical="top" wrapText="1"/>
    </x:xf>
    <x:xf numFmtId="202" fontId="12" fillId="0" borderId="20" xfId="0" applyNumberFormat="1" applyFont="1" applyFill="1" applyBorder="1" applyAlignment="1">
      <x:alignment vertical="top" wrapText="1"/>
    </x:xf>
    <x:xf numFmtId="202" fontId="12" fillId="14" xfId="0" applyNumberFormat="1" applyFont="1" applyFill="1" applyBorder="0" applyAlignment="1">
      <x:alignment vertical="top" wrapText="1"/>
    </x:xf>
    <x:xf numFmtId="202" fontId="12" fillId="14" borderId="25" xfId="0" applyNumberFormat="1" applyFont="1" applyFill="1" applyBorder="1" applyAlignment="1">
      <x:alignment vertical="top" wrapText="1"/>
    </x:xf>
    <x:xf numFmtId="202" fontId="12" fillId="0" borderId="21" xfId="0" applyNumberFormat="1" applyFont="1" applyFill="1" applyBorder="1" applyAlignment="1">
      <x:alignment vertical="top" wrapText="1"/>
    </x:xf>
    <x:xf numFmtId="202" fontId="12" fillId="0" borderId="25" xfId="0" applyNumberFormat="1" applyFont="1" applyFill="1" applyBorder="1" applyAlignment="1">
      <x:alignment vertical="top" wrapText="1"/>
    </x:xf>
    <x:xf numFmtId="202" fontId="12" fillId="0" borderId="23" xfId="0" applyNumberFormat="1" applyFont="1" applyFill="1" applyBorder="1" applyAlignment="1">
      <x:alignment vertical="top" wrapText="1"/>
    </x:xf>
    <x:xf numFmtId="201" fontId="12" fillId="0" borderId="0" xfId="0" applyNumberFormat="1" applyFont="1" applyFill="1" applyBorder="1"/>
    <x:xf numFmtId="201" fontId="12" fillId="0" borderId="21" xfId="0" applyNumberFormat="1" applyFont="1" applyFill="1" applyBorder="1"/>
    <x:xf numFmtId="201" fontId="12" fillId="0" borderId="23" xfId="0" applyNumberFormat="1" applyFont="1" applyFill="1" applyBorder="1"/>
    <x:xf numFmtId="201" fontId="12" fillId="0" borderId="26" xfId="0" applyNumberFormat="1" applyFont="1" applyFill="1" applyBorder="1"/>
    <x:xf numFmtId="201" fontId="12" fillId="0" borderId="21" xfId="0" applyNumberFormat="1" applyFont="1" applyFill="1" applyBorder="1" applyAlignment="1">
      <x:alignment wrapText="1"/>
    </x:xf>
    <x:xf numFmtId="201" fontId="12" fillId="0" borderId="23" xfId="0" applyNumberFormat="1" applyFont="1" applyFill="1" applyBorder="1" applyAlignment="1">
      <x:alignment wrapText="1"/>
    </x:xf>
    <x:xf numFmtId="201" fontId="12" fillId="0" borderId="26" xfId="0" applyNumberFormat="1" applyFont="1" applyFill="1" applyBorder="1" applyAlignment="1">
      <x:alignment wrapText="1"/>
    </x:xf>
    <x:xf numFmtId="201" fontId="12" fillId="0" borderId="21" xfId="0" applyNumberFormat="1" applyFont="1" applyFill="1" applyBorder="1" applyAlignment="1">
      <x:alignment vertical="top" wrapText="1"/>
    </x:xf>
    <x:xf numFmtId="201" fontId="12" fillId="0" borderId="23" xfId="0" applyNumberFormat="1" applyFont="1" applyFill="1" applyBorder="1" applyAlignment="1">
      <x:alignment vertical="top" wrapText="1"/>
    </x:xf>
    <x:xf numFmtId="201" fontId="12" fillId="0" borderId="26"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18" fillId="13" borderId="0" xfId="0" applyNumberFormat="1" applyFont="1" applyFill="1" applyBorder="1"/>
    <x:xf numFmtId="0" fontId="5" fillId="13" borderId="0" xfId="0" applyNumberFormat="1" applyFont="1" applyFill="1" applyBorder="1"/>
    <x:xf numFmtId="0" fontId="5" fillId="13" borderId="16" xfId="0" applyNumberFormat="1" applyFont="1" applyFill="1" applyBorder="1"/>
    <x:xf numFmtId="0" fontId="5" fillId="13" borderId="17" xfId="0" applyNumberFormat="1" applyFont="1" applyFill="1" applyBorder="1"/>
    <x:xf numFmtId="0" fontId="5" fillId="13" borderId="18" xfId="0" applyNumberFormat="1" applyFont="1" applyFill="1" applyBorder="1"/>
    <x:xf numFmtId="0" fontId="5" fillId="13" borderId="16" xfId="0" applyNumberFormat="1" applyFont="1" applyFill="1" applyBorder="1" applyAlignment="1">
      <x:alignment wrapText="1"/>
    </x:xf>
    <x:xf numFmtId="0" fontId="5" fillId="13" borderId="17" xfId="0" applyNumberFormat="1" applyFont="1" applyFill="1" applyBorder="1" applyAlignment="1">
      <x:alignment wrapText="1"/>
    </x:xf>
    <x:xf numFmtId="0" fontId="5" fillId="13" borderId="18" xfId="0" applyNumberFormat="1" applyFont="1" applyFill="1" applyBorder="1" applyAlignment="1">
      <x:alignment wrapText="1"/>
    </x:xf>
    <x:xf numFmtId="0" fontId="5" fillId="13" borderId="16" xfId="0" applyNumberFormat="1" applyFont="1" applyFill="1" applyBorder="1" applyAlignment="1">
      <x:alignment horizontal="center" wrapText="1"/>
    </x:xf>
    <x:xf numFmtId="0" fontId="5" fillId="13" borderId="17" xfId="0" applyNumberFormat="1" applyFont="1" applyFill="1" applyBorder="1" applyAlignment="1">
      <x:alignment horizontal="center" wrapText="1"/>
    </x:xf>
    <x:xf numFmtId="0" fontId="5" fillId="13" borderId="18" xfId="0" applyNumberFormat="1" applyFont="1" applyFill="1" applyBorder="1" applyAlignment="1">
      <x:alignment horizontal="center" wrapText="1"/>
    </x:xf>
    <x:xf numFmtId="0" fontId="5" fillId="13" borderId="16" xfId="0" applyNumberFormat="1" applyFont="1" applyFill="1" applyBorder="1" applyAlignment="1">
      <x:alignment horizontal="center" vertical="center" wrapText="1"/>
    </x:xf>
    <x:xf numFmtId="0" fontId="5" fillId="13" borderId="17" xfId="0" applyNumberFormat="1" applyFont="1" applyFill="1" applyBorder="1" applyAlignment="1">
      <x:alignment horizontal="center" vertical="center" wrapText="1"/>
    </x:xf>
    <x:xf numFmtId="0" fontId="5" fillId="13" borderId="18" xfId="0" applyNumberFormat="1" applyFont="1" applyFill="1" applyBorder="1" applyAlignment="1">
      <x:alignment horizontal="center" vertical="center" wrapText="1"/>
    </x:xf>
    <x:xf numFmtId="0" fontId="16" fillId="0" borderId="3" xfId="0" applyNumberFormat="1" applyFont="1" applyFill="1" applyBorder="1" applyAlignment="1">
      <x:alignment vertical="top" wrapText="1"/>
    </x:xf>
    <x:xf numFmtId="0" fontId="16" fillId="0" borderId="19" xfId="0" applyNumberFormat="1" applyFont="1" applyFill="1" applyBorder="1"/>
    <x:xf numFmtId="0" fontId="16" fillId="0" borderId="20" xfId="0" applyNumberFormat="1" applyFont="1" applyFill="1" applyBorder="1"/>
    <x:xf numFmtId="0" fontId="16" fillId="0" borderId="21" xfId="0" applyNumberFormat="1" applyFont="1" applyFill="1" applyBorder="1"/>
    <x:xf numFmtId="0" fontId="16" fillId="0" borderId="27" xfId="0" applyNumberFormat="1" applyFont="1" applyFill="1" applyBorder="1" applyAlignment="1">
      <x:alignment vertical="top" wrapText="1"/>
    </x:xf>
    <x:xf numFmtId="0" fontId="16" fillId="0" borderId="28" xfId="0" applyNumberFormat="1" applyFont="1" applyFill="1" applyBorder="1" applyAlignment="1">
      <x:alignment vertical="top" wrapText="1"/>
    </x:xf>
    <x:xf numFmtId="0" fontId="16" fillId="0" borderId="29" xfId="0" applyNumberFormat="1" applyFont="1" applyFill="1" applyBorder="1" applyAlignment="1">
      <x:alignment vertical="top" wrapText="1"/>
    </x:xf>
    <x:xf numFmtId="0" fontId="16" fillId="0" borderId="30" xfId="0" applyNumberFormat="1" applyFont="1" applyFill="1" applyBorder="1" applyAlignment="1">
      <x:alignment vertical="top" wrapText="1"/>
    </x:xf>
    <x:xf numFmtId="0" fontId="16" fillId="0" borderId="31" xfId="0" applyNumberFormat="1" applyFont="1" applyFill="1" applyBorder="1" applyAlignment="1">
      <x:alignment vertical="top" wrapText="1"/>
    </x:xf>
    <x:xf numFmtId="0" fontId="16" fillId="0" borderId="19" xfId="0" applyNumberFormat="1" applyFont="1" applyFill="1" applyBorder="1" applyAlignment="1">
      <x:alignment wrapText="1"/>
    </x:xf>
    <x:xf numFmtId="0" fontId="16" fillId="0" borderId="20" xfId="0" applyNumberFormat="1" applyFont="1" applyFill="1" applyBorder="1" applyAlignment="1">
      <x:alignment wrapText="1"/>
    </x:xf>
    <x:xf numFmtId="0" fontId="16" fillId="0" borderId="21" xfId="0" applyNumberFormat="1" applyFont="1" applyFill="1" applyBorder="1" applyAlignment="1">
      <x:alignment wrapText="1"/>
    </x:xf>
    <x:xf numFmtId="0" fontId="16" fillId="0" borderId="19" xfId="0" applyNumberFormat="1" applyFont="1" applyFill="1" applyBorder="1" applyAlignment="1">
      <x:alignment vertical="top" wrapText="1"/>
    </x:xf>
    <x:xf numFmtId="0" fontId="16" fillId="0" borderId="20"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0" fontId="16" fillId="0" borderId="22" xfId="0" applyNumberFormat="1" applyFont="1" applyFill="1" applyBorder="1" applyAlignment="1">
      <x:alignment vertical="top" wrapText="1"/>
    </x:xf>
    <x:xf numFmtId="0" fontId="16" fillId="0" borderId="23" xfId="0" applyNumberFormat="1" applyFont="1" applyFill="1" applyBorder="1" applyAlignment="1">
      <x:alignment vertical="top" wrapText="1"/>
    </x:xf>
    <x:xf numFmtId="0" fontId="16" fillId="0" borderId="24" xfId="0" applyNumberFormat="1" applyFont="1" applyFill="1" applyBorder="1" applyAlignment="1">
      <x:alignment vertical="top" wrapText="1"/>
    </x:xf>
    <x:xf numFmtId="0" fontId="16" fillId="0" borderId="25" xfId="0" applyNumberFormat="1" applyFont="1" applyFill="1" applyBorder="1" applyAlignment="1">
      <x:alignment vertical="top" wrapText="1"/>
    </x:xf>
    <x:xf numFmtId="0" fontId="16" fillId="0" borderId="26" xfId="0" applyNumberFormat="1" applyFont="1" applyFill="1" applyBorder="1" applyAlignment="1">
      <x:alignment vertical="top" wrapText="1"/>
    </x:xf>
    <x:xf numFmtId="202" fontId="16" fillId="0" borderId="20" xfId="0" applyNumberFormat="1" applyFont="1" applyFill="1" applyBorder="1" applyAlignment="1">
      <x:alignment vertical="top" wrapText="1"/>
    </x:xf>
    <x:xf numFmtId="202" fontId="16" fillId="0" borderId="3"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14" fillId="11" borderId="0" xfId="0" applyNumberFormat="1" applyFont="1" applyFill="1" applyBorder="1" applyAlignment="1">
      <x:alignment horizontal="left" vertical="center"/>
    </x:xf>
    <x:xf numFmtId="0" fontId="15" fillId="12" borderId="0" xfId="0" applyNumberFormat="1" applyFont="1" applyFill="1" applyBorder="1" applyAlignment="1">
      <x:alignment vertical="center"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16" fillId="3" borderId="20" xfId="0" applyNumberFormat="1" applyFont="1" applyFill="1" applyBorder="1" applyAlignment="1">
      <x:alignment vertical="top" wrapText="1"/>
    </x:xf>
    <x:xf numFmtId="0" fontId="16" fillId="3" borderId="21" xfId="0" applyNumberFormat="1" applyFont="1" applyFill="1" applyBorder="1" applyAlignment="1">
      <x:alignment vertical="top" wrapText="1"/>
    </x:xf>
    <x:xf numFmtId="0" fontId="16" fillId="8" borderId="22" xfId="0" applyNumberFormat="1" applyFont="1" applyFill="1" applyBorder="1" applyAlignment="1">
      <x:alignment vertical="top" wrapText="1"/>
    </x:xf>
    <x:xf numFmtId="0" fontId="16" fillId="8" borderId="23" xfId="0" applyNumberFormat="1" applyFont="1" applyFill="1" applyBorder="1" applyAlignment="1">
      <x:alignment vertical="top" wrapText="1"/>
    </x:xf>
    <x:xf numFmtId="0" fontId="16" fillId="3" borderId="23" xfId="0" applyNumberFormat="1" applyFont="1" applyFill="1" applyBorder="1" applyAlignment="1">
      <x:alignment vertical="top" wrapText="1"/>
    </x:xf>
    <x:xf numFmtId="0" fontId="16" fillId="8" borderId="32" xfId="0" applyNumberFormat="1" applyFont="1" applyFill="1" applyBorder="1" applyAlignment="1">
      <x:alignment vertical="top" wrapText="1"/>
    </x:xf>
    <x:xf numFmtId="0" fontId="16" fillId="8" borderId="33" xfId="0" applyNumberFormat="1" applyFont="1" applyFill="1" applyBorder="1" applyAlignment="1">
      <x:alignment vertical="top" wrapText="1"/>
    </x:xf>
    <x:xf numFmtId="0" fontId="16" fillId="0" borderId="22" xfId="0" applyNumberFormat="1" applyFont="1" applyFill="1" applyBorder="1"/>
    <x:xf numFmtId="0" fontId="16" fillId="0" borderId="23" xfId="0" applyNumberFormat="1" applyFont="1" applyFill="1" applyBorder="1"/>
    <x:xf numFmtId="0" fontId="16" fillId="0" borderId="24" xfId="0" applyNumberFormat="1" applyFont="1" applyFill="1" applyBorder="1"/>
    <x:xf numFmtId="0" fontId="16" fillId="0" borderId="25" xfId="0" applyNumberFormat="1" applyFont="1" applyFill="1" applyBorder="1"/>
    <x:xf numFmtId="0" fontId="16" fillId="0" borderId="26" xfId="0" applyNumberFormat="1" applyFont="1" applyFill="1" applyBorder="1"/>
    <x:xf numFmtId="0" fontId="16" fillId="0" borderId="22" xfId="0" applyNumberFormat="1" applyFont="1" applyFill="1" applyBorder="1" applyAlignment="1">
      <x:alignment wrapText="1"/>
    </x:xf>
    <x:xf numFmtId="0" fontId="16" fillId="0" borderId="23" xfId="0" applyNumberFormat="1" applyFont="1" applyFill="1" applyBorder="1" applyAlignment="1">
      <x:alignment wrapText="1"/>
    </x:xf>
    <x:xf numFmtId="0" fontId="16" fillId="0" borderId="24" xfId="0" applyNumberFormat="1" applyFont="1" applyFill="1" applyBorder="1" applyAlignment="1">
      <x:alignment wrapText="1"/>
    </x:xf>
    <x:xf numFmtId="0" fontId="16" fillId="0" borderId="25" xfId="0" applyNumberFormat="1" applyFont="1" applyFill="1" applyBorder="1" applyAlignment="1">
      <x:alignment wrapText="1"/>
    </x:xf>
    <x:xf numFmtId="0" fontId="16" fillId="0" borderId="26" xfId="0" applyNumberFormat="1" applyFont="1" applyFill="1" applyBorder="1" applyAlignment="1">
      <x:alignment wrapText="1"/>
    </x:xf>
    <x:xf numFmtId="0" fontId="16" fillId="14" borderId="22" xfId="0" applyNumberFormat="1" applyFont="1" applyFill="1" applyBorder="1" applyAlignment="1">
      <x:alignment vertical="top" wrapText="1"/>
    </x:xf>
    <x:xf numFmtId="0" fontId="16" fillId="14" xfId="0" applyNumberFormat="1" applyFont="1" applyFill="1" applyBorder="0" applyAlignment="1">
      <x:alignment vertical="top" wrapText="1"/>
    </x:xf>
    <x:xf numFmtId="0" fontId="16" fillId="14" borderId="23" xfId="0" applyNumberFormat="1" applyFont="1" applyFill="1" applyBorder="1" applyAlignment="1">
      <x:alignment vertical="top" wrapText="1"/>
    </x:xf>
    <x:xf numFmtId="0" fontId="16" fillId="14" borderId="32" xfId="0" applyNumberFormat="1" applyFont="1" applyFill="1" applyBorder="1" applyAlignment="1">
      <x:alignment vertical="top" wrapText="1"/>
    </x:xf>
    <x:xf numFmtId="0" fontId="16" fillId="14" borderId="11" xfId="0" applyNumberFormat="1" applyFont="1" applyFill="1" applyBorder="1" applyAlignment="1">
      <x:alignment vertical="top" wrapText="1"/>
    </x:xf>
    <x:xf numFmtId="0" fontId="16" fillId="14" borderId="33" xfId="0" applyNumberFormat="1" applyFont="1" applyFill="1" applyBorder="1" applyAlignment="1">
      <x:alignment vertical="top" wrapText="1"/>
    </x:xf>
    <x:xf numFmtId="0" fontId="16" fillId="14" borderId="0" xfId="0" applyNumberFormat="1" applyFont="1" applyFill="1" applyBorder="1" applyAlignment="1">
      <x:alignment vertical="top" wrapText="1"/>
    </x:xf>
    <x:xf numFmtId="0" fontId="16" fillId="14" borderId="24" xfId="0" applyNumberFormat="1" applyFont="1" applyFill="1" applyBorder="1" applyAlignment="1">
      <x:alignment vertical="top" wrapText="1"/>
    </x:xf>
    <x:xf numFmtId="0" fontId="16" fillId="14" borderId="25" xfId="0" applyNumberFormat="1" applyFont="1" applyFill="1" applyBorder="1" applyAlignment="1">
      <x:alignment vertical="top" wrapText="1"/>
    </x:xf>
    <x:xf numFmtId="0" fontId="16" fillId="14" borderId="26" xfId="0" applyNumberFormat="1" applyFont="1" applyFill="1" applyBorder="1" applyAlignment="1">
      <x:alignment vertical="top" wrapText="1"/>
    </x:xf>
  </x:cellXfs>
  <x:cellStyles count="1">
    <x:cellStyle name="Normal" xfId="0"/>
  </x:cellStyles>
  <x:dxfs count="14">
    <x:dxf>
      <x:fill>
        <x:patternFill>
          <x:bgColor rgb="FFFEE2E2"/>
        </x:patternFill>
      </x:fill>
    </x:dxf>
    <x:dxf>
      <x:fill>
        <x:patternFill>
          <x:bgColor rgb="FFFEF3C7"/>
        </x:patternFill>
      </x:fill>
    </x:dxf>
    <x:dxf>
      <x:fill>
        <x:patternFill>
          <x:bgColor rgb="FFFEF3C7"/>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color rgb="FF7F8C8D"/>
      </x:font>
      <x:fill>
        <x:patternFill>
          <x:bgColor rgb="FFF2F2F2"/>
        </x:patternFill>
      </x:fill>
    </x:dxf>
    <x:dxf>
      <x:font>
        <x:b/>
        <x:color rgb="FFC00000"/>
      </x:font>
      <x:fill>
        <x:patternFill>
          <x:bgColor rgb="FFFCE4D6"/>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35dba9f8704941" /><Relationship Type="http://schemas.openxmlformats.org/officeDocument/2006/relationships/theme" Target="/xl/theme/theme1.xml" Id="R03bdd68df66b4b68" /><Relationship Type="http://schemas.openxmlformats.org/officeDocument/2006/relationships/sharedStrings" Target="/xl/sharedStrings.xml" Id="R7f6a1c706cec4817" /><Relationship Type="http://schemas.openxmlformats.org/officeDocument/2006/relationships/worksheet" Target="/xl/worksheets/sheet1.xml" Id="R2b2089f98752474f" /><Relationship Type="http://schemas.openxmlformats.org/officeDocument/2006/relationships/worksheet" Target="/xl/worksheets/sheet2.xml" Id="R2c3ad3c8aaec4b8a" /><Relationship Type="http://schemas.openxmlformats.org/officeDocument/2006/relationships/worksheet" Target="/xl/worksheets/sheet3.xml" Id="R9ef7d821621c4bee" /><Relationship Type="http://schemas.openxmlformats.org/officeDocument/2006/relationships/worksheet" Target="/xl/worksheets/sheet4.xml" Id="Rff742ada5f004a12" /><Relationship Type="http://schemas.openxmlformats.org/officeDocument/2006/relationships/worksheet" Target="/xl/worksheets/sheet5.xml" Id="Rd2c5206b44b44582" /><Relationship Type="http://schemas.openxmlformats.org/officeDocument/2006/relationships/worksheet" Target="/xl/worksheets/sheet6.xml" Id="R74531bca780143a8" /><Relationship Type="http://schemas.openxmlformats.org/officeDocument/2006/relationships/worksheet" Target="/xl/worksheets/sheet7.xml" Id="Raa4afb533af04139" /><Relationship Type="http://schemas.openxmlformats.org/officeDocument/2006/relationships/worksheet" Target="/xl/worksheets/sheet8.xml" Id="R1f0ab12ad6e74b54" /><Relationship Type="http://schemas.openxmlformats.org/officeDocument/2006/relationships/worksheet" Target="/xl/worksheets/sheet9.xml" Id="R452ca637987c4def" /><Relationship Type="http://schemas.openxmlformats.org/officeDocument/2006/relationships/worksheet" Target="/xl/worksheets/sheet10.xml" Id="R4bbda00e3f1143af" /><Relationship Type="http://schemas.openxmlformats.org/officeDocument/2006/relationships/worksheet" Target="/xl/worksheets/sheet11.xml" Id="R9586bff720bd4447" /><Relationship Type="http://schemas.openxmlformats.org/officeDocument/2006/relationships/worksheet" Target="/xl/worksheets/sheet12.xml" Id="Rf586aa766dbe459d" /><Relationship Type="http://schemas.openxmlformats.org/officeDocument/2006/relationships/worksheet" Target="/xl/worksheets/sheet13.xml" Id="Rc8580a5ab13c46f8" /><Relationship Type="http://schemas.openxmlformats.org/officeDocument/2006/relationships/worksheet" Target="/xl/worksheets/sheet14.xml" Id="R9633e1333b2e496e" /><Relationship Type="http://schemas.openxmlformats.org/officeDocument/2006/relationships/worksheet" Target="/xl/worksheets/sheet15.xml" Id="R92f89dfc441a4fe4" /><Relationship Type="http://schemas.openxmlformats.org/officeDocument/2006/relationships/worksheet" Target="/xl/worksheets/sheet16.xml" Id="Ra80678d9bbcd483e" /><Relationship Type="http://schemas.openxmlformats.org/officeDocument/2006/relationships/worksheet" Target="/xl/worksheets/sheet17.xml" Id="Re2f00523fb054e07" /><Relationship Type="http://schemas.openxmlformats.org/officeDocument/2006/relationships/worksheet" Target="/xl/worksheets/sheet18.xml" Id="Ra02d87c3a6414e4d" /><Relationship Type="http://schemas.openxmlformats.org/officeDocument/2006/relationships/worksheet" Target="/xl/worksheets/sheet19.xml" Id="R1ec1bd9daa834132" /><Relationship Type="http://schemas.openxmlformats.org/officeDocument/2006/relationships/worksheet" Target="/xl/worksheets/sheet20.xml" Id="R9dbb4dcdbe1841ef" /><Relationship Type="http://schemas.openxmlformats.org/officeDocument/2006/relationships/worksheet" Target="/xl/worksheets/sheet21.xml" Id="R0da7c64147cf455d" /><Relationship Type="http://schemas.openxmlformats.org/officeDocument/2006/relationships/worksheet" Target="/xl/worksheets/sheet22.xml" Id="Re4b65c8c0ec94802" /><Relationship Type="http://schemas.openxmlformats.org/officeDocument/2006/relationships/worksheet" Target="/xl/worksheets/sheet23.xml" Id="R1926c0c925df4ecc" /><Relationship Type="http://schemas.openxmlformats.org/officeDocument/2006/relationships/worksheet" Target="/xl/worksheets/sheet24.xml" Id="R822a8265203746d4" /><Relationship Type="http://schemas.openxmlformats.org/officeDocument/2006/relationships/worksheet" Target="/xl/worksheets/sheet25.xml" Id="R0f5c39673993465d" /><Relationship Type="http://schemas.openxmlformats.org/officeDocument/2006/relationships/worksheet" Target="/xl/worksheets/sheet26.xml" Id="Rf645de5886b94aba" /><Relationship Type="http://schemas.openxmlformats.org/officeDocument/2006/relationships/worksheet" Target="/xl/worksheets/sheet27.xml" Id="Rc0d1fc9f10ec4259" /><Relationship Type="http://schemas.openxmlformats.org/officeDocument/2006/relationships/worksheet" Target="/xl/worksheets/sheet28.xml" Id="Rb5b1229d298d49dd" /><Relationship Type="http://schemas.openxmlformats.org/officeDocument/2006/relationships/worksheet" Target="/xl/worksheets/sheet29.xml" Id="Raf5f01c19fa44619" /><Relationship Type="http://schemas.openxmlformats.org/officeDocument/2006/relationships/worksheet" Target="/xl/worksheets/sheet30.xml" Id="R674e7380258d4569" /><Relationship Type="http://schemas.openxmlformats.org/officeDocument/2006/relationships/worksheet" Target="/xl/worksheets/sheet31.xml" Id="R8795167270b34fd0" /><Relationship Type="http://schemas.openxmlformats.org/officeDocument/2006/relationships/worksheet" Target="/xl/worksheets/sheet32.xml" Id="R710b1230419f4c02" /><Relationship Type="http://schemas.openxmlformats.org/officeDocument/2006/relationships/worksheet" Target="/xl/worksheets/sheet33.xml" Id="Rf084457bc59b4a3f" /><Relationship Type="http://schemas.openxmlformats.org/officeDocument/2006/relationships/worksheet" Target="/xl/worksheets/sheet34.xml" Id="Rf918cea9b9464fd5" /><Relationship Type="http://schemas.openxmlformats.org/officeDocument/2006/relationships/worksheet" Target="/xl/worksheets/sheet35.xml" Id="R99146755689d44d1" /><Relationship Type="http://schemas.openxmlformats.org/officeDocument/2006/relationships/worksheet" Target="/xl/worksheets/sheet36.xml" Id="R3d570c24742741d3" /><Relationship Type="http://schemas.openxmlformats.org/officeDocument/2006/relationships/worksheet" Target="/xl/worksheets/sheet37.xml" Id="R982095ec5d904bbb" /><Relationship Type="http://schemas.openxmlformats.org/officeDocument/2006/relationships/worksheet" Target="/xl/worksheets/sheet38.xml" Id="Rac4a0d8a0dfb467e" /><Relationship Type="http://schemas.openxmlformats.org/officeDocument/2006/relationships/worksheet" Target="/xl/worksheets/sheet39.xml" Id="R0e15758fc7db48fc" /><Relationship Type="http://schemas.openxmlformats.org/officeDocument/2006/relationships/worksheet" Target="/xl/worksheets/sheet40.xml" Id="Rc784025039674b1c" /><Relationship Type="http://schemas.openxmlformats.org/officeDocument/2006/relationships/worksheet" Target="/xl/worksheets/sheet41.xml" Id="R053f7b16b24d4896" /><Relationship Type="http://schemas.openxmlformats.org/officeDocument/2006/relationships/worksheet" Target="/xl/worksheets/sheet42.xml" Id="R71727d8d1918457a" /><Relationship Type="http://schemas.openxmlformats.org/officeDocument/2006/relationships/worksheet" Target="/xl/worksheets/sheet43.xml" Id="R9300302d7ef64b50" /><Relationship Type="http://schemas.openxmlformats.org/officeDocument/2006/relationships/worksheet" Target="/xl/worksheets/sheet44.xml" Id="R577cb89b89984883" /><Relationship Type="http://schemas.openxmlformats.org/officeDocument/2006/relationships/worksheet" Target="/xl/worksheets/sheet45.xml" Id="R98f10d928ca24106" /><Relationship Type="http://schemas.openxmlformats.org/officeDocument/2006/relationships/worksheet" Target="/xl/worksheets/sheet46.xml" Id="Rd97dc8a4297f41e4" /><Relationship Type="http://schemas.openxmlformats.org/officeDocument/2006/relationships/worksheet" Target="/xl/worksheets/sheet47.xml" Id="R224295a6565d4eb4" /><Relationship Type="http://schemas.openxmlformats.org/officeDocument/2006/relationships/worksheet" Target="/xl/worksheets/sheet48.xml" Id="Rcb9c30f8da4e44c3" /><Relationship Type="http://schemas.openxmlformats.org/officeDocument/2006/relationships/worksheet" Target="/xl/worksheets/sheet49.xml" Id="R4cbcead7dc0f4f72" /><Relationship Type="http://schemas.openxmlformats.org/officeDocument/2006/relationships/worksheet" Target="/xl/worksheets/sheet50.xml" Id="Raff4c0fdb4b6489f" /><Relationship Type="http://schemas.openxmlformats.org/officeDocument/2006/relationships/worksheet" Target="/xl/worksheets/sheet51.xml" Id="Rc7bad6ca53d246c6" /><Relationship Type="http://schemas.openxmlformats.org/officeDocument/2006/relationships/worksheet" Target="/xl/worksheets/sheet52.xml" Id="R1992e23ff3b043d8" /><Relationship Type="http://schemas.openxmlformats.org/officeDocument/2006/relationships/worksheet" Target="/xl/worksheets/sheet53.xml" Id="Rd141808ec2d6428b" /><Relationship Type="http://schemas.openxmlformats.org/officeDocument/2006/relationships/worksheet" Target="/xl/worksheets/sheet54.xml" Id="R33635676f661439c" /><Relationship Type="http://schemas.openxmlformats.org/officeDocument/2006/relationships/worksheet" Target="/xl/worksheets/sheet55.xml" Id="R6dd7cd2b7ce045de" /><Relationship Type="http://schemas.openxmlformats.org/officeDocument/2006/relationships/worksheet" Target="/xl/worksheets/sheet56.xml" Id="Rb0de17ac7081413d" /><Relationship Type="http://schemas.openxmlformats.org/officeDocument/2006/relationships/worksheet" Target="/xl/worksheets/sheet57.xml" Id="R820c25a61b8a43f2" /><Relationship Type="http://schemas.openxmlformats.org/officeDocument/2006/relationships/worksheet" Target="/xl/worksheets/sheet58.xml" Id="Re09d7b0ba9e94563" /><Relationship Type="http://schemas.openxmlformats.org/officeDocument/2006/relationships/worksheet" Target="/xl/worksheets/sheet59.xml" Id="R3a8e7e4c0a854c2e" /></Relationships>
</file>

<file path=xl/drawings/_rels/drawing1.xml.rels>&#65279;<?xml version="1.0" encoding="utf-8"?><Relationships xmlns="http://schemas.openxmlformats.org/package/2006/relationships"><Relationship Type="http://schemas.openxmlformats.org/officeDocument/2006/relationships/chart" Target="/xl/drawings/charts/chart1.xml" Id="R0bd09278980a4031" /></Relationships>
</file>

<file path=xl/drawings/_rels/drawing2.xml.rels>&#65279;<?xml version="1.0" encoding="utf-8"?><Relationships xmlns="http://schemas.openxmlformats.org/package/2006/relationships"><Relationship Type="http://schemas.openxmlformats.org/officeDocument/2006/relationships/chart" Target="/xl/drawings/charts/chart2.xml" Id="Rd71e1ecd99794f92" /></Relationships>
</file>

<file path=xl/drawings/_rels/drawing3.xml.rels>&#65279;<?xml version="1.0" encoding="utf-8"?><Relationships xmlns="http://schemas.openxmlformats.org/package/2006/relationships"><Relationship Type="http://schemas.openxmlformats.org/officeDocument/2006/relationships/chart" Target="/xl/drawings/charts/chart3.xml" Id="R02b43c96335d4cb4" /></Relationships>
</file>

<file path=xl/drawings/_rels/drawing4.xml.rels>&#65279;<?xml version="1.0" encoding="utf-8"?><Relationships xmlns="http://schemas.openxmlformats.org/package/2006/relationships"><Relationship Type="http://schemas.openxmlformats.org/officeDocument/2006/relationships/chart" Target="/xl/drawings/charts/chart4.xml" Id="R8aa3633f01474ddb"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Weeks</c:v>
          </c:tx>
          <c:cat>
            <c:strRef>
              <c:f>'Delivery Stages'!$B$5:$B$17</c:f>
              <c:strCache>
                <c:ptCount val="0"/>
              </c:strCache>
            </c:strRef>
          </c:cat>
          <c:val>
            <c:numRef>
              <c:f>'Delivery Stages'!$D$5:$D$17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Effort by Stage</a:t>
            </a:r>
          </a:p>
        </c:rich>
      </c:tx>
      <c:overlay val="0"/>
    </c:title>
    <c:autoTitleDeleted val="0"/>
    <c:plotArea>
      <c:layout/>
      <c:barChart>
        <c:barDir val="col"/>
        <c:grouping val="clustered"/>
        <c:varyColors val="0"/>
        <c:ser>
          <c:idx val="0"/>
          <c:order val="0"/>
          <c:tx>
            <c:v>Stage name</c:v>
          </c:tx>
          <c:cat>
            <c:strRef>
              <c:f>'KPI Dashboard'!$D$5:$D$17</c:f>
              <c:strCache>
                <c:ptCount val="0"/>
              </c:strCache>
            </c:strRef>
          </c:cat>
          <c:val>
            <c:numRef>
              <c:f>'KPI Dashboard'!$E$5:$E$17</c:f>
              <c:numCache>
                <c:formatCode>General</c:formatCode>
                <c:ptCount val="0"/>
              </c:numCache>
            </c:numRef>
          </c:val>
        </c:ser>
        <c:ser>
          <c:idx val="1"/>
          <c:order val="1"/>
          <c:tx>
            <c:v>Effort PW</c:v>
          </c:tx>
          <c:cat>
            <c:strRef>
              <c:f>'KPI Dashboard'!$D$5:$D$17</c:f>
              <c:strCache>
                <c:ptCount val="0"/>
              </c:strCache>
            </c:strRef>
          </c:cat>
          <c:val>
            <c:numRef>
              <c:f>'KPI Dashboard'!$F$5:$F$17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Foundation Workplan Maturity</a:t>
            </a:r>
          </a:p>
        </c:rich>
      </c:tx>
      <c:overlay val="0"/>
    </c:title>
    <c:autoTitleDeleted val="0"/>
    <c:plotArea>
      <c:layout/>
      <c:barChart>
        <c:barDir val="col"/>
        <c:varyColors val="0"/>
        <c:ser>
          <c:idx val="0"/>
          <c:order val="0"/>
          <c:tx>
            <c:v>Readiness</c:v>
          </c:tx>
          <c:cat>
            <c:strRef>
              <c:f>'Foundation Dashboard'!$A$18:$A$20</c:f>
              <c:strCache>
                <c:ptCount val="0"/>
              </c:strCache>
            </c:strRef>
          </c:cat>
          <c:val>
            <c:numRef>
              <c:f>'Foundation Dashboard'!$B$18:$B$20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2–3 Readiness</a:t>
            </a:r>
          </a:p>
        </c:rich>
      </c:tx>
      <c:overlay val="0"/>
    </c:title>
    <c:autoTitleDeleted val="0"/>
    <c:plotArea>
      <c:layout/>
      <c:barChart>
        <c:barDir val="col"/>
        <c:varyColors val="0"/>
        <c:ser>
          <c:idx val="0"/>
          <c:order val="0"/>
          <c:tx>
            <c:v>Readiness %</c:v>
          </c:tx>
          <c:cat>
            <c:strRef>
              <c:f>'Stage 2-3 Dashboard'!$D$5:$D$8</c:f>
              <c:strCache>
                <c:ptCount val="0"/>
              </c:strCache>
            </c:strRef>
          </c:cat>
          <c:val>
            <c:numRef>
              <c:f>'Stage 2-3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3</xdr:row>
      <xdr:rowOff>0</xdr:rowOff>
    </xdr:from>
    <xdr:to>
      <xdr:col>24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d09278980a4031"/>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1e1ecd99794f92"/>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b43c96335d4cb4"/>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aa3633f01474ddb"/>
        </a:graphicData>
      </a:graphic>
    </xdr:graphicFrame>
    <xdr:clientData/>
  </xdr:twoCellAnchor>
</xdr:wsDr>
</file>

<file path=xl/tables/table1.xml><?xml version="1.0" encoding="utf-8"?>
<x:table xmlns:x="http://schemas.openxmlformats.org/spreadsheetml/2006/main" id="1" name="IndexTable" displayName="IndexTable" ref="A4:D18" headerRowCount="1">
  <x:tableColumns count="4">
    <x:tableColumn id="1" name="Workbook section"/>
    <x:tableColumn id="2" name="Purpose"/>
    <x:tableColumn id="3" name="Primary users"/>
    <x:tableColumn id="4" name="Status"/>
  </x:tableColumns>
  <x:tableStyleInfo name="TableStyleMedium2" showRowStripes="1"/>
</x:table>
</file>

<file path=xl/tables/table2.xml><?xml version="1.0" encoding="utf-8"?>
<x:table xmlns:x="http://schemas.openxmlformats.org/spreadsheetml/2006/main" id="2" name="CharterTable" displayName="CharterTable" ref="A4:B14" headerRowCount="1">
  <x:tableColumns count="2">
    <x:tableColumn id="1" name="Area"/>
    <x:tableColumn id="2" name="Content"/>
  </x:tableColumns>
  <x:tableStyleInfo name="TableStyleMedium2" showRowStripes="1"/>
</x:table>
</file>

<file path=xl/tables/table3.xml><?xml version="1.0" encoding="utf-8"?>
<x:table xmlns:x="http://schemas.openxmlformats.org/spreadsheetml/2006/main" id="3" name="MarketTable" displayName="MarketTable" ref="A4:H14" headerRowCount="1">
  <x:tableColumns count="8">
    <x:tableColumn id="1" name="Reference"/>
    <x:tableColumn id="2" name="Category"/>
    <x:tableColumn id="3" name="Relevant capabilities"/>
    <x:tableColumn id="4" name="Lesson for Nessovo"/>
    <x:tableColumn id="5" name="Gap vs Nessovo target"/>
    <x:tableColumn id="6" name="Build/Buy/Watch"/>
    <x:tableColumn id="7" name="Priority"/>
    <x:tableColumn id="8" name="Source URL"/>
  </x:tableColumns>
  <x:tableStyleInfo name="TableStyleMedium2" showRowStripes="1"/>
</x:table>
</file>

<file path=xl/tables/table4.xml><?xml version="1.0" encoding="utf-8"?>
<x:table xmlns:x="http://schemas.openxmlformats.org/spreadsheetml/2006/main" id="4" name="OSSScanTable" displayName="OSSScanTable" ref="A4:I13" headerRowCount="1">
  <x:tableColumns count="9">
    <x:tableColumn id="1" name="Repository"/>
    <x:tableColumn id="2" name="Category"/>
    <x:tableColumn id="3" name="Relevance"/>
    <x:tableColumn id="4" name="Useful patterns"/>
    <x:tableColumn id="5" name="Limitations / risk"/>
    <x:tableColumn id="6" name="Licence note"/>
    <x:tableColumn id="7" name="Adopt stance"/>
    <x:tableColumn id="8" name="Priority"/>
    <x:tableColumn id="9" name="Source URL"/>
  </x:tableColumns>
  <x:tableStyleInfo name="TableStyleMedium2" showRowStripes="1"/>
</x:table>
</file>

<file path=xl/tables/table5.xml><?xml version="1.0" encoding="utf-8"?>
<x:table xmlns:x="http://schemas.openxmlformats.org/spreadsheetml/2006/main" id="5" name="GapMatrixTable" displayName="GapMatrixTable" ref="A4:I16" headerRowCount="1">
  <x:tableColumns count="9">
    <x:tableColumn id="1" name="Capability"/>
    <x:tableColumn id="2" name="Employee monitoring"/>
    <x:tableColumn id="3" name="Task mining"/>
    <x:tableColumn id="4" name="Developer telemetry"/>
    <x:tableColumn id="5" name="AI-agent memory"/>
    <x:tableColumn id="6" name="Nessovo target"/>
    <x:tableColumn id="7" name="Differentiation note"/>
    <x:tableColumn id="8" name="Priority"/>
    <x:tableColumn id="9" name="MVP"/>
  </x:tableColumns>
  <x:tableStyleInfo name="TableStyleMedium2" showRowStripes="1"/>
</x:table>
</file>

<file path=xl/tables/table6.xml><?xml version="1.0" encoding="utf-8"?>
<x:table xmlns:x="http://schemas.openxmlformats.org/spreadsheetml/2006/main" id="6" name="DeliveryStagesTable" displayName="DeliveryStagesTable" ref="A4:N17" headerRowCount="1">
  <x:tableColumns count="14">
    <x:tableColumn id="1" name="Stage #"/>
    <x:tableColumn id="2" name="Stage"/>
    <x:tableColumn id="3" name="Objective"/>
    <x:tableColumn id="4" name="Duration weeks"/>
    <x:tableColumn id="5" name="Team size"/>
    <x:tableColumn id="6" name="Dependencies"/>
    <x:tableColumn id="7" name="Exit deliverables"/>
    <x:tableColumn id="8" name="Lead role"/>
    <x:tableColumn id="9" name="Status"/>
    <x:tableColumn id="10" name="Priority"/>
    <x:tableColumn id="11" name="Risk"/>
    <x:tableColumn id="12" name="Start date"/>
    <x:tableColumn id="13" name="End date"/>
    <x:tableColumn id="14" name="Effort PW"/>
  </x:tableColumns>
  <x:tableStyleInfo name="TableStyleMedium2" showRowStripes="1"/>
</x:table>
</file>

<file path=xl/tables/table7.xml><?xml version="1.0" encoding="utf-8"?>
<x:table xmlns:x="http://schemas.openxmlformats.org/spreadsheetml/2006/main" id="7" name="MicroservicesTable" displayName="MicroservicesTable" ref="A4:J19" headerRowCount="1">
  <x:tableColumns count="10">
    <x:tableColumn id="1" name="Service"/>
    <x:tableColumn id="2" name="Boundary / responsibility"/>
    <x:tableColumn id="3" name="Primary runtime"/>
    <x:tableColumn id="4" name="Data store"/>
    <x:tableColumn id="5" name="Consumes"/>
    <x:tableColumn id="6" name="Publishes"/>
    <x:tableColumn id="7" name="MVP"/>
    <x:tableColumn id="8" name="Owner"/>
    <x:tableColumn id="9" name="Notes / dependencies"/>
    <x:tableColumn id="10" name="Source / reference"/>
  </x:tableColumns>
  <x:tableStyleInfo name="TableStyleMedium2" showRowStripes="1"/>
</x:table>
</file>

<file path=xl/tables/table8.xml><?xml version="1.0" encoding="utf-8"?>
<x:table xmlns:x="http://schemas.openxmlformats.org/spreadsheetml/2006/main" id="8" name="MVPBacklogTable" displayName="MVPBacklogTable" ref="A4:K24" headerRowCount="1">
  <x:tableColumns count="11">
    <x:tableColumn id="1" name="Epic ID"/>
    <x:tableColumn id="2" name="Epic"/>
    <x:tableColumn id="3" name="Feature / user story"/>
    <x:tableColumn id="4" name="Stage"/>
    <x:tableColumn id="5" name="Owner"/>
    <x:tableColumn id="6" name="Priority"/>
    <x:tableColumn id="7" name="Status"/>
    <x:tableColumn id="8" name="Effort pts"/>
    <x:tableColumn id="9" name="Acceptance criteria"/>
    <x:tableColumn id="10" name="Dependencies"/>
    <x:tableColumn id="11" name="Notes"/>
  </x:tableColumns>
  <x:tableStyleInfo name="TableStyleMedium2" showRowStripes="1"/>
</x:table>
</file>

<file path=xl/tables/table9.xml><?xml version="1.0" encoding="utf-8"?>
<x:table xmlns:x="http://schemas.openxmlformats.org/spreadsheetml/2006/main" id="9" name="EventModelTable" displayName="EventModelTable" ref="A4:I17" headerRowCount="1">
  <x:tableColumns count="9">
    <x:tableColumn id="1" name="Model area"/>
    <x:tableColumn id="2" name="Entity/Event"/>
    <x:tableColumn id="3" name="Purpose"/>
    <x:tableColumn id="4" name="Key fields"/>
    <x:tableColumn id="5" name="Producer"/>
    <x:tableColumn id="6" name="Consumer"/>
    <x:tableColumn id="7" name="MVP"/>
    <x:tableColumn id="8" name="Notes"/>
    <x:tableColumn id="9" name="Source/ref"/>
  </x:tableColumns>
  <x:tableStyleInfo name="TableStyleMedium2" showRowStripes="1"/>
</x:table>
</file>

<file path=xl/tables/table10.xml><?xml version="1.0" encoding="utf-8"?>
<x:table xmlns:x="http://schemas.openxmlformats.org/spreadsheetml/2006/main" id="10" name="CapabilityLevelsTable" displayName="CapabilityLevelsTable" ref="A4:F10" headerRowCount="1">
  <x:tableColumns count="6">
    <x:tableColumn id="1" name="Level"/>
    <x:tableColumn id="2" name="Name"/>
    <x:tableColumn id="3" name="Meaning"/>
    <x:tableColumn id="4" name="Evidence examples"/>
    <x:tableColumn id="5" name="Manager interpretation"/>
    <x:tableColumn id="6" name="Employee experience"/>
  </x:tableColumns>
  <x:tableStyleInfo name="TableStyleMedium2" showRowStripes="1"/>
</x:table>
</file>

<file path=xl/tables/table11.xml><?xml version="1.0" encoding="utf-8"?>
<x:table xmlns:x="http://schemas.openxmlformats.org/spreadsheetml/2006/main" id="11" name="AILoopsTable" displayName="AILoopsTable" ref="A13:E17" headerRowCount="1">
  <x:tableColumns count="5">
    <x:tableColumn id="1" name="Loop"/>
    <x:tableColumn id="2" name="Input"/>
    <x:tableColumn id="3" name="AI action"/>
    <x:tableColumn id="4" name="Human control"/>
    <x:tableColumn id="5" name="Output"/>
  </x:tableColumns>
  <x:tableStyleInfo name="TableStyleMedium2" showRowStripes="1"/>
</x:table>
</file>

<file path=xl/tables/table12.xml><?xml version="1.0" encoding="utf-8"?>
<x:table xmlns:x="http://schemas.openxmlformats.org/spreadsheetml/2006/main" id="12" name="EvaluatorsTable" displayName="EvaluatorsTable" ref="A20:F26" headerRowCount="1">
  <x:tableColumns count="6">
    <x:tableColumn id="1" name="Evaluator"/>
    <x:tableColumn id="2" name="Purpose"/>
    <x:tableColumn id="3" name="Runtime"/>
    <x:tableColumn id="4" name="Inputs"/>
    <x:tableColumn id="5" name="Outputs"/>
    <x:tableColumn id="6" name="MVP"/>
  </x:tableColumns>
  <x:tableStyleInfo name="TableStyleMedium2" showRowStripes="1"/>
</x:table>
</file>

<file path=xl/tables/table13.xml><?xml version="1.0" encoding="utf-8"?>
<x:table xmlns:x="http://schemas.openxmlformats.org/spreadsheetml/2006/main" id="13" name="GovernanceTable" displayName="GovernanceTable" ref="A4:I14" headerRowCount="1">
  <x:tableColumns count="9">
    <x:tableColumn id="1" name="Control area"/>
    <x:tableColumn id="2" name="Requirement"/>
    <x:tableColumn id="3" name="Implementation"/>
    <x:tableColumn id="4" name="Owner"/>
    <x:tableColumn id="5" name="MVP"/>
    <x:tableColumn id="6" name="Evidence"/>
    <x:tableColumn id="7" name="Risk reduced"/>
    <x:tableColumn id="8" name="Source URL"/>
    <x:tableColumn id="9" name="Notes"/>
  </x:tableColumns>
  <x:tableStyleInfo name="TableStyleMedium2" showRowStripes="1"/>
</x:table>
</file>

<file path=xl/tables/table14.xml><?xml version="1.0" encoding="utf-8"?>
<x:table xmlns:x="http://schemas.openxmlformats.org/spreadsheetml/2006/main" id="14" name="RiskRegisterTable" displayName="RiskRegisterTable" ref="A4:J16" headerRowCount="1">
  <x:tableColumns count="10">
    <x:tableColumn id="1" name="Risk ID"/>
    <x:tableColumn id="2" name="Risk"/>
    <x:tableColumn id="3" name="Category"/>
    <x:tableColumn id="4" name="Likelihood"/>
    <x:tableColumn id="5" name="Impact"/>
    <x:tableColumn id="6" name="Score"/>
    <x:tableColumn id="7" name="Mitigation"/>
    <x:tableColumn id="8" name="Owner"/>
    <x:tableColumn id="9" name="Stage"/>
    <x:tableColumn id="10" name="Status"/>
  </x:tableColumns>
  <x:tableStyleInfo name="TableStyleMedium2" showRowStripes="1"/>
</x:table>
</file>

<file path=xl/tables/table15.xml><?xml version="1.0" encoding="utf-8"?>
<x:table xmlns:x="http://schemas.openxmlformats.org/spreadsheetml/2006/main" id="15" name="KPIDashboardTable" displayName="KPIDashboardTable" ref="A4:C12" headerRowCount="1">
  <x:tableColumns count="3">
    <x:tableColumn id="1" name="Metric"/>
    <x:tableColumn id="2" name="Formula / Value"/>
    <x:tableColumn id="3" name="Interpretation"/>
  </x:tableColumns>
  <x:tableStyleInfo name="TableStyleMedium2" showRowStripes="1"/>
</x:table>
</file>

<file path=xl/tables/table16.xml><?xml version="1.0" encoding="utf-8"?>
<x:table xmlns:x="http://schemas.openxmlformats.org/spreadsheetml/2006/main" id="16" name="SourceRegisterTable" displayName="SourceRegisterTable" ref="A4:F31" headerRowCount="1">
  <x:tableColumns count="6">
    <x:tableColumn id="1" name="Source"/>
    <x:tableColumn id="2" name="Type"/>
    <x:tableColumn id="3" name="Supports"/>
    <x:tableColumn id="4" name="Source URL"/>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f71482753eb40f2" /></Relationships>
</file>

<file path=xl/worksheets/_rels/sheet2.xml.rels>&#65279;<?xml version="1.0" encoding="utf-8"?><Relationships xmlns="http://schemas.openxmlformats.org/package/2006/relationships"><Relationship Type="http://schemas.openxmlformats.org/officeDocument/2006/relationships/table" Target="/xl/tables/table2.xml" Id="R487ff01e4bda4a02" /></Relationships>
</file>

<file path=xl/worksheets/_rels/sheet3.xml.rels>&#65279;<?xml version="1.0" encoding="utf-8"?><Relationships xmlns="http://schemas.openxmlformats.org/package/2006/relationships"><Relationship Type="http://schemas.openxmlformats.org/officeDocument/2006/relationships/table" Target="/xl/tables/table3.xml" Id="R726fb954f762492d" /></Relationships>
</file>

<file path=xl/worksheets/_rels/sheet4.xml.rels>&#65279;<?xml version="1.0" encoding="utf-8"?><Relationships xmlns="http://schemas.openxmlformats.org/package/2006/relationships"><Relationship Type="http://schemas.openxmlformats.org/officeDocument/2006/relationships/table" Target="/xl/tables/table4.xml" Id="Rbbd0a0a9516c4ecf" /></Relationships>
</file>

<file path=xl/worksheets/_rels/sheet5.xml.rels>&#65279;<?xml version="1.0" encoding="utf-8"?><Relationships xmlns="http://schemas.openxmlformats.org/package/2006/relationships"><Relationship Type="http://schemas.openxmlformats.org/officeDocument/2006/relationships/table" Target="/xl/tables/table5.xml" Id="Rff302c42d10c4734" /></Relationships>
</file>

<file path=xl/worksheets/_rels/sheet6.xml.rels>&#65279;<?xml version="1.0" encoding="utf-8"?><Relationships xmlns="http://schemas.openxmlformats.org/package/2006/relationships"><Relationship Type="http://schemas.openxmlformats.org/officeDocument/2006/relationships/drawing" Target="/xl/drawings/drawing1.xml" Id="R0209ca210a3c4029" /><Relationship Type="http://schemas.openxmlformats.org/officeDocument/2006/relationships/table" Target="/xl/tables/table6.xml" Id="R0e6208acba8d4d23" /></Relationships>
</file>

<file path=xl/worksheets/_rels/sheet7.xml.rels>&#65279;<?xml version="1.0" encoding="utf-8"?><Relationships xmlns="http://schemas.openxmlformats.org/package/2006/relationships"><Relationship Type="http://schemas.openxmlformats.org/officeDocument/2006/relationships/table" Target="/xl/tables/table7.xml" Id="Rae83038d914d47b1" /></Relationships>
</file>

<file path=xl/worksheets/_rels/sheet8.xml.rels>&#65279;<?xml version="1.0" encoding="utf-8"?><Relationships xmlns="http://schemas.openxmlformats.org/package/2006/relationships"><Relationship Type="http://schemas.openxmlformats.org/officeDocument/2006/relationships/table" Target="/xl/tables/table8.xml" Id="R95f831efb1ea4250" /></Relationships>
</file>

<file path=xl/worksheets/_rels/sheet9.xml.rels>&#65279;<?xml version="1.0" encoding="utf-8"?><Relationships xmlns="http://schemas.openxmlformats.org/package/2006/relationships"><Relationship Type="http://schemas.openxmlformats.org/officeDocument/2006/relationships/table" Target="/xl/tables/table9.xml" Id="R968863e772bf4812" /></Relationships>
</file>

<file path=xl/worksheets/_rels/sheet10.xml.rels>&#65279;<?xml version="1.0" encoding="utf-8"?><Relationships xmlns="http://schemas.openxmlformats.org/package/2006/relationships"><Relationship Type="http://schemas.openxmlformats.org/officeDocument/2006/relationships/table" Target="/xl/tables/table10.xml" Id="Ra228e9e9aab44ef2" /><Relationship Type="http://schemas.openxmlformats.org/officeDocument/2006/relationships/table" Target="/xl/tables/table11.xml" Id="R2b4644048cc740c8" /><Relationship Type="http://schemas.openxmlformats.org/officeDocument/2006/relationships/table" Target="/xl/tables/table12.xml" Id="Rfc652d63b4c94622" /></Relationships>
</file>

<file path=xl/worksheets/_rels/sheet11.xml.rels>&#65279;<?xml version="1.0" encoding="utf-8"?><Relationships xmlns="http://schemas.openxmlformats.org/package/2006/relationships"><Relationship Type="http://schemas.openxmlformats.org/officeDocument/2006/relationships/table" Target="/xl/tables/table13.xml" Id="R268bf47522904682" /></Relationships>
</file>

<file path=xl/worksheets/_rels/sheet12.xml.rels>&#65279;<?xml version="1.0" encoding="utf-8"?><Relationships xmlns="http://schemas.openxmlformats.org/package/2006/relationships"><Relationship Type="http://schemas.openxmlformats.org/officeDocument/2006/relationships/table" Target="/xl/tables/table14.xml" Id="R47b38d8724e84d60" /></Relationships>
</file>

<file path=xl/worksheets/_rels/sheet13.xml.rels>&#65279;<?xml version="1.0" encoding="utf-8"?><Relationships xmlns="http://schemas.openxmlformats.org/package/2006/relationships"><Relationship Type="http://schemas.openxmlformats.org/officeDocument/2006/relationships/drawing" Target="/xl/drawings/drawing2.xml" Id="R02ce336f6c8840ae" /><Relationship Type="http://schemas.openxmlformats.org/officeDocument/2006/relationships/table" Target="/xl/tables/table15.xml" Id="Re7ca187c3cde4b26" /></Relationships>
</file>

<file path=xl/worksheets/_rels/sheet14.xml.rels>&#65279;<?xml version="1.0" encoding="utf-8"?><Relationships xmlns="http://schemas.openxmlformats.org/package/2006/relationships"><Relationship Type="http://schemas.openxmlformats.org/officeDocument/2006/relationships/table" Target="/xl/tables/table16.xml" Id="Rb995ab2f09484015" /></Relationships>
</file>

<file path=xl/worksheets/_rels/sheet16.xml.rels>&#65279;<?xml version="1.0" encoding="utf-8"?><Relationships xmlns="http://schemas.openxmlformats.org/package/2006/relationships"><Relationship Type="http://schemas.openxmlformats.org/officeDocument/2006/relationships/drawing" Target="/xl/drawings/drawing3.xml" Id="R57e8ae2278a54a22" /></Relationships>
</file>

<file path=xl/worksheets/_rels/sheet28.xml.rels>&#65279;<?xml version="1.0" encoding="utf-8"?><Relationships xmlns="http://schemas.openxmlformats.org/package/2006/relationships"><Relationship Type="http://schemas.openxmlformats.org/officeDocument/2006/relationships/drawing" Target="/xl/drawings/drawing4.xml" Id="Rb3a11da6fd1e4ccb" /></Relationships>
</file>

<file path=xl/worksheets/sheet1.xml><?xml version="1.0" encoding="utf-8"?>
<x:worksheet xmlns:x="http://schemas.openxmlformats.org/spreadsheetml/2006/main">
  <x:sheetFormatPr defaultRowHeight="15"/>
  <x:cols>
    <x:col min="1" max="1" width="32" hidden="0" customWidth="1"/>
    <x:col min="2" max="2" width="50" hidden="0" customWidth="1"/>
    <x:col min="3" max="3" width="28" hidden="0" customWidth="1"/>
    <x:col min="4" max="4" width="10" hidden="0" customWidth="1"/>
    <x:col min="6" max="6" width="30" hidden="0" customWidth="1"/>
    <x:col min="7" max="7" width="34" hidden="0" customWidth="1"/>
    <x:col min="8" max="8" width="24" hidden="0" customWidth="1"/>
    <x:col min="9" max="9" width="18" hidden="0" customWidth="1"/>
    <x:col min="10" max="10" width="18" hidden="0" customWidth="1"/>
    <x:col min="5" max="5" width="24" hidden="0" customWidth="1"/>
  </x:cols>
  <x:sheetData>
    <x:row r="1" ht="30" customHeight="1">
      <x:c r="A1" s="407" t="str">
        <x:v>Nessovo HumanOS Work Intelligence — Programme Workbook</x:v>
      </x:c>
      <x:c r="B1" s="407"/>
      <x:c r="C1" s="407"/>
      <x:c r="D1" s="407"/>
      <x:c r="E1" s="407"/>
      <x:c r="F1" s="407"/>
      <x:c r="G1" s="407"/>
      <x:c r="H1" s="407"/>
      <x:c r="I1" s="64"/>
      <x:c r="J1" s="64"/>
      <x:c r="K1" s="65"/>
      <x:c r="L1" s="65"/>
      <x:c r="M1" s="65"/>
      <x:c r="N1" s="65"/>
      <x:c r="O1" s="65"/>
      <x:c r="P1" s="65"/>
      <x:c r="Q1" s="65"/>
      <x:c r="R1" s="65"/>
      <x:c r="S1" s="65"/>
      <x:c r="T1" s="65"/>
      <x:c r="U1" s="65"/>
      <x:c r="V1" s="65"/>
      <x:c r="W1" s="65"/>
      <x:c r="X1" s="65"/>
      <x:c r="Y1" s="65"/>
      <x:c r="Z1" s="65"/>
    </x:row>
    <x:row r="2" ht="36" customHeight="1">
      <x:c r="A2" s="408" t="str">
        <x:v>Stage 0–3 workbook. Stages 2 and 3 now contain implementation-ready specifications; Stages 4 and 5 prompts are prepared for the next execution pass.</x:v>
      </x:c>
      <x:c r="B2" s="408"/>
      <x:c r="C2" s="408"/>
      <x:c r="D2" s="408"/>
      <x:c r="E2" s="408"/>
      <x:c r="F2" s="408"/>
      <x:c r="G2" s="408"/>
      <x:c r="H2" s="40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0" customHeight="1">
      <x:c r="A4" s="376" t="str">
        <x:v>Workbook section</x:v>
      </x:c>
      <x:c r="B4" s="377" t="str">
        <x:v>Purpose</x:v>
      </x:c>
      <x:c r="C4" s="377" t="str">
        <x:v>Primary users</x:v>
      </x:c>
      <x:c r="D4" s="377" t="str">
        <x:v>Stage</x:v>
      </x:c>
      <x:c r="E4" s="377" t="str">
        <x:v>Current state</x:v>
      </x:c>
      <x:c r="F4" s="377" t="str">
        <x:v>Approval state</x:v>
      </x:c>
      <x:c r="G4" s="377" t="str">
        <x:v>Next action</x:v>
      </x:c>
      <x:c r="H4" s="378" t="str">
        <x:v>Notes</x:v>
      </x:c>
      <x:c r="I4" s="51" t="str"/>
      <x:c r="J4" s="51" t="str"/>
      <x:c r="K4" s="47"/>
      <x:c r="L4" s="47"/>
      <x:c r="M4" s="47"/>
      <x:c r="N4" s="47"/>
      <x:c r="O4" s="47"/>
      <x:c r="P4" s="47"/>
      <x:c r="Q4" s="47"/>
      <x:c r="R4" s="47"/>
      <x:c r="S4" s="47"/>
      <x:c r="T4" s="47"/>
      <x:c r="U4" s="47"/>
      <x:c r="V4" s="47"/>
      <x:c r="W4" s="47"/>
      <x:c r="X4" s="47"/>
      <x:c r="Y4" s="47"/>
      <x:c r="Z4" s="47"/>
    </x:row>
    <x:row r="5">
      <x:c r="A5" s="391" t="str">
        <x:v>Foundation Dashboard</x:v>
      </x:c>
      <x:c r="B5" s="392" t="str">
        <x:v>Stage 0–1 readiness, blockers and decisions.</x:v>
      </x:c>
      <x:c r="C5" s="392" t="str">
        <x:v>Leadership</x:v>
      </x:c>
      <x:c r="D5" s="392" t="str">
        <x:v>0–1</x:v>
      </x:c>
      <x:c r="E5" s="392" t="str">
        <x:v>Complete</x:v>
      </x:c>
      <x:c r="F5" s="413" t="str">
        <x:v>Gates pending</x:v>
      </x:c>
      <x:c r="G5" s="413" t="str">
        <x:v>Resolve formal Stage 0–1 approvals.</x:v>
      </x:c>
      <x:c r="H5" s="414" t="str"/>
      <x:c r="I5" s="48" t="str"/>
      <x:c r="J5" s="48" t="str"/>
      <x:c r="K5" s="47"/>
      <x:c r="L5" s="47"/>
      <x:c r="M5" s="47"/>
      <x:c r="N5" s="47"/>
      <x:c r="O5" s="47"/>
      <x:c r="P5" s="47"/>
      <x:c r="Q5" s="47"/>
      <x:c r="R5" s="47"/>
      <x:c r="S5" s="47"/>
      <x:c r="T5" s="47"/>
      <x:c r="U5" s="47"/>
      <x:c r="V5" s="47"/>
      <x:c r="W5" s="47"/>
      <x:c r="X5" s="47"/>
      <x:c r="Y5" s="47"/>
      <x:c r="Z5" s="47"/>
    </x:row>
    <x:row r="6">
      <x:c r="A6" s="430" t="str">
        <x:v>Stage 2-3 Dashboard</x:v>
      </x:c>
      <x:c r="B6" s="431" t="str">
        <x:v>Stage 2 and 3 readiness, backlog maturity, sources and interpretation.</x:v>
      </x:c>
      <x:c r="C6" s="431" t="str">
        <x:v>Leadership/Programme</x:v>
      </x:c>
      <x:c r="D6" s="431" t="str">
        <x:v>2–3</x:v>
      </x:c>
      <x:c r="E6" s="431" t="str">
        <x:v>Complete</x:v>
      </x:c>
      <x:c r="F6" s="431" t="str">
        <x:v>Gates pending</x:v>
      </x:c>
      <x:c r="G6" s="431" t="str">
        <x:v>Review Stage 2–3 gate items.</x:v>
      </x:c>
      <x:c r="H6" s="432" t="str"/>
      <x:c r="I6" s="48" t="str"/>
      <x:c r="J6" s="48" t="str"/>
      <x:c r="K6" s="47"/>
      <x:c r="L6" s="47"/>
      <x:c r="M6" s="47"/>
      <x:c r="N6" s="47"/>
      <x:c r="O6" s="47"/>
      <x:c r="P6" s="47"/>
      <x:c r="Q6" s="47"/>
      <x:c r="R6" s="47"/>
      <x:c r="S6" s="47"/>
      <x:c r="T6" s="47"/>
      <x:c r="U6" s="47"/>
      <x:c r="V6" s="47"/>
      <x:c r="W6" s="47"/>
      <x:c r="X6" s="47"/>
      <x:c r="Y6" s="47"/>
      <x:c r="Z6" s="47"/>
    </x:row>
    <x:row r="7">
      <x:c r="A7" s="394" t="str">
        <x:v>Master Prompts</x:v>
      </x:c>
      <x:c r="B7" s="200" t="str">
        <x:v>Applied and next-stage prompts including Stages 4 and 5.</x:v>
      </x:c>
      <x:c r="C7" s="200" t="str">
        <x:v>Programme/Product/Architecture</x:v>
      </x:c>
      <x:c r="D7" s="200" t="str">
        <x:v>0–5</x:v>
      </x:c>
      <x:c r="E7" s="200" t="str">
        <x:v>Updated</x:v>
      </x:c>
      <x:c r="F7" s="185" t="str">
        <x:v>N/A</x:v>
      </x:c>
      <x:c r="G7" s="185" t="str">
        <x:v>Use prompts for next stages.</x:v>
      </x:c>
      <x:c r="H7" s="417" t="str"/>
      <x:c r="I7" s="48" t="str"/>
      <x:c r="J7" s="48" t="str"/>
      <x:c r="K7" s="47"/>
      <x:c r="L7" s="47"/>
      <x:c r="M7" s="47"/>
      <x:c r="N7" s="47"/>
      <x:c r="O7" s="47"/>
      <x:c r="P7" s="47"/>
      <x:c r="Q7" s="47"/>
      <x:c r="R7" s="47"/>
      <x:c r="S7" s="47"/>
      <x:c r="T7" s="47"/>
      <x:c r="U7" s="47"/>
      <x:c r="V7" s="47"/>
      <x:c r="W7" s="47"/>
      <x:c r="X7" s="47"/>
      <x:c r="Y7" s="47"/>
      <x:c r="Z7" s="47"/>
    </x:row>
    <x:row r="8">
      <x:c r="A8" s="430" t="str">
        <x:v>Executive Charter</x:v>
      </x:c>
      <x:c r="B8" s="431" t="str">
        <x:v>Concise executive decision summary.</x:v>
      </x:c>
      <x:c r="C8" s="431" t="str">
        <x:v>Leadership</x:v>
      </x:c>
      <x:c r="D8" s="431" t="str">
        <x:v>0–3</x:v>
      </x:c>
      <x:c r="E8" s="431" t="str">
        <x:v>Updated</x:v>
      </x:c>
      <x:c r="F8" s="431" t="str">
        <x:v>Leadership approval pending</x:v>
      </x:c>
      <x:c r="G8" s="431" t="str">
        <x:v>Use with dashboards.</x:v>
      </x:c>
      <x:c r="H8" s="432" t="str"/>
      <x:c r="I8" s="48" t="str"/>
      <x:c r="J8" s="48" t="str"/>
      <x:c r="K8" s="47"/>
      <x:c r="L8" s="47"/>
      <x:c r="M8" s="47"/>
      <x:c r="N8" s="47"/>
      <x:c r="O8" s="47"/>
      <x:c r="P8" s="47"/>
      <x:c r="Q8" s="47"/>
      <x:c r="R8" s="47"/>
      <x:c r="S8" s="47"/>
      <x:c r="T8" s="47"/>
      <x:c r="U8" s="47"/>
      <x:c r="V8" s="47"/>
      <x:c r="W8" s="47"/>
      <x:c r="X8" s="47"/>
      <x:c r="Y8" s="47"/>
      <x:c r="Z8" s="47"/>
    </x:row>
    <x:row r="9">
      <x:c r="A9" s="394" t="str">
        <x:v>Delivery Stages</x:v>
      </x:c>
      <x:c r="B9" s="200" t="str">
        <x:v>13-stage roadmap and current stage statuses.</x:v>
      </x:c>
      <x:c r="C9" s="200" t="str">
        <x:v>Programme</x:v>
      </x:c>
      <x:c r="D9" s="200" t="str">
        <x:v>All</x:v>
      </x:c>
      <x:c r="E9" s="200" t="str">
        <x:v>Updated</x:v>
      </x:c>
      <x:c r="F9" s="185" t="str">
        <x:v>Pending leadership approval</x:v>
      </x:c>
      <x:c r="G9" s="185" t="str">
        <x:v>Mobilise Stage 4–5 after gates.</x:v>
      </x:c>
      <x:c r="H9" s="417" t="str"/>
      <x:c r="I9" s="48" t="str"/>
      <x:c r="J9" s="48" t="str"/>
      <x:c r="K9" s="47"/>
      <x:c r="L9" s="47"/>
      <x:c r="M9" s="47"/>
      <x:c r="N9" s="47"/>
      <x:c r="O9" s="47"/>
      <x:c r="P9" s="47"/>
      <x:c r="Q9" s="47"/>
      <x:c r="R9" s="47"/>
      <x:c r="S9" s="47"/>
      <x:c r="T9" s="47"/>
      <x:c r="U9" s="47"/>
      <x:c r="V9" s="47"/>
      <x:c r="W9" s="47"/>
      <x:c r="X9" s="47"/>
      <x:c r="Y9" s="47"/>
      <x:c r="Z9" s="47"/>
    </x:row>
    <x:row r="10">
      <x:c r="A10" s="430" t="str">
        <x:v>Product Charter v1</x:v>
      </x:c>
      <x:c r="B10" s="431" t="str">
        <x:v>Strategic purpose, principles and scope.</x:v>
      </x:c>
      <x:c r="C10" s="431" t="str">
        <x:v>CEO/CTO/Product</x:v>
      </x:c>
      <x:c r="D10" s="431" t="str">
        <x:v>0</x:v>
      </x:c>
      <x:c r="E10" s="431" t="str">
        <x:v>Draft complete</x:v>
      </x:c>
      <x:c r="F10" s="431" t="str">
        <x:v>Stage 0 approval pending</x:v>
      </x:c>
      <x:c r="G10" s="431" t="str">
        <x:v>Approve or condition.</x:v>
      </x:c>
      <x:c r="H10" s="432" t="str"/>
      <x:c r="I10" s="50"/>
      <x:c r="J10" s="50"/>
      <x:c r="K10" s="47"/>
      <x:c r="L10" s="47"/>
      <x:c r="M10" s="47"/>
      <x:c r="N10" s="47"/>
      <x:c r="O10" s="47"/>
      <x:c r="P10" s="47"/>
      <x:c r="Q10" s="47"/>
      <x:c r="R10" s="47"/>
      <x:c r="S10" s="47"/>
      <x:c r="T10" s="47"/>
      <x:c r="U10" s="47"/>
      <x:c r="V10" s="47"/>
      <x:c r="W10" s="47"/>
      <x:c r="X10" s="47"/>
      <x:c r="Y10" s="47"/>
      <x:c r="Z10" s="47"/>
    </x:row>
    <x:row r="11">
      <x:c r="A11" s="394" t="str">
        <x:v>Purpose Policy Matrix</x:v>
      </x:c>
      <x:c r="B11" s="200" t="str">
        <x:v>Purpose, necessity and minimisation by data category.</x:v>
      </x:c>
      <x:c r="C11" s="200" t="str">
        <x:v>DPO/Legal/Security</x:v>
      </x:c>
      <x:c r="D11" s="200" t="str">
        <x:v>0</x:v>
      </x:c>
      <x:c r="E11" s="200" t="str">
        <x:v>Draft complete</x:v>
      </x:c>
      <x:c r="F11" s="200" t="str">
        <x:v>DPIA/legal approval pending</x:v>
      </x:c>
      <x:c r="G11" s="200" t="str">
        <x:v>Review before capture.</x:v>
      </x:c>
      <x:c r="H11" s="395" t="str"/>
      <x:c r="I11" s="50"/>
      <x:c r="J11" s="50"/>
      <x:c r="K11" s="47"/>
      <x:c r="L11" s="47"/>
      <x:c r="M11" s="47"/>
      <x:c r="N11" s="47"/>
      <x:c r="O11" s="47"/>
      <x:c r="P11" s="47"/>
      <x:c r="Q11" s="47"/>
      <x:c r="R11" s="47"/>
      <x:c r="S11" s="47"/>
      <x:c r="T11" s="47"/>
      <x:c r="U11" s="47"/>
      <x:c r="V11" s="47"/>
      <x:c r="W11" s="47"/>
      <x:c r="X11" s="47"/>
      <x:c r="Y11" s="47"/>
      <x:c r="Z11" s="47"/>
    </x:row>
    <x:row r="12">
      <x:c r="A12" s="430" t="str">
        <x:v>Stakeholder RACI</x:v>
      </x:c>
      <x:c r="B12" s="431" t="str">
        <x:v>Accountability matrix.</x:v>
      </x:c>
      <x:c r="C12" s="431" t="str">
        <x:v>Programme/Leadership</x:v>
      </x:c>
      <x:c r="D12" s="431" t="str">
        <x:v>0–1</x:v>
      </x:c>
      <x:c r="E12" s="431" t="str">
        <x:v>Draft complete</x:v>
      </x:c>
      <x:c r="F12" s="431" t="str">
        <x:v>Named owners pending</x:v>
      </x:c>
      <x:c r="G12" s="431" t="str">
        <x:v>Replace roles with names.</x:v>
      </x:c>
      <x:c r="H12" s="432" t="str"/>
      <x:c r="I12" s="50"/>
      <x:c r="J12" s="50"/>
      <x:c r="K12" s="47"/>
      <x:c r="L12" s="47"/>
      <x:c r="M12" s="47"/>
      <x:c r="N12" s="47"/>
      <x:c r="O12" s="47"/>
      <x:c r="P12" s="47"/>
      <x:c r="Q12" s="47"/>
      <x:c r="R12" s="47"/>
      <x:c r="S12" s="47"/>
      <x:c r="T12" s="47"/>
      <x:c r="U12" s="47"/>
      <x:c r="V12" s="47"/>
      <x:c r="W12" s="47"/>
      <x:c r="X12" s="47"/>
      <x:c r="Y12" s="47"/>
      <x:c r="Z12" s="47"/>
    </x:row>
    <x:row r="13">
      <x:c r="A13" s="394" t="str">
        <x:v>Market Landscape</x:v>
      </x:c>
      <x:c r="B13" s="200" t="str">
        <x:v>Commercial category research.</x:v>
      </x:c>
      <x:c r="C13" s="200" t="str">
        <x:v>Product/Strategy</x:v>
      </x:c>
      <x:c r="D13" s="200" t="str">
        <x:v>1</x:v>
      </x:c>
      <x:c r="E13" s="200" t="str">
        <x:v>Updated</x:v>
      </x:c>
      <x:c r="F13" s="200" t="str">
        <x:v>Review pending</x:v>
      </x:c>
      <x:c r="G13" s="200" t="str">
        <x:v>Maintain quarterly.</x:v>
      </x:c>
      <x:c r="H13" s="395" t="str"/>
      <x:c r="I13" s="50"/>
      <x:c r="J13" s="50"/>
      <x:c r="K13" s="47"/>
      <x:c r="L13" s="47"/>
      <x:c r="M13" s="47"/>
      <x:c r="N13" s="47"/>
      <x:c r="O13" s="47"/>
      <x:c r="P13" s="47"/>
      <x:c r="Q13" s="47"/>
      <x:c r="R13" s="47"/>
      <x:c r="S13" s="47"/>
      <x:c r="T13" s="47"/>
      <x:c r="U13" s="47"/>
      <x:c r="V13" s="47"/>
      <x:c r="W13" s="47"/>
      <x:c r="X13" s="47"/>
      <x:c r="Y13" s="47"/>
      <x:c r="Z13" s="47"/>
    </x:row>
    <x:row r="14">
      <x:c r="A14" s="430" t="str">
        <x:v>GitHub OSS Scan</x:v>
      </x:c>
      <x:c r="B14" s="431" t="str">
        <x:v>Open-source/source-available reference scan.</x:v>
      </x:c>
      <x:c r="C14" s="431" t="str">
        <x:v>Architecture/Legal/Security</x:v>
      </x:c>
      <x:c r="D14" s="431" t="str">
        <x:v>1</x:v>
      </x:c>
      <x:c r="E14" s="431" t="str">
        <x:v>Updated</x:v>
      </x:c>
      <x:c r="F14" s="431" t="str">
        <x:v>Licence approval pending</x:v>
      </x:c>
      <x:c r="G14" s="431" t="str">
        <x:v>Complete legal review before code reuse.</x:v>
      </x:c>
      <x:c r="H14" s="432" t="str"/>
      <x:c r="I14" s="50"/>
      <x:c r="J14" s="50"/>
      <x:c r="K14" s="47"/>
      <x:c r="L14" s="47"/>
      <x:c r="M14" s="47"/>
      <x:c r="N14" s="47"/>
      <x:c r="O14" s="47"/>
      <x:c r="P14" s="47"/>
      <x:c r="Q14" s="47"/>
      <x:c r="R14" s="47"/>
      <x:c r="S14" s="47"/>
      <x:c r="T14" s="47"/>
      <x:c r="U14" s="47"/>
      <x:c r="V14" s="47"/>
      <x:c r="W14" s="47"/>
      <x:c r="X14" s="47"/>
      <x:c r="Y14" s="47"/>
      <x:c r="Z14" s="47"/>
    </x:row>
    <x:row r="15">
      <x:c r="A15" s="394" t="str">
        <x:v>Gap Matrix</x:v>
      </x:c>
      <x:c r="B15" s="200" t="str">
        <x:v>Competitive gap and proprietary-core matrix.</x:v>
      </x:c>
      <x:c r="C15" s="200" t="str">
        <x:v>Product/Strategy</x:v>
      </x:c>
      <x:c r="D15" s="200" t="str">
        <x:v>1</x:v>
      </x:c>
      <x:c r="E15" s="200" t="str">
        <x:v>Updated</x:v>
      </x:c>
      <x:c r="F15" s="200" t="str">
        <x:v>Leadership review pending</x:v>
      </x:c>
      <x:c r="G15" s="200" t="str">
        <x:v>Approve differentiation boundary.</x:v>
      </x:c>
      <x:c r="H15" s="395" t="str"/>
      <x:c r="I15" s="50"/>
      <x:c r="J15" s="50"/>
      <x:c r="K15" s="47"/>
      <x:c r="L15" s="47"/>
      <x:c r="M15" s="47"/>
      <x:c r="N15" s="47"/>
      <x:c r="O15" s="47"/>
      <x:c r="P15" s="47"/>
      <x:c r="Q15" s="47"/>
      <x:c r="R15" s="47"/>
      <x:c r="S15" s="47"/>
      <x:c r="T15" s="47"/>
      <x:c r="U15" s="47"/>
      <x:c r="V15" s="47"/>
      <x:c r="W15" s="47"/>
      <x:c r="X15" s="47"/>
      <x:c r="Y15" s="47"/>
      <x:c r="Z15" s="47"/>
    </x:row>
    <x:row r="16">
      <x:c r="A16" s="430" t="str">
        <x:v>Build Buy Decisions</x:v>
      </x:c>
      <x:c r="B16" s="431" t="str">
        <x:v>Build/buy/integrate/defer matrix.</x:v>
      </x:c>
      <x:c r="C16" s="431" t="str">
        <x:v>CTO/Product/Legal</x:v>
      </x:c>
      <x:c r="D16" s="431" t="str">
        <x:v>1</x:v>
      </x:c>
      <x:c r="E16" s="431" t="str">
        <x:v>Draft complete</x:v>
      </x:c>
      <x:c r="F16" s="431" t="str">
        <x:v>Procurement/legal review pending</x:v>
      </x:c>
      <x:c r="G16" s="431" t="str">
        <x:v>Approve component decisions.</x:v>
      </x:c>
      <x:c r="H16" s="432" t="str"/>
      <x:c r="I16" s="50"/>
      <x:c r="J16" s="50"/>
      <x:c r="K16" s="47"/>
      <x:c r="L16" s="47"/>
      <x:c r="M16" s="47"/>
      <x:c r="N16" s="47"/>
      <x:c r="O16" s="47"/>
      <x:c r="P16" s="47"/>
      <x:c r="Q16" s="47"/>
      <x:c r="R16" s="47"/>
      <x:c r="S16" s="47"/>
      <x:c r="T16" s="47"/>
      <x:c r="U16" s="47"/>
      <x:c r="V16" s="47"/>
      <x:c r="W16" s="47"/>
      <x:c r="X16" s="47"/>
      <x:c r="Y16" s="47"/>
      <x:c r="Z16" s="47"/>
    </x:row>
    <x:row r="17">
      <x:c r="A17" s="394" t="str">
        <x:v>Reference Architecture</x:v>
      </x:c>
      <x:c r="B17" s="200" t="str">
        <x:v>HumanOS reference architecture.</x:v>
      </x:c>
      <x:c r="C17" s="200" t="str">
        <x:v>Architecture/Engineering</x:v>
      </x:c>
      <x:c r="D17" s="200" t="str">
        <x:v>1</x:v>
      </x:c>
      <x:c r="E17" s="200" t="str">
        <x:v>Draft complete</x:v>
      </x:c>
      <x:c r="F17" s="200" t="str">
        <x:v>Architecture Board pending</x:v>
      </x:c>
      <x:c r="G17" s="200" t="str">
        <x:v>Approve/condition ADRs.</x:v>
      </x:c>
      <x:c r="H17" s="395" t="str"/>
      <x:c r="I17" s="50"/>
      <x:c r="J17" s="50"/>
      <x:c r="K17" s="47"/>
      <x:c r="L17" s="47"/>
      <x:c r="M17" s="47"/>
      <x:c r="N17" s="47"/>
      <x:c r="O17" s="47"/>
      <x:c r="P17" s="47"/>
      <x:c r="Q17" s="47"/>
      <x:c r="R17" s="47"/>
      <x:c r="S17" s="47"/>
      <x:c r="T17" s="47"/>
      <x:c r="U17" s="47"/>
      <x:c r="V17" s="47"/>
      <x:c r="W17" s="47"/>
      <x:c r="X17" s="47"/>
      <x:c r="Y17" s="47"/>
      <x:c r="Z17" s="47"/>
    </x:row>
    <x:row r="18">
      <x:c r="A18" s="430" t="str">
        <x:v>Architecture Decisions</x:v>
      </x:c>
      <x:c r="B18" s="431" t="str">
        <x:v>Stage 1 ADRs.</x:v>
      </x:c>
      <x:c r="C18" s="431" t="str">
        <x:v>Architecture Board</x:v>
      </x:c>
      <x:c r="D18" s="431" t="str">
        <x:v>1</x:v>
      </x:c>
      <x:c r="E18" s="431" t="str">
        <x:v>Draft complete</x:v>
      </x:c>
      <x:c r="F18" s="431" t="str">
        <x:v>Review pending</x:v>
      </x:c>
      <x:c r="G18" s="431" t="str">
        <x:v>Record decisions.</x:v>
      </x:c>
      <x:c r="H18" s="432" t="str"/>
      <x:c r="I18" s="50"/>
      <x:c r="J18" s="50"/>
      <x:c r="K18" s="47"/>
      <x:c r="L18" s="47"/>
      <x:c r="M18" s="47"/>
      <x:c r="N18" s="47"/>
      <x:c r="O18" s="47"/>
      <x:c r="P18" s="47"/>
      <x:c r="Q18" s="47"/>
      <x:c r="R18" s="47"/>
      <x:c r="S18" s="47"/>
      <x:c r="T18" s="47"/>
      <x:c r="U18" s="47"/>
      <x:c r="V18" s="47"/>
      <x:c r="W18" s="47"/>
      <x:c r="X18" s="47"/>
      <x:c r="Y18" s="47"/>
      <x:c r="Z18" s="47"/>
    </x:row>
    <x:row r="19">
      <x:c r="A19" s="394" t="str">
        <x:v>Stage 0-1 Workplan</x:v>
      </x:c>
      <x:c r="B19" s="200" t="str">
        <x:v>Detailed Stage 0–1 actions.</x:v>
      </x:c>
      <x:c r="C19" s="200" t="str">
        <x:v>Programme</x:v>
      </x:c>
      <x:c r="D19" s="200" t="str">
        <x:v>0–1</x:v>
      </x:c>
      <x:c r="E19" s="200" t="str">
        <x:v>Complete draft</x:v>
      </x:c>
      <x:c r="F19" s="200" t="str">
        <x:v>Owner inputs pending</x:v>
      </x:c>
      <x:c r="G19" s="200" t="str">
        <x:v>Close mandatory items.</x:v>
      </x:c>
      <x:c r="H19" s="395" t="str"/>
      <x:c r="I19" s="47"/>
      <x:c r="J19" s="47"/>
      <x:c r="K19" s="47"/>
      <x:c r="L19" s="47"/>
      <x:c r="M19" s="47"/>
      <x:c r="N19" s="47"/>
      <x:c r="O19" s="47"/>
      <x:c r="P19" s="47"/>
      <x:c r="Q19" s="47"/>
      <x:c r="R19" s="47"/>
      <x:c r="S19" s="47"/>
      <x:c r="T19" s="47"/>
      <x:c r="U19" s="47"/>
      <x:c r="V19" s="47"/>
      <x:c r="W19" s="47"/>
      <x:c r="X19" s="47"/>
      <x:c r="Y19" s="47"/>
      <x:c r="Z19" s="47"/>
    </x:row>
    <x:row r="20">
      <x:c r="A20" s="430" t="str">
        <x:v>Stage 0-1 Gates</x:v>
      </x:c>
      <x:c r="B20" s="431" t="str">
        <x:v>Stage 0 and 1 approval criteria.</x:v>
      </x:c>
      <x:c r="C20" s="431" t="str">
        <x:v>Leadership/DPO/CISO/CTO</x:v>
      </x:c>
      <x:c r="D20" s="431" t="str">
        <x:v>0–1</x:v>
      </x:c>
      <x:c r="E20" s="431" t="str">
        <x:v>Complete criteria</x:v>
      </x:c>
      <x:c r="F20" s="431" t="str">
        <x:v>Decisions pending</x:v>
      </x:c>
      <x:c r="G20" s="431" t="str">
        <x:v>Record gate decisions.</x:v>
      </x:c>
      <x:c r="H20" s="432" t="str"/>
      <x:c r="I20" s="47"/>
      <x:c r="J20" s="47"/>
      <x:c r="K20" s="47"/>
      <x:c r="L20" s="47"/>
      <x:c r="M20" s="47"/>
      <x:c r="N20" s="47"/>
      <x:c r="O20" s="47"/>
      <x:c r="P20" s="47"/>
      <x:c r="Q20" s="47"/>
      <x:c r="R20" s="47"/>
      <x:c r="S20" s="47"/>
      <x:c r="T20" s="47"/>
      <x:c r="U20" s="47"/>
      <x:c r="V20" s="47"/>
      <x:c r="W20" s="47"/>
      <x:c r="X20" s="47"/>
      <x:c r="Y20" s="47"/>
      <x:c r="Z20" s="47"/>
    </x:row>
    <x:row r="21">
      <x:c r="A21" s="394" t="str">
        <x:v>Assumptions Questions</x:v>
      </x:c>
      <x:c r="B21" s="200" t="str">
        <x:v>Open assumptions and owner questions.</x:v>
      </x:c>
      <x:c r="C21" s="200" t="str">
        <x:v>All owners</x:v>
      </x:c>
      <x:c r="D21" s="200" t="str">
        <x:v>0–3</x:v>
      </x:c>
      <x:c r="E21" s="200" t="str">
        <x:v>Updated</x:v>
      </x:c>
      <x:c r="F21" s="200" t="str">
        <x:v>Resolution pending</x:v>
      </x:c>
      <x:c r="G21" s="200" t="str">
        <x:v>Assign owners and due dates.</x:v>
      </x:c>
      <x:c r="H21" s="395" t="str"/>
      <x:c r="I21" s="47"/>
      <x:c r="J21" s="47"/>
      <x:c r="K21" s="47"/>
      <x:c r="L21" s="47"/>
      <x:c r="M21" s="47"/>
      <x:c r="N21" s="47"/>
      <x:c r="O21" s="47"/>
      <x:c r="P21" s="47"/>
      <x:c r="Q21" s="47"/>
      <x:c r="R21" s="47"/>
      <x:c r="S21" s="47"/>
      <x:c r="T21" s="47"/>
      <x:c r="U21" s="47"/>
      <x:c r="V21" s="47"/>
      <x:c r="W21" s="47"/>
      <x:c r="X21" s="47"/>
      <x:c r="Y21" s="47"/>
      <x:c r="Z21" s="47"/>
    </x:row>
    <x:row r="22">
      <x:c r="A22" s="430" t="str">
        <x:v>Foundation Threats</x:v>
      </x:c>
      <x:c r="B22" s="431" t="str">
        <x:v>Foundation threat model.</x:v>
      </x:c>
      <x:c r="C22" s="431" t="str">
        <x:v>CISO/DPO/Product</x:v>
      </x:c>
      <x:c r="D22" s="431" t="str">
        <x:v>0–1</x:v>
      </x:c>
      <x:c r="E22" s="431" t="str">
        <x:v>Draft complete</x:v>
      </x:c>
      <x:c r="F22" s="431" t="str">
        <x:v>Security review pending</x:v>
      </x:c>
      <x:c r="G22" s="431" t="str">
        <x:v>Validate blocking controls.</x:v>
      </x:c>
      <x:c r="H22" s="432" t="str"/>
      <x:c r="I22" s="47"/>
      <x:c r="J22" s="47"/>
      <x:c r="K22" s="47"/>
      <x:c r="L22" s="47"/>
      <x:c r="M22" s="47"/>
      <x:c r="N22" s="47"/>
      <x:c r="O22" s="47"/>
      <x:c r="P22" s="47"/>
      <x:c r="Q22" s="47"/>
      <x:c r="R22" s="47"/>
      <x:c r="S22" s="47"/>
      <x:c r="T22" s="47"/>
      <x:c r="U22" s="47"/>
      <x:c r="V22" s="47"/>
      <x:c r="W22" s="47"/>
      <x:c r="X22" s="47"/>
      <x:c r="Y22" s="47"/>
      <x:c r="Z22" s="47"/>
    </x:row>
    <x:row r="23">
      <x:c r="A23" s="394" t="str">
        <x:v>Pilot Definition</x:v>
      </x:c>
      <x:c r="B23" s="200" t="str">
        <x:v>Internal pilot scope and success criteria.</x:v>
      </x:c>
      <x:c r="C23" s="200" t="str">
        <x:v>Leadership/Product/HR</x:v>
      </x:c>
      <x:c r="D23" s="200" t="str">
        <x:v>0–12</x:v>
      </x:c>
      <x:c r="E23" s="200" t="str">
        <x:v>Draft complete</x:v>
      </x:c>
      <x:c r="F23" s="200" t="str">
        <x:v>Pilot approval pending</x:v>
      </x:c>
      <x:c r="G23" s="200" t="str">
        <x:v>Finalise cohort/location.</x:v>
      </x:c>
      <x:c r="H23" s="395" t="str"/>
      <x:c r="I23" s="47"/>
      <x:c r="J23" s="47"/>
      <x:c r="K23" s="47"/>
      <x:c r="L23" s="47"/>
      <x:c r="M23" s="47"/>
      <x:c r="N23" s="47"/>
      <x:c r="O23" s="47"/>
      <x:c r="P23" s="47"/>
      <x:c r="Q23" s="47"/>
      <x:c r="R23" s="47"/>
      <x:c r="S23" s="47"/>
      <x:c r="T23" s="47"/>
      <x:c r="U23" s="47"/>
      <x:c r="V23" s="47"/>
      <x:c r="W23" s="47"/>
      <x:c r="X23" s="47"/>
      <x:c r="Y23" s="47"/>
      <x:c r="Z23" s="47"/>
    </x:row>
    <x:row r="24">
      <x:c r="A24" s="430" t="str">
        <x:v>Microservices Map</x:v>
      </x:c>
      <x:c r="B24" s="431" t="str">
        <x:v>Deployment map and HumanOS reuse.</x:v>
      </x:c>
      <x:c r="C24" s="431" t="str">
        <x:v>Architecture/Backend/SRE</x:v>
      </x:c>
      <x:c r="D24" s="431" t="str">
        <x:v>1–4</x:v>
      </x:c>
      <x:c r="E24" s="431" t="str">
        <x:v>Updated</x:v>
      </x:c>
      <x:c r="F24" s="431" t="str">
        <x:v>Architecture review pending</x:v>
      </x:c>
      <x:c r="G24" s="431" t="str">
        <x:v>Validate existing services.</x:v>
      </x:c>
      <x:c r="H24" s="432" t="str"/>
      <x:c r="I24" s="47"/>
      <x:c r="J24" s="47"/>
      <x:c r="K24" s="47"/>
      <x:c r="L24" s="47"/>
      <x:c r="M24" s="47"/>
      <x:c r="N24" s="47"/>
      <x:c r="O24" s="47"/>
      <x:c r="P24" s="47"/>
      <x:c r="Q24" s="47"/>
      <x:c r="R24" s="47"/>
      <x:c r="S24" s="47"/>
      <x:c r="T24" s="47"/>
      <x:c r="U24" s="47"/>
      <x:c r="V24" s="47"/>
      <x:c r="W24" s="47"/>
      <x:c r="X24" s="47"/>
      <x:c r="Y24" s="47"/>
      <x:c r="Z24" s="47"/>
    </x:row>
    <x:row r="25">
      <x:c r="A25" s="394" t="str">
        <x:v>MVP Backlog</x:v>
      </x:c>
      <x:c r="B25" s="200" t="str">
        <x:v>Earlier MVP backlog placeholder.</x:v>
      </x:c>
      <x:c r="C25" s="200" t="str">
        <x:v>Product/Engineering</x:v>
      </x:c>
      <x:c r="D25" s="200" t="str">
        <x:v>3–10</x:v>
      </x:c>
      <x:c r="E25" s="200" t="str">
        <x:v>Initial draft</x:v>
      </x:c>
      <x:c r="F25" s="200" t="str">
        <x:v>Superseded by stage backlogs</x:v>
      </x:c>
      <x:c r="G25" s="200" t="str">
        <x:v>Use stage-specific backlogs.</x:v>
      </x:c>
      <x:c r="H25" s="395" t="str"/>
      <x:c r="I25" s="47"/>
      <x:c r="J25" s="47"/>
      <x:c r="K25" s="47"/>
      <x:c r="L25" s="47"/>
      <x:c r="M25" s="47"/>
      <x:c r="N25" s="47"/>
      <x:c r="O25" s="47"/>
      <x:c r="P25" s="47"/>
      <x:c r="Q25" s="47"/>
      <x:c r="R25" s="47"/>
      <x:c r="S25" s="47"/>
      <x:c r="T25" s="47"/>
      <x:c r="U25" s="47"/>
      <x:c r="V25" s="47"/>
      <x:c r="W25" s="47"/>
      <x:c r="X25" s="47"/>
      <x:c r="Y25" s="47"/>
      <x:c r="Z25" s="47"/>
    </x:row>
    <x:row r="26">
      <x:c r="A26" s="430" t="str">
        <x:v>Event Data Model</x:v>
      </x:c>
      <x:c r="B26" s="431" t="str">
        <x:v>Initial event model placeholder.</x:v>
      </x:c>
      <x:c r="C26" s="431" t="str">
        <x:v>Data/AI</x:v>
      </x:c>
      <x:c r="D26" s="431" t="str">
        <x:v>2–7</x:v>
      </x:c>
      <x:c r="E26" s="431" t="str">
        <x:v>Initial draft</x:v>
      </x:c>
      <x:c r="F26" s="431" t="str">
        <x:v>Refine in Stage 4</x:v>
      </x:c>
      <x:c r="G26" s="431" t="str">
        <x:v>Use Stage 2/3 contracts now.</x:v>
      </x:c>
      <x:c r="H26" s="432" t="str"/>
      <x:c r="I26" s="47"/>
      <x:c r="J26" s="47"/>
      <x:c r="K26" s="47"/>
      <x:c r="L26" s="47"/>
      <x:c r="M26" s="47"/>
      <x:c r="N26" s="47"/>
      <x:c r="O26" s="47"/>
      <x:c r="P26" s="47"/>
      <x:c r="Q26" s="47"/>
      <x:c r="R26" s="47"/>
      <x:c r="S26" s="47"/>
      <x:c r="T26" s="47"/>
      <x:c r="U26" s="47"/>
      <x:c r="V26" s="47"/>
      <x:c r="W26" s="47"/>
      <x:c r="X26" s="47"/>
      <x:c r="Y26" s="47"/>
      <x:c r="Z26" s="47"/>
    </x:row>
    <x:row r="27">
      <x:c r="A27" s="394" t="str">
        <x:v>AI Capability System</x:v>
      </x:c>
      <x:c r="B27" s="200" t="str">
        <x:v>Initial capability and coaching placeholder.</x:v>
      </x:c>
      <x:c r="C27" s="200" t="str">
        <x:v>AI/Product/L&amp;D</x:v>
      </x:c>
      <x:c r="D27" s="200" t="str">
        <x:v>2,8–11</x:v>
      </x:c>
      <x:c r="E27" s="200" t="str">
        <x:v>Initial draft</x:v>
      </x:c>
      <x:c r="F27" s="200" t="str">
        <x:v>Superseded by Stage 2 sheets</x:v>
      </x:c>
      <x:c r="G27" s="200" t="str">
        <x:v>Use ontology package.</x:v>
      </x:c>
      <x:c r="H27" s="395" t="str"/>
      <x:c r="I27" s="47"/>
      <x:c r="J27" s="47"/>
      <x:c r="K27" s="47"/>
      <x:c r="L27" s="47"/>
      <x:c r="M27" s="47"/>
      <x:c r="N27" s="47"/>
      <x:c r="O27" s="47"/>
      <x:c r="P27" s="47"/>
      <x:c r="Q27" s="47"/>
      <x:c r="R27" s="47"/>
      <x:c r="S27" s="47"/>
      <x:c r="T27" s="47"/>
      <x:c r="U27" s="47"/>
      <x:c r="V27" s="47"/>
      <x:c r="W27" s="47"/>
      <x:c r="X27" s="47"/>
      <x:c r="Y27" s="47"/>
      <x:c r="Z27" s="47"/>
    </x:row>
    <x:row r="28">
      <x:c r="A28" s="430" t="str">
        <x:v>Governance</x:v>
      </x:c>
      <x:c r="B28" s="431" t="str">
        <x:v>Governance control baseline.</x:v>
      </x:c>
      <x:c r="C28" s="431" t="str">
        <x:v>DPO/Legal/HR/Security</x:v>
      </x:c>
      <x:c r="D28" s="431" t="str">
        <x:v>0+</x:v>
      </x:c>
      <x:c r="E28" s="431" t="str">
        <x:v>Updated</x:v>
      </x:c>
      <x:c r="F28" s="431" t="str">
        <x:v>Approval pending</x:v>
      </x:c>
      <x:c r="G28" s="431" t="str">
        <x:v>Operationalise before pilot.</x:v>
      </x:c>
      <x:c r="H28" s="432" t="str"/>
      <x:c r="I28" s="47"/>
      <x:c r="J28" s="47"/>
      <x:c r="K28" s="47"/>
      <x:c r="L28" s="47"/>
      <x:c r="M28" s="47"/>
      <x:c r="N28" s="47"/>
      <x:c r="O28" s="47"/>
      <x:c r="P28" s="47"/>
      <x:c r="Q28" s="47"/>
      <x:c r="R28" s="47"/>
      <x:c r="S28" s="47"/>
      <x:c r="T28" s="47"/>
      <x:c r="U28" s="47"/>
      <x:c r="V28" s="47"/>
      <x:c r="W28" s="47"/>
      <x:c r="X28" s="47"/>
      <x:c r="Y28" s="47"/>
      <x:c r="Z28" s="47"/>
    </x:row>
    <x:row r="29">
      <x:c r="A29" s="394" t="str">
        <x:v>Risk Register</x:v>
      </x:c>
      <x:c r="B29" s="200" t="str">
        <x:v>Programme-level risks.</x:v>
      </x:c>
      <x:c r="C29" s="200" t="str">
        <x:v>Leadership/Governance</x:v>
      </x:c>
      <x:c r="D29" s="200" t="str">
        <x:v>0–12</x:v>
      </x:c>
      <x:c r="E29" s="200" t="str">
        <x:v>Updated</x:v>
      </x:c>
      <x:c r="F29" s="200" t="str">
        <x:v>Risk review pending</x:v>
      </x:c>
      <x:c r="G29" s="200" t="str">
        <x:v>Review monthly.</x:v>
      </x:c>
      <x:c r="H29" s="395" t="str"/>
      <x:c r="I29" s="47"/>
      <x:c r="J29" s="47"/>
      <x:c r="K29" s="47"/>
      <x:c r="L29" s="47"/>
      <x:c r="M29" s="47"/>
      <x:c r="N29" s="47"/>
      <x:c r="O29" s="47"/>
      <x:c r="P29" s="47"/>
      <x:c r="Q29" s="47"/>
      <x:c r="R29" s="47"/>
      <x:c r="S29" s="47"/>
      <x:c r="T29" s="47"/>
      <x:c r="U29" s="47"/>
      <x:c r="V29" s="47"/>
      <x:c r="W29" s="47"/>
      <x:c r="X29" s="47"/>
      <x:c r="Y29" s="47"/>
      <x:c r="Z29" s="47"/>
    </x:row>
    <x:row r="30">
      <x:c r="A30" s="433" t="str">
        <x:v>KPI Dashboard</x:v>
      </x:c>
      <x:c r="B30" s="434" t="str">
        <x:v>Programme KPIs and stage summaries.</x:v>
      </x:c>
      <x:c r="C30" s="434" t="str">
        <x:v>Leadership</x:v>
      </x:c>
      <x:c r="D30" s="434" t="str">
        <x:v>All</x:v>
      </x:c>
      <x:c r="E30" s="434" t="str">
        <x:v>Updated</x:v>
      </x:c>
      <x:c r="F30" s="434" t="str">
        <x:v>N/A</x:v>
      </x:c>
      <x:c r="G30" s="434" t="str">
        <x:v>Use with Stage 2–3 dashboard.</x:v>
      </x:c>
      <x:c r="H30" s="435" t="str"/>
      <x:c r="I30" s="47"/>
      <x:c r="J30" s="47"/>
      <x:c r="K30" s="47"/>
      <x:c r="L30" s="47"/>
      <x:c r="M30" s="47"/>
      <x:c r="N30" s="47"/>
      <x:c r="O30" s="47"/>
      <x:c r="P30" s="47"/>
      <x:c r="Q30" s="47"/>
      <x:c r="R30" s="47"/>
      <x:c r="S30" s="47"/>
      <x:c r="T30" s="47"/>
      <x:c r="U30" s="47"/>
      <x:c r="V30" s="47"/>
      <x:c r="W30" s="47"/>
      <x:c r="X30" s="47"/>
      <x:c r="Y30" s="47"/>
      <x:c r="Z30" s="47"/>
    </x:row>
    <x:row r="31">
      <x:c r="A31" s="394" t="str">
        <x:v>Source Register</x:v>
      </x:c>
      <x:c r="B31" s="200" t="str">
        <x:v>Central Stage 0–1 source register.</x:v>
      </x:c>
      <x:c r="C31" s="200" t="str">
        <x:v>All</x:v>
      </x:c>
      <x:c r="D31" s="200" t="str">
        <x:v>0–1</x:v>
      </x:c>
      <x:c r="E31" s="200" t="str">
        <x:v>Updated</x:v>
      </x:c>
      <x:c r="F31" s="200" t="str">
        <x:v>N/A</x:v>
      </x:c>
      <x:c r="G31" s="200" t="str">
        <x:v>Use with Stage 2/3 source sheets.</x:v>
      </x:c>
      <x:c r="H31" s="395" t="str"/>
      <x:c r="I31" s="47"/>
      <x:c r="J31" s="47"/>
      <x:c r="K31" s="47"/>
      <x:c r="L31" s="47"/>
      <x:c r="M31" s="47"/>
      <x:c r="N31" s="47"/>
      <x:c r="O31" s="47"/>
      <x:c r="P31" s="47"/>
      <x:c r="Q31" s="47"/>
      <x:c r="R31" s="47"/>
      <x:c r="S31" s="47"/>
      <x:c r="T31" s="47"/>
      <x:c r="U31" s="47"/>
      <x:c r="V31" s="47"/>
      <x:c r="W31" s="47"/>
      <x:c r="X31" s="47"/>
      <x:c r="Y31" s="47"/>
      <x:c r="Z31" s="47"/>
    </x:row>
    <x:row r="32">
      <x:c r="A32" s="430" t="str">
        <x:v>Ontology Overview</x:v>
      </x:c>
      <x:c r="B32" s="431" t="str">
        <x:v>Stage 2 ontology principles and core flows.</x:v>
      </x:c>
      <x:c r="C32" s="431" t="str">
        <x:v>Product/Capability/Architecture</x:v>
      </x:c>
      <x:c r="D32" s="431" t="str">
        <x:v>2</x:v>
      </x:c>
      <x:c r="E32" s="431" t="str">
        <x:v>Complete draft</x:v>
      </x:c>
      <x:c r="F32" s="431" t="str">
        <x:v>Stage 2 gate pending</x:v>
      </x:c>
      <x:c r="G32" s="431" t="str">
        <x:v>Review ontology.</x:v>
      </x:c>
      <x:c r="H32" s="432" t="str"/>
      <x:c r="I32" s="47"/>
      <x:c r="J32" s="47"/>
      <x:c r="K32" s="47"/>
      <x:c r="L32" s="47"/>
      <x:c r="M32" s="47"/>
      <x:c r="N32" s="47"/>
      <x:c r="O32" s="47"/>
      <x:c r="P32" s="47"/>
      <x:c r="Q32" s="47"/>
      <x:c r="R32" s="47"/>
      <x:c r="S32" s="47"/>
      <x:c r="T32" s="47"/>
      <x:c r="U32" s="47"/>
      <x:c r="V32" s="47"/>
      <x:c r="W32" s="47"/>
      <x:c r="X32" s="47"/>
      <x:c r="Y32" s="47"/>
      <x:c r="Z32" s="47"/>
    </x:row>
    <x:row r="33">
      <x:c r="A33" s="394" t="str">
        <x:v>Entity Dictionary</x:v>
      </x:c>
      <x:c r="B33" s="200" t="str">
        <x:v>Canonical Stage 2 entities and implementation contracts.</x:v>
      </x:c>
      <x:c r="C33" s="200" t="str">
        <x:v>Backend/Data/Product</x:v>
      </x:c>
      <x:c r="D33" s="200" t="str">
        <x:v>2</x:v>
      </x:c>
      <x:c r="E33" s="200" t="str">
        <x:v>Complete draft</x:v>
      </x:c>
      <x:c r="F33" s="200" t="str">
        <x:v>Stage 2 gate pending</x:v>
      </x:c>
      <x:c r="G33" s="200" t="str">
        <x:v>Translate to schemas/DDL.</x:v>
      </x:c>
      <x:c r="H33" s="395" t="str"/>
      <x:c r="I33" s="47"/>
      <x:c r="J33" s="47"/>
      <x:c r="K33" s="47"/>
      <x:c r="L33" s="47"/>
      <x:c r="M33" s="47"/>
      <x:c r="N33" s="47"/>
      <x:c r="O33" s="47"/>
      <x:c r="P33" s="47"/>
      <x:c r="Q33" s="47"/>
      <x:c r="R33" s="47"/>
      <x:c r="S33" s="47"/>
      <x:c r="T33" s="47"/>
      <x:c r="U33" s="47"/>
      <x:c r="V33" s="47"/>
      <x:c r="W33" s="47"/>
      <x:c r="X33" s="47"/>
      <x:c r="Y33" s="47"/>
      <x:c r="Z33" s="47"/>
    </x:row>
    <x:row r="34">
      <x:c r="A34" s="430" t="str">
        <x:v>Relationship Model</x:v>
      </x:c>
      <x:c r="B34" s="431" t="str">
        <x:v>Role-task-evidence-capability traceability.</x:v>
      </x:c>
      <x:c r="C34" s="431" t="str">
        <x:v>Data/Architecture</x:v>
      </x:c>
      <x:c r="D34" s="431" t="str">
        <x:v>2</x:v>
      </x:c>
      <x:c r="E34" s="431" t="str">
        <x:v>Complete draft</x:v>
      </x:c>
      <x:c r="F34" s="431" t="str">
        <x:v>Stage 2 gate pending</x:v>
      </x:c>
      <x:c r="G34" s="431" t="str">
        <x:v>Build trace matrix.</x:v>
      </x:c>
      <x:c r="H34" s="432" t="str"/>
      <x:c r="I34" s="47"/>
      <x:c r="J34" s="47"/>
      <x:c r="K34" s="47"/>
      <x:c r="L34" s="47"/>
      <x:c r="M34" s="47"/>
      <x:c r="N34" s="47"/>
      <x:c r="O34" s="47"/>
      <x:c r="P34" s="47"/>
      <x:c r="Q34" s="47"/>
      <x:c r="R34" s="47"/>
      <x:c r="S34" s="47"/>
      <x:c r="T34" s="47"/>
      <x:c r="U34" s="47"/>
      <x:c r="V34" s="47"/>
      <x:c r="W34" s="47"/>
      <x:c r="X34" s="47"/>
      <x:c r="Y34" s="47"/>
      <x:c r="Z34" s="47"/>
    </x:row>
    <x:row r="35">
      <x:c r="A35" s="394" t="str">
        <x:v>Capability-Level Rubric</x:v>
      </x:c>
      <x:c r="B35" s="200" t="str">
        <x:v>Capability levels 0–5 with descriptors.</x:v>
      </x:c>
      <x:c r="C35" s="200" t="str">
        <x:v>HR/L&amp;D/Product/AI</x:v>
      </x:c>
      <x:c r="D35" s="200" t="str">
        <x:v>2</x:v>
      </x:c>
      <x:c r="E35" s="200" t="str">
        <x:v>Complete draft</x:v>
      </x:c>
      <x:c r="F35" s="200" t="str">
        <x:v>Stage 2 gate pending</x:v>
      </x:c>
      <x:c r="G35" s="200" t="str">
        <x:v>Calibrate levels.</x:v>
      </x:c>
      <x:c r="H35" s="395" t="str"/>
      <x:c r="I35" s="47"/>
      <x:c r="J35" s="47"/>
      <x:c r="K35" s="47"/>
      <x:c r="L35" s="47"/>
      <x:c r="M35" s="47"/>
      <x:c r="N35" s="47"/>
      <x:c r="O35" s="47"/>
      <x:c r="P35" s="47"/>
      <x:c r="Q35" s="47"/>
      <x:c r="R35" s="47"/>
      <x:c r="S35" s="47"/>
      <x:c r="T35" s="47"/>
      <x:c r="U35" s="47"/>
      <x:c r="V35" s="47"/>
      <x:c r="W35" s="47"/>
      <x:c r="X35" s="47"/>
      <x:c r="Y35" s="47"/>
      <x:c r="Z35" s="47"/>
    </x:row>
    <x:row r="36">
      <x:c r="A36" s="430" t="str">
        <x:v>Role Templates</x:v>
      </x:c>
      <x:c r="B36" s="431" t="str">
        <x:v>Software-development role contract examples.</x:v>
      </x:c>
      <x:c r="C36" s="431" t="str">
        <x:v>HR/Product/Engineering</x:v>
      </x:c>
      <x:c r="D36" s="431" t="str">
        <x:v>2</x:v>
      </x:c>
      <x:c r="E36" s="431" t="str">
        <x:v>Complete draft</x:v>
      </x:c>
      <x:c r="F36" s="431" t="str">
        <x:v>HR/domain review pending</x:v>
      </x:c>
      <x:c r="G36" s="431" t="str">
        <x:v>Approve role templates.</x:v>
      </x:c>
      <x:c r="H36" s="432" t="str"/>
      <x:c r="I36" s="47"/>
      <x:c r="J36" s="47"/>
      <x:c r="K36" s="47"/>
      <x:c r="L36" s="47"/>
      <x:c r="M36" s="47"/>
      <x:c r="N36" s="47"/>
      <x:c r="O36" s="47"/>
      <x:c r="P36" s="47"/>
      <x:c r="Q36" s="47"/>
      <x:c r="R36" s="47"/>
      <x:c r="S36" s="47"/>
      <x:c r="T36" s="47"/>
      <x:c r="U36" s="47"/>
      <x:c r="V36" s="47"/>
      <x:c r="W36" s="47"/>
      <x:c r="X36" s="47"/>
      <x:c r="Y36" s="47"/>
      <x:c r="Z36" s="47"/>
    </x:row>
    <x:row r="37">
      <x:c r="A37" s="394" t="str">
        <x:v>Task Contract Templates</x:v>
      </x:c>
      <x:c r="B37" s="200" t="str">
        <x:v>Twelve representative task contracts.</x:v>
      </x:c>
      <x:c r="C37" s="200" t="str">
        <x:v>Product/Engineering/QA</x:v>
      </x:c>
      <x:c r="D37" s="200" t="str">
        <x:v>2</x:v>
      </x:c>
      <x:c r="E37" s="200" t="str">
        <x:v>Complete draft</x:v>
      </x:c>
      <x:c r="F37" s="200" t="str">
        <x:v>Domain review pending</x:v>
      </x:c>
      <x:c r="G37" s="200" t="str">
        <x:v>Convert to JSON contracts.</x:v>
      </x:c>
      <x:c r="H37" s="395" t="str"/>
      <x:c r="I37" s="47"/>
      <x:c r="J37" s="47"/>
      <x:c r="K37" s="47"/>
      <x:c r="L37" s="47"/>
      <x:c r="M37" s="47"/>
      <x:c r="N37" s="47"/>
      <x:c r="O37" s="47"/>
      <x:c r="P37" s="47"/>
      <x:c r="Q37" s="47"/>
      <x:c r="R37" s="47"/>
      <x:c r="S37" s="47"/>
      <x:c r="T37" s="47"/>
      <x:c r="U37" s="47"/>
      <x:c r="V37" s="47"/>
      <x:c r="W37" s="47"/>
      <x:c r="X37" s="47"/>
      <x:c r="Y37" s="47"/>
      <x:c r="Z37" s="47"/>
    </x:row>
    <x:row r="38">
      <x:c r="A38" s="430" t="str">
        <x:v>Evidence Scoring</x:v>
      </x:c>
      <x:c r="B38" s="431" t="str">
        <x:v>Evidence weighting and update rules.</x:v>
      </x:c>
      <x:c r="C38" s="431" t="str">
        <x:v>AI/Capability/Data</x:v>
      </x:c>
      <x:c r="D38" s="431" t="str">
        <x:v>2</x:v>
      </x:c>
      <x:c r="E38" s="431" t="str">
        <x:v>Complete draft</x:v>
      </x:c>
      <x:c r="F38" s="431" t="str">
        <x:v>Calibration pending</x:v>
      </x:c>
      <x:c r="G38" s="431" t="str">
        <x:v>Prototype scoring.</x:v>
      </x:c>
      <x:c r="H38" s="432" t="str"/>
      <x:c r="I38" s="47"/>
      <x:c r="J38" s="47"/>
      <x:c r="K38" s="47"/>
      <x:c r="L38" s="47"/>
      <x:c r="M38" s="47"/>
      <x:c r="N38" s="47"/>
      <x:c r="O38" s="47"/>
      <x:c r="P38" s="47"/>
      <x:c r="Q38" s="47"/>
      <x:c r="R38" s="47"/>
      <x:c r="S38" s="47"/>
      <x:c r="T38" s="47"/>
      <x:c r="U38" s="47"/>
      <x:c r="V38" s="47"/>
      <x:c r="W38" s="47"/>
      <x:c r="X38" s="47"/>
      <x:c r="Y38" s="47"/>
      <x:c r="Z38" s="47"/>
    </x:row>
    <x:row r="39">
      <x:c r="A39" s="394" t="str">
        <x:v>Worked Examples</x:v>
      </x:c>
      <x:c r="B39" s="200" t="str">
        <x:v>Valid/invalid assessment examples.</x:v>
      </x:c>
      <x:c r="C39" s="200" t="str">
        <x:v>AI Evaluation/HR</x:v>
      </x:c>
      <x:c r="D39" s="200" t="str">
        <x:v>2</x:v>
      </x:c>
      <x:c r="E39" s="200" t="str">
        <x:v>Complete draft</x:v>
      </x:c>
      <x:c r="F39" s="200" t="str">
        <x:v>Review pending</x:v>
      </x:c>
      <x:c r="G39" s="200" t="str">
        <x:v>Use as test corpus.</x:v>
      </x:c>
      <x:c r="H39" s="395" t="str"/>
      <x:c r="I39" s="47"/>
      <x:c r="J39" s="47"/>
      <x:c r="K39" s="47"/>
      <x:c r="L39" s="47"/>
      <x:c r="M39" s="47"/>
      <x:c r="N39" s="47"/>
      <x:c r="O39" s="47"/>
      <x:c r="P39" s="47"/>
      <x:c r="Q39" s="47"/>
      <x:c r="R39" s="47"/>
      <x:c r="S39" s="47"/>
      <x:c r="T39" s="47"/>
      <x:c r="U39" s="47"/>
      <x:c r="V39" s="47"/>
      <x:c r="W39" s="47"/>
      <x:c r="X39" s="47"/>
      <x:c r="Y39" s="47"/>
      <x:c r="Z39" s="47"/>
    </x:row>
    <x:row r="40">
      <x:c r="A40" s="430" t="str">
        <x:v>APIs and Events</x:v>
      </x:c>
      <x:c r="B40" s="431" t="str">
        <x:v>Stage 2 REST/events/schema contracts.</x:v>
      </x:c>
      <x:c r="C40" s="431" t="str">
        <x:v>Backend/Data</x:v>
      </x:c>
      <x:c r="D40" s="431" t="str">
        <x:v>2</x:v>
      </x:c>
      <x:c r="E40" s="431" t="str">
        <x:v>Complete draft</x:v>
      </x:c>
      <x:c r="F40" s="431" t="str">
        <x:v>Architecture review pending</x:v>
      </x:c>
      <x:c r="G40" s="431" t="str">
        <x:v>Draft OpenAPI/schema files.</x:v>
      </x:c>
      <x:c r="H40" s="432" t="str"/>
      <x:c r="I40" s="47"/>
      <x:c r="J40" s="47"/>
      <x:c r="K40" s="47"/>
      <x:c r="L40" s="47"/>
      <x:c r="M40" s="47"/>
      <x:c r="N40" s="47"/>
      <x:c r="O40" s="47"/>
      <x:c r="P40" s="47"/>
      <x:c r="Q40" s="47"/>
      <x:c r="R40" s="47"/>
      <x:c r="S40" s="47"/>
      <x:c r="T40" s="47"/>
      <x:c r="U40" s="47"/>
      <x:c r="V40" s="47"/>
      <x:c r="W40" s="47"/>
      <x:c r="X40" s="47"/>
      <x:c r="Y40" s="47"/>
      <x:c r="Z40" s="47"/>
    </x:row>
    <x:row r="41">
      <x:c r="A41" s="394" t="str">
        <x:v>Stage 2 Backlog</x:v>
      </x:c>
      <x:c r="B41" s="200" t="str">
        <x:v>Implementation backlog for ontology and contracts.</x:v>
      </x:c>
      <x:c r="C41" s="200" t="str">
        <x:v>Programme/Engineering</x:v>
      </x:c>
      <x:c r="D41" s="200" t="str">
        <x:v>2</x:v>
      </x:c>
      <x:c r="E41" s="200" t="str">
        <x:v>Complete draft</x:v>
      </x:c>
      <x:c r="F41" s="200" t="str">
        <x:v>Resource approval pending</x:v>
      </x:c>
      <x:c r="G41" s="200" t="str">
        <x:v>Start after gate.</x:v>
      </x:c>
      <x:c r="H41" s="395" t="str"/>
      <x:c r="I41" s="47"/>
      <x:c r="J41" s="47"/>
      <x:c r="K41" s="47"/>
      <x:c r="L41" s="47"/>
      <x:c r="M41" s="47"/>
      <x:c r="N41" s="47"/>
      <x:c r="O41" s="47"/>
      <x:c r="P41" s="47"/>
      <x:c r="Q41" s="47"/>
      <x:c r="R41" s="47"/>
      <x:c r="S41" s="47"/>
      <x:c r="T41" s="47"/>
      <x:c r="U41" s="47"/>
      <x:c r="V41" s="47"/>
      <x:c r="W41" s="47"/>
      <x:c r="X41" s="47"/>
      <x:c r="Y41" s="47"/>
      <x:c r="Z41" s="47"/>
    </x:row>
    <x:row r="42">
      <x:c r="A42" s="430" t="str">
        <x:v>Stage 2 Risks</x:v>
      </x:c>
      <x:c r="B42" s="431" t="str">
        <x:v>Stage 2 risk register.</x:v>
      </x:c>
      <x:c r="C42" s="431" t="str">
        <x:v>Governance/Product</x:v>
      </x:c>
      <x:c r="D42" s="431" t="str">
        <x:v>2</x:v>
      </x:c>
      <x:c r="E42" s="431" t="str">
        <x:v>Complete draft</x:v>
      </x:c>
      <x:c r="F42" s="431" t="str">
        <x:v>Review pending</x:v>
      </x:c>
      <x:c r="G42" s="431" t="str">
        <x:v>Mitigate blocking risks.</x:v>
      </x:c>
      <x:c r="H42" s="432" t="str"/>
      <x:c r="I42" s="47"/>
      <x:c r="J42" s="47"/>
      <x:c r="K42" s="47"/>
      <x:c r="L42" s="47"/>
      <x:c r="M42" s="47"/>
      <x:c r="N42" s="47"/>
      <x:c r="O42" s="47"/>
      <x:c r="P42" s="47"/>
      <x:c r="Q42" s="47"/>
      <x:c r="R42" s="47"/>
      <x:c r="S42" s="47"/>
      <x:c r="T42" s="47"/>
      <x:c r="U42" s="47"/>
      <x:c r="V42" s="47"/>
      <x:c r="W42" s="47"/>
      <x:c r="X42" s="47"/>
      <x:c r="Y42" s="47"/>
      <x:c r="Z42" s="47"/>
    </x:row>
    <x:row r="43">
      <x:c r="A43" s="394" t="str">
        <x:v>Stage 2 Decisions</x:v>
      </x:c>
      <x:c r="B43" s="200" t="str">
        <x:v>Stage 2 ADR/product decisions.</x:v>
      </x:c>
      <x:c r="C43" s="200" t="str">
        <x:v>Architecture/Product</x:v>
      </x:c>
      <x:c r="D43" s="200" t="str">
        <x:v>2</x:v>
      </x:c>
      <x:c r="E43" s="200" t="str">
        <x:v>Complete draft</x:v>
      </x:c>
      <x:c r="F43" s="200" t="str">
        <x:v>Decision review pending</x:v>
      </x:c>
      <x:c r="G43" s="200" t="str">
        <x:v>Accept/condition decisions.</x:v>
      </x:c>
      <x:c r="H43" s="395" t="str"/>
      <x:c r="I43" s="47"/>
      <x:c r="J43" s="47"/>
      <x:c r="K43" s="47"/>
      <x:c r="L43" s="47"/>
      <x:c r="M43" s="47"/>
      <x:c r="N43" s="47"/>
      <x:c r="O43" s="47"/>
      <x:c r="P43" s="47"/>
      <x:c r="Q43" s="47"/>
      <x:c r="R43" s="47"/>
      <x:c r="S43" s="47"/>
      <x:c r="T43" s="47"/>
      <x:c r="U43" s="47"/>
      <x:c r="V43" s="47"/>
      <x:c r="W43" s="47"/>
      <x:c r="X43" s="47"/>
      <x:c r="Y43" s="47"/>
      <x:c r="Z43" s="47"/>
    </x:row>
    <x:row r="44">
      <x:c r="A44" s="430" t="str">
        <x:v>Stage 2 Gate</x:v>
      </x:c>
      <x:c r="B44" s="431" t="str">
        <x:v>Stage 2 go/no-go criteria.</x:v>
      </x:c>
      <x:c r="C44" s="431" t="str">
        <x:v>Leadership/Architecture/HR/DPO</x:v>
      </x:c>
      <x:c r="D44" s="431" t="str">
        <x:v>2</x:v>
      </x:c>
      <x:c r="E44" s="431" t="str">
        <x:v>Complete criteria</x:v>
      </x:c>
      <x:c r="F44" s="431" t="str">
        <x:v>Decision pending</x:v>
      </x:c>
      <x:c r="G44" s="431" t="str">
        <x:v>Record gate outcome.</x:v>
      </x:c>
      <x:c r="H44" s="432" t="str"/>
      <x:c r="I44" s="47"/>
      <x:c r="J44" s="47"/>
      <x:c r="K44" s="47"/>
      <x:c r="L44" s="47"/>
      <x:c r="M44" s="47"/>
      <x:c r="N44" s="47"/>
      <x:c r="O44" s="47"/>
      <x:c r="P44" s="47"/>
      <x:c r="Q44" s="47"/>
      <x:c r="R44" s="47"/>
      <x:c r="S44" s="47"/>
      <x:c r="T44" s="47"/>
      <x:c r="U44" s="47"/>
      <x:c r="V44" s="47"/>
      <x:c r="W44" s="47"/>
      <x:c r="X44" s="47"/>
      <x:c r="Y44" s="47"/>
      <x:c r="Z44" s="47"/>
    </x:row>
    <x:row r="45">
      <x:c r="A45" s="394" t="str">
        <x:v>Stage 2 Sources</x:v>
      </x:c>
      <x:c r="B45" s="200" t="str">
        <x:v>Stage 2 source register.</x:v>
      </x:c>
      <x:c r="C45" s="200" t="str">
        <x:v>All</x:v>
      </x:c>
      <x:c r="D45" s="200" t="str">
        <x:v>2</x:v>
      </x:c>
      <x:c r="E45" s="200" t="str">
        <x:v>Complete</x:v>
      </x:c>
      <x:c r="F45" s="200" t="str">
        <x:v>N/A</x:v>
      </x:c>
      <x:c r="G45" s="200" t="str">
        <x:v>Maintain if sources change.</x:v>
      </x:c>
      <x:c r="H45" s="395" t="str"/>
      <x:c r="I45" s="47"/>
      <x:c r="J45" s="47"/>
      <x:c r="K45" s="47"/>
      <x:c r="L45" s="47"/>
      <x:c r="M45" s="47"/>
      <x:c r="N45" s="47"/>
      <x:c r="O45" s="47"/>
      <x:c r="P45" s="47"/>
      <x:c r="Q45" s="47"/>
      <x:c r="R45" s="47"/>
      <x:c r="S45" s="47"/>
      <x:c r="T45" s="47"/>
      <x:c r="U45" s="47"/>
      <x:c r="V45" s="47"/>
      <x:c r="W45" s="47"/>
      <x:c r="X45" s="47"/>
      <x:c r="Y45" s="47"/>
      <x:c r="Z45" s="47"/>
    </x:row>
    <x:row r="46">
      <x:c r="A46" s="430" t="str">
        <x:v>Agent Architecture</x:v>
      </x:c>
      <x:c r="B46" s="431" t="str">
        <x:v>Stage 3 endpoint architecture.</x:v>
      </x:c>
      <x:c r="C46" s="431" t="str">
        <x:v>Desktop/Platform/Security</x:v>
      </x:c>
      <x:c r="D46" s="431" t="str">
        <x:v>3</x:v>
      </x:c>
      <x:c r="E46" s="431" t="str">
        <x:v>Complete draft</x:v>
      </x:c>
      <x:c r="F46" s="431" t="str">
        <x:v>Stage 3 gate pending</x:v>
      </x:c>
      <x:c r="G46" s="431" t="str">
        <x:v>Implement skeleton after gate.</x:v>
      </x:c>
      <x:c r="H46" s="432" t="str"/>
      <x:c r="I46" s="47"/>
      <x:c r="J46" s="47"/>
      <x:c r="K46" s="47"/>
      <x:c r="L46" s="47"/>
      <x:c r="M46" s="47"/>
      <x:c r="N46" s="47"/>
      <x:c r="O46" s="47"/>
      <x:c r="P46" s="47"/>
      <x:c r="Q46" s="47"/>
      <x:c r="R46" s="47"/>
      <x:c r="S46" s="47"/>
      <x:c r="T46" s="47"/>
      <x:c r="U46" s="47"/>
      <x:c r="V46" s="47"/>
      <x:c r="W46" s="47"/>
      <x:c r="X46" s="47"/>
      <x:c r="Y46" s="47"/>
      <x:c r="Z46" s="47"/>
    </x:row>
    <x:row r="47">
      <x:c r="A47" s="394" t="str">
        <x:v>OS Capability Matrix</x:v>
      </x:c>
      <x:c r="B47" s="200" t="str">
        <x:v>Windows/macOS/Linux capability matrix.</x:v>
      </x:c>
      <x:c r="C47" s="200" t="str">
        <x:v>Desktop/QA/Security</x:v>
      </x:c>
      <x:c r="D47" s="200" t="str">
        <x:v>3</x:v>
      </x:c>
      <x:c r="E47" s="200" t="str">
        <x:v>Complete draft</x:v>
      </x:c>
      <x:c r="F47" s="200" t="str">
        <x:v>Review pending</x:v>
      </x:c>
      <x:c r="G47" s="200" t="str">
        <x:v>Run spikes.</x:v>
      </x:c>
      <x:c r="H47" s="395" t="str"/>
      <x:c r="I47" s="47"/>
      <x:c r="J47" s="47"/>
      <x:c r="K47" s="47"/>
      <x:c r="L47" s="47"/>
      <x:c r="M47" s="47"/>
      <x:c r="N47" s="47"/>
      <x:c r="O47" s="47"/>
      <x:c r="P47" s="47"/>
      <x:c r="Q47" s="47"/>
      <x:c r="R47" s="47"/>
      <x:c r="S47" s="47"/>
      <x:c r="T47" s="47"/>
      <x:c r="U47" s="47"/>
      <x:c r="V47" s="47"/>
      <x:c r="W47" s="47"/>
      <x:c r="X47" s="47"/>
      <x:c r="Y47" s="47"/>
      <x:c r="Z47" s="47"/>
    </x:row>
    <x:row r="48">
      <x:c r="A48" s="430" t="str">
        <x:v>Agent Module Specification</x:v>
      </x:c>
      <x:c r="B48" s="431" t="str">
        <x:v>Agent modules and responsibilities.</x:v>
      </x:c>
      <x:c r="C48" s="431" t="str">
        <x:v>Desktop/Engineering</x:v>
      </x:c>
      <x:c r="D48" s="431" t="str">
        <x:v>3</x:v>
      </x:c>
      <x:c r="E48" s="431" t="str">
        <x:v>Complete draft</x:v>
      </x:c>
      <x:c r="F48" s="431" t="str">
        <x:v>Review pending</x:v>
      </x:c>
      <x:c r="G48" s="431" t="str">
        <x:v>Implement modules.</x:v>
      </x:c>
      <x:c r="H48" s="432" t="str"/>
      <x:c r="I48" s="47"/>
      <x:c r="J48" s="47"/>
      <x:c r="K48" s="47"/>
      <x:c r="L48" s="47"/>
      <x:c r="M48" s="47"/>
      <x:c r="N48" s="47"/>
      <x:c r="O48" s="47"/>
      <x:c r="P48" s="47"/>
      <x:c r="Q48" s="47"/>
      <x:c r="R48" s="47"/>
      <x:c r="S48" s="47"/>
      <x:c r="T48" s="47"/>
      <x:c r="U48" s="47"/>
      <x:c r="V48" s="47"/>
      <x:c r="W48" s="47"/>
      <x:c r="X48" s="47"/>
      <x:c r="Y48" s="47"/>
      <x:c r="Z48" s="47"/>
    </x:row>
    <x:row r="49">
      <x:c r="A49" s="394" t="str">
        <x:v>Session State Machine</x:v>
      </x:c>
      <x:c r="B49" s="200" t="str">
        <x:v>Work-day/task-session state machine.</x:v>
      </x:c>
      <x:c r="C49" s="200" t="str">
        <x:v>Desktop/Product/HR</x:v>
      </x:c>
      <x:c r="D49" s="200" t="str">
        <x:v>3</x:v>
      </x:c>
      <x:c r="E49" s="200" t="str">
        <x:v>Complete draft</x:v>
      </x:c>
      <x:c r="F49" s="200" t="str">
        <x:v>Review pending</x:v>
      </x:c>
      <x:c r="G49" s="200" t="str">
        <x:v>Build state controller.</x:v>
      </x:c>
      <x:c r="H49" s="395" t="str"/>
      <x:c r="I49" s="47"/>
      <x:c r="J49" s="47"/>
      <x:c r="K49" s="47"/>
      <x:c r="L49" s="47"/>
      <x:c r="M49" s="47"/>
      <x:c r="N49" s="47"/>
      <x:c r="O49" s="47"/>
      <x:c r="P49" s="47"/>
      <x:c r="Q49" s="47"/>
      <x:c r="R49" s="47"/>
      <x:c r="S49" s="47"/>
      <x:c r="T49" s="47"/>
      <x:c r="U49" s="47"/>
      <x:c r="V49" s="47"/>
      <x:c r="W49" s="47"/>
      <x:c r="X49" s="47"/>
      <x:c r="Y49" s="47"/>
      <x:c r="Z49" s="47"/>
    </x:row>
    <x:row r="50">
      <x:c r="A50" s="430" t="str">
        <x:v>Device Identity and Key Model</x:v>
      </x:c>
      <x:c r="B50" s="431" t="str">
        <x:v>Device registration, certs, keys and revocation.</x:v>
      </x:c>
      <x:c r="C50" s="431" t="str">
        <x:v>Security/Platform</x:v>
      </x:c>
      <x:c r="D50" s="431" t="str">
        <x:v>3</x:v>
      </x:c>
      <x:c r="E50" s="431" t="str">
        <x:v>Complete draft</x:v>
      </x:c>
      <x:c r="F50" s="431" t="str">
        <x:v>Security review pending</x:v>
      </x:c>
      <x:c r="G50" s="431" t="str">
        <x:v>Implement registration/key path.</x:v>
      </x:c>
      <x:c r="H50" s="432" t="str"/>
      <x:c r="I50" s="47"/>
      <x:c r="J50" s="47"/>
      <x:c r="K50" s="47"/>
      <x:c r="L50" s="47"/>
      <x:c r="M50" s="47"/>
      <x:c r="N50" s="47"/>
      <x:c r="O50" s="47"/>
      <x:c r="P50" s="47"/>
      <x:c r="Q50" s="47"/>
      <x:c r="R50" s="47"/>
      <x:c r="S50" s="47"/>
      <x:c r="T50" s="47"/>
      <x:c r="U50" s="47"/>
      <x:c r="V50" s="47"/>
      <x:c r="W50" s="47"/>
      <x:c r="X50" s="47"/>
      <x:c r="Y50" s="47"/>
      <x:c r="Z50" s="47"/>
    </x:row>
    <x:row r="51">
      <x:c r="A51" s="394" t="str">
        <x:v>Policy Bundle</x:v>
      </x:c>
      <x:c r="B51" s="200" t="str">
        <x:v>Signed local policy bundle schema.</x:v>
      </x:c>
      <x:c r="C51" s="200" t="str">
        <x:v>Policy/Security/Desktop</x:v>
      </x:c>
      <x:c r="D51" s="200" t="str">
        <x:v>3</x:v>
      </x:c>
      <x:c r="E51" s="200" t="str">
        <x:v>Complete draft</x:v>
      </x:c>
      <x:c r="F51" s="200" t="str">
        <x:v>DPO/security review pending</x:v>
      </x:c>
      <x:c r="G51" s="200" t="str">
        <x:v>Build verifier.</x:v>
      </x:c>
      <x:c r="H51" s="395" t="str"/>
      <x:c r="I51" s="47"/>
      <x:c r="J51" s="47"/>
      <x:c r="K51" s="47"/>
      <x:c r="L51" s="47"/>
      <x:c r="M51" s="47"/>
      <x:c r="N51" s="47"/>
      <x:c r="O51" s="47"/>
      <x:c r="P51" s="47"/>
      <x:c r="Q51" s="47"/>
      <x:c r="R51" s="47"/>
      <x:c r="S51" s="47"/>
      <x:c r="T51" s="47"/>
      <x:c r="U51" s="47"/>
      <x:c r="V51" s="47"/>
      <x:c r="W51" s="47"/>
      <x:c r="X51" s="47"/>
      <x:c r="Y51" s="47"/>
      <x:c r="Z51" s="47"/>
    </x:row>
    <x:row r="52">
      <x:c r="A52" s="430" t="str">
        <x:v>Local Storage Model</x:v>
      </x:c>
      <x:c r="B52" s="431" t="str">
        <x:v>Encrypted journal and object cache.</x:v>
      </x:c>
      <x:c r="C52" s="431" t="str">
        <x:v>Desktop/Data/Security</x:v>
      </x:c>
      <x:c r="D52" s="431" t="str">
        <x:v>3</x:v>
      </x:c>
      <x:c r="E52" s="431" t="str">
        <x:v>Complete draft</x:v>
      </x:c>
      <x:c r="F52" s="431" t="str">
        <x:v>Security review pending</x:v>
      </x:c>
      <x:c r="G52" s="431" t="str">
        <x:v>Build storage prototype.</x:v>
      </x:c>
      <x:c r="H52" s="432" t="str"/>
      <x:c r="I52" s="47"/>
      <x:c r="J52" s="47"/>
      <x:c r="K52" s="47"/>
      <x:c r="L52" s="47"/>
      <x:c r="M52" s="47"/>
      <x:c r="N52" s="47"/>
      <x:c r="O52" s="47"/>
      <x:c r="P52" s="47"/>
      <x:c r="Q52" s="47"/>
      <x:c r="R52" s="47"/>
      <x:c r="S52" s="47"/>
      <x:c r="T52" s="47"/>
      <x:c r="U52" s="47"/>
      <x:c r="V52" s="47"/>
      <x:c r="W52" s="47"/>
      <x:c r="X52" s="47"/>
      <x:c r="Y52" s="47"/>
      <x:c r="Z52" s="47"/>
    </x:row>
    <x:row r="53">
      <x:c r="A53" s="394" t="str">
        <x:v>Event and API Contracts</x:v>
      </x:c>
      <x:c r="B53" s="200" t="str">
        <x:v>Stage 3 device APIs and events.</x:v>
      </x:c>
      <x:c r="C53" s="200" t="str">
        <x:v>Data/Platform/Desktop</x:v>
      </x:c>
      <x:c r="D53" s="200" t="str">
        <x:v>3</x:v>
      </x:c>
      <x:c r="E53" s="200" t="str">
        <x:v>Complete draft</x:v>
      </x:c>
      <x:c r="F53" s="200" t="str">
        <x:v>Architecture review pending</x:v>
      </x:c>
      <x:c r="G53" s="200" t="str">
        <x:v>Use in Stage 4.</x:v>
      </x:c>
      <x:c r="H53" s="395" t="str"/>
      <x:c r="I53" s="47"/>
      <x:c r="J53" s="47"/>
      <x:c r="K53" s="47"/>
      <x:c r="L53" s="47"/>
      <x:c r="M53" s="47"/>
      <x:c r="N53" s="47"/>
      <x:c r="O53" s="47"/>
      <x:c r="P53" s="47"/>
      <x:c r="Q53" s="47"/>
      <x:c r="R53" s="47"/>
      <x:c r="S53" s="47"/>
      <x:c r="T53" s="47"/>
      <x:c r="U53" s="47"/>
      <x:c r="V53" s="47"/>
      <x:c r="W53" s="47"/>
      <x:c r="X53" s="47"/>
      <x:c r="Y53" s="47"/>
      <x:c r="Z53" s="47"/>
    </x:row>
    <x:row r="54">
      <x:c r="A54" s="430" t="str">
        <x:v>Technical Spikes</x:v>
      </x:c>
      <x:c r="B54" s="431" t="str">
        <x:v>Endpoint technical spike plan.</x:v>
      </x:c>
      <x:c r="C54" s="431" t="str">
        <x:v>Desktop/QA/Security</x:v>
      </x:c>
      <x:c r="D54" s="431" t="str">
        <x:v>3</x:v>
      </x:c>
      <x:c r="E54" s="431" t="str">
        <x:v>Complete draft</x:v>
      </x:c>
      <x:c r="F54" s="431" t="str">
        <x:v>Resource approval pending</x:v>
      </x:c>
      <x:c r="G54" s="431" t="str">
        <x:v>Execute spikes.</x:v>
      </x:c>
      <x:c r="H54" s="432" t="str"/>
      <x:c r="I54" s="47"/>
      <x:c r="J54" s="47"/>
      <x:c r="K54" s="47"/>
      <x:c r="L54" s="47"/>
      <x:c r="M54" s="47"/>
      <x:c r="N54" s="47"/>
      <x:c r="O54" s="47"/>
      <x:c r="P54" s="47"/>
      <x:c r="Q54" s="47"/>
      <x:c r="R54" s="47"/>
      <x:c r="S54" s="47"/>
      <x:c r="T54" s="47"/>
      <x:c r="U54" s="47"/>
      <x:c r="V54" s="47"/>
      <x:c r="W54" s="47"/>
      <x:c r="X54" s="47"/>
      <x:c r="Y54" s="47"/>
      <x:c r="Z54" s="47"/>
    </x:row>
    <x:row r="55">
      <x:c r="A55" s="394" t="str">
        <x:v>Performance Budgets</x:v>
      </x:c>
      <x:c r="B55" s="200" t="str">
        <x:v>Endpoint performance and reliability targets.</x:v>
      </x:c>
      <x:c r="C55" s="200" t="str">
        <x:v>SRE/Desktop</x:v>
      </x:c>
      <x:c r="D55" s="200" t="str">
        <x:v>3</x:v>
      </x:c>
      <x:c r="E55" s="200" t="str">
        <x:v>Complete draft</x:v>
      </x:c>
      <x:c r="F55" s="200" t="str">
        <x:v>Validation pending</x:v>
      </x:c>
      <x:c r="G55" s="200" t="str">
        <x:v>Benchmark prototype.</x:v>
      </x:c>
      <x:c r="H55" s="395" t="str"/>
      <x:c r="I55" s="47"/>
      <x:c r="J55" s="47"/>
      <x:c r="K55" s="47"/>
      <x:c r="L55" s="47"/>
      <x:c r="M55" s="47"/>
      <x:c r="N55" s="47"/>
      <x:c r="O55" s="47"/>
      <x:c r="P55" s="47"/>
      <x:c r="Q55" s="47"/>
      <x:c r="R55" s="47"/>
      <x:c r="S55" s="47"/>
      <x:c r="T55" s="47"/>
      <x:c r="U55" s="47"/>
      <x:c r="V55" s="47"/>
      <x:c r="W55" s="47"/>
      <x:c r="X55" s="47"/>
      <x:c r="Y55" s="47"/>
      <x:c r="Z55" s="47"/>
    </x:row>
    <x:row r="56">
      <x:c r="A56" s="430" t="str">
        <x:v>Stage 3 Threat Model</x:v>
      </x:c>
      <x:c r="B56" s="431" t="str">
        <x:v>Endpoint threat model.</x:v>
      </x:c>
      <x:c r="C56" s="431" t="str">
        <x:v>CISO/Desktop/DPO</x:v>
      </x:c>
      <x:c r="D56" s="431" t="str">
        <x:v>3</x:v>
      </x:c>
      <x:c r="E56" s="431" t="str">
        <x:v>Complete draft</x:v>
      </x:c>
      <x:c r="F56" s="431" t="str">
        <x:v>Security review pending</x:v>
      </x:c>
      <x:c r="G56" s="431" t="str">
        <x:v>Validate controls.</x:v>
      </x:c>
      <x:c r="H56" s="432" t="str"/>
      <x:c r="I56" s="47"/>
      <x:c r="J56" s="47"/>
      <x:c r="K56" s="47"/>
      <x:c r="L56" s="47"/>
      <x:c r="M56" s="47"/>
      <x:c r="N56" s="47"/>
      <x:c r="O56" s="47"/>
      <x:c r="P56" s="47"/>
      <x:c r="Q56" s="47"/>
      <x:c r="R56" s="47"/>
      <x:c r="S56" s="47"/>
      <x:c r="T56" s="47"/>
      <x:c r="U56" s="47"/>
      <x:c r="V56" s="47"/>
      <x:c r="W56" s="47"/>
      <x:c r="X56" s="47"/>
      <x:c r="Y56" s="47"/>
      <x:c r="Z56" s="47"/>
    </x:row>
    <x:row r="57">
      <x:c r="A57" s="394" t="str">
        <x:v>Test Matrix</x:v>
      </x:c>
      <x:c r="B57" s="200" t="str">
        <x:v>Endpoint QA/security/performance tests.</x:v>
      </x:c>
      <x:c r="C57" s="200" t="str">
        <x:v>QA/Desktop/Security</x:v>
      </x:c>
      <x:c r="D57" s="200" t="str">
        <x:v>3</x:v>
      </x:c>
      <x:c r="E57" s="200" t="str">
        <x:v>Complete draft</x:v>
      </x:c>
      <x:c r="F57" s="200" t="str">
        <x:v>Execution pending</x:v>
      </x:c>
      <x:c r="G57" s="200" t="str">
        <x:v>Automate tests.</x:v>
      </x:c>
      <x:c r="H57" s="395" t="str"/>
      <x:c r="I57" s="47"/>
      <x:c r="J57" s="47"/>
      <x:c r="K57" s="47"/>
      <x:c r="L57" s="47"/>
      <x:c r="M57" s="47"/>
      <x:c r="N57" s="47"/>
      <x:c r="O57" s="47"/>
      <x:c r="P57" s="47"/>
      <x:c r="Q57" s="47"/>
      <x:c r="R57" s="47"/>
      <x:c r="S57" s="47"/>
      <x:c r="T57" s="47"/>
      <x:c r="U57" s="47"/>
      <x:c r="V57" s="47"/>
      <x:c r="W57" s="47"/>
      <x:c r="X57" s="47"/>
      <x:c r="Y57" s="47"/>
      <x:c r="Z57" s="47"/>
    </x:row>
    <x:row r="58">
      <x:c r="A58" s="430" t="str">
        <x:v>Repository and CI/CD Plan</x:v>
      </x:c>
      <x:c r="B58" s="431" t="str">
        <x:v>Repo, signing, SBOM, test and rollout plan.</x:v>
      </x:c>
      <x:c r="C58" s="431" t="str">
        <x:v>DevSecOps/Desktop</x:v>
      </x:c>
      <x:c r="D58" s="431" t="str">
        <x:v>3</x:v>
      </x:c>
      <x:c r="E58" s="431" t="str">
        <x:v>Complete draft</x:v>
      </x:c>
      <x:c r="F58" s="431" t="str">
        <x:v>IT/security approval pending</x:v>
      </x:c>
      <x:c r="G58" s="431" t="str">
        <x:v>Create repos/pipelines.</x:v>
      </x:c>
      <x:c r="H58" s="432" t="str"/>
      <x:c r="I58" s="47"/>
      <x:c r="J58" s="47"/>
      <x:c r="K58" s="47"/>
      <x:c r="L58" s="47"/>
      <x:c r="M58" s="47"/>
      <x:c r="N58" s="47"/>
      <x:c r="O58" s="47"/>
      <x:c r="P58" s="47"/>
      <x:c r="Q58" s="47"/>
      <x:c r="R58" s="47"/>
      <x:c r="S58" s="47"/>
      <x:c r="T58" s="47"/>
      <x:c r="U58" s="47"/>
      <x:c r="V58" s="47"/>
      <x:c r="W58" s="47"/>
      <x:c r="X58" s="47"/>
      <x:c r="Y58" s="47"/>
      <x:c r="Z58" s="47"/>
    </x:row>
    <x:row r="59">
      <x:c r="A59" s="394" t="str">
        <x:v>Stage 3 Backlog</x:v>
      </x:c>
      <x:c r="B59" s="200" t="str">
        <x:v>Implementation backlog for agent foundation.</x:v>
      </x:c>
      <x:c r="C59" s="200" t="str">
        <x:v>Programme/Desktop/Platform</x:v>
      </x:c>
      <x:c r="D59" s="200" t="str">
        <x:v>3</x:v>
      </x:c>
      <x:c r="E59" s="200" t="str">
        <x:v>Complete draft</x:v>
      </x:c>
      <x:c r="F59" s="200" t="str">
        <x:v>Resource approval pending</x:v>
      </x:c>
      <x:c r="G59" s="200" t="str">
        <x:v>Start after gate.</x:v>
      </x:c>
      <x:c r="H59" s="395" t="str"/>
      <x:c r="I59" s="47"/>
      <x:c r="J59" s="47"/>
      <x:c r="K59" s="47"/>
      <x:c r="L59" s="47"/>
      <x:c r="M59" s="47"/>
      <x:c r="N59" s="47"/>
      <x:c r="O59" s="47"/>
      <x:c r="P59" s="47"/>
      <x:c r="Q59" s="47"/>
      <x:c r="R59" s="47"/>
      <x:c r="S59" s="47"/>
      <x:c r="T59" s="47"/>
      <x:c r="U59" s="47"/>
      <x:c r="V59" s="47"/>
      <x:c r="W59" s="47"/>
      <x:c r="X59" s="47"/>
      <x:c r="Y59" s="47"/>
      <x:c r="Z59" s="47"/>
    </x:row>
    <x:row r="60">
      <x:c r="A60" s="430" t="str">
        <x:v>Stage 3 ADRs</x:v>
      </x:c>
      <x:c r="B60" s="431" t="str">
        <x:v>Stage 3 architecture decisions.</x:v>
      </x:c>
      <x:c r="C60" s="431" t="str">
        <x:v>Architecture/Desktop/Security</x:v>
      </x:c>
      <x:c r="D60" s="431" t="str">
        <x:v>3</x:v>
      </x:c>
      <x:c r="E60" s="431" t="str">
        <x:v>Complete draft</x:v>
      </x:c>
      <x:c r="F60" s="431" t="str">
        <x:v>Review pending</x:v>
      </x:c>
      <x:c r="G60" s="431" t="str">
        <x:v>Approve/condition.</x:v>
      </x:c>
      <x:c r="H60" s="432" t="str"/>
      <x:c r="I60" s="47"/>
      <x:c r="J60" s="47"/>
      <x:c r="K60" s="47"/>
      <x:c r="L60" s="47"/>
      <x:c r="M60" s="47"/>
      <x:c r="N60" s="47"/>
      <x:c r="O60" s="47"/>
      <x:c r="P60" s="47"/>
      <x:c r="Q60" s="47"/>
      <x:c r="R60" s="47"/>
      <x:c r="S60" s="47"/>
      <x:c r="T60" s="47"/>
      <x:c r="U60" s="47"/>
      <x:c r="V60" s="47"/>
      <x:c r="W60" s="47"/>
      <x:c r="X60" s="47"/>
      <x:c r="Y60" s="47"/>
      <x:c r="Z60" s="47"/>
    </x:row>
    <x:row r="61">
      <x:c r="A61" s="394" t="str">
        <x:v>Stage 3 Gate</x:v>
      </x:c>
      <x:c r="B61" s="200" t="str">
        <x:v>Stage 3 go/no-go criteria.</x:v>
      </x:c>
      <x:c r="C61" s="200" t="str">
        <x:v>Leadership/CTO/CISO/DPO</x:v>
      </x:c>
      <x:c r="D61" s="200" t="str">
        <x:v>3</x:v>
      </x:c>
      <x:c r="E61" s="200" t="str">
        <x:v>Complete criteria</x:v>
      </x:c>
      <x:c r="F61" s="200" t="str">
        <x:v>Decision pending</x:v>
      </x:c>
      <x:c r="G61" s="200" t="str">
        <x:v>Record gate outcome.</x:v>
      </x:c>
      <x:c r="H61" s="395" t="str"/>
      <x:c r="I61" s="47"/>
      <x:c r="J61" s="47"/>
      <x:c r="K61" s="47"/>
      <x:c r="L61" s="47"/>
      <x:c r="M61" s="47"/>
      <x:c r="N61" s="47"/>
      <x:c r="O61" s="47"/>
      <x:c r="P61" s="47"/>
      <x:c r="Q61" s="47"/>
      <x:c r="R61" s="47"/>
      <x:c r="S61" s="47"/>
      <x:c r="T61" s="47"/>
      <x:c r="U61" s="47"/>
      <x:c r="V61" s="47"/>
      <x:c r="W61" s="47"/>
      <x:c r="X61" s="47"/>
      <x:c r="Y61" s="47"/>
      <x:c r="Z61" s="47"/>
    </x:row>
    <x:row r="62">
      <x:c r="A62" s="437" t="str">
        <x:v>Stage 3 Sources</x:v>
      </x:c>
      <x:c r="B62" s="438" t="str">
        <x:v>Stage 3 source register.</x:v>
      </x:c>
      <x:c r="C62" s="438" t="str">
        <x:v>All</x:v>
      </x:c>
      <x:c r="D62" s="438" t="str">
        <x:v>3</x:v>
      </x:c>
      <x:c r="E62" s="438" t="str">
        <x:v>Complete</x:v>
      </x:c>
      <x:c r="F62" s="438" t="str">
        <x:v>N/A</x:v>
      </x:c>
      <x:c r="G62" s="438" t="str">
        <x:v>Maintain if APIs change.</x:v>
      </x:c>
      <x:c r="H62" s="439" t="str"/>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F4:J4"/>
    <x:mergeCell ref="G5:J5"/>
    <x:mergeCell ref="G6:J6"/>
    <x:mergeCell ref="G7:J7"/>
    <x:mergeCell ref="G8:J8"/>
    <x:mergeCell ref="G9:J9"/>
    <x:mergeCell ref="A1:H1"/>
    <x:mergeCell ref="A2:H2"/>
  </x:mergeCells>
  <x:pageMargins left="0.7" right="0.7" top="0.75" bottom="0.75" header="0.3" footer="0.3"/>
  <x:tableParts count="1">
    <x:tablePart xmlns:r="http://schemas.openxmlformats.org/officeDocument/2006/relationships" r:id="R5f71482753eb40f2"/>
  </x:tableParts>
</x:worksheet>
</file>

<file path=xl/worksheets/sheet2.xml><?xml version="1.0" encoding="utf-8"?>
<x:worksheet xmlns:x="http://schemas.openxmlformats.org/spreadsheetml/2006/main">
  <x:sheetFormatPr defaultRowHeight="15"/>
  <x:cols>
    <x:col min="1" max="1" width="28" hidden="0" customWidth="1"/>
    <x:col min="2" max="2" width="78" hidden="0" customWidth="1"/>
    <x:col min="3" max="3" width="24" hidden="0" customWidth="1"/>
    <x:col min="4" max="4" width="44" hidden="0" customWidth="1"/>
  </x:cols>
  <x:sheetData>
    <x:row r="1" ht="30" customHeight="1">
      <x:c r="A1" s="161" t="str">
        <x:v>Executive Charter — Foundation Decision Summary</x:v>
      </x:c>
      <x:c r="B1" s="161"/>
      <x:c r="C1" s="161"/>
      <x:c r="D1" s="161"/>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164" t="str">
        <x:v>Concise leadership view. The detailed charter is maintained in Product Charter v1; governance and architecture approvals remain formally pending.</x:v>
      </x:c>
      <x:c r="B2" s="164"/>
      <x:c r="C2" s="164"/>
      <x:c r="D2" s="164"/>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Area</x:v>
      </x:c>
      <x:c r="B4" s="170" t="str">
        <x:v>Foundation decision</x:v>
      </x:c>
      <x:c r="C4" s="170" t="str">
        <x:v>Current state</x:v>
      </x:c>
      <x:c r="D4" s="175" t="str">
        <x:v>Required leadership action</x:v>
      </x:c>
      <x:c r="E4" s="47"/>
      <x:c r="F4" s="47"/>
      <x:c r="G4" s="47"/>
      <x:c r="H4" s="47"/>
      <x:c r="I4" s="47"/>
      <x:c r="J4" s="47"/>
      <x:c r="K4" s="47"/>
      <x:c r="L4" s="47"/>
      <x:c r="M4" s="47"/>
      <x:c r="N4" s="47"/>
      <x:c r="O4" s="47"/>
      <x:c r="P4" s="47"/>
      <x:c r="Q4" s="47"/>
      <x:c r="R4" s="47"/>
      <x:c r="S4" s="47"/>
      <x:c r="T4" s="47"/>
      <x:c r="U4" s="47"/>
      <x:c r="V4" s="47"/>
      <x:c r="W4" s="47"/>
      <x:c r="X4" s="47"/>
      <x:c r="Y4" s="47"/>
      <x:c r="Z4" s="47"/>
    </x:row>
    <x:row r="5">
      <x:c r="A5" s="197" t="str">
        <x:v>Company</x:v>
      </x:c>
      <x:c r="B5" s="198" t="str">
        <x:v>Nessovo</x:v>
      </x:c>
      <x:c r="C5" s="198" t="str">
        <x:v>Confirmed</x:v>
      </x:c>
      <x:c r="D5" s="220" t="str">
        <x:v>Use as canonical company name.</x:v>
      </x:c>
      <x:c r="E5" s="47"/>
      <x:c r="F5" s="47"/>
      <x:c r="G5" s="47"/>
      <x:c r="H5" s="47"/>
      <x:c r="I5" s="47"/>
      <x:c r="J5" s="47"/>
      <x:c r="K5" s="47"/>
      <x:c r="L5" s="47"/>
      <x:c r="M5" s="47"/>
      <x:c r="N5" s="47"/>
      <x:c r="O5" s="47"/>
      <x:c r="P5" s="47"/>
      <x:c r="Q5" s="47"/>
      <x:c r="R5" s="47"/>
      <x:c r="S5" s="47"/>
      <x:c r="T5" s="47"/>
      <x:c r="U5" s="47"/>
      <x:c r="V5" s="47"/>
      <x:c r="W5" s="47"/>
      <x:c r="X5" s="47"/>
      <x:c r="Y5" s="47"/>
      <x:c r="Z5" s="47"/>
    </x:row>
    <x:row r="6">
      <x:c r="A6" s="205" t="str">
        <x:v>Platform placement</x:v>
      </x:c>
      <x:c r="B6" s="206" t="str">
        <x:v>HumanOS Work Intelligence is a HumanOS module, reusing foundation microservices and supporting future business verticals.</x:v>
      </x:c>
      <x:c r="C6" s="206" t="str">
        <x:v>Draft complete</x:v>
      </x:c>
      <x:c r="D6" s="207" t="str">
        <x:v>Approve platform placement.</x:v>
      </x:c>
      <x:c r="E6" s="47"/>
      <x:c r="F6" s="47"/>
      <x:c r="G6" s="47"/>
      <x:c r="H6" s="47"/>
      <x:c r="I6" s="47"/>
      <x:c r="J6" s="47"/>
      <x:c r="K6" s="47"/>
      <x:c r="L6" s="47"/>
      <x:c r="M6" s="47"/>
      <x:c r="N6" s="47"/>
      <x:c r="O6" s="47"/>
      <x:c r="P6" s="47"/>
      <x:c r="Q6" s="47"/>
      <x:c r="R6" s="47"/>
      <x:c r="S6" s="47"/>
      <x:c r="T6" s="47"/>
      <x:c r="U6" s="47"/>
      <x:c r="V6" s="47"/>
      <x:c r="W6" s="47"/>
      <x:c r="X6" s="47"/>
      <x:c r="Y6" s="47"/>
      <x:c r="Z6" s="47"/>
    </x:row>
    <x:row r="7">
      <x:c r="A7" s="199" t="str">
        <x:v>Product definition</x:v>
      </x:c>
      <x:c r="B7" s="200" t="str">
        <x:v>Task-aware human-and-AI work intelligence that reconstructs evidence, assures outcomes, develops capability and improves HumanOS skills.</x:v>
      </x:c>
      <x:c r="C7" s="200" t="str">
        <x:v>Draft complete</x:v>
      </x:c>
      <x:c r="D7" s="201" t="str">
        <x:v>Approve charter and working product name.</x:v>
      </x:c>
      <x:c r="E7" s="47"/>
      <x:c r="F7" s="47"/>
      <x:c r="G7" s="47"/>
      <x:c r="H7" s="47"/>
      <x:c r="I7" s="47"/>
      <x:c r="J7" s="47"/>
      <x:c r="K7" s="47"/>
      <x:c r="L7" s="47"/>
      <x:c r="M7" s="47"/>
      <x:c r="N7" s="47"/>
      <x:c r="O7" s="47"/>
      <x:c r="P7" s="47"/>
      <x:c r="Q7" s="47"/>
      <x:c r="R7" s="47"/>
      <x:c r="S7" s="47"/>
      <x:c r="T7" s="47"/>
      <x:c r="U7" s="47"/>
      <x:c r="V7" s="47"/>
      <x:c r="W7" s="47"/>
      <x:c r="X7" s="47"/>
      <x:c r="Y7" s="47"/>
      <x:c r="Z7" s="47"/>
    </x:row>
    <x:row r="8">
      <x:c r="A8" s="205" t="str">
        <x:v>Strategic position</x:v>
      </x:c>
      <x:c r="B8" s="206" t="str">
        <x:v>Task execution assurance, capability development and human–AI work governance—not activity-volume surveillance.</x:v>
      </x:c>
      <x:c r="C8" s="206" t="str">
        <x:v>Draft complete</x:v>
      </x:c>
      <x:c r="D8" s="207" t="str">
        <x:v>Approve market position.</x:v>
      </x:c>
      <x:c r="E8" s="47"/>
      <x:c r="F8" s="47"/>
      <x:c r="G8" s="47"/>
      <x:c r="H8" s="47"/>
      <x:c r="I8" s="47"/>
      <x:c r="J8" s="47"/>
      <x:c r="K8" s="47"/>
      <x:c r="L8" s="47"/>
      <x:c r="M8" s="47"/>
      <x:c r="N8" s="47"/>
      <x:c r="O8" s="47"/>
      <x:c r="P8" s="47"/>
      <x:c r="Q8" s="47"/>
      <x:c r="R8" s="47"/>
      <x:c r="S8" s="47"/>
      <x:c r="T8" s="47"/>
      <x:c r="U8" s="47"/>
      <x:c r="V8" s="47"/>
      <x:c r="W8" s="47"/>
      <x:c r="X8" s="47"/>
      <x:c r="Y8" s="47"/>
      <x:c r="Z8" s="47"/>
    </x:row>
    <x:row r="9">
      <x:c r="A9" s="199" t="str">
        <x:v>Initial vertical</x:v>
      </x:c>
      <x:c r="B9" s="200" t="str">
        <x:v>AI-assisted software development on company-managed Windows and macOS devices.</x:v>
      </x:c>
      <x:c r="C9" s="200" t="str">
        <x:v>Draft complete</x:v>
      </x:c>
      <x:c r="D9" s="201" t="str">
        <x:v>Approve pilot scope and cohort.</x:v>
      </x:c>
      <x:c r="E9" s="47"/>
      <x:c r="F9" s="47"/>
      <x:c r="G9" s="47"/>
      <x:c r="H9" s="47"/>
      <x:c r="I9" s="47"/>
      <x:c r="J9" s="47"/>
      <x:c r="K9" s="47"/>
      <x:c r="L9" s="47"/>
      <x:c r="M9" s="47"/>
      <x:c r="N9" s="47"/>
      <x:c r="O9" s="47"/>
      <x:c r="P9" s="47"/>
      <x:c r="Q9" s="47"/>
      <x:c r="R9" s="47"/>
      <x:c r="S9" s="47"/>
      <x:c r="T9" s="47"/>
      <x:c r="U9" s="47"/>
      <x:c r="V9" s="47"/>
      <x:c r="W9" s="47"/>
      <x:c r="X9" s="47"/>
      <x:c r="Y9" s="47"/>
      <x:c r="Z9" s="47"/>
    </x:row>
    <x:row r="10">
      <x:c r="A10" s="205" t="str">
        <x:v>Core proprietary capabilities</x:v>
      </x:c>
      <x:c r="B10" s="206" t="str">
        <x:v>Evidence/provenance graph; Task Assurance; Capability Graph; Growth Coach; governed Skill Forge.</x:v>
      </x:c>
      <x:c r="C10" s="206" t="str">
        <x:v>Draft complete</x:v>
      </x:c>
      <x:c r="D10" s="207" t="str">
        <x:v>Approve build focus.</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199" t="str">
        <x:v>Commodity/reference capabilities</x:v>
      </x:c>
      <x:c r="B11" s="200" t="str">
        <x:v>Application/window/browser activity, event streaming, object storage, operational observability and standard OS capture primitives.</x:v>
      </x:c>
      <x:c r="C11" s="200" t="str">
        <x:v>Draft complete</x:v>
      </x:c>
      <x:c r="D11" s="201" t="str">
        <x:v>Approve build/buy/reference strategy.</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205" t="str">
        <x:v>Employee value</x:v>
      </x:c>
      <x:c r="B12" s="206" t="str">
        <x:v>Fair work attribution, blocker explanation, transparent evidence, correction rights, contextual coaching and skill progression.</x:v>
      </x:c>
      <x:c r="C12" s="206" t="str">
        <x:v>Draft complete</x:v>
      </x:c>
      <x:c r="D12" s="207" t="str">
        <x:v>Require measurable employee benefit in pilot.</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199" t="str">
        <x:v>Employer value</x:v>
      </x:c>
      <x:c r="B13" s="200" t="str">
        <x:v>Evidence-linked task outcomes, quality, blockers, capability gaps, training effectiveness and safer AI-agent use.</x:v>
      </x:c>
      <x:c r="C13" s="200" t="str">
        <x:v>Draft complete</x:v>
      </x:c>
      <x:c r="D13" s="201" t="str">
        <x:v>Require exception-led reporting and human judgement.</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205" t="str">
        <x:v>Governance boundary</x:v>
      </x:c>
      <x:c r="B14" s="206" t="str">
        <x:v>No covert general monitoring, emotion/personality inference, click/keystroke productivity scoring or solely automated consequential employment decisions.</x:v>
      </x:c>
      <x:c r="C14" s="206" t="str">
        <x:v>Draft complete</x:v>
      </x:c>
      <x:c r="D14" s="207" t="str">
        <x:v>Approve prohibited uses and policy enforcement.</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199" t="str">
        <x:v>Employee rights</x:v>
      </x:c>
      <x:c r="B15" s="200" t="str">
        <x:v>Visible monitoring, own evidence access, correction, explanation, dispute and meaningful human review.</x:v>
      </x:c>
      <x:c r="C15" s="200" t="str">
        <x:v>Draft complete</x:v>
      </x:c>
      <x:c r="D15" s="201" t="str">
        <x:v>Approve operational rights workflow.</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205" t="str">
        <x:v>Data principle</x:v>
      </x:c>
      <x:c r="B16" s="206" t="str">
        <x:v>Minimum necessary, task-scoped evidence with local exclusion/redaction and short raw retention.</x:v>
      </x:c>
      <x:c r="C16" s="206" t="str">
        <x:v>Draft complete</x:v>
      </x:c>
      <x:c r="D16" s="207" t="str">
        <x:v>Commission full DPIA and legal review.</x:v>
      </x:c>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199" t="str">
        <x:v>Architecture</x:v>
      </x:c>
      <x:c r="B17" s="200" t="str">
        <x:v>Rust/native endpoint agent; Java/Spring durable HumanOS domains; Python AI/evaluation workers; Kafka-compatible events; PostgreSQL/object storage first.</x:v>
      </x:c>
      <x:c r="C17" s="200" t="str">
        <x:v>Draft complete</x:v>
      </x:c>
      <x:c r="D17" s="201" t="str">
        <x:v>Architecture Board review.</x:v>
      </x:c>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205" t="str">
        <x:v>Microservice strategy</x:v>
      </x:c>
      <x:c r="B18" s="206" t="str">
        <x:v>Approximately eight initial Work Intelligence deployables plus reused HumanOS foundations; split only for proven security, scale, ownership, availability or transactional boundaries.</x:v>
      </x:c>
      <x:c r="C18" s="206" t="str">
        <x:v>Draft complete</x:v>
      </x:c>
      <x:c r="D18" s="207" t="str">
        <x:v>Reject premature nano-services.</x:v>
      </x:c>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Java/Spring baseline</x:v>
      </x:c>
      <x:c r="B19" s="200" t="str">
        <x:v>Retain the current supported HumanOS baseline unless migration is justified; benchmark Java 25 LTS with Spring Boot 4.1 and compatible Spring Cloud for greenfield-compatible services.</x:v>
      </x:c>
      <x:c r="C19" s="200" t="str">
        <x:v>Platform inventory required</x:v>
      </x:c>
      <x:c r="D19" s="201" t="str">
        <x:v>Confirm current HumanOS versions and migration policy.</x:v>
      </x:c>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5" t="str">
        <x:v>Stage structure</x:v>
      </x:c>
      <x:c r="B20" s="206" t="str">
        <x:v>Stage 0 and Stage 1 operate as one Foundation &amp; Validation workstream but retain separate formal gates.</x:v>
      </x:c>
      <x:c r="C20" s="206" t="str">
        <x:v>Confirmed planning model</x:v>
      </x:c>
      <x:c r="D20" s="207" t="str">
        <x:v>Record Stage 0 and Stage 1 decisions independently.</x:v>
      </x:c>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199" t="str">
        <x:v>Current readiness</x:v>
      </x:c>
      <x:c r="B21" s="200" t="str">
        <x:v>Foundation research and draft artefacts are complete; legal/DPO, worker consultation, security, licence, cost, architecture and resourcing decisions remain.</x:v>
      </x:c>
      <x:c r="C21" s="200" t="str">
        <x:v>Gate pending</x:v>
      </x:c>
      <x:c r="D21" s="201" t="str">
        <x:v>Resolve dashboard decision list.</x:v>
      </x:c>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208" t="str">
        <x:v>Next mobilisation</x:v>
      </x:c>
      <x:c r="B22" s="209" t="str">
        <x:v>Stage 2 Role/Task/Capability Ontology and Stage 3 Device Agent Foundation.</x:v>
      </x:c>
      <x:c r="C22" s="209" t="str">
        <x:v>Prompts ready</x:v>
      </x:c>
      <x:c r="D22" s="210" t="str">
        <x:v>Mobilise only under gate conditions and named ownership.</x:v>
      </x:c>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D1"/>
    <x:mergeCell ref="A2:D2"/>
  </x:mergeCells>
  <x:pageMargins left="0.7" right="0.7" top="0.75" bottom="0.75" header="0.3" footer="0.3"/>
  <x:tableParts count="1">
    <x:tablePart xmlns:r="http://schemas.openxmlformats.org/officeDocument/2006/relationships" r:id="R487ff01e4bda4a02"/>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52" hidden="0" customWidth="1"/>
    <x:col min="4" max="4" width="46" hidden="0" customWidth="1"/>
    <x:col min="5" max="5" width="52" hidden="0" customWidth="1"/>
    <x:col min="6" max="6" width="42" hidden="0" customWidth="1"/>
    <x:col min="7" max="7" width="14" hidden="0" customWidth="1"/>
    <x:col min="8" max="8" width="48" hidden="0" customWidth="1"/>
    <x:col min="9" max="9" width="34" hidden="0" customWidth="1"/>
  </x:cols>
  <x:sheetData>
    <x:row r="1" ht="30" customHeight="1">
      <x:c r="A1" s="161" t="str">
        <x:v>Market Landscape — Commercial and Category References</x:v>
      </x:c>
      <x:c r="B1" s="161"/>
      <x:c r="C1" s="161"/>
      <x:c r="D1" s="161"/>
      <x:c r="E1" s="161"/>
      <x:c r="F1" s="161"/>
      <x:c r="G1" s="161"/>
      <x:c r="H1" s="161"/>
      <x:c r="I1" s="161"/>
      <x:c r="J1" s="65"/>
      <x:c r="K1" s="65"/>
      <x:c r="L1" s="65"/>
      <x:c r="M1" s="65"/>
      <x:c r="N1" s="65"/>
      <x:c r="O1" s="65"/>
      <x:c r="P1" s="65"/>
      <x:c r="Q1" s="65"/>
      <x:c r="R1" s="65"/>
      <x:c r="S1" s="65"/>
      <x:c r="T1" s="65"/>
      <x:c r="U1" s="65"/>
      <x:c r="V1" s="65"/>
      <x:c r="W1" s="65"/>
      <x:c r="X1" s="65"/>
      <x:c r="Y1" s="65"/>
      <x:c r="Z1" s="65"/>
    </x:row>
    <x:row r="2" ht="34" customHeight="1">
      <x:c r="A2" s="164" t="str">
        <x:v>No single reviewed platform provides Nessovo's complete combination. The strategic gap is the integrated evidence → task assurance → capability development → governed self-improvement loop.</x:v>
      </x:c>
      <x:c r="B2" s="164"/>
      <x:c r="C2" s="164"/>
      <x:c r="D2" s="164"/>
      <x:c r="E2" s="164"/>
      <x:c r="F2" s="164"/>
      <x:c r="G2" s="164"/>
      <x:c r="H2" s="164"/>
      <x:c r="I2" s="164"/>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Vendor / system</x:v>
      </x:c>
      <x:c r="B4" s="170" t="str">
        <x:v>Category</x:v>
      </x:c>
      <x:c r="C4" s="170" t="str">
        <x:v>Proven market capability</x:v>
      </x:c>
      <x:c r="D4" s="170" t="str">
        <x:v>Relevant lesson</x:v>
      </x:c>
      <x:c r="E4" s="170" t="str">
        <x:v>Limit relative to Nessovo target</x:v>
      </x:c>
      <x:c r="F4" s="170" t="str">
        <x:v>Nessovo action</x:v>
      </x:c>
      <x:c r="G4" s="170" t="str">
        <x:v>Strategic relevance</x:v>
      </x:c>
      <x:c r="H4" s="170" t="str">
        <x:v>Source URL</x:v>
      </x:c>
      <x:c r="I4" s="175" t="str">
        <x:v>Research note</x:v>
      </x:c>
      <x:c r="J4" s="47"/>
      <x:c r="K4" s="47"/>
      <x:c r="L4" s="47"/>
      <x:c r="M4" s="47"/>
      <x:c r="N4" s="47"/>
      <x:c r="O4" s="47"/>
      <x:c r="P4" s="47"/>
      <x:c r="Q4" s="47"/>
      <x:c r="R4" s="47"/>
      <x:c r="S4" s="47"/>
      <x:c r="T4" s="47"/>
      <x:c r="U4" s="47"/>
      <x:c r="V4" s="47"/>
      <x:c r="W4" s="47"/>
      <x:c r="X4" s="47"/>
      <x:c r="Y4" s="47"/>
      <x:c r="Z4" s="47"/>
    </x:row>
    <x:row r="5">
      <x:c r="A5" s="197" t="str">
        <x:v>Teramind</x:v>
      </x:c>
      <x:c r="B5" s="198" t="str">
        <x:v>Employee monitoring / insider risk</x:v>
      </x:c>
      <x:c r="C5" s="198" t="str">
        <x:v>Screen recording/playback, keystrokes, applications, websites, active/idle and behavioural controls.</x:v>
      </x:c>
      <x:c r="D5" s="198" t="str">
        <x:v>Comprehensive desktop monitoring is commercially established.</x:v>
      </x:c>
      <x:c r="E5" s="198" t="str">
        <x:v>Primarily observes and governs activity; does not provide evidence-linked task contracts, capability progression and Skill Forge.</x:v>
      </x:c>
      <x:c r="F5" s="198" t="str">
        <x:v>Benchmark control coverage; do not use as product core unless later enterprise connector is justified.</x:v>
      </x:c>
      <x:c r="G5" s="198" t="str">
        <x:v>High</x:v>
      </x:c>
      <x:c r="H5" s="198" t="str">
        <x:v>https://www.teramind.co/solutions/employee-monitoring/</x:v>
      </x:c>
      <x:c r="I5" s="220" t="str">
        <x:v>Closest commercial baseline for raw monitoring.</x:v>
      </x:c>
      <x:c r="J5" s="47"/>
      <x:c r="K5" s="47"/>
      <x:c r="L5" s="47"/>
      <x:c r="M5" s="47"/>
      <x:c r="N5" s="47"/>
      <x:c r="O5" s="47"/>
      <x:c r="P5" s="47"/>
      <x:c r="Q5" s="47"/>
      <x:c r="R5" s="47"/>
      <x:c r="S5" s="47"/>
      <x:c r="T5" s="47"/>
      <x:c r="U5" s="47"/>
      <x:c r="V5" s="47"/>
      <x:c r="W5" s="47"/>
      <x:c r="X5" s="47"/>
      <x:c r="Y5" s="47"/>
      <x:c r="Z5" s="47"/>
    </x:row>
    <x:row r="6">
      <x:c r="A6" s="205" t="str">
        <x:v>ActivTrak</x:v>
      </x:c>
      <x:c r="B6" s="206" t="str">
        <x:v>Workforce analytics / AI adoption</x:v>
      </x:c>
      <x:c r="C6" s="206" t="str">
        <x:v>Application and website analytics, work patterns, productivity/capacity views, AI usage and coaching-oriented insights.</x:v>
      </x:c>
      <x:c r="D6" s="206" t="str">
        <x:v>Management demand is moving from time tracking to workforce and AI-use intelligence.</x:v>
      </x:c>
      <x:c r="E6" s="206" t="str">
        <x:v>Aggregate behavioural analytics rather than exact causal task reconstruction and technical-quality assurance.</x:v>
      </x:c>
      <x:c r="F6" s="206" t="str">
        <x:v>Benchmark reporting and manager experience.</x:v>
      </x:c>
      <x:c r="G6" s="206" t="str">
        <x:v>High</x:v>
      </x:c>
      <x:c r="H6" s="206" t="str">
        <x:v>https://support.activtrak.com/hc/en-us/articles/50125731483675-AI-Insights-Add-on</x:v>
      </x:c>
      <x:c r="I6" s="207" t="str">
        <x:v>Relevant to reporting and adoption metrics.</x:v>
      </x:c>
      <x:c r="J6" s="47"/>
      <x:c r="K6" s="47"/>
      <x:c r="L6" s="47"/>
      <x:c r="M6" s="47"/>
      <x:c r="N6" s="47"/>
      <x:c r="O6" s="47"/>
      <x:c r="P6" s="47"/>
      <x:c r="Q6" s="47"/>
      <x:c r="R6" s="47"/>
      <x:c r="S6" s="47"/>
      <x:c r="T6" s="47"/>
      <x:c r="U6" s="47"/>
      <x:c r="V6" s="47"/>
      <x:c r="W6" s="47"/>
      <x:c r="X6" s="47"/>
      <x:c r="Y6" s="47"/>
      <x:c r="Z6" s="47"/>
    </x:row>
    <x:row r="7">
      <x:c r="A7" s="199" t="str">
        <x:v>UiPath Task Mining / Task Capture</x:v>
      </x:c>
      <x:c r="B7" s="200" t="str">
        <x:v>Task mining / automation discovery</x:v>
      </x:c>
      <x:c r="C7" s="200" t="str">
        <x:v>Desktop screenshots, clicks/keyboard actions, UI elements, process sequences and automation opportunity discovery.</x:v>
      </x:c>
      <x:c r="D7" s="200" t="str">
        <x:v>Action-level capture and workflow reconstruction are proven enterprise patterns.</x:v>
      </x:c>
      <x:c r="E7" s="200" t="str">
        <x:v>Optimised for process discovery/automation rather than individual task-outcome assurance and capability development.</x:v>
      </x:c>
      <x:c r="F7" s="200" t="str">
        <x:v>Learn capture/review patterns; consider future process-platform integration.</x:v>
      </x:c>
      <x:c r="G7" s="200" t="str">
        <x:v>High</x:v>
      </x:c>
      <x:c r="H7" s="200" t="str">
        <x:v>https://docs.uipath.com/task-capture/standalone/2021.10/user-guide/capture-settings</x:v>
      </x:c>
      <x:c r="I7" s="201" t="str">
        <x:v>Strong evidence that click + screenshot + UI context is viable.</x:v>
      </x:c>
      <x:c r="J7" s="47"/>
      <x:c r="K7" s="47"/>
      <x:c r="L7" s="47"/>
      <x:c r="M7" s="47"/>
      <x:c r="N7" s="47"/>
      <x:c r="O7" s="47"/>
      <x:c r="P7" s="47"/>
      <x:c r="Q7" s="47"/>
      <x:c r="R7" s="47"/>
      <x:c r="S7" s="47"/>
      <x:c r="T7" s="47"/>
      <x:c r="U7" s="47"/>
      <x:c r="V7" s="47"/>
      <x:c r="W7" s="47"/>
      <x:c r="X7" s="47"/>
      <x:c r="Y7" s="47"/>
      <x:c r="Z7" s="47"/>
    </x:row>
    <x:row r="8">
      <x:c r="A8" s="205" t="str">
        <x:v>ABBYY Timeline Task Mining</x:v>
      </x:c>
      <x:c r="B8" s="206" t="str">
        <x:v>Task/process intelligence</x:v>
      </x:c>
      <x:c r="C8" s="206" t="str">
        <x:v>Screen snapshots, buttons clicked, text entered, application usage and task association.</x:v>
      </x:c>
      <x:c r="D8" s="206" t="str">
        <x:v>Task definitions can organise raw user actions into analysable sequences.</x:v>
      </x:c>
      <x:c r="E8" s="206" t="str">
        <x:v>Does not provide the complete role-claim, capability, real-time coaching and self-improvement model.</x:v>
      </x:c>
      <x:c r="F8" s="206" t="str">
        <x:v>Learn task-segmentation and process-variant concepts.</x:v>
      </x:c>
      <x:c r="G8" s="206" t="str">
        <x:v>High</x:v>
      </x:c>
      <x:c r="H8" s="206" t="str">
        <x:v>https://help.abbyy.com/en-us/timeline/6/user_guide/task-mining</x:v>
      </x:c>
      <x:c r="I8" s="207" t="str"/>
      <x:c r="J8" s="47"/>
      <x:c r="K8" s="47"/>
      <x:c r="L8" s="47"/>
      <x:c r="M8" s="47"/>
      <x:c r="N8" s="47"/>
      <x:c r="O8" s="47"/>
      <x:c r="P8" s="47"/>
      <x:c r="Q8" s="47"/>
      <x:c r="R8" s="47"/>
      <x:c r="S8" s="47"/>
      <x:c r="T8" s="47"/>
      <x:c r="U8" s="47"/>
      <x:c r="V8" s="47"/>
      <x:c r="W8" s="47"/>
      <x:c r="X8" s="47"/>
      <x:c r="Y8" s="47"/>
      <x:c r="Z8" s="47"/>
    </x:row>
    <x:row r="9">
      <x:c r="A9" s="199" t="str">
        <x:v>Soroco Scout</x:v>
      </x:c>
      <x:c r="B9" s="200" t="str">
        <x:v>Work graph / process intelligence</x:v>
      </x:c>
      <x:c r="C9" s="200" t="str">
        <x:v>Maps team-machine interactions, process variants, workarounds, effort leakage and automation opportunities.</x:v>
      </x:c>
      <x:c r="D9" s="200" t="str">
        <x:v>A work-graph framing is strategically close to Nessovo's evidence/provenance graph.</x:v>
      </x:c>
      <x:c r="E9" s="200" t="str">
        <x:v>Generally team/process-oriented and privacy-minimised rather than exact individual task assurance and training.</x:v>
      </x:c>
      <x:c r="F9" s="200" t="str">
        <x:v>Benchmark graph terminology and enterprise process use cases.</x:v>
      </x:c>
      <x:c r="G9" s="200" t="str">
        <x:v>Medium</x:v>
      </x:c>
      <x:c r="H9" s="200" t="str">
        <x:v>https://soroco.com/</x:v>
      </x:c>
      <x:c r="I9" s="201" t="str"/>
      <x:c r="J9" s="47"/>
      <x:c r="K9" s="47"/>
      <x:c r="L9" s="47"/>
      <x:c r="M9" s="47"/>
      <x:c r="N9" s="47"/>
      <x:c r="O9" s="47"/>
      <x:c r="P9" s="47"/>
      <x:c r="Q9" s="47"/>
      <x:c r="R9" s="47"/>
      <x:c r="S9" s="47"/>
      <x:c r="T9" s="47"/>
      <x:c r="U9" s="47"/>
      <x:c r="V9" s="47"/>
      <x:c r="W9" s="47"/>
      <x:c r="X9" s="47"/>
      <x:c r="Y9" s="47"/>
      <x:c r="Z9" s="47"/>
    </x:row>
    <x:row r="10">
      <x:c r="A10" s="205" t="str">
        <x:v>Workfellow</x:v>
      </x:c>
      <x:c r="B10" s="206" t="str">
        <x:v>Process intelligence / task mining</x:v>
      </x:c>
      <x:c r="C10" s="206" t="str">
        <x:v>Combines process and task mining to locate workflow friction and automation potential.</x:v>
      </x:c>
      <x:c r="D10" s="206" t="str">
        <x:v>There is demand for understanding how work actually flows across systems.</x:v>
      </x:c>
      <x:c r="E10" s="206" t="str">
        <x:v>Limited public evidence of exact text, technical outcome validation or longitudinal capability development.</x:v>
      </x:c>
      <x:c r="F10" s="206" t="str">
        <x:v>Watch and compare process-intelligence partnerships.</x:v>
      </x:c>
      <x:c r="G10" s="206" t="str">
        <x:v>Medium</x:v>
      </x:c>
      <x:c r="H10" s="206" t="str">
        <x:v>https://www.workfellow.ai/</x:v>
      </x:c>
      <x:c r="I10" s="207" t="str"/>
      <x:c r="J10" s="47"/>
      <x:c r="K10" s="47"/>
      <x:c r="L10" s="47"/>
      <x:c r="M10" s="47"/>
      <x:c r="N10" s="47"/>
      <x:c r="O10" s="47"/>
      <x:c r="P10" s="47"/>
      <x:c r="Q10" s="47"/>
      <x:c r="R10" s="47"/>
      <x:c r="S10" s="47"/>
      <x:c r="T10" s="47"/>
      <x:c r="U10" s="47"/>
      <x:c r="V10" s="47"/>
      <x:c r="W10" s="47"/>
      <x:c r="X10" s="47"/>
      <x:c r="Y10" s="47"/>
      <x:c r="Z10" s="47"/>
    </x:row>
    <x:row r="11">
      <x:c r="A11" s="199" t="str">
        <x:v>Microsoft Power Automate AI Recorder</x:v>
      </x:c>
      <x:c r="B11" s="200" t="str">
        <x:v>Record / replay / RPA</x:v>
      </x:c>
      <x:c r="C11" s="200" t="str">
        <x:v>Records screen, voice, mouse and keyboard demonstrations and converts them into desktop automations.</x:v>
      </x:c>
      <x:c r="D11" s="200" t="str">
        <x:v>A demonstrated successful workflow can become a reusable procedure.</x:v>
      </x:c>
      <x:c r="E11" s="200" t="str">
        <x:v>Creates automation, not a continuous task, capability and employee-development operating system.</x:v>
      </x:c>
      <x:c r="F11" s="200" t="str">
        <x:v>Adopt demonstration-to-skill mental model; do not depend on it for core capture.</x:v>
      </x:c>
      <x:c r="G11" s="200" t="str">
        <x:v>Medium</x:v>
      </x:c>
      <x:c r="H11" s="200" t="str">
        <x:v>https://learn.microsoft.com/en-us/power-automate/desktop-flows/create-flow-using-ai-recorder</x:v>
      </x:c>
      <x:c r="I11" s="201" t="str"/>
      <x:c r="J11" s="47"/>
      <x:c r="K11" s="47"/>
      <x:c r="L11" s="47"/>
      <x:c r="M11" s="47"/>
      <x:c r="N11" s="47"/>
      <x:c r="O11" s="47"/>
      <x:c r="P11" s="47"/>
      <x:c r="Q11" s="47"/>
      <x:c r="R11" s="47"/>
      <x:c r="S11" s="47"/>
      <x:c r="T11" s="47"/>
      <x:c r="U11" s="47"/>
      <x:c r="V11" s="47"/>
      <x:c r="W11" s="47"/>
      <x:c r="X11" s="47"/>
      <x:c r="Y11" s="47"/>
      <x:c r="Z11" s="47"/>
    </x:row>
    <x:row r="12">
      <x:c r="A12" s="205" t="str">
        <x:v>OpenAI Codex Hooks</x:v>
      </x:c>
      <x:c r="B12" s="206" t="str">
        <x:v>AI-agent lifecycle instrumentation</x:v>
      </x:c>
      <x:c r="C12" s="206" t="str">
        <x:v>Lifecycle hooks around prompts, tools, permissions, session start/stop and validations.</x:v>
      </x:c>
      <x:c r="D12" s="206" t="str">
        <x:v>Official semantic hooks are more accurate than screen-only inference for agent activity.</x:v>
      </x:c>
      <x:c r="E12" s="206" t="str">
        <x:v>Provider-specific and limited to instrumented Codex activity.</x:v>
      </x:c>
      <x:c r="F12" s="206" t="str">
        <x:v>Integrate through a provider-normalising AI Adapter Hub.</x:v>
      </x:c>
      <x:c r="G12" s="206" t="str">
        <x:v>High</x:v>
      </x:c>
      <x:c r="H12" s="206" t="str">
        <x:v>https://developers.openai.com/codex/hooks</x:v>
      </x:c>
      <x:c r="I12" s="207" t="str">
        <x:v>Core provenance input.</x:v>
      </x:c>
      <x:c r="J12" s="47"/>
      <x:c r="K12" s="47"/>
      <x:c r="L12" s="47"/>
      <x:c r="M12" s="47"/>
      <x:c r="N12" s="47"/>
      <x:c r="O12" s="47"/>
      <x:c r="P12" s="47"/>
      <x:c r="Q12" s="47"/>
      <x:c r="R12" s="47"/>
      <x:c r="S12" s="47"/>
      <x:c r="T12" s="47"/>
      <x:c r="U12" s="47"/>
      <x:c r="V12" s="47"/>
      <x:c r="W12" s="47"/>
      <x:c r="X12" s="47"/>
      <x:c r="Y12" s="47"/>
      <x:c r="Z12" s="47"/>
    </x:row>
    <x:row r="13">
      <x:c r="A13" s="199" t="str">
        <x:v>OpenAI Record &amp; Replay</x:v>
      </x:c>
      <x:c r="B13" s="200" t="str">
        <x:v>Workflow demonstration to reusable skill</x:v>
      </x:c>
      <x:c r="C13" s="200" t="str">
        <x:v>Converts a demonstrated stable workflow into a reusable skill with inputs, steps and verification.</x:v>
      </x:c>
      <x:c r="D13" s="200" t="str">
        <x:v>Strong model for turning real work into governed reusable skills.</x:v>
      </x:c>
      <x:c r="E13" s="200" t="str">
        <x:v>Not a continuous employee work-intelligence platform and availability/feature scope may vary.</x:v>
      </x:c>
      <x:c r="F13" s="200" t="str">
        <x:v>Learn for Skill Forge; keep HumanOS implementation provider-neutral.</x:v>
      </x:c>
      <x:c r="G13" s="200" t="str">
        <x:v>Medium</x:v>
      </x:c>
      <x:c r="H13" s="200" t="str">
        <x:v>https://developers.openai.com/codex/record-and-replay</x:v>
      </x:c>
      <x:c r="I13" s="201" t="str"/>
      <x:c r="J13" s="47"/>
      <x:c r="K13" s="47"/>
      <x:c r="L13" s="47"/>
      <x:c r="M13" s="47"/>
      <x:c r="N13" s="47"/>
      <x:c r="O13" s="47"/>
      <x:c r="P13" s="47"/>
      <x:c r="Q13" s="47"/>
      <x:c r="R13" s="47"/>
      <x:c r="S13" s="47"/>
      <x:c r="T13" s="47"/>
      <x:c r="U13" s="47"/>
      <x:c r="V13" s="47"/>
      <x:c r="W13" s="47"/>
      <x:c r="X13" s="47"/>
      <x:c r="Y13" s="47"/>
      <x:c r="Z13" s="47"/>
    </x:row>
    <x:row r="14">
      <x:c r="A14" s="205" t="str">
        <x:v>LinearB</x:v>
      </x:c>
      <x:c r="B14" s="206" t="str">
        <x:v>Developer productivity and AI-work governance</x:v>
      </x:c>
      <x:c r="C14" s="206" t="str">
        <x:v>Engineering workflow metrics, bottleneck analysis, AI activity detection, workflow automation, team coaching and business alignment.</x:v>
      </x:c>
      <x:c r="D14" s="206" t="str">
        <x:v>Developer intelligence increasingly combines AI adoption, workflow and outcome signals.</x:v>
      </x:c>
      <x:c r="E14" s="206" t="str">
        <x:v>Centred on SDLC/tool data and delivery metrics rather than universal desktop evidence, job capability claims and cross-vertical learning.</x:v>
      </x:c>
      <x:c r="F14" s="206" t="str">
        <x:v>Benchmark technical-manager experience and integrate Git/SDLC data where useful.</x:v>
      </x:c>
      <x:c r="G14" s="206" t="str">
        <x:v>High</x:v>
      </x:c>
      <x:c r="H14" s="206" t="str">
        <x:v>https://linearb.io/platform/ai-developer-productivity-insights</x:v>
      </x:c>
      <x:c r="I14" s="207" t="str">
        <x:v>Strong adjacent competitor for software-development vertical.</x:v>
      </x:c>
      <x:c r="J14" s="47"/>
      <x:c r="K14" s="47"/>
      <x:c r="L14" s="47"/>
      <x:c r="M14" s="47"/>
      <x:c r="N14" s="47"/>
      <x:c r="O14" s="47"/>
      <x:c r="P14" s="47"/>
      <x:c r="Q14" s="47"/>
      <x:c r="R14" s="47"/>
      <x:c r="S14" s="47"/>
      <x:c r="T14" s="47"/>
      <x:c r="U14" s="47"/>
      <x:c r="V14" s="47"/>
      <x:c r="W14" s="47"/>
      <x:c r="X14" s="47"/>
      <x:c r="Y14" s="47"/>
      <x:c r="Z14" s="47"/>
    </x:row>
    <x:row r="15">
      <x:c r="A15" s="199" t="str">
        <x:v>Jellyfish</x:v>
      </x:c>
      <x:c r="B15" s="200" t="str">
        <x:v>Engineering intelligence / AI-SDLC</x:v>
      </x:c>
      <x:c r="C15" s="200" t="str">
        <x:v>Combines developer-tool, allocation, delivery, AI usage, cost, bottleneck and developer-experience signals.</x:v>
      </x:c>
      <x:c r="D15" s="200" t="str">
        <x:v>Task/project, PR and AI-use data can be tied to business outcomes without manual time tracking.</x:v>
      </x:c>
      <x:c r="E15" s="200" t="str">
        <x:v>Does not publicly position as universal endpoint reconstruction, exact human/agent causality or role capability verification.</x:v>
      </x:c>
      <x:c r="F15" s="200" t="str">
        <x:v>Benchmark outcome-based engineering reporting and AI ROI.</x:v>
      </x:c>
      <x:c r="G15" s="200" t="str">
        <x:v>High</x:v>
      </x:c>
      <x:c r="H15" s="200" t="str">
        <x:v>https://jellyfish.co/</x:v>
      </x:c>
      <x:c r="I15" s="201" t="str">
        <x:v>Strong adjacent competitor.</x:v>
      </x:c>
      <x:c r="J15" s="47"/>
      <x:c r="K15" s="47"/>
      <x:c r="L15" s="47"/>
      <x:c r="M15" s="47"/>
      <x:c r="N15" s="47"/>
      <x:c r="O15" s="47"/>
      <x:c r="P15" s="47"/>
      <x:c r="Q15" s="47"/>
      <x:c r="R15" s="47"/>
      <x:c r="S15" s="47"/>
      <x:c r="T15" s="47"/>
      <x:c r="U15" s="47"/>
      <x:c r="V15" s="47"/>
      <x:c r="W15" s="47"/>
      <x:c r="X15" s="47"/>
      <x:c r="Y15" s="47"/>
      <x:c r="Z15" s="47"/>
    </x:row>
    <x:row r="16">
      <x:c r="A16" s="205" t="str">
        <x:v>GitClear</x:v>
      </x:c>
      <x:c r="B16" s="206" t="str">
        <x:v>Code quality and developer analytics</x:v>
      </x:c>
      <x:c r="C16" s="206" t="str">
        <x:v>Repository-level code activity, AI-code impact, code-quality research and review analytics.</x:v>
      </x:c>
      <x:c r="D16" s="206" t="str">
        <x:v>Code-change quality and attribution are more useful than raw line-count metrics.</x:v>
      </x:c>
      <x:c r="E16" s="206" t="str">
        <x:v>Repository scope cannot explain all desktop work, requirements, blockers or capability context.</x:v>
      </x:c>
      <x:c r="F16" s="206" t="str">
        <x:v>Consider future connector/benchmark; retain Nessovo task/provenance core.</x:v>
      </x:c>
      <x:c r="G16" s="206" t="str">
        <x:v>Medium</x:v>
      </x:c>
      <x:c r="H16" s="206" t="str">
        <x:v>https://www.gitclear.com/</x:v>
      </x:c>
      <x:c r="I16" s="207" t="str"/>
      <x:c r="J16" s="47"/>
      <x:c r="K16" s="47"/>
      <x:c r="L16" s="47"/>
      <x:c r="M16" s="47"/>
      <x:c r="N16" s="47"/>
      <x:c r="O16" s="47"/>
      <x:c r="P16" s="47"/>
      <x:c r="Q16" s="47"/>
      <x:c r="R16" s="47"/>
      <x:c r="S16" s="47"/>
      <x:c r="T16" s="47"/>
      <x:c r="U16" s="47"/>
      <x:c r="V16" s="47"/>
      <x:c r="W16" s="47"/>
      <x:c r="X16" s="47"/>
      <x:c r="Y16" s="47"/>
      <x:c r="Z16" s="47"/>
    </x:row>
    <x:row r="17">
      <x:c r="A17" s="199" t="str">
        <x:v>TechWolf</x:v>
      </x:c>
      <x:c r="B17" s="200" t="str">
        <x:v>Skills/work intelligence</x:v>
      </x:c>
      <x:c r="C17" s="200" t="str">
        <x:v>Continuously infers skills from actual work signals and connects skills, work and market intelligence.</x:v>
      </x:c>
      <x:c r="D17" s="200" t="str">
        <x:v>Self-reported skills are insufficient; dynamic work evidence is a validated market need.</x:v>
      </x:c>
      <x:c r="E17" s="200" t="str">
        <x:v>Focuses on workforce skills intelligence rather than exact task execution, raw evidence and real-time technical coaching.</x:v>
      </x:c>
      <x:c r="F17" s="200" t="str">
        <x:v>Benchmark skills ontology, HR integration and evidence transparency; build Nessovo Capability Graph.</x:v>
      </x:c>
      <x:c r="G17" s="200" t="str">
        <x:v>High</x:v>
      </x:c>
      <x:c r="H17" s="200" t="str">
        <x:v>https://www.techwolf.ai/product/skills-intelligence</x:v>
      </x:c>
      <x:c r="I17" s="201" t="str">
        <x:v>Directly relevant to role-claim and capability goals.</x:v>
      </x:c>
      <x:c r="J17" s="47"/>
      <x:c r="K17" s="47"/>
      <x:c r="L17" s="47"/>
      <x:c r="M17" s="47"/>
      <x:c r="N17" s="47"/>
      <x:c r="O17" s="47"/>
      <x:c r="P17" s="47"/>
      <x:c r="Q17" s="47"/>
      <x:c r="R17" s="47"/>
      <x:c r="S17" s="47"/>
      <x:c r="T17" s="47"/>
      <x:c r="U17" s="47"/>
      <x:c r="V17" s="47"/>
      <x:c r="W17" s="47"/>
      <x:c r="X17" s="47"/>
      <x:c r="Y17" s="47"/>
      <x:c r="Z17" s="47"/>
    </x:row>
    <x:row r="18">
      <x:c r="A18" s="205" t="str">
        <x:v>Eightfold</x:v>
      </x:c>
      <x:c r="B18" s="206" t="str">
        <x:v>Talent and work intelligence</x:v>
      </x:c>
      <x:c r="C18" s="206" t="str">
        <x:v>Models skills, capabilities, aspirations and work signals for hiring, development, project staffing and career recommendations.</x:v>
      </x:c>
      <x:c r="D18" s="206" t="str">
        <x:v>Live work signals are entering talent intelligence and career development.</x:v>
      </x:c>
      <x:c r="E18" s="206" t="str">
        <x:v>Broader HR/talent platform; public material does not demonstrate Nessovo's exact endpoint/task-evidence and challenge model.</x:v>
      </x:c>
      <x:c r="F18" s="206" t="str">
        <x:v>Benchmark role readiness, employee growth and talent-market integration.</x:v>
      </x:c>
      <x:c r="G18" s="206" t="str">
        <x:v>High</x:v>
      </x:c>
      <x:c r="H18" s="206" t="str">
        <x:v>https://eightfold.ai/products/</x:v>
      </x:c>
      <x:c r="I18" s="207" t="str"/>
      <x:c r="J18" s="47"/>
      <x:c r="K18" s="47"/>
      <x:c r="L18" s="47"/>
      <x:c r="M18" s="47"/>
      <x:c r="N18" s="47"/>
      <x:c r="O18" s="47"/>
      <x:c r="P18" s="47"/>
      <x:c r="Q18" s="47"/>
      <x:c r="R18" s="47"/>
      <x:c r="S18" s="47"/>
      <x:c r="T18" s="47"/>
      <x:c r="U18" s="47"/>
      <x:c r="V18" s="47"/>
      <x:c r="W18" s="47"/>
      <x:c r="X18" s="47"/>
      <x:c r="Y18" s="47"/>
      <x:c r="Z18" s="47"/>
    </x:row>
    <x:row r="19">
      <x:c r="A19" s="199" t="str">
        <x:v>Gloat</x:v>
      </x:c>
      <x:c r="B19" s="200" t="str">
        <x:v>Workforce graph / agentic HR</x:v>
      </x:c>
      <x:c r="C19" s="200" t="str">
        <x:v>Dynamic skills ontology, workforce graph, task-role mapping, work orchestration, audit trails and agentic HR actions.</x:v>
      </x:c>
      <x:c r="D19" s="200" t="str">
        <x:v>Workforce graphs, governed agent actions and task-level human–AI orchestration validate parts of Nessovo's direction.</x:v>
      </x:c>
      <x:c r="E19" s="200" t="str">
        <x:v>HR-system and workforce orchestration focus rather than complete endpoint evidence and task-quality reconstruction.</x:v>
      </x:c>
      <x:c r="F19" s="200" t="str">
        <x:v>Benchmark workforce graph, employee experience and explainable agent action.</x:v>
      </x:c>
      <x:c r="G19" s="200" t="str">
        <x:v>High</x:v>
      </x:c>
      <x:c r="H19" s="200" t="str">
        <x:v>https://gloat.com/platform/workforce-graph/</x:v>
      </x:c>
      <x:c r="I19" s="201" t="str">
        <x:v>Important strategic adjacent platform.</x:v>
      </x:c>
      <x:c r="J19" s="47"/>
      <x:c r="K19" s="47"/>
      <x:c r="L19" s="47"/>
      <x:c r="M19" s="47"/>
      <x:c r="N19" s="47"/>
      <x:c r="O19" s="47"/>
      <x:c r="P19" s="47"/>
      <x:c r="Q19" s="47"/>
      <x:c r="R19" s="47"/>
      <x:c r="S19" s="47"/>
      <x:c r="T19" s="47"/>
      <x:c r="U19" s="47"/>
      <x:c r="V19" s="47"/>
      <x:c r="W19" s="47"/>
      <x:c r="X19" s="47"/>
      <x:c r="Y19" s="47"/>
      <x:c r="Z19" s="47"/>
    </x:row>
    <x:row r="20">
      <x:c r="A20" s="205" t="str">
        <x:v>Degreed</x:v>
      </x:c>
      <x:c r="B20" s="206" t="str">
        <x:v>Learning, coaching and skills development</x:v>
      </x:c>
      <x:c r="C20" s="206" t="str">
        <x:v>AI-powered learning, coaching, roleplay, skill review, pathways and behaviour-change-oriented development.</x:v>
      </x:c>
      <x:c r="D20" s="206" t="str">
        <x:v>Training must be personalised and measured through behaviour/application, not content completion alone.</x:v>
      </x:c>
      <x:c r="E20" s="206" t="str">
        <x:v>Does not provide universal work observation, task assurance or causal provenance.</x:v>
      </x:c>
      <x:c r="F20" s="206" t="str">
        <x:v>Integrate/buy content selectively; build the evidence-to-learning effectiveness loop.</x:v>
      </x:c>
      <x:c r="G20" s="206" t="str">
        <x:v>High</x:v>
      </x:c>
      <x:c r="H20" s="206" t="str">
        <x:v>https://degreed.com/experience/artificial-intelligence/</x:v>
      </x:c>
      <x:c r="I20" s="207" t="str"/>
      <x:c r="J20" s="47"/>
      <x:c r="K20" s="47"/>
      <x:c r="L20" s="47"/>
      <x:c r="M20" s="47"/>
      <x:c r="N20" s="47"/>
      <x:c r="O20" s="47"/>
      <x:c r="P20" s="47"/>
      <x:c r="Q20" s="47"/>
      <x:c r="R20" s="47"/>
      <x:c r="S20" s="47"/>
      <x:c r="T20" s="47"/>
      <x:c r="U20" s="47"/>
      <x:c r="V20" s="47"/>
      <x:c r="W20" s="47"/>
      <x:c r="X20" s="47"/>
      <x:c r="Y20" s="47"/>
      <x:c r="Z20" s="47"/>
    </x:row>
    <x:row r="21">
      <x:c r="A21" s="199" t="str">
        <x:v>OpenTelemetry GenAI semantic conventions</x:v>
      </x:c>
      <x:c r="B21" s="200" t="str">
        <x:v>Open standard / AI observability</x:v>
      </x:c>
      <x:c r="C21" s="200" t="str">
        <x:v>Common attributes and events for model, agent, tool and provider telemetry.</x:v>
      </x:c>
      <x:c r="D21" s="200" t="str">
        <x:v>Standards reduce provider lock-in and improve cross-agent correlation.</x:v>
      </x:c>
      <x:c r="E21" s="200" t="str">
        <x:v>Operational conventions do not define employee, task, capability, evidence or employment governance semantics.</x:v>
      </x:c>
      <x:c r="F21" s="200" t="str">
        <x:v>Adopt operational conventions and extend with Nessovo domain contracts; keep raw evidence separate.</x:v>
      </x:c>
      <x:c r="G21" s="200" t="str">
        <x:v>High</x:v>
      </x:c>
      <x:c r="H21" s="200" t="str">
        <x:v>https://opentelemetry.io/docs/specs/semconv/registry/attributes/gen-ai/</x:v>
      </x:c>
      <x:c r="I21" s="201" t="str"/>
      <x:c r="J21" s="47"/>
      <x:c r="K21" s="47"/>
      <x:c r="L21" s="47"/>
      <x:c r="M21" s="47"/>
      <x:c r="N21" s="47"/>
      <x:c r="O21" s="47"/>
      <x:c r="P21" s="47"/>
      <x:c r="Q21" s="47"/>
      <x:c r="R21" s="47"/>
      <x:c r="S21" s="47"/>
      <x:c r="T21" s="47"/>
      <x:c r="U21" s="47"/>
      <x:c r="V21" s="47"/>
      <x:c r="W21" s="47"/>
      <x:c r="X21" s="47"/>
      <x:c r="Y21" s="47"/>
      <x:c r="Z21" s="47"/>
    </x:row>
    <x:row r="22">
      <x:c r="A22" s="208" t="str">
        <x:v>Nessovo HumanOS Work Intelligence</x:v>
      </x:c>
      <x:c r="B22" s="209" t="str">
        <x:v>Task assurance / capability development / organisational learning</x:v>
      </x:c>
      <x:c r="C22" s="209" t="str">
        <x:v>Target combination: universal evidence, task contracts, human/AI provenance, outcome verification, capability graph, coaching, employee challenge and governed Skill Forge.</x:v>
      </x:c>
      <x:c r="D22" s="209" t="str">
        <x:v>The product opportunity is integration and semantics, not invention of every capture primitive.</x:v>
      </x:c>
      <x:c r="E22" s="209" t="str">
        <x:v>Requires higher accuracy, governance, endpoint security and cross-domain architecture than any single adjacent category.</x:v>
      </x:c>
      <x:c r="F22" s="209" t="str">
        <x:v>Build proprietary core; integrate commodity standards and tools.</x:v>
      </x:c>
      <x:c r="G22" s="209" t="str">
        <x:v>Critical</x:v>
      </x:c>
      <x:c r="H22" s="209" t="str">
        <x:v>Internal product definition</x:v>
      </x:c>
      <x:c r="I22" s="210" t="str">
        <x:v>Strategic target.</x:v>
      </x:c>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I1"/>
    <x:mergeCell ref="A2:I2"/>
  </x:mergeCells>
  <x:dataValidations count="1">
    <x:dataValidation type="list" sqref="G5:G22">
      <x:formula1>"Critical,High,Medium,Low"</x:formula1>
    </x:dataValidation>
  </x:dataValidations>
  <x:pageMargins left="0.7" right="0.7" top="0.75" bottom="0.75" header="0.3" footer="0.3"/>
  <x:tableParts count="1">
    <x:tablePart xmlns:r="http://schemas.openxmlformats.org/officeDocument/2006/relationships" r:id="R726fb954f762492d"/>
  </x:tableParts>
</x:worksheet>
</file>

<file path=xl/worksheets/sheet4.xml><?xml version="1.0" encoding="utf-8"?>
<x:worksheet xmlns:x="http://schemas.openxmlformats.org/spreadsheetml/2006/main">
  <x:sheetFormatPr defaultRowHeight="15"/>
  <x:cols>
    <x:col min="1" max="1" width="31" hidden="0" customWidth="1"/>
    <x:col min="2" max="2" width="27" hidden="0" customWidth="1"/>
    <x:col min="3" max="3" width="54" hidden="0" customWidth="1"/>
    <x:col min="4" max="4" width="36" hidden="0" customWidth="1"/>
    <x:col min="5" max="5" width="48" hidden="0" customWidth="1"/>
    <x:col min="6" max="6" width="38" hidden="0" customWidth="1"/>
    <x:col min="7" max="7" width="48" hidden="0" customWidth="1"/>
    <x:col min="8" max="8" width="12" hidden="0" customWidth="1"/>
    <x:col min="9" max="9" width="48" hidden="0" customWidth="1"/>
    <x:col min="10" max="10" width="40" hidden="0" customWidth="1"/>
  </x:cols>
  <x:sheetData>
    <x:row r="1" ht="30" customHeight="1">
      <x:c r="A1" s="161" t="str">
        <x:v>GitHub / Open-Source and Source-Available Scan</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Repository research for architecture and implementation references. Licence and security review are mandatory before code incorporation or distribution.</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Repository</x:v>
      </x:c>
      <x:c r="B4" s="170" t="str">
        <x:v>Category</x:v>
      </x:c>
      <x:c r="C4" s="170" t="str">
        <x:v>Useful architecture / pattern</x:v>
      </x:c>
      <x:c r="D4" s="170" t="str">
        <x:v>Maturity signal</x:v>
      </x:c>
      <x:c r="E4" s="170" t="str">
        <x:v>Limit / risk</x:v>
      </x:c>
      <x:c r="F4" s="170" t="str">
        <x:v>Verified licence posture</x:v>
      </x:c>
      <x:c r="G4" s="170" t="str">
        <x:v>Recommended stance</x:v>
      </x:c>
      <x:c r="H4" s="170" t="str">
        <x:v>Likely stage</x:v>
      </x:c>
      <x:c r="I4" s="170" t="str">
        <x:v>Source URL</x:v>
      </x:c>
      <x:c r="J4" s="175" t="str">
        <x:v>Due-diligence action</x:v>
      </x:c>
      <x:c r="K4" s="47"/>
      <x:c r="L4" s="47"/>
      <x:c r="M4" s="47"/>
      <x:c r="N4" s="47"/>
      <x:c r="O4" s="47"/>
      <x:c r="P4" s="47"/>
      <x:c r="Q4" s="47"/>
      <x:c r="R4" s="47"/>
      <x:c r="S4" s="47"/>
      <x:c r="T4" s="47"/>
      <x:c r="U4" s="47"/>
      <x:c r="V4" s="47"/>
      <x:c r="W4" s="47"/>
      <x:c r="X4" s="47"/>
      <x:c r="Y4" s="47"/>
      <x:c r="Z4" s="47"/>
    </x:row>
    <x:row r="5">
      <x:c r="A5" s="197" t="str">
        <x:v>screenpipe/screenpipe</x:v>
      </x:c>
      <x:c r="B5" s="198" t="str">
        <x:v>Local screen/audio/activity memory</x:v>
      </x:c>
      <x:c r="C5" s="198" t="str">
        <x:v>Event-driven visual capture, accessibility-first text, OCR fallback, keyboard/app switches, local storage/search and AI pipes.</x:v>
      </x:c>
      <x:c r="D5" s="198" t="str">
        <x:v>Large active source-available project with Windows/macOS/Linux support claims and desktop product.</x:v>
      </x:c>
      <x:c r="E5" s="198" t="str">
        <x:v>Commercial licence for commercial use; broad capture and local AI design still require independent security/performance review.</x:v>
      </x:c>
      <x:c r="F5" s="198" t="str">
        <x:v>Source-available; repository states personal/non-commercial use and commercial licence requirement.</x:v>
      </x:c>
      <x:c r="G5" s="198" t="str">
        <x:v>Study and benchmark; negotiate licence only if strategically justified; do not make it the proprietary core by default.</x:v>
      </x:c>
      <x:c r="H5" s="198" t="str">
        <x:v>3–5</x:v>
      </x:c>
      <x:c r="I5" s="198" t="str">
        <x:v>https://github.com/screenpipe/screenpipe</x:v>
      </x:c>
      <x:c r="J5" s="220" t="str">
        <x:v>Legal review; architecture/performance benchmark; supply-chain review.</x:v>
      </x:c>
      <x:c r="K5" s="47"/>
      <x:c r="L5" s="47"/>
      <x:c r="M5" s="47"/>
      <x:c r="N5" s="47"/>
      <x:c r="O5" s="47"/>
      <x:c r="P5" s="47"/>
      <x:c r="Q5" s="47"/>
      <x:c r="R5" s="47"/>
      <x:c r="S5" s="47"/>
      <x:c r="T5" s="47"/>
      <x:c r="U5" s="47"/>
      <x:c r="V5" s="47"/>
      <x:c r="W5" s="47"/>
      <x:c r="X5" s="47"/>
      <x:c r="Y5" s="47"/>
      <x:c r="Z5" s="47"/>
    </x:row>
    <x:row r="6">
      <x:c r="A6" s="205" t="str">
        <x:v>ActivityWatch/activitywatch</x:v>
      </x:c>
      <x:c r="B6" s="206" t="str">
        <x:v>Privacy-first activity tracking</x:v>
      </x:c>
      <x:c r="C6" s="206" t="str">
        <x:v>Watcher/server architecture for active window, browser tab and AFK events; local data ownership and extensibility.</x:v>
      </x:c>
      <x:c r="D6" s="206" t="str">
        <x:v>Long-running cross-platform project with modular watcher ecosystem.</x:v>
      </x:c>
      <x:c r="E6" s="206" t="str">
        <x:v>Lower fidelity; no task assurance, screenshots or exact semantic provenance. MPL file-level obligations matter if code is modified/distributed.</x:v>
      </x:c>
      <x:c r="F6" s="206" t="str">
        <x:v>MPL-2.0 verified in repository licence.</x:v>
      </x:c>
      <x:c r="G6" s="206" t="str">
        <x:v>Use architecture ideas and possibly protocol-level compatibility; code reuse only after legal decision.</x:v>
      </x:c>
      <x:c r="H6" s="206" t="str">
        <x:v>3–5</x:v>
      </x:c>
      <x:c r="I6" s="206" t="str">
        <x:v>https://github.com/ActivityWatch/activitywatch</x:v>
      </x:c>
      <x:c r="J6" s="207" t="str">
        <x:v>Map relevant watcher modules and MPL obligations.</x:v>
      </x:c>
      <x:c r="K6" s="47"/>
      <x:c r="L6" s="47"/>
      <x:c r="M6" s="47"/>
      <x:c r="N6" s="47"/>
      <x:c r="O6" s="47"/>
      <x:c r="P6" s="47"/>
      <x:c r="Q6" s="47"/>
      <x:c r="R6" s="47"/>
      <x:c r="S6" s="47"/>
      <x:c r="T6" s="47"/>
      <x:c r="U6" s="47"/>
      <x:c r="V6" s="47"/>
      <x:c r="W6" s="47"/>
      <x:c r="X6" s="47"/>
      <x:c r="Y6" s="47"/>
      <x:c r="Z6" s="47"/>
    </x:row>
    <x:row r="7">
      <x:c r="A7" s="199" t="str">
        <x:v>ActivityWatch/aw-watcher-window</x:v>
      </x:c>
      <x:c r="B7" s="200" t="str">
        <x:v>Active-window watcher</x:v>
      </x:c>
      <x:c r="C7" s="200" t="str">
        <x:v>Small focused watcher producing foreground-window events to a local server.</x:v>
      </x:c>
      <x:c r="D7" s="200" t="str">
        <x:v>Mature component in ActivityWatch ecosystem.</x:v>
      </x:c>
      <x:c r="E7" s="200" t="str">
        <x:v>Platform-specific behaviour and title sensitivity.</x:v>
      </x:c>
      <x:c r="F7" s="200" t="str">
        <x:v>Repository-family licence should be verified per component.</x:v>
      </x:c>
      <x:c r="G7" s="200" t="str">
        <x:v>Reference for event semantics and tests.</x:v>
      </x:c>
      <x:c r="H7" s="200" t="str">
        <x:v>3–5</x:v>
      </x:c>
      <x:c r="I7" s="200" t="str">
        <x:v>https://github.com/ActivityWatch/aw-watcher-window</x:v>
      </x:c>
      <x:c r="J7" s="201" t="str">
        <x:v>Inspect OS implementations and redaction options.</x:v>
      </x:c>
      <x:c r="K7" s="47"/>
      <x:c r="L7" s="47"/>
      <x:c r="M7" s="47"/>
      <x:c r="N7" s="47"/>
      <x:c r="O7" s="47"/>
      <x:c r="P7" s="47"/>
      <x:c r="Q7" s="47"/>
      <x:c r="R7" s="47"/>
      <x:c r="S7" s="47"/>
      <x:c r="T7" s="47"/>
      <x:c r="U7" s="47"/>
      <x:c r="V7" s="47"/>
      <x:c r="W7" s="47"/>
      <x:c r="X7" s="47"/>
      <x:c r="Y7" s="47"/>
      <x:c r="Z7" s="47"/>
    </x:row>
    <x:row r="8">
      <x:c r="A8" s="205" t="str">
        <x:v>ActivityWatch/aw-watcher-web</x:v>
      </x:c>
      <x:c r="B8" s="206" t="str">
        <x:v>Browser watcher</x:v>
      </x:c>
      <x:c r="C8" s="206" t="str">
        <x:v>Browser-extension watcher for active tab/title/URL events.</x:v>
      </x:c>
      <x:c r="D8" s="206" t="str">
        <x:v>Mature ActivityWatch companion project.</x:v>
      </x:c>
      <x:c r="E8" s="206" t="str">
        <x:v>Browser permissions and sensitive URL/title collection.</x:v>
      </x:c>
      <x:c r="F8" s="206" t="str">
        <x:v>Repository-family licence should be verified per component.</x:v>
      </x:c>
      <x:c r="G8" s="206" t="str">
        <x:v>Reference for minimal browser adapter.</x:v>
      </x:c>
      <x:c r="H8" s="206" t="str">
        <x:v>6</x:v>
      </x:c>
      <x:c r="I8" s="206" t="str">
        <x:v>https://github.com/ActivityWatch/aw-watcher-web</x:v>
      </x:c>
      <x:c r="J8" s="207" t="str">
        <x:v>Inspect extension permissions and native communication.</x:v>
      </x:c>
      <x:c r="K8" s="47"/>
      <x:c r="L8" s="47"/>
      <x:c r="M8" s="47"/>
      <x:c r="N8" s="47"/>
      <x:c r="O8" s="47"/>
      <x:c r="P8" s="47"/>
      <x:c r="Q8" s="47"/>
      <x:c r="R8" s="47"/>
      <x:c r="S8" s="47"/>
      <x:c r="T8" s="47"/>
      <x:c r="U8" s="47"/>
      <x:c r="V8" s="47"/>
      <x:c r="W8" s="47"/>
      <x:c r="X8" s="47"/>
      <x:c r="Y8" s="47"/>
      <x:c r="Z8" s="47"/>
    </x:row>
    <x:row r="9">
      <x:c r="A9" s="199" t="str">
        <x:v>OpenAdaptAI/openadapt-desktop</x:v>
      </x:c>
      <x:c r="B9" s="200" t="str">
        <x:v>Desktop recording / human teaching</x:v>
      </x:c>
      <x:c r="C9" s="200" t="str">
        <x:v>Capture/review UI, local engine, Tauri/React shell, Python sidecar and bridge to record/compile/replay/teach.</x:v>
      </x:c>
      <x:c r="D9" s="200" t="str">
        <x:v>Repository explicitly labels the desktop surface experimental and not a supported production release.</x:v>
      </x:c>
      <x:c r="E9" s="200" t="str">
        <x:v>End-to-end boundaries are mocked; no validated production installer; flow engine is separate.</x:v>
      </x:c>
      <x:c r="F9" s="200" t="str">
        <x:v>MIT verified by repository README/licence.</x:v>
      </x:c>
      <x:c r="G9" s="200" t="str">
        <x:v>Study architecture, consent/review and teaching concepts; do not treat as deployable foundation.</x:v>
      </x:c>
      <x:c r="H9" s="200" t="str">
        <x:v>3,11</x:v>
      </x:c>
      <x:c r="I9" s="200" t="str">
        <x:v>https://github.com/OpenAdaptAI/openadapt-desktop</x:v>
      </x:c>
      <x:c r="J9" s="201" t="str">
        <x:v>Inspect capture/privacy subprojects and implementation maturity.</x:v>
      </x:c>
      <x:c r="K9" s="47"/>
      <x:c r="L9" s="47"/>
      <x:c r="M9" s="47"/>
      <x:c r="N9" s="47"/>
      <x:c r="O9" s="47"/>
      <x:c r="P9" s="47"/>
      <x:c r="Q9" s="47"/>
      <x:c r="R9" s="47"/>
      <x:c r="S9" s="47"/>
      <x:c r="T9" s="47"/>
      <x:c r="U9" s="47"/>
      <x:c r="V9" s="47"/>
      <x:c r="W9" s="47"/>
      <x:c r="X9" s="47"/>
      <x:c r="Y9" s="47"/>
      <x:c r="Z9" s="47"/>
    </x:row>
    <x:row r="10">
      <x:c r="A10" s="205" t="str">
        <x:v>OpenAdaptAI/openadapt-flow</x:v>
      </x:c>
      <x:c r="B10" s="206" t="str">
        <x:v>Deterministic workflow compiler/runtime</x:v>
      </x:c>
      <x:c r="C10" s="206" t="str">
        <x:v>Record → compile → lint/certify → replay → halt/repair/teach lifecycle.</x:v>
      </x:c>
      <x:c r="D10" s="206" t="str">
        <x:v>Canonical OpenAdapt workflow engine according to desktop README.</x:v>
      </x:c>
      <x:c r="E10" s="206" t="str">
        <x:v>GUI replay is a future Skill Forge capability, not initial work assurance; safety scope is significant.</x:v>
      </x:c>
      <x:c r="F10" s="206" t="str">
        <x:v>Verify repository licence before reuse.</x:v>
      </x:c>
      <x:c r="G10" s="206" t="str">
        <x:v>Reference for governed workflow compilation and verification.</x:v>
      </x:c>
      <x:c r="H10" s="206" t="str">
        <x:v>11+</x:v>
      </x:c>
      <x:c r="I10" s="206" t="str">
        <x:v>https://github.com/OpenAdaptAI/openadapt-flow</x:v>
      </x:c>
      <x:c r="J10" s="207" t="str">
        <x:v>Licence/security review and isolated future spike.</x:v>
      </x:c>
      <x:c r="K10" s="47"/>
      <x:c r="L10" s="47"/>
      <x:c r="M10" s="47"/>
      <x:c r="N10" s="47"/>
      <x:c r="O10" s="47"/>
      <x:c r="P10" s="47"/>
      <x:c r="Q10" s="47"/>
      <x:c r="R10" s="47"/>
      <x:c r="S10" s="47"/>
      <x:c r="T10" s="47"/>
      <x:c r="U10" s="47"/>
      <x:c r="V10" s="47"/>
      <x:c r="W10" s="47"/>
      <x:c r="X10" s="47"/>
      <x:c r="Y10" s="47"/>
      <x:c r="Z10" s="47"/>
    </x:row>
    <x:row r="11">
      <x:c r="A11" s="199" t="str">
        <x:v>OpenAdaptAI/openadapt-privacy</x:v>
      </x:c>
      <x:c r="B11" s="200" t="str">
        <x:v>PII detection and redaction</x:v>
      </x:c>
      <x:c r="C11" s="200" t="str">
        <x:v>Experimental privacy component associated with OpenAdapt capture.</x:v>
      </x:c>
      <x:c r="D11" s="200" t="str">
        <x:v>Experimental supporting project.</x:v>
      </x:c>
      <x:c r="E11" s="200" t="str">
        <x:v>PII/secret redaction quality must be independently evaluated against Nessovo data.</x:v>
      </x:c>
      <x:c r="F11" s="200" t="str">
        <x:v>Verify repository licence and model licences.</x:v>
      </x:c>
      <x:c r="G11" s="200" t="str">
        <x:v>Benchmark only; Nessovo needs its own edge policy and test corpus.</x:v>
      </x:c>
      <x:c r="H11" s="200" t="str">
        <x:v>3–5</x:v>
      </x:c>
      <x:c r="I11" s="200" t="str">
        <x:v>https://github.com/OpenAdaptAI/openadapt-privacy</x:v>
      </x:c>
      <x:c r="J11" s="201" t="str">
        <x:v>Evaluate false negatives and model provenance.</x:v>
      </x:c>
      <x:c r="K11" s="47"/>
      <x:c r="L11" s="47"/>
      <x:c r="M11" s="47"/>
      <x:c r="N11" s="47"/>
      <x:c r="O11" s="47"/>
      <x:c r="P11" s="47"/>
      <x:c r="Q11" s="47"/>
      <x:c r="R11" s="47"/>
      <x:c r="S11" s="47"/>
      <x:c r="T11" s="47"/>
      <x:c r="U11" s="47"/>
      <x:c r="V11" s="47"/>
      <x:c r="W11" s="47"/>
      <x:c r="X11" s="47"/>
      <x:c r="Y11" s="47"/>
      <x:c r="Z11" s="47"/>
    </x:row>
    <x:row r="12">
      <x:c r="A12" s="205" t="str">
        <x:v>thedotmack/claude-mem</x:v>
      </x:c>
      <x:c r="B12" s="206" t="str">
        <x:v>AI-agent persistent memory</x:v>
      </x:c>
      <x:c r="C12" s="206" t="str">
        <x:v>Lifecycle hooks, local worker, asynchronous observation compression, SQLite/FTS5, vector search and real-time viewer.</x:v>
      </x:c>
      <x:c r="D12" s="206" t="str">
        <x:v>Large active project with documented architecture and multi-environment support.</x:v>
      </x:c>
      <x:c r="E12" s="206" t="str">
        <x:v>Claude-centric; memory content and provider dependencies require HumanOS tenant/policy redesign.</x:v>
      </x:c>
      <x:c r="F12" s="206" t="str">
        <x:v>Apache-2.0 verified in repository metadata/readme.</x:v>
      </x:c>
      <x:c r="G12" s="206" t="str">
        <x:v>Adapt architecture pattern, not necessarily code; integrate official agent hooks into HumanOS memory/evidence.</x:v>
      </x:c>
      <x:c r="H12" s="206" t="str">
        <x:v>6,11</x:v>
      </x:c>
      <x:c r="I12" s="206" t="str">
        <x:v>https://github.com/thedotmack/claude-mem</x:v>
      </x:c>
      <x:c r="J12" s="207" t="str">
        <x:v>Security review, provider abstraction and licence provenance.</x:v>
      </x:c>
      <x:c r="K12" s="47"/>
      <x:c r="L12" s="47"/>
      <x:c r="M12" s="47"/>
      <x:c r="N12" s="47"/>
      <x:c r="O12" s="47"/>
      <x:c r="P12" s="47"/>
      <x:c r="Q12" s="47"/>
      <x:c r="R12" s="47"/>
      <x:c r="S12" s="47"/>
      <x:c r="T12" s="47"/>
      <x:c r="U12" s="47"/>
      <x:c r="V12" s="47"/>
      <x:c r="W12" s="47"/>
      <x:c r="X12" s="47"/>
      <x:c r="Y12" s="47"/>
      <x:c r="Z12" s="47"/>
    </x:row>
    <x:row r="13">
      <x:c r="A13" s="199" t="str">
        <x:v>rebelytics/one-skill-to-rule-them-all</x:v>
      </x:c>
      <x:c r="B13" s="200" t="str">
        <x:v>Continuous skill improvement methodology</x:v>
      </x:c>
      <x:c r="C13" s="200" t="str">
        <x:v>Structured observations of corrections/gaps, cross-cutting principles, periodic review and human-approved skill changes.</x:v>
      </x:c>
      <x:c r="D13" s="200" t="str">
        <x:v>Methodology reports extensive real-world use; compact repository.</x:v>
      </x:c>
      <x:c r="E13" s="200" t="str">
        <x:v>Not a recorder or runtime; file-based process is not sufficient for multi-tenant HumanOS.</x:v>
      </x:c>
      <x:c r="F13" s="200" t="str">
        <x:v>CC BY 4.0 stated in repository README.</x:v>
      </x:c>
      <x:c r="G13" s="200" t="str">
        <x:v>Adapt methodology with attribution into governed Skill Forge.</x:v>
      </x:c>
      <x:c r="H13" s="200" t="str">
        <x:v>11</x:v>
      </x:c>
      <x:c r="I13" s="200" t="str">
        <x:v>https://github.com/rebelytics/one-skill-to-rule-them-all</x:v>
      </x:c>
      <x:c r="J13" s="201" t="str">
        <x:v>Preserve attribution; separate confidential/internal skill content.</x:v>
      </x:c>
      <x:c r="K13" s="47"/>
      <x:c r="L13" s="47"/>
      <x:c r="M13" s="47"/>
      <x:c r="N13" s="47"/>
      <x:c r="O13" s="47"/>
      <x:c r="P13" s="47"/>
      <x:c r="Q13" s="47"/>
      <x:c r="R13" s="47"/>
      <x:c r="S13" s="47"/>
      <x:c r="T13" s="47"/>
      <x:c r="U13" s="47"/>
      <x:c r="V13" s="47"/>
      <x:c r="W13" s="47"/>
      <x:c r="X13" s="47"/>
      <x:c r="Y13" s="47"/>
      <x:c r="Z13" s="47"/>
    </x:row>
    <x:row r="14">
      <x:c r="A14" s="205" t="str">
        <x:v>wakatime/wakatime-cli</x:v>
      </x:c>
      <x:c r="B14" s="206" t="str">
        <x:v>Developer activity telemetry</x:v>
      </x:c>
      <x:c r="C14" s="206" t="str">
        <x:v>Editor/CLI heartbeat model, project/language metadata and broad plugin ecosystem.</x:v>
      </x:c>
      <x:c r="D14" s="206" t="str">
        <x:v>Active Go CLI used by WakaTime integrations.</x:v>
      </x:c>
      <x:c r="E14" s="206" t="str">
        <x:v>Developer-tool-only; heartbeat/time telemetry cannot establish task quality or capability.</x:v>
      </x:c>
      <x:c r="F14" s="206" t="str">
        <x:v>BSD 3-Clause verified in repository licence.</x:v>
      </x:c>
      <x:c r="G14" s="206" t="str">
        <x:v>Reference or optional connector for supported editor metadata.</x:v>
      </x:c>
      <x:c r="H14" s="206" t="str">
        <x:v>6</x:v>
      </x:c>
      <x:c r="I14" s="206" t="str">
        <x:v>https://github.com/wakatime/wakatime-cli</x:v>
      </x:c>
      <x:c r="J14" s="207" t="str">
        <x:v>Review privacy and data fields before connector design.</x:v>
      </x:c>
      <x:c r="K14" s="47"/>
      <x:c r="L14" s="47"/>
      <x:c r="M14" s="47"/>
      <x:c r="N14" s="47"/>
      <x:c r="O14" s="47"/>
      <x:c r="P14" s="47"/>
      <x:c r="Q14" s="47"/>
      <x:c r="R14" s="47"/>
      <x:c r="S14" s="47"/>
      <x:c r="T14" s="47"/>
      <x:c r="U14" s="47"/>
      <x:c r="V14" s="47"/>
      <x:c r="W14" s="47"/>
      <x:c r="X14" s="47"/>
      <x:c r="Y14" s="47"/>
      <x:c r="Z14" s="47"/>
    </x:row>
    <x:row r="15">
      <x:c r="A15" s="199" t="str">
        <x:v>open-telemetry/semantic-conventions</x:v>
      </x:c>
      <x:c r="B15" s="200" t="str">
        <x:v>Operational observability standard</x:v>
      </x:c>
      <x:c r="C15" s="200" t="str">
        <x:v>Cross-language semantic conventions for traces, metrics and logs.</x:v>
      </x:c>
      <x:c r="D15" s="200" t="str">
        <x:v>CNCF/OpenTelemetry standard ecosystem.</x:v>
      </x:c>
      <x:c r="E15" s="200" t="str">
        <x:v>Operational telemetry is not the employee evidence store; sensitive content may leak if misconfigured.</x:v>
      </x:c>
      <x:c r="F15" s="200" t="str">
        <x:v>Apache-2.0 ecosystem; verify repository licence at incorporation.</x:v>
      </x:c>
      <x:c r="G15" s="200" t="str">
        <x:v>Adopt conventions through existing HumanOS observability.</x:v>
      </x:c>
      <x:c r="H15" s="200" t="str">
        <x:v>3+</x:v>
      </x:c>
      <x:c r="I15" s="200" t="str">
        <x:v>https://github.com/open-telemetry/semantic-conventions</x:v>
      </x:c>
      <x:c r="J15" s="201" t="str">
        <x:v>Define content policy and correlation IDs.</x:v>
      </x:c>
      <x:c r="K15" s="47"/>
      <x:c r="L15" s="47"/>
      <x:c r="M15" s="47"/>
      <x:c r="N15" s="47"/>
      <x:c r="O15" s="47"/>
      <x:c r="P15" s="47"/>
      <x:c r="Q15" s="47"/>
      <x:c r="R15" s="47"/>
      <x:c r="S15" s="47"/>
      <x:c r="T15" s="47"/>
      <x:c r="U15" s="47"/>
      <x:c r="V15" s="47"/>
      <x:c r="W15" s="47"/>
      <x:c r="X15" s="47"/>
      <x:c r="Y15" s="47"/>
      <x:c r="Z15" s="47"/>
    </x:row>
    <x:row r="16">
      <x:c r="A16" s="205" t="str">
        <x:v>open-telemetry/semantic-conventions-genai</x:v>
      </x:c>
      <x:c r="B16" s="206" t="str">
        <x:v>GenAI observability conventions</x:v>
      </x:c>
      <x:c r="C16" s="206" t="str">
        <x:v>GenAI, agent, tool, model and MCP attributes/events.</x:v>
      </x:c>
      <x:c r="D16" s="206" t="str">
        <x:v>Active standards work supporting provider-neutral instrumentation.</x:v>
      </x:c>
      <x:c r="E16" s="206" t="str">
        <x:v>Does not define Nessovo task/capability/employee semantics; input/output content is sensitive.</x:v>
      </x:c>
      <x:c r="F16" s="206" t="str">
        <x:v>Apache-2.0 stated in repository.</x:v>
      </x:c>
      <x:c r="G16" s="206" t="str">
        <x:v>Adopt operational semantics and extend with Nessovo evidence references.</x:v>
      </x:c>
      <x:c r="H16" s="206" t="str">
        <x:v>6+</x:v>
      </x:c>
      <x:c r="I16" s="206" t="str">
        <x:v>https://github.com/open-telemetry/semantic-conventions-genai</x:v>
      </x:c>
      <x:c r="J16" s="207" t="str">
        <x:v>Pin stable conventions; avoid unrestricted content capture.</x:v>
      </x:c>
      <x:c r="K16" s="47"/>
      <x:c r="L16" s="47"/>
      <x:c r="M16" s="47"/>
      <x:c r="N16" s="47"/>
      <x:c r="O16" s="47"/>
      <x:c r="P16" s="47"/>
      <x:c r="Q16" s="47"/>
      <x:c r="R16" s="47"/>
      <x:c r="S16" s="47"/>
      <x:c r="T16" s="47"/>
      <x:c r="U16" s="47"/>
      <x:c r="V16" s="47"/>
      <x:c r="W16" s="47"/>
      <x:c r="X16" s="47"/>
      <x:c r="Y16" s="47"/>
      <x:c r="Z16" s="47"/>
    </x:row>
    <x:row r="17">
      <x:c r="A17" s="199" t="str">
        <x:v>cloudevents/spec</x:v>
      </x:c>
      <x:c r="B17" s="200" t="str">
        <x:v>Event envelope standard</x:v>
      </x:c>
      <x:c r="C17" s="200" t="str">
        <x:v>Portable event metadata and bindings for cross-service/cloud event interchange.</x:v>
      </x:c>
      <x:c r="D17" s="200" t="str">
        <x:v>CNCF graduated project and broad ecosystem support.</x:v>
      </x:c>
      <x:c r="E17" s="200" t="str">
        <x:v>Envelope does not solve domain schema, ordering, privacy or replay by itself.</x:v>
      </x:c>
      <x:c r="F17" s="200" t="str">
        <x:v>Apache-2.0 verified in repository licence.</x:v>
      </x:c>
      <x:c r="G17" s="200" t="str">
        <x:v>Adopt CloudEvents-style envelope if compatible with existing HumanOS contracts.</x:v>
      </x:c>
      <x:c r="H17" s="200" t="str">
        <x:v>1,4</x:v>
      </x:c>
      <x:c r="I17" s="200" t="str">
        <x:v>https://github.com/cloudevents/spec</x:v>
      </x:c>
      <x:c r="J17" s="201" t="str">
        <x:v>Run compatibility assessment with HumanOS event schemas.</x:v>
      </x:c>
      <x:c r="K17" s="47"/>
      <x:c r="L17" s="47"/>
      <x:c r="M17" s="47"/>
      <x:c r="N17" s="47"/>
      <x:c r="O17" s="47"/>
      <x:c r="P17" s="47"/>
      <x:c r="Q17" s="47"/>
      <x:c r="R17" s="47"/>
      <x:c r="S17" s="47"/>
      <x:c r="T17" s="47"/>
      <x:c r="U17" s="47"/>
      <x:c r="V17" s="47"/>
      <x:c r="W17" s="47"/>
      <x:c r="X17" s="47"/>
      <x:c r="Y17" s="47"/>
      <x:c r="Z17" s="47"/>
    </x:row>
    <x:row r="18">
      <x:c r="A18" s="205" t="str">
        <x:v>open-policy-agent/opa</x:v>
      </x:c>
      <x:c r="B18" s="206" t="str">
        <x:v>Policy-as-code</x:v>
      </x:c>
      <x:c r="C18" s="206" t="str">
        <x:v>Decoupled policy decision engine, bundles, decision APIs and audit patterns.</x:v>
      </x:c>
      <x:c r="D18" s="206" t="str">
        <x:v>CNCF graduated project with broad ecosystem use.</x:v>
      </x:c>
      <x:c r="E18" s="206" t="str">
        <x:v>Not every decision belongs in OPA; endpoint embedding/distribution and decision logs require security design.</x:v>
      </x:c>
      <x:c r="F18" s="206" t="str">
        <x:v>Apache-2.0; formal repository verification required before incorporation.</x:v>
      </x:c>
      <x:c r="G18" s="206" t="str">
        <x:v>Benchmark for capture/access policy; reuse existing HumanOS policy service first.</x:v>
      </x:c>
      <x:c r="H18" s="206" t="str">
        <x:v>1,3–4</x:v>
      </x:c>
      <x:c r="I18" s="206" t="str">
        <x:v>https://github.com/open-policy-agent/opa</x:v>
      </x:c>
      <x:c r="J18" s="207" t="str">
        <x:v>Policy capability matrix and local bundle spike.</x:v>
      </x:c>
      <x:c r="K18" s="47"/>
      <x:c r="L18" s="47"/>
      <x:c r="M18" s="47"/>
      <x:c r="N18" s="47"/>
      <x:c r="O18" s="47"/>
      <x:c r="P18" s="47"/>
      <x:c r="Q18" s="47"/>
      <x:c r="R18" s="47"/>
      <x:c r="S18" s="47"/>
      <x:c r="T18" s="47"/>
      <x:c r="U18" s="47"/>
      <x:c r="V18" s="47"/>
      <x:c r="W18" s="47"/>
      <x:c r="X18" s="47"/>
      <x:c r="Y18" s="47"/>
      <x:c r="Z18" s="47"/>
    </x:row>
    <x:row r="19">
      <x:c r="A19" s="199" t="str">
        <x:v>temporalio/sdk-java</x:v>
      </x:c>
      <x:c r="B19" s="200" t="str">
        <x:v>Durable workflow SDK</x:v>
      </x:c>
      <x:c r="C19" s="200" t="str">
        <x:v>Java durable workflows, activities, retries and long-running coordination.</x:v>
      </x:c>
      <x:c r="D19" s="200" t="str">
        <x:v>Mature Temporal ecosystem.</x:v>
      </x:c>
      <x:c r="E19" s="200" t="str">
        <x:v>Adds another control plane and programming model; may duplicate HumanOS Workflow Runtime.</x:v>
      </x:c>
      <x:c r="F19" s="200" t="str">
        <x:v>MIT in Temporal SDK ecosystem; verify repository file before use.</x:v>
      </x:c>
      <x:c r="G19" s="200" t="str">
        <x:v>Reference only until HumanOS workflow gaps are documented.</x:v>
      </x:c>
      <x:c r="H19" s="200" t="str">
        <x:v>1,2+</x:v>
      </x:c>
      <x:c r="I19" s="200" t="str">
        <x:v>https://github.com/temporalio/sdk-java</x:v>
      </x:c>
      <x:c r="J19" s="201" t="str">
        <x:v>Workflow-runtime capability comparison.</x:v>
      </x:c>
      <x:c r="K19" s="47"/>
      <x:c r="L19" s="47"/>
      <x:c r="M19" s="47"/>
      <x:c r="N19" s="47"/>
      <x:c r="O19" s="47"/>
      <x:c r="P19" s="47"/>
      <x:c r="Q19" s="47"/>
      <x:c r="R19" s="47"/>
      <x:c r="S19" s="47"/>
      <x:c r="T19" s="47"/>
      <x:c r="U19" s="47"/>
      <x:c r="V19" s="47"/>
      <x:c r="W19" s="47"/>
      <x:c r="X19" s="47"/>
      <x:c r="Y19" s="47"/>
      <x:c r="Z19" s="47"/>
    </x:row>
    <x:row r="20">
      <x:c r="A20" s="208" t="str">
        <x:v>temporalio/sdk-python</x:v>
      </x:c>
      <x:c r="B20" s="209" t="str">
        <x:v>Durable workflow SDK</x:v>
      </x:c>
      <x:c r="C20" s="209" t="str">
        <x:v>Python workflow/activity support for long-running AI pipelines.</x:v>
      </x:c>
      <x:c r="D20" s="209" t="str">
        <x:v>Mature Temporal ecosystem.</x:v>
      </x:c>
      <x:c r="E20" s="209" t="str">
        <x:v>Cross-language workflow ownership and duplicate orchestration complexity.</x:v>
      </x:c>
      <x:c r="F20" s="209" t="str">
        <x:v>MIT in repository ecosystem; verify before use.</x:v>
      </x:c>
      <x:c r="G20" s="209" t="str">
        <x:v>Reference only; Python evaluators should remain workers behind HumanOS orchestration initially.</x:v>
      </x:c>
      <x:c r="H20" s="209" t="str">
        <x:v>1,7+</x:v>
      </x:c>
      <x:c r="I20" s="209" t="str">
        <x:v>https://github.com/temporalio/sdk-python</x:v>
      </x:c>
      <x:c r="J20" s="210" t="str">
        <x:v>Use only after architecture decision.</x:v>
      </x:c>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pageMargins left="0.7" right="0.7" top="0.75" bottom="0.75" header="0.3" footer="0.3"/>
  <x:tableParts count="1">
    <x:tablePart xmlns:r="http://schemas.openxmlformats.org/officeDocument/2006/relationships" r:id="Rbbd0a0a9516c4ecf"/>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2" hidden="0" customWidth="1"/>
    <x:col min="4" max="4" width="22" hidden="0" customWidth="1"/>
    <x:col min="5" max="5" width="24" hidden="0" customWidth="1"/>
    <x:col min="6" max="6" width="24" hidden="0" customWidth="1"/>
    <x:col min="7" max="7" width="18" hidden="0" customWidth="1"/>
    <x:col min="8" max="8" width="20" hidden="0" customWidth="1"/>
    <x:col min="9" max="9" width="14" hidden="0" customWidth="1"/>
    <x:col min="10" max="10" width="54" hidden="0" customWidth="1"/>
  </x:cols>
  <x:sheetData>
    <x:row r="1" ht="30" customHeight="1">
      <x:c r="A1" s="161" t="str">
        <x:v>Competitive Gap and Proprietary-Core Matrix</x:v>
      </x:c>
      <x:c r="B1" s="161"/>
      <x:c r="C1" s="161"/>
      <x:c r="D1" s="161"/>
      <x:c r="E1" s="161"/>
      <x:c r="F1" s="161"/>
      <x:c r="G1" s="161"/>
      <x:c r="H1" s="161"/>
      <x:c r="I1" s="161"/>
      <x:c r="J1" s="161"/>
      <x:c r="K1" s="64"/>
      <x:c r="L1" s="64"/>
      <x:c r="M1" s="65"/>
      <x:c r="N1" s="65"/>
      <x:c r="O1" s="65"/>
      <x:c r="P1" s="65"/>
      <x:c r="Q1" s="65"/>
      <x:c r="R1" s="65"/>
      <x:c r="S1" s="65"/>
      <x:c r="T1" s="65"/>
      <x:c r="U1" s="65"/>
      <x:c r="V1" s="65"/>
      <x:c r="W1" s="65"/>
      <x:c r="X1" s="65"/>
      <x:c r="Y1" s="65"/>
      <x:c r="Z1" s="65"/>
    </x:row>
    <x:row r="2" ht="34" customHeight="1">
      <x:c r="A2" s="164" t="str">
        <x:v>The market provides strong components. Nessovo's defensible product is the governed integration of evidence, task outcomes, provenance, capability development and organisational learning.</x:v>
      </x:c>
      <x:c r="B2" s="164"/>
      <x:c r="C2" s="164"/>
      <x:c r="D2" s="164"/>
      <x:c r="E2" s="164"/>
      <x:c r="F2" s="164"/>
      <x:c r="G2" s="164"/>
      <x:c r="H2" s="164"/>
      <x:c r="I2" s="164"/>
      <x:c r="J2" s="164"/>
      <x:c r="K2" s="48"/>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Capability</x:v>
      </x:c>
      <x:c r="B4" s="170" t="str">
        <x:v>Employee monitoring</x:v>
      </x:c>
      <x:c r="C4" s="170" t="str">
        <x:v>Task/process mining</x:v>
      </x:c>
      <x:c r="D4" s="170" t="str">
        <x:v>Developer intelligence</x:v>
      </x:c>
      <x:c r="E4" s="170" t="str">
        <x:v>Skills/talent intelligence</x:v>
      </x:c>
      <x:c r="F4" s="170" t="str">
        <x:v>AI memory / record-replay</x:v>
      </x:c>
      <x:c r="G4" s="170" t="str">
        <x:v>Nessovo target</x:v>
      </x:c>
      <x:c r="H4" s="170" t="str">
        <x:v>Proprietary importance</x:v>
      </x:c>
      <x:c r="I4" s="170" t="str">
        <x:v>MVP / stage</x:v>
      </x:c>
      <x:c r="J4" s="175" t="str">
        <x:v>Differentiation and design note</x:v>
      </x:c>
      <x:c r="K4" s="47"/>
      <x:c r="L4" s="47"/>
      <x:c r="M4" s="47"/>
      <x:c r="N4" s="47"/>
      <x:c r="O4" s="47"/>
      <x:c r="P4" s="47"/>
      <x:c r="Q4" s="47"/>
      <x:c r="R4" s="47"/>
      <x:c r="S4" s="47"/>
      <x:c r="T4" s="47"/>
      <x:c r="U4" s="47"/>
      <x:c r="V4" s="47"/>
      <x:c r="W4" s="47"/>
      <x:c r="X4" s="47"/>
      <x:c r="Y4" s="47"/>
      <x:c r="Z4" s="47"/>
    </x:row>
    <x:row r="5">
      <x:c r="A5" s="197" t="str">
        <x:v>Managed-device session and policy control</x:v>
      </x:c>
      <x:c r="B5" s="198" t="str">
        <x:v>Medium</x:v>
      </x:c>
      <x:c r="C5" s="198" t="str">
        <x:v>Low</x:v>
      </x:c>
      <x:c r="D5" s="198" t="str">
        <x:v>Low</x:v>
      </x:c>
      <x:c r="E5" s="198" t="str">
        <x:v>Low</x:v>
      </x:c>
      <x:c r="F5" s="198" t="str">
        <x:v>Low</x:v>
      </x:c>
      <x:c r="G5" s="198" t="str">
        <x:v>Strong</x:v>
      </x:c>
      <x:c r="H5" s="198" t="str">
        <x:v>Medium</x:v>
      </x:c>
      <x:c r="I5" s="198" t="str">
        <x:v>3</x:v>
      </x:c>
      <x:c r="J5" s="220" t="str">
        <x:v>Visible, task/hour/policy-scoped device control is foundational to trust.</x:v>
      </x:c>
      <x:c r="K5" s="47"/>
      <x:c r="L5" s="47"/>
      <x:c r="M5" s="47"/>
      <x:c r="N5" s="47"/>
      <x:c r="O5" s="47"/>
      <x:c r="P5" s="47"/>
      <x:c r="Q5" s="47"/>
      <x:c r="R5" s="47"/>
      <x:c r="S5" s="47"/>
      <x:c r="T5" s="47"/>
      <x:c r="U5" s="47"/>
      <x:c r="V5" s="47"/>
      <x:c r="W5" s="47"/>
      <x:c r="X5" s="47"/>
      <x:c r="Y5" s="47"/>
      <x:c r="Z5" s="47"/>
    </x:row>
    <x:row r="6">
      <x:c r="A6" s="205" t="str">
        <x:v>Application/window/browser context</x:v>
      </x:c>
      <x:c r="B6" s="206" t="str">
        <x:v>Strong</x:v>
      </x:c>
      <x:c r="C6" s="206" t="str">
        <x:v>Medium</x:v>
      </x:c>
      <x:c r="D6" s="206" t="str">
        <x:v>Medium</x:v>
      </x:c>
      <x:c r="E6" s="206" t="str">
        <x:v>Low</x:v>
      </x:c>
      <x:c r="F6" s="206" t="str">
        <x:v>Low</x:v>
      </x:c>
      <x:c r="G6" s="206" t="str">
        <x:v>Strong</x:v>
      </x:c>
      <x:c r="H6" s="206" t="str">
        <x:v>Low</x:v>
      </x:c>
      <x:c r="I6" s="206" t="str">
        <x:v>5–6</x:v>
      </x:c>
      <x:c r="J6" s="207" t="str">
        <x:v>Commodity evidence; use minimum necessary fields and employee visibility.</x:v>
      </x:c>
      <x:c r="K6" s="47"/>
      <x:c r="L6" s="47"/>
      <x:c r="M6" s="47"/>
      <x:c r="N6" s="47"/>
      <x:c r="O6" s="47"/>
      <x:c r="P6" s="47"/>
      <x:c r="Q6" s="47"/>
      <x:c r="R6" s="47"/>
      <x:c r="S6" s="47"/>
      <x:c r="T6" s="47"/>
      <x:c r="U6" s="47"/>
      <x:c r="V6" s="47"/>
      <x:c r="W6" s="47"/>
      <x:c r="X6" s="47"/>
      <x:c r="Y6" s="47"/>
      <x:c r="Z6" s="47"/>
    </x:row>
    <x:row r="7">
      <x:c r="A7" s="199" t="str">
        <x:v>Event-driven visual-state capture</x:v>
      </x:c>
      <x:c r="B7" s="200" t="str">
        <x:v>Strong</x:v>
      </x:c>
      <x:c r="C7" s="200" t="str">
        <x:v>Strong</x:v>
      </x:c>
      <x:c r="D7" s="200" t="str">
        <x:v>Low</x:v>
      </x:c>
      <x:c r="E7" s="200" t="str">
        <x:v>Low</x:v>
      </x:c>
      <x:c r="F7" s="200" t="str">
        <x:v>Medium</x:v>
      </x:c>
      <x:c r="G7" s="200" t="str">
        <x:v>Strong</x:v>
      </x:c>
      <x:c r="H7" s="200" t="str">
        <x:v>Medium</x:v>
      </x:c>
      <x:c r="I7" s="200" t="str">
        <x:v>5</x:v>
      </x:c>
      <x:c r="J7" s="201" t="str">
        <x:v>Changed-state graph, secure exclusions and edge redaction are the value beyond screenshots.</x:v>
      </x:c>
      <x:c r="K7" s="47"/>
      <x:c r="L7" s="47"/>
      <x:c r="M7" s="47"/>
      <x:c r="N7" s="47"/>
      <x:c r="O7" s="47"/>
      <x:c r="P7" s="47"/>
      <x:c r="Q7" s="47"/>
      <x:c r="R7" s="47"/>
      <x:c r="S7" s="47"/>
      <x:c r="T7" s="47"/>
      <x:c r="U7" s="47"/>
      <x:c r="V7" s="47"/>
      <x:c r="W7" s="47"/>
      <x:c r="X7" s="47"/>
      <x:c r="Y7" s="47"/>
      <x:c r="Z7" s="47"/>
    </x:row>
    <x:row r="8">
      <x:c r="A8" s="205" t="str">
        <x:v>Keyboard/input provenance and resulting text reconciliation</x:v>
      </x:c>
      <x:c r="B8" s="206" t="str">
        <x:v>Strong raw keys</x:v>
      </x:c>
      <x:c r="C8" s="206" t="str">
        <x:v>Medium</x:v>
      </x:c>
      <x:c r="D8" s="206" t="str">
        <x:v>Low/Medium</x:v>
      </x:c>
      <x:c r="E8" s="206" t="str">
        <x:v>Low</x:v>
      </x:c>
      <x:c r="F8" s="206" t="str">
        <x:v>Medium in agent tools</x:v>
      </x:c>
      <x:c r="G8" s="206" t="str">
        <x:v>Controlled strong</x:v>
      </x:c>
      <x:c r="H8" s="206" t="str">
        <x:v>High</x:v>
      </x:c>
      <x:c r="I8" s="206" t="str">
        <x:v>5–6</x:v>
      </x:c>
      <x:c r="J8" s="207" t="str">
        <x:v>Distinguish typed, pasted, autocomplete, agent-generated and system-generated changes.</x:v>
      </x:c>
      <x:c r="K8" s="47"/>
      <x:c r="L8" s="47"/>
      <x:c r="M8" s="47"/>
      <x:c r="N8" s="47"/>
      <x:c r="O8" s="47"/>
      <x:c r="P8" s="47"/>
      <x:c r="Q8" s="47"/>
      <x:c r="R8" s="47"/>
      <x:c r="S8" s="47"/>
      <x:c r="T8" s="47"/>
      <x:c r="U8" s="47"/>
      <x:c r="V8" s="47"/>
      <x:c r="W8" s="47"/>
      <x:c r="X8" s="47"/>
      <x:c r="Y8" s="47"/>
      <x:c r="Z8" s="47"/>
    </x:row>
    <x:row r="9">
      <x:c r="A9" s="199" t="str">
        <x:v>Files, Git, terminal, build and test semantics</x:v>
      </x:c>
      <x:c r="B9" s="200" t="str">
        <x:v>Low</x:v>
      </x:c>
      <x:c r="C9" s="200" t="str">
        <x:v>Low</x:v>
      </x:c>
      <x:c r="D9" s="200" t="str">
        <x:v>Strong</x:v>
      </x:c>
      <x:c r="E9" s="200" t="str">
        <x:v>Low</x:v>
      </x:c>
      <x:c r="F9" s="200" t="str">
        <x:v>Medium</x:v>
      </x:c>
      <x:c r="G9" s="200" t="str">
        <x:v>Strong</x:v>
      </x:c>
      <x:c r="H9" s="200" t="str">
        <x:v>Medium</x:v>
      </x:c>
      <x:c r="I9" s="200" t="str">
        <x:v>6</x:v>
      </x:c>
      <x:c r="J9" s="201" t="str">
        <x:v>Prefer authoritative artefacts/results over visual inference.</x:v>
      </x:c>
      <x:c r="K9" s="47"/>
      <x:c r="L9" s="47"/>
      <x:c r="M9" s="47"/>
      <x:c r="N9" s="47"/>
      <x:c r="O9" s="47"/>
      <x:c r="P9" s="47"/>
      <x:c r="Q9" s="47"/>
      <x:c r="R9" s="47"/>
      <x:c r="S9" s="47"/>
      <x:c r="T9" s="47"/>
      <x:c r="U9" s="47"/>
      <x:c r="V9" s="47"/>
      <x:c r="W9" s="47"/>
      <x:c r="X9" s="47"/>
      <x:c r="Y9" s="47"/>
      <x:c r="Z9" s="47"/>
    </x:row>
    <x:row r="10">
      <x:c r="A10" s="205" t="str">
        <x:v>AI-agent lifecycle and tool instrumentation</x:v>
      </x:c>
      <x:c r="B10" s="206" t="str">
        <x:v>Emerging</x:v>
      </x:c>
      <x:c r="C10" s="206" t="str">
        <x:v>Low</x:v>
      </x:c>
      <x:c r="D10" s="206" t="str">
        <x:v>Strong/emerging</x:v>
      </x:c>
      <x:c r="E10" s="206" t="str">
        <x:v>Medium</x:v>
      </x:c>
      <x:c r="F10" s="206" t="str">
        <x:v>Strong</x:v>
      </x:c>
      <x:c r="G10" s="206" t="str">
        <x:v>Strong</x:v>
      </x:c>
      <x:c r="H10" s="206" t="str">
        <x:v>High</x:v>
      </x:c>
      <x:c r="I10" s="206" t="str">
        <x:v>6</x:v>
      </x:c>
      <x:c r="J10" s="207" t="str">
        <x:v>Provider-neutral Adapter Hub plus official hooks and model/skill versioning.</x:v>
      </x:c>
      <x:c r="K10" s="47"/>
      <x:c r="L10" s="47"/>
      <x:c r="M10" s="47"/>
      <x:c r="N10" s="47"/>
      <x:c r="O10" s="47"/>
      <x:c r="P10" s="47"/>
      <x:c r="Q10" s="47"/>
      <x:c r="R10" s="47"/>
      <x:c r="S10" s="47"/>
      <x:c r="T10" s="47"/>
      <x:c r="U10" s="47"/>
      <x:c r="V10" s="47"/>
      <x:c r="W10" s="47"/>
      <x:c r="X10" s="47"/>
      <x:c r="Y10" s="47"/>
      <x:c r="Z10" s="47"/>
    </x:row>
    <x:row r="11">
      <x:c r="A11" s="199" t="str">
        <x:v>Human / AI / automation causal provenance</x:v>
      </x:c>
      <x:c r="B11" s="200" t="str">
        <x:v>Low</x:v>
      </x:c>
      <x:c r="C11" s="200" t="str">
        <x:v>Low</x:v>
      </x:c>
      <x:c r="D11" s="200" t="str">
        <x:v>Medium</x:v>
      </x:c>
      <x:c r="E11" s="200" t="str">
        <x:v>Low</x:v>
      </x:c>
      <x:c r="F11" s="200" t="str">
        <x:v>Medium</x:v>
      </x:c>
      <x:c r="G11" s="200" t="str">
        <x:v>Strong</x:v>
      </x:c>
      <x:c r="H11" s="200" t="str">
        <x:v>Very High</x:v>
      </x:c>
      <x:c r="I11" s="200" t="str">
        <x:v>6–7</x:v>
      </x:c>
      <x:c r="J11" s="201" t="str">
        <x:v>Fair credit, automated-wait classification and agent supervision depend on this.</x:v>
      </x:c>
      <x:c r="K11" s="47"/>
      <x:c r="L11" s="47"/>
      <x:c r="M11" s="47"/>
      <x:c r="N11" s="47"/>
      <x:c r="O11" s="47"/>
      <x:c r="P11" s="47"/>
      <x:c r="Q11" s="47"/>
      <x:c r="R11" s="47"/>
      <x:c r="S11" s="47"/>
      <x:c r="T11" s="47"/>
      <x:c r="U11" s="47"/>
      <x:c r="V11" s="47"/>
      <x:c r="W11" s="47"/>
      <x:c r="X11" s="47"/>
      <x:c r="Y11" s="47"/>
      <x:c r="Z11" s="47"/>
    </x:row>
    <x:row r="12">
      <x:c r="A12" s="205" t="str">
        <x:v>Task Execution Contract</x:v>
      </x:c>
      <x:c r="B12" s="206" t="str">
        <x:v>Low</x:v>
      </x:c>
      <x:c r="C12" s="206" t="str">
        <x:v>Medium task definitions</x:v>
      </x:c>
      <x:c r="D12" s="206" t="str">
        <x:v>Medium ticket links</x:v>
      </x:c>
      <x:c r="E12" s="206" t="str">
        <x:v>Low</x:v>
      </x:c>
      <x:c r="F12" s="206" t="str">
        <x:v>Low</x:v>
      </x:c>
      <x:c r="G12" s="206" t="str">
        <x:v>Strong</x:v>
      </x:c>
      <x:c r="H12" s="206" t="str">
        <x:v>Very High</x:v>
      </x:c>
      <x:c r="I12" s="206" t="str">
        <x:v>2</x:v>
      </x:c>
      <x:c r="J12" s="207" t="str">
        <x:v>Transforms vague tasks into objective, versioned criteria, evidence and quality gates.</x:v>
      </x:c>
      <x:c r="K12" s="47"/>
      <x:c r="L12" s="47"/>
      <x:c r="M12" s="47"/>
      <x:c r="N12" s="47"/>
      <x:c r="O12" s="47"/>
      <x:c r="P12" s="47"/>
      <x:c r="Q12" s="47"/>
      <x:c r="R12" s="47"/>
      <x:c r="S12" s="47"/>
      <x:c r="T12" s="47"/>
      <x:c r="U12" s="47"/>
      <x:c r="V12" s="47"/>
      <x:c r="W12" s="47"/>
      <x:c r="X12" s="47"/>
      <x:c r="Y12" s="47"/>
      <x:c r="Z12" s="47"/>
    </x:row>
    <x:row r="13">
      <x:c r="A13" s="199" t="str">
        <x:v>Task alignment and supporting-work classification</x:v>
      </x:c>
      <x:c r="B13" s="200" t="str">
        <x:v>Medium</x:v>
      </x:c>
      <x:c r="C13" s="200" t="str">
        <x:v>Strong for process patterns</x:v>
      </x:c>
      <x:c r="D13" s="200" t="str">
        <x:v>Medium</x:v>
      </x:c>
      <x:c r="E13" s="200" t="str">
        <x:v>Low</x:v>
      </x:c>
      <x:c r="F13" s="200" t="str">
        <x:v>Low</x:v>
      </x:c>
      <x:c r="G13" s="200" t="str">
        <x:v>Strong</x:v>
      </x:c>
      <x:c r="H13" s="200" t="str">
        <x:v>High</x:v>
      </x:c>
      <x:c r="I13" s="200" t="str">
        <x:v>7</x:v>
      </x:c>
      <x:c r="J13" s="201" t="str">
        <x:v>Must support multiple assigned tasks, research, collaboration and environmental blockers.</x:v>
      </x:c>
      <x:c r="K13" s="47"/>
      <x:c r="L13" s="47"/>
      <x:c r="M13" s="47"/>
      <x:c r="N13" s="47"/>
      <x:c r="O13" s="47"/>
      <x:c r="P13" s="47"/>
      <x:c r="Q13" s="47"/>
      <x:c r="R13" s="47"/>
      <x:c r="S13" s="47"/>
      <x:c r="T13" s="47"/>
      <x:c r="U13" s="47"/>
      <x:c r="V13" s="47"/>
      <x:c r="W13" s="47"/>
      <x:c r="X13" s="47"/>
      <x:c r="Y13" s="47"/>
      <x:c r="Z13" s="47"/>
    </x:row>
    <x:row r="14">
      <x:c r="A14" s="205" t="str">
        <x:v>Acceptance-criteria and quality verification</x:v>
      </x:c>
      <x:c r="B14" s="206" t="str">
        <x:v>Low</x:v>
      </x:c>
      <x:c r="C14" s="206" t="str">
        <x:v>Low</x:v>
      </x:c>
      <x:c r="D14" s="206" t="str">
        <x:v>Medium</x:v>
      </x:c>
      <x:c r="E14" s="206" t="str">
        <x:v>Low</x:v>
      </x:c>
      <x:c r="F14" s="206" t="str">
        <x:v>Medium verification in replay</x:v>
      </x:c>
      <x:c r="G14" s="206" t="str">
        <x:v>Strong</x:v>
      </x:c>
      <x:c r="H14" s="206" t="str">
        <x:v>Very High</x:v>
      </x:c>
      <x:c r="I14" s="206" t="str">
        <x:v>7</x:v>
      </x:c>
      <x:c r="J14" s="207" t="str">
        <x:v>Activity is not completion; deterministic evidence and expert review are essential.</x:v>
      </x:c>
      <x:c r="K14" s="47"/>
      <x:c r="L14" s="47"/>
      <x:c r="M14" s="47"/>
      <x:c r="N14" s="47"/>
      <x:c r="O14" s="47"/>
      <x:c r="P14" s="47"/>
      <x:c r="Q14" s="47"/>
      <x:c r="R14" s="47"/>
      <x:c r="S14" s="47"/>
      <x:c r="T14" s="47"/>
      <x:c r="U14" s="47"/>
      <x:c r="V14" s="47"/>
      <x:c r="W14" s="47"/>
      <x:c r="X14" s="47"/>
      <x:c r="Y14" s="47"/>
      <x:c r="Z14" s="47"/>
    </x:row>
    <x:row r="15">
      <x:c r="A15" s="199" t="str">
        <x:v>Evidence hierarchy, confidence and alternatives</x:v>
      </x:c>
      <x:c r="B15" s="200" t="str">
        <x:v>Low</x:v>
      </x:c>
      <x:c r="C15" s="200" t="str">
        <x:v>Low</x:v>
      </x:c>
      <x:c r="D15" s="200" t="str">
        <x:v>Medium</x:v>
      </x:c>
      <x:c r="E15" s="200" t="str">
        <x:v>Medium</x:v>
      </x:c>
      <x:c r="F15" s="200" t="str">
        <x:v>Medium</x:v>
      </x:c>
      <x:c r="G15" s="200" t="str">
        <x:v>Strong</x:v>
      </x:c>
      <x:c r="H15" s="200" t="str">
        <x:v>Very High</x:v>
      </x:c>
      <x:c r="I15" s="200" t="str">
        <x:v>7–10</x:v>
      </x:c>
      <x:c r="J15" s="201" t="str">
        <x:v>Every material finding exposes sources, uncertainty, missing evidence and alternative explanation.</x:v>
      </x:c>
      <x:c r="K15" s="47"/>
      <x:c r="L15" s="47"/>
      <x:c r="M15" s="47"/>
      <x:c r="N15" s="47"/>
      <x:c r="O15" s="47"/>
      <x:c r="P15" s="47"/>
      <x:c r="Q15" s="47"/>
      <x:c r="R15" s="47"/>
      <x:c r="S15" s="47"/>
      <x:c r="T15" s="47"/>
      <x:c r="U15" s="47"/>
      <x:c r="V15" s="47"/>
      <x:c r="W15" s="47"/>
      <x:c r="X15" s="47"/>
      <x:c r="Y15" s="47"/>
      <x:c r="Z15" s="47"/>
    </x:row>
    <x:row r="16">
      <x:c r="A16" s="205" t="str">
        <x:v>Employee self-access, correction and dispute</x:v>
      </x:c>
      <x:c r="B16" s="206" t="str">
        <x:v>Variable</x:v>
      </x:c>
      <x:c r="C16" s="206" t="str">
        <x:v>Low</x:v>
      </x:c>
      <x:c r="D16" s="206" t="str">
        <x:v>Low/Medium</x:v>
      </x:c>
      <x:c r="E16" s="206" t="str">
        <x:v>Medium</x:v>
      </x:c>
      <x:c r="F16" s="206" t="str">
        <x:v>Low</x:v>
      </x:c>
      <x:c r="G16" s="206" t="str">
        <x:v>Strong</x:v>
      </x:c>
      <x:c r="H16" s="206" t="str">
        <x:v>High</x:v>
      </x:c>
      <x:c r="I16" s="206" t="str">
        <x:v>0,10</x:v>
      </x:c>
      <x:c r="J16" s="207" t="str">
        <x:v>Improves fairness, trust and training data quality.</x:v>
      </x:c>
      <x:c r="K16" s="47"/>
      <x:c r="L16" s="47"/>
      <x:c r="M16" s="47"/>
      <x:c r="N16" s="47"/>
      <x:c r="O16" s="47"/>
      <x:c r="P16" s="47"/>
      <x:c r="Q16" s="47"/>
      <x:c r="R16" s="47"/>
      <x:c r="S16" s="47"/>
      <x:c r="T16" s="47"/>
      <x:c r="U16" s="47"/>
      <x:c r="V16" s="47"/>
      <x:c r="W16" s="47"/>
      <x:c r="X16" s="47"/>
      <x:c r="Y16" s="47"/>
      <x:c r="Z16" s="47"/>
    </x:row>
    <x:row r="17">
      <x:c r="A17" s="199" t="str">
        <x:v>Meaningful human employment review</x:v>
      </x:c>
      <x:c r="B17" s="200" t="str">
        <x:v>Medium controls</x:v>
      </x:c>
      <x:c r="C17" s="200" t="str">
        <x:v>Low</x:v>
      </x:c>
      <x:c r="D17" s="200" t="str">
        <x:v>Low</x:v>
      </x:c>
      <x:c r="E17" s="200" t="str">
        <x:v>Medium</x:v>
      </x:c>
      <x:c r="F17" s="200" t="str">
        <x:v>Low</x:v>
      </x:c>
      <x:c r="G17" s="200" t="str">
        <x:v>Strong</x:v>
      </x:c>
      <x:c r="H17" s="200" t="str">
        <x:v>High</x:v>
      </x:c>
      <x:c r="I17" s="200" t="str">
        <x:v>0,7–10</x:v>
      </x:c>
      <x:c r="J17" s="201" t="str">
        <x:v>Models support decisions; they do not independently determine employment outcomes.</x:v>
      </x:c>
      <x:c r="K17" s="47"/>
      <x:c r="L17" s="47"/>
      <x:c r="M17" s="47"/>
      <x:c r="N17" s="47"/>
      <x:c r="O17" s="47"/>
      <x:c r="P17" s="47"/>
      <x:c r="Q17" s="47"/>
      <x:c r="R17" s="47"/>
      <x:c r="S17" s="47"/>
      <x:c r="T17" s="47"/>
      <x:c r="U17" s="47"/>
      <x:c r="V17" s="47"/>
      <x:c r="W17" s="47"/>
      <x:c r="X17" s="47"/>
      <x:c r="Y17" s="47"/>
      <x:c r="Z17" s="47"/>
    </x:row>
    <x:row r="18">
      <x:c r="A18" s="205" t="str">
        <x:v>Job-description and capability claim model</x:v>
      </x:c>
      <x:c r="B18" s="206" t="str">
        <x:v>Low</x:v>
      </x:c>
      <x:c r="C18" s="206" t="str">
        <x:v>Low</x:v>
      </x:c>
      <x:c r="D18" s="206" t="str">
        <x:v>Low</x:v>
      </x:c>
      <x:c r="E18" s="206" t="str">
        <x:v>Strong</x:v>
      </x:c>
      <x:c r="F18" s="206" t="str">
        <x:v>Low</x:v>
      </x:c>
      <x:c r="G18" s="206" t="str">
        <x:v>Strong</x:v>
      </x:c>
      <x:c r="H18" s="206" t="str">
        <x:v>Very High</x:v>
      </x:c>
      <x:c r="I18" s="206" t="str">
        <x:v>2,8</x:v>
      </x:c>
      <x:c r="J18" s="207" t="str">
        <x:v>Claims remain unverified until repeated, context-qualified evidence exists.</x:v>
      </x:c>
      <x:c r="K18" s="47"/>
      <x:c r="L18" s="47"/>
      <x:c r="M18" s="47"/>
      <x:c r="N18" s="47"/>
      <x:c r="O18" s="47"/>
      <x:c r="P18" s="47"/>
      <x:c r="Q18" s="47"/>
      <x:c r="R18" s="47"/>
      <x:c r="S18" s="47"/>
      <x:c r="T18" s="47"/>
      <x:c r="U18" s="47"/>
      <x:c r="V18" s="47"/>
      <x:c r="W18" s="47"/>
      <x:c r="X18" s="47"/>
      <x:c r="Y18" s="47"/>
      <x:c r="Z18" s="47"/>
    </x:row>
    <x:row r="19">
      <x:c r="A19" s="199" t="str">
        <x:v>Capability level, confidence, recency and consistency</x:v>
      </x:c>
      <x:c r="B19" s="200" t="str">
        <x:v>Low</x:v>
      </x:c>
      <x:c r="C19" s="200" t="str">
        <x:v>Low</x:v>
      </x:c>
      <x:c r="D19" s="200" t="str">
        <x:v>Low</x:v>
      </x:c>
      <x:c r="E19" s="200" t="str">
        <x:v>Strong</x:v>
      </x:c>
      <x:c r="F19" s="200" t="str">
        <x:v>Low</x:v>
      </x:c>
      <x:c r="G19" s="200" t="str">
        <x:v>Strong</x:v>
      </x:c>
      <x:c r="H19" s="200" t="str">
        <x:v>Very High</x:v>
      </x:c>
      <x:c r="I19" s="200" t="str">
        <x:v>2,8</x:v>
      </x:c>
      <x:c r="J19" s="201" t="str">
        <x:v>Transparent multi-dimensional levels rather than opaque talent scores.</x:v>
      </x:c>
      <x:c r="K19" s="47"/>
      <x:c r="L19" s="47"/>
      <x:c r="M19" s="47"/>
      <x:c r="N19" s="47"/>
      <x:c r="O19" s="47"/>
      <x:c r="P19" s="47"/>
      <x:c r="Q19" s="47"/>
      <x:c r="R19" s="47"/>
      <x:c r="S19" s="47"/>
      <x:c r="T19" s="47"/>
      <x:c r="U19" s="47"/>
      <x:c r="V19" s="47"/>
      <x:c r="W19" s="47"/>
      <x:c r="X19" s="47"/>
      <x:c r="Y19" s="47"/>
      <x:c r="Z19" s="47"/>
    </x:row>
    <x:row r="20">
      <x:c r="A20" s="205" t="str">
        <x:v>Game-like employee progression and mastery paths</x:v>
      </x:c>
      <x:c r="B20" s="206" t="str">
        <x:v>Low</x:v>
      </x:c>
      <x:c r="C20" s="206" t="str">
        <x:v>Low</x:v>
      </x:c>
      <x:c r="D20" s="206" t="str">
        <x:v>Low</x:v>
      </x:c>
      <x:c r="E20" s="206" t="str">
        <x:v>Medium</x:v>
      </x:c>
      <x:c r="F20" s="206" t="str">
        <x:v>Low</x:v>
      </x:c>
      <x:c r="G20" s="206" t="str">
        <x:v>Strong</x:v>
      </x:c>
      <x:c r="H20" s="206" t="str">
        <x:v>High</x:v>
      </x:c>
      <x:c r="I20" s="206" t="str">
        <x:v>8–9</x:v>
      </x:c>
      <x:c r="J20" s="207" t="str">
        <x:v>Private developmental skill tree; avoid public leaderboards and activity gaming.</x:v>
      </x:c>
      <x:c r="K20" s="47"/>
      <x:c r="L20" s="47"/>
      <x:c r="M20" s="47"/>
      <x:c r="N20" s="47"/>
      <x:c r="O20" s="47"/>
      <x:c r="P20" s="47"/>
      <x:c r="Q20" s="47"/>
      <x:c r="R20" s="47"/>
      <x:c r="S20" s="47"/>
      <x:c r="T20" s="47"/>
      <x:c r="U20" s="47"/>
      <x:c r="V20" s="47"/>
      <x:c r="W20" s="47"/>
      <x:c r="X20" s="47"/>
      <x:c r="Y20" s="47"/>
      <x:c r="Z20" s="47"/>
    </x:row>
    <x:row r="21">
      <x:c r="A21" s="199" t="str">
        <x:v>Real-time task coaching</x:v>
      </x:c>
      <x:c r="B21" s="200" t="str">
        <x:v>Medium nudges</x:v>
      </x:c>
      <x:c r="C21" s="200" t="str">
        <x:v>Low</x:v>
      </x:c>
      <x:c r="D21" s="200" t="str">
        <x:v>Medium recommendations</x:v>
      </x:c>
      <x:c r="E21" s="200" t="str">
        <x:v>Medium career coaching</x:v>
      </x:c>
      <x:c r="F21" s="200" t="str">
        <x:v>Medium</x:v>
      </x:c>
      <x:c r="G21" s="200" t="str">
        <x:v>Strong</x:v>
      </x:c>
      <x:c r="H21" s="200" t="str">
        <x:v>High</x:v>
      </x:c>
      <x:c r="I21" s="200" t="str">
        <x:v>9</x:v>
      </x:c>
      <x:c r="J21" s="201" t="str">
        <x:v>Observe/nudge/assist/teach/escalate with interruption controls and effectiveness tracking.</x:v>
      </x:c>
      <x:c r="K21" s="47"/>
      <x:c r="L21" s="47"/>
      <x:c r="M21" s="47"/>
      <x:c r="N21" s="47"/>
      <x:c r="O21" s="47"/>
      <x:c r="P21" s="47"/>
      <x:c r="Q21" s="47"/>
      <x:c r="R21" s="47"/>
      <x:c r="S21" s="47"/>
      <x:c r="T21" s="47"/>
      <x:c r="U21" s="47"/>
      <x:c r="V21" s="47"/>
      <x:c r="W21" s="47"/>
      <x:c r="X21" s="47"/>
      <x:c r="Y21" s="47"/>
      <x:c r="Z21" s="47"/>
    </x:row>
    <x:row r="22">
      <x:c r="A22" s="205" t="str">
        <x:v>Training prescription and applied-learning verification</x:v>
      </x:c>
      <x:c r="B22" s="206" t="str">
        <x:v>Low</x:v>
      </x:c>
      <x:c r="C22" s="206" t="str">
        <x:v>Low</x:v>
      </x:c>
      <x:c r="D22" s="206" t="str">
        <x:v>Low</x:v>
      </x:c>
      <x:c r="E22" s="206" t="str">
        <x:v>Strong content/recommendations</x:v>
      </x:c>
      <x:c r="F22" s="206" t="str">
        <x:v>Low</x:v>
      </x:c>
      <x:c r="G22" s="206" t="str">
        <x:v>Strong</x:v>
      </x:c>
      <x:c r="H22" s="206" t="str">
        <x:v>Very High</x:v>
      </x:c>
      <x:c r="I22" s="206" t="str">
        <x:v>9</x:v>
      </x:c>
      <x:c r="J22" s="207" t="str">
        <x:v>Capability increases after demonstrated application, not merely course completion.</x:v>
      </x:c>
      <x:c r="K22" s="47"/>
      <x:c r="L22" s="47"/>
      <x:c r="M22" s="47"/>
      <x:c r="N22" s="47"/>
      <x:c r="O22" s="47"/>
      <x:c r="P22" s="47"/>
      <x:c r="Q22" s="47"/>
      <x:c r="R22" s="47"/>
      <x:c r="S22" s="47"/>
      <x:c r="T22" s="47"/>
      <x:c r="U22" s="47"/>
      <x:c r="V22" s="47"/>
      <x:c r="W22" s="47"/>
      <x:c r="X22" s="47"/>
      <x:c r="Y22" s="47"/>
      <x:c r="Z22" s="47"/>
    </x:row>
    <x:row r="23">
      <x:c r="A23" s="199" t="str">
        <x:v>Manager exception-led task and capability reporting</x:v>
      </x:c>
      <x:c r="B23" s="200" t="str">
        <x:v>Strong activity reports</x:v>
      </x:c>
      <x:c r="C23" s="200" t="str">
        <x:v>Strong process reports</x:v>
      </x:c>
      <x:c r="D23" s="200" t="str">
        <x:v>Strong engineering reports</x:v>
      </x:c>
      <x:c r="E23" s="200" t="str">
        <x:v>Strong talent reports</x:v>
      </x:c>
      <x:c r="F23" s="200" t="str">
        <x:v>Low</x:v>
      </x:c>
      <x:c r="G23" s="200" t="str">
        <x:v>Strong</x:v>
      </x:c>
      <x:c r="H23" s="200" t="str">
        <x:v>Medium/High</x:v>
      </x:c>
      <x:c r="I23" s="200" t="str">
        <x:v>10</x:v>
      </x:c>
      <x:c r="J23" s="201" t="str">
        <x:v>Combine outcome, blocker, quality, support and employee response; raw evidence is drill-down.</x:v>
      </x:c>
      <x:c r="K23" s="47"/>
      <x:c r="L23" s="47"/>
      <x:c r="M23" s="47"/>
      <x:c r="N23" s="47"/>
      <x:c r="O23" s="47"/>
      <x:c r="P23" s="47"/>
      <x:c r="Q23" s="47"/>
      <x:c r="R23" s="47"/>
      <x:c r="S23" s="47"/>
      <x:c r="T23" s="47"/>
      <x:c r="U23" s="47"/>
      <x:c r="V23" s="47"/>
      <x:c r="W23" s="47"/>
      <x:c r="X23" s="47"/>
      <x:c r="Y23" s="47"/>
      <x:c r="Z23" s="47"/>
    </x:row>
    <x:row r="24">
      <x:c r="A24" s="205" t="str">
        <x:v>Reusable work-method and skill extraction</x:v>
      </x:c>
      <x:c r="B24" s="206" t="str">
        <x:v>Low</x:v>
      </x:c>
      <x:c r="C24" s="206" t="str">
        <x:v>Medium automation discovery</x:v>
      </x:c>
      <x:c r="D24" s="206" t="str">
        <x:v>Medium playbooks</x:v>
      </x:c>
      <x:c r="E24" s="206" t="str">
        <x:v>Medium learning paths</x:v>
      </x:c>
      <x:c r="F24" s="206" t="str">
        <x:v>Strong</x:v>
      </x:c>
      <x:c r="G24" s="206" t="str">
        <x:v>Strong</x:v>
      </x:c>
      <x:c r="H24" s="206" t="str">
        <x:v>Very High</x:v>
      </x:c>
      <x:c r="I24" s="206" t="str">
        <x:v>11</x:v>
      </x:c>
      <x:c r="J24" s="207" t="str">
        <x:v>Convert validated success/corrections into versioned HumanOS skills and standards.</x:v>
      </x:c>
      <x:c r="K24" s="47"/>
      <x:c r="L24" s="47"/>
      <x:c r="M24" s="47"/>
      <x:c r="N24" s="47"/>
      <x:c r="O24" s="47"/>
      <x:c r="P24" s="47"/>
      <x:c r="Q24" s="47"/>
      <x:c r="R24" s="47"/>
      <x:c r="S24" s="47"/>
      <x:c r="T24" s="47"/>
      <x:c r="U24" s="47"/>
      <x:c r="V24" s="47"/>
      <x:c r="W24" s="47"/>
      <x:c r="X24" s="47"/>
      <x:c r="Y24" s="47"/>
      <x:c r="Z24" s="47"/>
    </x:row>
    <x:row r="25">
      <x:c r="A25" s="199" t="str">
        <x:v>Governed skill/evaluator self-improvement</x:v>
      </x:c>
      <x:c r="B25" s="200" t="str">
        <x:v>Low</x:v>
      </x:c>
      <x:c r="C25" s="200" t="str">
        <x:v>Low</x:v>
      </x:c>
      <x:c r="D25" s="200" t="str">
        <x:v>Low</x:v>
      </x:c>
      <x:c r="E25" s="200" t="str">
        <x:v>Emerging</x:v>
      </x:c>
      <x:c r="F25" s="200" t="str">
        <x:v>Medium/Strong</x:v>
      </x:c>
      <x:c r="G25" s="200" t="str">
        <x:v>Strong</x:v>
      </x:c>
      <x:c r="H25" s="200" t="str">
        <x:v>Very High</x:v>
      </x:c>
      <x:c r="I25" s="200" t="str">
        <x:v>11</x:v>
      </x:c>
      <x:c r="J25" s="201" t="str">
        <x:v>Proposal → evaluation → review → canary → promotion/rollback; no uncontrolled self-modification.</x:v>
      </x:c>
      <x:c r="K25" s="47"/>
      <x:c r="L25" s="47"/>
      <x:c r="M25" s="47"/>
      <x:c r="N25" s="47"/>
      <x:c r="O25" s="47"/>
      <x:c r="P25" s="47"/>
      <x:c r="Q25" s="47"/>
      <x:c r="R25" s="47"/>
      <x:c r="S25" s="47"/>
      <x:c r="T25" s="47"/>
      <x:c r="U25" s="47"/>
      <x:c r="V25" s="47"/>
      <x:c r="W25" s="47"/>
      <x:c r="X25" s="47"/>
      <x:c r="Y25" s="47"/>
      <x:c r="Z25" s="47"/>
    </x:row>
    <x:row r="26">
      <x:c r="A26" s="205" t="str">
        <x:v>Cross-vertical HumanOS extension model</x:v>
      </x:c>
      <x:c r="B26" s="206" t="str">
        <x:v>Low</x:v>
      </x:c>
      <x:c r="C26" s="206" t="str">
        <x:v>Medium</x:v>
      </x:c>
      <x:c r="D26" s="206" t="str">
        <x:v>Low</x:v>
      </x:c>
      <x:c r="E26" s="206" t="str">
        <x:v>Medium</x:v>
      </x:c>
      <x:c r="F26" s="206" t="str">
        <x:v>Low</x:v>
      </x:c>
      <x:c r="G26" s="206" t="str">
        <x:v>Strong</x:v>
      </x:c>
      <x:c r="H26" s="206" t="str">
        <x:v>High</x:v>
      </x:c>
      <x:c r="I26" s="206" t="str">
        <x:v>2+</x:v>
      </x:c>
      <x:c r="J26" s="207" t="str">
        <x:v>Domain-neutral core plus vertical evidence adapters, task rubrics, coaching and policy packs.</x:v>
      </x:c>
      <x:c r="K26" s="47"/>
      <x:c r="L26" s="47"/>
      <x:c r="M26" s="47"/>
      <x:c r="N26" s="47"/>
      <x:c r="O26" s="47"/>
      <x:c r="P26" s="47"/>
      <x:c r="Q26" s="47"/>
      <x:c r="R26" s="47"/>
      <x:c r="S26" s="47"/>
      <x:c r="T26" s="47"/>
      <x:c r="U26" s="47"/>
      <x:c r="V26" s="47"/>
      <x:c r="W26" s="47"/>
      <x:c r="X26" s="47"/>
      <x:c r="Y26" s="47"/>
      <x:c r="Z26" s="47"/>
    </x:row>
    <x:row r="27">
      <x:c r="A27" s="199" t="str">
        <x:v>Edge minimisation, secure-field blocking and local redaction</x:v>
      </x:c>
      <x:c r="B27" s="200" t="str">
        <x:v>Variable/strong in security products</x:v>
      </x:c>
      <x:c r="C27" s="200" t="str">
        <x:v>Medium</x:v>
      </x:c>
      <x:c r="D27" s="200" t="str">
        <x:v>Low</x:v>
      </x:c>
      <x:c r="E27" s="200" t="str">
        <x:v>Low</x:v>
      </x:c>
      <x:c r="F27" s="200" t="str">
        <x:v>Medium</x:v>
      </x:c>
      <x:c r="G27" s="200" t="str">
        <x:v>Strong</x:v>
      </x:c>
      <x:c r="H27" s="200" t="str">
        <x:v>High</x:v>
      </x:c>
      <x:c r="I27" s="200" t="str">
        <x:v>3–5</x:v>
      </x:c>
      <x:c r="J27" s="201" t="str">
        <x:v>Pilot-blocking privacy engineering and major trust differentiator.</x:v>
      </x:c>
      <x:c r="K27" s="47"/>
      <x:c r="L27" s="47"/>
      <x:c r="M27" s="47"/>
      <x:c r="N27" s="47"/>
      <x:c r="O27" s="47"/>
      <x:c r="P27" s="47"/>
      <x:c r="Q27" s="47"/>
      <x:c r="R27" s="47"/>
      <x:c r="S27" s="47"/>
      <x:c r="T27" s="47"/>
      <x:c r="U27" s="47"/>
      <x:c r="V27" s="47"/>
      <x:c r="W27" s="47"/>
      <x:c r="X27" s="47"/>
      <x:c r="Y27" s="47"/>
      <x:c r="Z27" s="47"/>
    </x:row>
    <x:row r="28">
      <x:c r="A28" s="208" t="str">
        <x:v>Employee and manager benefit measurement</x:v>
      </x:c>
      <x:c r="B28" s="209" t="str">
        <x:v>Medium employer-centric</x:v>
      </x:c>
      <x:c r="C28" s="209" t="str">
        <x:v>Medium</x:v>
      </x:c>
      <x:c r="D28" s="209" t="str">
        <x:v>Strong team metrics</x:v>
      </x:c>
      <x:c r="E28" s="209" t="str">
        <x:v>Strong talent metrics</x:v>
      </x:c>
      <x:c r="F28" s="209" t="str">
        <x:v>Low</x:v>
      </x:c>
      <x:c r="G28" s="209" t="str">
        <x:v>Strong</x:v>
      </x:c>
      <x:c r="H28" s="209" t="str">
        <x:v>High</x:v>
      </x:c>
      <x:c r="I28" s="209" t="str">
        <x:v>0,12</x:v>
      </x:c>
      <x:c r="J28" s="210" t="str">
        <x:v>Product only succeeds when both task outcomes and employee development measurably improve.</x:v>
      </x:c>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J1"/>
    <x:mergeCell ref="A2:J2"/>
  </x:mergeCells>
  <x:pageMargins left="0.7" right="0.7" top="0.75" bottom="0.75" header="0.3" footer="0.3"/>
  <x:tableParts count="1">
    <x:tablePart xmlns:r="http://schemas.openxmlformats.org/officeDocument/2006/relationships" r:id="Rff302c42d10c4734"/>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56" hidden="0" customWidth="1"/>
    <x:col min="4" max="4" width="12" hidden="0" customWidth="1"/>
    <x:col min="5" max="5" width="14" hidden="0" customWidth="1"/>
    <x:col min="6" max="6" width="34" hidden="0" customWidth="1"/>
    <x:col min="7" max="7" width="56" hidden="0" customWidth="1"/>
    <x:col min="8" max="8" width="26" hidden="0" customWidth="1"/>
    <x:col min="9" max="9" width="28" hidden="0" customWidth="1"/>
    <x:col min="10" max="10" width="11" hidden="0" customWidth="1"/>
    <x:col min="11" max="11" width="10" hidden="0" customWidth="1"/>
    <x:col min="12" max="12" width="14" hidden="0" customWidth="1"/>
    <x:col min="13" max="13" width="14" hidden="0" customWidth="1"/>
    <x:col min="14" max="14" width="11" hidden="0" customWidth="1"/>
  </x:cols>
  <x:sheetData>
    <x:row r="1" ht="30" customHeight="1">
      <x:c r="A1" s="161" t="str">
        <x:v>Delivery Stages</x:v>
      </x:c>
      <x:c r="B1" s="161"/>
      <x:c r="C1" s="161"/>
      <x:c r="D1" s="161"/>
      <x:c r="E1" s="161"/>
      <x:c r="F1" s="161"/>
      <x:c r="G1" s="161"/>
      <x:c r="H1" s="161"/>
      <x:c r="I1" s="161"/>
      <x:c r="J1" s="161"/>
      <x:c r="K1" s="161"/>
      <x:c r="L1" s="161"/>
      <x:c r="M1" s="161"/>
      <x:c r="N1" s="161"/>
      <x:c r="O1" s="65"/>
      <x:c r="P1" s="65"/>
      <x:c r="Q1" s="65"/>
      <x:c r="R1" s="65"/>
      <x:c r="S1" s="65"/>
      <x:c r="T1" s="65"/>
      <x:c r="U1" s="65"/>
      <x:c r="V1" s="65"/>
      <x:c r="W1" s="65"/>
      <x:c r="X1" s="65"/>
      <x:c r="Y1" s="65"/>
      <x:c r="Z1" s="65"/>
    </x:row>
    <x:row r="2" ht="34" customHeight="1">
      <x:c r="A2" s="164" t="str">
        <x:v>13 stages total. Stage 0 and Stage 1 are one Foundation &amp; Validation workstream with separate approval gates; schedules are planning assumptions rather than delivery commitments.</x:v>
      </x:c>
      <x:c r="B2" s="164"/>
      <x:c r="C2" s="164"/>
      <x:c r="D2" s="164"/>
      <x:c r="E2" s="164"/>
      <x:c r="F2" s="164"/>
      <x:c r="G2" s="164"/>
      <x:c r="H2" s="164"/>
      <x:c r="I2" s="164"/>
      <x:c r="J2" s="164"/>
      <x:c r="K2" s="164"/>
      <x:c r="L2" s="164"/>
      <x:c r="M2" s="164"/>
      <x:c r="N2" s="164"/>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Stage #</x:v>
      </x:c>
      <x:c r="B4" s="170" t="str">
        <x:v>Stage</x:v>
      </x:c>
      <x:c r="C4" s="170" t="str">
        <x:v>Objective</x:v>
      </x:c>
      <x:c r="D4" s="170" t="str">
        <x:v>Duration weeks</x:v>
      </x:c>
      <x:c r="E4" s="170" t="str">
        <x:v>Indicative team size</x:v>
      </x:c>
      <x:c r="F4" s="170" t="str">
        <x:v>Dependencies</x:v>
      </x:c>
      <x:c r="G4" s="170" t="str">
        <x:v>Exit deliverables</x:v>
      </x:c>
      <x:c r="H4" s="170" t="str">
        <x:v>Lead role</x:v>
      </x:c>
      <x:c r="I4" s="170" t="str">
        <x:v>Current state</x:v>
      </x:c>
      <x:c r="J4" s="170" t="str">
        <x:v>Priority</x:v>
      </x:c>
      <x:c r="K4" s="170" t="str">
        <x:v>Risk</x:v>
      </x:c>
      <x:c r="L4" s="170" t="str">
        <x:v>Start date</x:v>
      </x:c>
      <x:c r="M4" s="170" t="str">
        <x:v>End date</x:v>
      </x:c>
      <x:c r="N4" s="175" t="str">
        <x:v>Effort PW</x:v>
      </x:c>
      <x:c r="O4" s="47"/>
      <x:c r="P4" s="47"/>
      <x:c r="Q4" s="47"/>
      <x:c r="R4" s="47"/>
      <x:c r="S4" s="47"/>
      <x:c r="T4" s="47"/>
      <x:c r="U4" s="47"/>
      <x:c r="V4" s="47"/>
      <x:c r="W4" s="47"/>
      <x:c r="X4" s="47"/>
      <x:c r="Y4" s="47"/>
      <x:c r="Z4" s="47"/>
    </x:row>
    <x:row r="5">
      <x:c r="A5" s="197" t="n">
        <x:v>0</x:v>
      </x:c>
      <x:c r="B5" s="198" t="str">
        <x:v>Foundation — charter, governance and legal boundary</x:v>
      </x:c>
      <x:c r="C5" s="198" t="str">
        <x:v>Define purpose, permitted/prohibited uses, lawful and ethical boundaries, employee rights, DPIA inputs, consultation, security principles, pilot protection and decision authority.</x:v>
      </x:c>
      <x:c r="D5" s="198" t="n">
        <x:v>2</x:v>
      </x:c>
      <x:c r="E5" s="198" t="n">
        <x:v>8</x:v>
      </x:c>
      <x:c r="F5" s="198" t="str">
        <x:v>None</x:v>
      </x:c>
      <x:c r="G5" s="198" t="str">
        <x:v>Product Charter v1; Purpose Policy Matrix; RACI; DPIA pack; threat model; pilot definition; Stage 0 gate.</x:v>
      </x:c>
      <x:c r="H5" s="198" t="str">
        <x:v>Executive Sponsor / Product / DPO</x:v>
      </x:c>
      <x:c r="I5" s="198" t="str">
        <x:v>Draft Complete — Gate Pending</x:v>
      </x:c>
      <x:c r="J5" s="198" t="str">
        <x:v>Critical</x:v>
      </x:c>
      <x:c r="K5" s="198" t="str">
        <x:v>High</x:v>
      </x:c>
      <x:c r="L5" s="243" t="n">
        <x:v>46223</x:v>
      </x:c>
      <x:c r="M5" s="243" t="n">
        <x:v>46236</x:v>
      </x:c>
      <x:c r="N5" s="236" t="n">
        <x:v>16</x:v>
      </x:c>
      <x:c r="O5" s="47"/>
      <x:c r="P5" s="47"/>
      <x:c r="Q5" s="47"/>
      <x:c r="R5" s="47"/>
      <x:c r="S5" s="47"/>
      <x:c r="T5" s="47"/>
      <x:c r="U5" s="47"/>
      <x:c r="V5" s="47"/>
      <x:c r="W5" s="47"/>
      <x:c r="X5" s="47"/>
      <x:c r="Y5" s="47"/>
      <x:c r="Z5" s="47"/>
    </x:row>
    <x:row r="6">
      <x:c r="A6" s="205" t="n">
        <x:v>1</x:v>
      </x:c>
      <x:c r="B6" s="206" t="str">
        <x:v>Foundation — market validation and reference architecture</x:v>
      </x:c>
      <x:c r="C6" s="206" t="str">
        <x:v>Validate market/OSS landscape; decide build/buy/integrate/defer; define HumanOS reference architecture, ADRs, technical spikes, licences, costs and resource conditions.</x:v>
      </x:c>
      <x:c r="D6" s="206" t="n">
        <x:v>2</x:v>
      </x:c>
      <x:c r="E6" s="206" t="n">
        <x:v>10</x:v>
      </x:c>
      <x:c r="F6" s="206" t="str">
        <x:v>Stage 0 workstream runs in parallel; Stage 0 approval is required for implementation use</x:v>
      </x:c>
      <x:c r="G6" s="206" t="str">
        <x:v>Market/OSS research; Gap Matrix; Build/Buy decisions; Reference Architecture; ADRs; Stage 1 gate; Stage 2/3 prompts.</x:v>
      </x:c>
      <x:c r="H6" s="206" t="str">
        <x:v>CTO / Architecture / Product</x:v>
      </x:c>
      <x:c r="I6" s="206" t="str">
        <x:v>Draft Complete — Gate Pending</x:v>
      </x:c>
      <x:c r="J6" s="206" t="str">
        <x:v>Critical</x:v>
      </x:c>
      <x:c r="K6" s="206" t="str">
        <x:v>High</x:v>
      </x:c>
      <x:c r="L6" s="244" t="n">
        <x:v>46223</x:v>
      </x:c>
      <x:c r="M6" s="244" t="n">
        <x:v>46236</x:v>
      </x:c>
      <x:c r="N6" s="242" t="n">
        <x:v>20</x:v>
      </x:c>
      <x:c r="O6" s="47"/>
      <x:c r="P6" s="47"/>
      <x:c r="Q6" s="47"/>
      <x:c r="R6" s="47"/>
      <x:c r="S6" s="47"/>
      <x:c r="T6" s="47"/>
      <x:c r="U6" s="47"/>
      <x:c r="V6" s="47"/>
      <x:c r="W6" s="47"/>
      <x:c r="X6" s="47"/>
      <x:c r="Y6" s="47"/>
      <x:c r="Z6" s="47"/>
    </x:row>
    <x:row r="7">
      <x:c r="A7" s="199" t="n">
        <x:v>2</x:v>
      </x:c>
      <x:c r="B7" s="200" t="str">
        <x:v>Role capability and task contract ontology</x:v>
      </x:c>
      <x:c r="C7" s="200" t="str">
        <x:v>Create domain-neutral Role Capability Contract, Task Execution Contract, evidence ontology, rubrics and implementation contracts, with software-development examples.</x:v>
      </x:c>
      <x:c r="D7" s="200" t="n">
        <x:v>3</x:v>
      </x:c>
      <x:c r="E7" s="200" t="n">
        <x:v>7</x:v>
      </x:c>
      <x:c r="F7" s="200" t="str">
        <x:v>Conditional Stage 0 and Stage 1 approval</x:v>
      </x:c>
      <x:c r="G7" s="200" t="str">
        <x:v>Schemas, rubrics, example roles/tasks, APIs/events, evaluator rules, backlog and Stage 2 gate.</x:v>
      </x:c>
      <x:c r="H7" s="200" t="str">
        <x:v>Product / Capability / AI / Domain Experts</x:v>
      </x:c>
      <x:c r="I7" s="200" t="str">
        <x:v>Specification Draft Complete — Gate Pending</x:v>
      </x:c>
      <x:c r="J7" s="200" t="str">
        <x:v>Critical</x:v>
      </x:c>
      <x:c r="K7" s="200" t="str">
        <x:v>High</x:v>
      </x:c>
      <x:c r="L7" s="245" t="n">
        <x:v>46251</x:v>
      </x:c>
      <x:c r="M7" s="245" t="n">
        <x:v>46271</x:v>
      </x:c>
      <x:c r="N7" s="238" t="n">
        <x:v>21</x:v>
      </x:c>
      <x:c r="O7" s="47"/>
      <x:c r="P7" s="47"/>
      <x:c r="Q7" s="47"/>
      <x:c r="R7" s="47"/>
      <x:c r="S7" s="47"/>
      <x:c r="T7" s="47"/>
      <x:c r="U7" s="47"/>
      <x:c r="V7" s="47"/>
      <x:c r="W7" s="47"/>
      <x:c r="X7" s="47"/>
      <x:c r="Y7" s="47"/>
      <x:c r="Z7" s="47"/>
    </x:row>
    <x:row r="8">
      <x:c r="A8" s="205" t="n">
        <x:v>3</x:v>
      </x:c>
      <x:c r="B8" s="206" t="str">
        <x:v>Device agent foundation</x:v>
      </x:c>
      <x:c r="C8" s="206" t="str">
        <x:v>Build signed Windows/macOS agent skeleton, device identity, policy sync, visible session control, encrypted journal, update/rollback and spike framework.</x:v>
      </x:c>
      <x:c r="D8" s="206" t="n">
        <x:v>5</x:v>
      </x:c>
      <x:c r="E8" s="206" t="n">
        <x:v>8</x:v>
      </x:c>
      <x:c r="F8" s="206" t="str">
        <x:v>Conditional Stage 0 and Stage 1 approval</x:v>
      </x:c>
      <x:c r="G8" s="206" t="str">
        <x:v>Installable agent skeleton; registration; signed policy; session state machine; local journal; health/update; test and threat evidence.</x:v>
      </x:c>
      <x:c r="H8" s="206" t="str">
        <x:v>Desktop / Platform / Security</x:v>
      </x:c>
      <x:c r="I8" s="206" t="str">
        <x:v>Specification Draft Complete — Gate Pending</x:v>
      </x:c>
      <x:c r="J8" s="206" t="str">
        <x:v>Critical</x:v>
      </x:c>
      <x:c r="K8" s="206" t="str">
        <x:v>High</x:v>
      </x:c>
      <x:c r="L8" s="244" t="n">
        <x:v>46272</x:v>
      </x:c>
      <x:c r="M8" s="244" t="n">
        <x:v>46306</x:v>
      </x:c>
      <x:c r="N8" s="242" t="n">
        <x:v>40</x:v>
      </x:c>
      <x:c r="O8" s="47"/>
      <x:c r="P8" s="47"/>
      <x:c r="Q8" s="47"/>
      <x:c r="R8" s="47"/>
      <x:c r="S8" s="47"/>
      <x:c r="T8" s="47"/>
      <x:c r="U8" s="47"/>
      <x:c r="V8" s="47"/>
      <x:c r="W8" s="47"/>
      <x:c r="X8" s="47"/>
      <x:c r="Y8" s="47"/>
      <x:c r="Z8" s="47"/>
    </x:row>
    <x:row r="9">
      <x:c r="A9" s="199" t="n">
        <x:v>4</x:v>
      </x:c>
      <x:c r="B9" s="200" t="str">
        <x:v>Telemetry ingestion and evidence storage</x:v>
      </x:c>
      <x:c r="C9" s="200" t="str">
        <x:v>Implement signed batch ingestion, schema governance, event bus, object evidence storage, audit linkage and replay APIs.</x:v>
      </x:c>
      <x:c r="D9" s="200" t="n">
        <x:v>4</x:v>
      </x:c>
      <x:c r="E9" s="200" t="n">
        <x:v>7</x:v>
      </x:c>
      <x:c r="F9" s="200" t="str">
        <x:v>Stage 3 foundation and approved event contracts</x:v>
      </x:c>
      <x:c r="G9" s="200" t="str">
        <x:v>Idempotent ingestion; schema registry; event topics; evidence/object storage; access and audit controls.</x:v>
      </x:c>
      <x:c r="H9" s="200" t="str">
        <x:v>Backend / Data / Platform</x:v>
      </x:c>
      <x:c r="I9" s="200" t="str">
        <x:v>Not Started</x:v>
      </x:c>
      <x:c r="J9" s="200" t="str">
        <x:v>Critical</x:v>
      </x:c>
      <x:c r="K9" s="200" t="str">
        <x:v>High</x:v>
      </x:c>
      <x:c r="L9" s="245" t="n">
        <x:v>46307</x:v>
      </x:c>
      <x:c r="M9" s="245" t="n">
        <x:v>46334</x:v>
      </x:c>
      <x:c r="N9" s="238" t="n">
        <x:v>28</x:v>
      </x:c>
      <x:c r="O9" s="47"/>
      <x:c r="P9" s="47"/>
      <x:c r="Q9" s="47"/>
      <x:c r="R9" s="47"/>
      <x:c r="S9" s="47"/>
      <x:c r="T9" s="47"/>
      <x:c r="U9" s="47"/>
      <x:c r="V9" s="47"/>
      <x:c r="W9" s="47"/>
      <x:c r="X9" s="47"/>
      <x:c r="Y9" s="47"/>
      <x:c r="Z9" s="47"/>
    </x:row>
    <x:row r="10">
      <x:c r="A10" s="205" t="n">
        <x:v>5</x:v>
      </x:c>
      <x:c r="B10" s="206" t="str">
        <x:v>Universal capture MVP</x:v>
      </x:c>
      <x:c r="C10" s="206" t="str">
        <x:v>Capture approved application/window, visual-state, input metadata/text delta, idle, process and file evidence with local exclusions and redaction.</x:v>
      </x:c>
      <x:c r="D10" s="206" t="n">
        <x:v>6</x:v>
      </x:c>
      <x:c r="E10" s="206" t="n">
        <x:v>9</x:v>
      </x:c>
      <x:c r="F10" s="206" t="str">
        <x:v>Stages 3 and 4; DPIA and pilot control approval</x:v>
      </x:c>
      <x:c r="G10" s="206" t="str">
        <x:v>Correlated endpoint timeline; secure-field blocking; visual-state graph; edge redaction; performance and privacy tests.</x:v>
      </x:c>
      <x:c r="H10" s="206" t="str">
        <x:v>Desktop / Data / Security</x:v>
      </x:c>
      <x:c r="I10" s="206" t="str">
        <x:v>Not Started</x:v>
      </x:c>
      <x:c r="J10" s="206" t="str">
        <x:v>Critical</x:v>
      </x:c>
      <x:c r="K10" s="206" t="str">
        <x:v>High</x:v>
      </x:c>
      <x:c r="L10" s="244" t="n">
        <x:v>46335</x:v>
      </x:c>
      <x:c r="M10" s="244" t="n">
        <x:v>46376</x:v>
      </x:c>
      <x:c r="N10" s="242" t="n">
        <x:v>54</x:v>
      </x:c>
      <x:c r="O10" s="47"/>
      <x:c r="P10" s="47"/>
      <x:c r="Q10" s="47"/>
      <x:c r="R10" s="47"/>
      <x:c r="S10" s="47"/>
      <x:c r="T10" s="47"/>
      <x:c r="U10" s="47"/>
      <x:c r="V10" s="47"/>
      <x:c r="W10" s="47"/>
      <x:c r="X10" s="47"/>
      <x:c r="Y10" s="47"/>
      <x:c r="Z10" s="47"/>
    </x:row>
    <x:row r="11">
      <x:c r="A11" s="199" t="n">
        <x:v>6</x:v>
      </x:c>
      <x:c r="B11" s="200" t="str">
        <x:v>Development semantics and AI-agent adapters</x:v>
      </x:c>
      <x:c r="C11" s="200" t="str">
        <x:v>Add browser, terminal, Git, tests/builds, Codex, Claude Code, IDE and toolchain adapters.</x:v>
      </x:c>
      <x:c r="D11" s="200" t="n">
        <x:v>6</x:v>
      </x:c>
      <x:c r="E11" s="200" t="n">
        <x:v>9</x:v>
      </x:c>
      <x:c r="F11" s="200" t="str">
        <x:v>Stage 5</x:v>
      </x:c>
      <x:c r="G11" s="200" t="str">
        <x:v>Normalised agent/tool events; terminal/process semantics; Git/test/build evidence; adapter SDK.</x:v>
      </x:c>
      <x:c r="H11" s="200" t="str">
        <x:v>Integrations / AI / Developer Platform</x:v>
      </x:c>
      <x:c r="I11" s="200" t="str">
        <x:v>Not Started</x:v>
      </x:c>
      <x:c r="J11" s="200" t="str">
        <x:v>High</x:v>
      </x:c>
      <x:c r="K11" s="200" t="str">
        <x:v>High</x:v>
      </x:c>
      <x:c r="L11" s="245" t="n">
        <x:v>46377</x:v>
      </x:c>
      <x:c r="M11" s="245" t="n">
        <x:v>46418</x:v>
      </x:c>
      <x:c r="N11" s="238" t="n">
        <x:v>54</x:v>
      </x:c>
      <x:c r="O11" s="47"/>
      <x:c r="P11" s="47"/>
      <x:c r="Q11" s="47"/>
      <x:c r="R11" s="47"/>
      <x:c r="S11" s="47"/>
      <x:c r="T11" s="47"/>
      <x:c r="U11" s="47"/>
      <x:c r="V11" s="47"/>
      <x:c r="W11" s="47"/>
      <x:c r="X11" s="47"/>
      <x:c r="Y11" s="47"/>
      <x:c r="Z11" s="47"/>
    </x:row>
    <x:row r="12">
      <x:c r="A12" s="205" t="n">
        <x:v>7</x:v>
      </x:c>
      <x:c r="B12" s="206" t="str">
        <x:v>Provenance and Task Assurance Engine</x:v>
      </x:c>
      <x:c r="C12" s="206" t="str">
        <x:v>Build work episodes, task alignment, human/AI/automation causal graph, acceptance-criteria and quality evaluation.</x:v>
      </x:c>
      <x:c r="D12" s="206" t="n">
        <x:v>7</x:v>
      </x:c>
      <x:c r="E12" s="206" t="n">
        <x:v>10</x:v>
      </x:c>
      <x:c r="F12" s="206" t="str">
        <x:v>Stages 2 and 6</x:v>
      </x:c>
      <x:c r="G12" s="206" t="str">
        <x:v>Evidence/provenance graph; task assessments; criterion state; confidence calibration; blocker detection; human review.</x:v>
      </x:c>
      <x:c r="H12" s="206" t="str">
        <x:v>AI / Backend / Product</x:v>
      </x:c>
      <x:c r="I12" s="206" t="str">
        <x:v>Not Started</x:v>
      </x:c>
      <x:c r="J12" s="206" t="str">
        <x:v>Critical</x:v>
      </x:c>
      <x:c r="K12" s="206" t="str">
        <x:v>High</x:v>
      </x:c>
      <x:c r="L12" s="244" t="n">
        <x:v>46419</x:v>
      </x:c>
      <x:c r="M12" s="244" t="n">
        <x:v>46467</x:v>
      </x:c>
      <x:c r="N12" s="242" t="n">
        <x:v>70</x:v>
      </x:c>
      <x:c r="O12" s="47"/>
      <x:c r="P12" s="47"/>
      <x:c r="Q12" s="47"/>
      <x:c r="R12" s="47"/>
      <x:c r="S12" s="47"/>
      <x:c r="T12" s="47"/>
      <x:c r="U12" s="47"/>
      <x:c r="V12" s="47"/>
      <x:c r="W12" s="47"/>
      <x:c r="X12" s="47"/>
      <x:c r="Y12" s="47"/>
      <x:c r="Z12" s="47"/>
    </x:row>
    <x:row r="13">
      <x:c r="A13" s="199" t="n">
        <x:v>8</x:v>
      </x:c>
      <x:c r="B13" s="200" t="str">
        <x:v>Capability Graph and baseline assessment</x:v>
      </x:c>
      <x:c r="C13" s="200" t="str">
        <x:v>Map role requirements and employee claims to repeated, context-qualified capability evidence and role readiness.</x:v>
      </x:c>
      <x:c r="D13" s="200" t="n">
        <x:v>5</x:v>
      </x:c>
      <x:c r="E13" s="200" t="n">
        <x:v>8</x:v>
      </x:c>
      <x:c r="F13" s="200" t="str">
        <x:v>Stages 2 and 7</x:v>
      </x:c>
      <x:c r="G13" s="200" t="str">
        <x:v>Capability service; baseline assessment; claim-evidence discrepancy workflow; fairness/evidence tests.</x:v>
      </x:c>
      <x:c r="H13" s="200" t="str">
        <x:v>Capability / HR / AI / Backend</x:v>
      </x:c>
      <x:c r="I13" s="200" t="str">
        <x:v>Not Started</x:v>
      </x:c>
      <x:c r="J13" s="200" t="str">
        <x:v>High</x:v>
      </x:c>
      <x:c r="K13" s="200" t="str">
        <x:v>High</x:v>
      </x:c>
      <x:c r="L13" s="245" t="n">
        <x:v>46468</x:v>
      </x:c>
      <x:c r="M13" s="245" t="n">
        <x:v>46502</x:v>
      </x:c>
      <x:c r="N13" s="238" t="n">
        <x:v>40</x:v>
      </x:c>
      <x:c r="O13" s="47"/>
      <x:c r="P13" s="47"/>
      <x:c r="Q13" s="47"/>
      <x:c r="R13" s="47"/>
      <x:c r="S13" s="47"/>
      <x:c r="T13" s="47"/>
      <x:c r="U13" s="47"/>
      <x:c r="V13" s="47"/>
      <x:c r="W13" s="47"/>
      <x:c r="X13" s="47"/>
      <x:c r="Y13" s="47"/>
      <x:c r="Z13" s="47"/>
    </x:row>
    <x:row r="14">
      <x:c r="A14" s="205" t="n">
        <x:v>9</x:v>
      </x:c>
      <x:c r="B14" s="206" t="str">
        <x:v>Growth Coach and learning loop</x:v>
      </x:c>
      <x:c r="C14" s="206" t="str">
        <x:v>Provide controlled observe/nudge/assist/teach/escalate interventions, training plans and effectiveness measurement.</x:v>
      </x:c>
      <x:c r="D14" s="206" t="n">
        <x:v>5</x:v>
      </x:c>
      <x:c r="E14" s="206" t="n">
        <x:v>8</x:v>
      </x:c>
      <x:c r="F14" s="206" t="str">
        <x:v>Stages 7 and 8</x:v>
      </x:c>
      <x:c r="G14" s="206" t="str">
        <x:v>Coaching orchestration; learning plans; mentor escalation; intervention safety; applied-learning evidence.</x:v>
      </x:c>
      <x:c r="H14" s="206" t="str">
        <x:v>AI / L&amp;D / Product</x:v>
      </x:c>
      <x:c r="I14" s="206" t="str">
        <x:v>Not Started</x:v>
      </x:c>
      <x:c r="J14" s="206" t="str">
        <x:v>High</x:v>
      </x:c>
      <x:c r="K14" s="206" t="str">
        <x:v>Medium</x:v>
      </x:c>
      <x:c r="L14" s="244" t="n">
        <x:v>46503</x:v>
      </x:c>
      <x:c r="M14" s="244" t="n">
        <x:v>46537</x:v>
      </x:c>
      <x:c r="N14" s="242" t="n">
        <x:v>40</x:v>
      </x:c>
      <x:c r="O14" s="47"/>
      <x:c r="P14" s="47"/>
      <x:c r="Q14" s="47"/>
      <x:c r="R14" s="47"/>
      <x:c r="S14" s="47"/>
      <x:c r="T14" s="47"/>
      <x:c r="U14" s="47"/>
      <x:c r="V14" s="47"/>
      <x:c r="W14" s="47"/>
      <x:c r="X14" s="47"/>
      <x:c r="Y14" s="47"/>
      <x:c r="Z14" s="47"/>
    </x:row>
    <x:row r="15">
      <x:c r="A15" s="199" t="n">
        <x:v>10</x:v>
      </x:c>
      <x:c r="B15" s="200" t="str">
        <x:v>Employee and manager experiences</x:v>
      </x:c>
      <x:c r="C15" s="200" t="str">
        <x:v>Deliver employee timeline/corrections/capability view and manager exception-led task/capability reports.</x:v>
      </x:c>
      <x:c r="D15" s="200" t="n">
        <x:v>5</x:v>
      </x:c>
      <x:c r="E15" s="200" t="n">
        <x:v>9</x:v>
      </x:c>
      <x:c r="F15" s="200" t="str">
        <x:v>Stages 7–9 and governance workflow</x:v>
      </x:c>
      <x:c r="G15" s="200" t="str">
        <x:v>Employee portal; dispute/review workflow; manager task assurance; access controls; usability evidence.</x:v>
      </x:c>
      <x:c r="H15" s="200" t="str">
        <x:v>Product / Frontend / Backend / Governance</x:v>
      </x:c>
      <x:c r="I15" s="200" t="str">
        <x:v>Not Started</x:v>
      </x:c>
      <x:c r="J15" s="200" t="str">
        <x:v>High</x:v>
      </x:c>
      <x:c r="K15" s="200" t="str">
        <x:v>High</x:v>
      </x:c>
      <x:c r="L15" s="245" t="n">
        <x:v>46538</x:v>
      </x:c>
      <x:c r="M15" s="245" t="n">
        <x:v>46572</x:v>
      </x:c>
      <x:c r="N15" s="238" t="n">
        <x:v>45</x:v>
      </x:c>
      <x:c r="O15" s="47"/>
      <x:c r="P15" s="47"/>
      <x:c r="Q15" s="47"/>
      <x:c r="R15" s="47"/>
      <x:c r="S15" s="47"/>
      <x:c r="T15" s="47"/>
      <x:c r="U15" s="47"/>
      <x:c r="V15" s="47"/>
      <x:c r="W15" s="47"/>
      <x:c r="X15" s="47"/>
      <x:c r="Y15" s="47"/>
      <x:c r="Z15" s="47"/>
    </x:row>
    <x:row r="16">
      <x:c r="A16" s="205" t="n">
        <x:v>11</x:v>
      </x:c>
      <x:c r="B16" s="206" t="str">
        <x:v>Skill Forge and governed self-improvement</x:v>
      </x:c>
      <x:c r="C16" s="206" t="str">
        <x:v>Create observation-to-skill/evaluator improvement with evaluation, approval, canary, promotion and rollback.</x:v>
      </x:c>
      <x:c r="D16" s="206" t="n">
        <x:v>6</x:v>
      </x:c>
      <x:c r="E16" s="206" t="n">
        <x:v>8</x:v>
      </x:c>
      <x:c r="F16" s="206" t="str">
        <x:v>Stages 9 and 10</x:v>
      </x:c>
      <x:c r="G16" s="206" t="str">
        <x:v>Skill registry; proposal/evaluation pipeline; confidentiality controls; approval/canary/rollback.</x:v>
      </x:c>
      <x:c r="H16" s="206" t="str">
        <x:v>AI Platform / Governance</x:v>
      </x:c>
      <x:c r="I16" s="206" t="str">
        <x:v>Not Started</x:v>
      </x:c>
      <x:c r="J16" s="206" t="str">
        <x:v>High</x:v>
      </x:c>
      <x:c r="K16" s="206" t="str">
        <x:v>High</x:v>
      </x:c>
      <x:c r="L16" s="244" t="n">
        <x:v>46573</x:v>
      </x:c>
      <x:c r="M16" s="244" t="n">
        <x:v>46614</x:v>
      </x:c>
      <x:c r="N16" s="242" t="n">
        <x:v>48</x:v>
      </x:c>
      <x:c r="O16" s="47"/>
      <x:c r="P16" s="47"/>
      <x:c r="Q16" s="47"/>
      <x:c r="R16" s="47"/>
      <x:c r="S16" s="47"/>
      <x:c r="T16" s="47"/>
      <x:c r="U16" s="47"/>
      <x:c r="V16" s="47"/>
      <x:c r="W16" s="47"/>
      <x:c r="X16" s="47"/>
      <x:c r="Y16" s="47"/>
      <x:c r="Z16" s="47"/>
    </x:row>
    <x:row r="17">
      <x:c r="A17" s="202" t="n">
        <x:v>12</x:v>
      </x:c>
      <x:c r="B17" s="203" t="str">
        <x:v>Security hardening, internal pilot and rollout decision</x:v>
      </x:c>
      <x:c r="C17" s="203" t="str">
        <x:v>Complete penetration/privacy/performance/evaluation testing, controlled pilot, evidence review, cost analysis and proceed/modify/restrict/stop decision.</x:v>
      </x:c>
      <x:c r="D17" s="203" t="n">
        <x:v>8</x:v>
      </x:c>
      <x:c r="E17" s="203" t="n">
        <x:v>12</x:v>
      </x:c>
      <x:c r="F17" s="203" t="str">
        <x:v>Stages 0–11 and all pilot approvals</x:v>
      </x:c>
      <x:c r="G17" s="203" t="str">
        <x:v>Pilot report; legal/DPO/security sign-off; employee/manager evidence; cost and launch-readiness decision.</x:v>
      </x:c>
      <x:c r="H17" s="203" t="str">
        <x:v>Executive Sponsor / CTO / DPO / CISO / Product</x:v>
      </x:c>
      <x:c r="I17" s="203" t="str">
        <x:v>Not Started</x:v>
      </x:c>
      <x:c r="J17" s="203" t="str">
        <x:v>Critical</x:v>
      </x:c>
      <x:c r="K17" s="203" t="str">
        <x:v>High</x:v>
      </x:c>
      <x:c r="L17" s="246" t="n">
        <x:v>46615</x:v>
      </x:c>
      <x:c r="M17" s="246" t="n">
        <x:v>46670</x:v>
      </x:c>
      <x:c r="N17" s="240" t="n">
        <x:v>96</x:v>
      </x:c>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N1"/>
    <x:mergeCell ref="A2:N2"/>
  </x:mergeCells>
  <x:conditionalFormatting sqref="K5:K17">
    <x:cfRule type="expression" dxfId="0" priority="1">
      <x:formula>K5="High"</x:formula>
    </x:cfRule>
  </x:conditionalFormatting>
  <x:conditionalFormatting sqref="J5:J17">
    <x:cfRule type="expression" dxfId="1" priority="2">
      <x:formula>J5="Critical"</x:formula>
    </x:cfRule>
  </x:conditionalFormatting>
  <x:dataValidations count="3">
    <x:dataValidation type="list" sqref="I5:I17">
      <x:formula1>"Draft Complete — Gate Pending,Not Started — Prompt Ready,Not Started,In Progress,Blocked,Complete"</x:formula1>
    </x:dataValidation>
    <x:dataValidation type="list" sqref="J5:J17">
      <x:formula1>"Critical,High,Medium,Low"</x:formula1>
    </x:dataValidation>
    <x:dataValidation type="list" sqref="K5:K17">
      <x:formula1>"High,Medium,Low"</x:formula1>
    </x:dataValidation>
  </x:dataValidations>
  <x:pageMargins left="0.7" right="0.7" top="0.75" bottom="0.75" header="0.3" footer="0.3"/>
  <x:drawing xmlns:r="http://schemas.openxmlformats.org/officeDocument/2006/relationships" r:id="R0209ca210a3c4029"/>
  <x:tableParts count="1">
    <x:tablePart xmlns:r="http://schemas.openxmlformats.org/officeDocument/2006/relationships" r:id="R0e6208acba8d4d23"/>
  </x:tableParts>
</x:worksheet>
</file>

<file path=xl/worksheets/sheet7.xml><?xml version="1.0" encoding="utf-8"?>
<x:worksheet xmlns:x="http://schemas.openxmlformats.org/spreadsheetml/2006/main">
  <x:sheetFormatPr defaultRowHeight="15"/>
  <x:cols>
    <x:col min="1" max="1" width="38" hidden="0" customWidth="1"/>
    <x:col min="2" max="2" width="54" hidden="0" customWidth="1"/>
    <x:col min="3" max="3" width="56" hidden="0" customWidth="1"/>
    <x:col min="4" max="4" width="32" hidden="0" customWidth="1"/>
    <x:col min="5" max="5" width="34" hidden="0" customWidth="1"/>
    <x:col min="6" max="6" width="38" hidden="0" customWidth="1"/>
    <x:col min="7" max="7" width="38" hidden="0" customWidth="1"/>
    <x:col min="8" max="8" width="38" hidden="0" customWidth="1"/>
    <x:col min="9" max="9" width="14" hidden="0" customWidth="1"/>
    <x:col min="10" max="10" width="44" hidden="0" customWidth="1"/>
    <x:col min="11" max="11" width="26" hidden="0" customWidth="1"/>
  </x:cols>
  <x:sheetData>
    <x:row r="1" ht="30" customHeight="1">
      <x:c r="A1" s="161" t="str">
        <x:v>Microservices and Deployment Map</x:v>
      </x:c>
      <x:c r="B1" s="161"/>
      <x:c r="C1" s="161"/>
      <x:c r="D1" s="161"/>
      <x:c r="E1" s="161"/>
      <x:c r="F1" s="161"/>
      <x:c r="G1" s="161"/>
      <x:c r="H1" s="161"/>
      <x:c r="I1" s="161"/>
      <x:c r="J1" s="161"/>
      <x:c r="K1" s="161"/>
      <x:c r="L1" s="64"/>
      <x:c r="M1" s="65"/>
      <x:c r="N1" s="65"/>
      <x:c r="O1" s="65"/>
      <x:c r="P1" s="65"/>
      <x:c r="Q1" s="65"/>
      <x:c r="R1" s="65"/>
      <x:c r="S1" s="65"/>
      <x:c r="T1" s="65"/>
      <x:c r="U1" s="65"/>
      <x:c r="V1" s="65"/>
      <x:c r="W1" s="65"/>
      <x:c r="X1" s="65"/>
      <x:c r="Y1" s="65"/>
      <x:c r="Z1" s="65"/>
    </x:row>
    <x:row r="2" ht="34" customHeight="1">
      <x:c r="A2" s="164" t="str">
        <x:v>Initial physical deployment plan. Logical bounded contexts can be separated later, but a new deployable requires a demonstrated security, scale, availability, ownership or transactional boundary.</x:v>
      </x:c>
      <x:c r="B2" s="164"/>
      <x:c r="C2" s="164"/>
      <x:c r="D2" s="164"/>
      <x:c r="E2" s="164"/>
      <x:c r="F2" s="164"/>
      <x:c r="G2" s="164"/>
      <x:c r="H2" s="164"/>
      <x:c r="I2" s="164"/>
      <x:c r="J2" s="164"/>
      <x:c r="K2" s="164"/>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Deployable / component</x:v>
      </x:c>
      <x:c r="B4" s="170" t="str">
        <x:v>Includes bounded contexts</x:v>
      </x:c>
      <x:c r="C4" s="170" t="str">
        <x:v>Primary responsibility</x:v>
      </x:c>
      <x:c r="D4" s="170" t="str">
        <x:v>Primary runtime</x:v>
      </x:c>
      <x:c r="E4" s="170" t="str">
        <x:v>Primary stores</x:v>
      </x:c>
      <x:c r="F4" s="170" t="str">
        <x:v>Consumes / integrates</x:v>
      </x:c>
      <x:c r="G4" s="170" t="str">
        <x:v>Publishes / exposes</x:v>
      </x:c>
      <x:c r="H4" s="170" t="str">
        <x:v>HumanOS foundation reuse</x:v>
      </x:c>
      <x:c r="I4" s="170" t="str">
        <x:v>Initial stage</x:v>
      </x:c>
      <x:c r="J4" s="170" t="str">
        <x:v>Future split trigger</x:v>
      </x:c>
      <x:c r="K4" s="175" t="str">
        <x:v>Owner / note</x:v>
      </x:c>
      <x:c r="L4" s="47"/>
      <x:c r="M4" s="47"/>
      <x:c r="N4" s="47"/>
      <x:c r="O4" s="47"/>
      <x:c r="P4" s="47"/>
      <x:c r="Q4" s="47"/>
      <x:c r="R4" s="47"/>
      <x:c r="S4" s="47"/>
      <x:c r="T4" s="47"/>
      <x:c r="U4" s="47"/>
      <x:c r="V4" s="47"/>
      <x:c r="W4" s="47"/>
      <x:c r="X4" s="47"/>
      <x:c r="Y4" s="47"/>
      <x:c r="Z4" s="47"/>
    </x:row>
    <x:row r="5">
      <x:c r="A5" s="197" t="str">
        <x:v>Endpoint Device Agent</x:v>
      </x:c>
      <x:c r="B5" s="198" t="str">
        <x:v>Native core; Windows bridge; macOS bridge; local policy; session control; encrypted journal; uploader; health/update; adapter SDK.</x:v>
      </x:c>
      <x:c r="C5" s="198" t="str">
        <x:v>Visible, policy-controlled endpoint evidence collection, local minimisation/redaction, offline durability and signed event batching.</x:v>
      </x:c>
      <x:c r="D5" s="198" t="str">
        <x:v>Rust shared core + Swift + Windows native bridge + TypeScript browser extension</x:v>
      </x:c>
      <x:c r="E5" s="198" t="str">
        <x:v>Encrypted SQLite/SQLCipher-style journal and content-addressed local cache</x:v>
      </x:c>
      <x:c r="F5" s="198" t="str">
        <x:v>Device policy, HumanOS session/task context, OS/application/agent adapters</x:v>
      </x:c>
      <x:c r="G5" s="198" t="str">
        <x:v>Signed event batches, device health, policy status, telemetry gaps</x:v>
      </x:c>
      <x:c r="H5" s="198" t="str">
        <x:v>Device identity, policy, secrets, audit, notification</x:v>
      </x:c>
      <x:c r="I5" s="198" t="str">
        <x:v>3–6</x:v>
      </x:c>
      <x:c r="J5" s="198" t="str">
        <x:v>OS-specific components may become separate packages, not necessarily cloud services.</x:v>
      </x:c>
      <x:c r="K5" s="220" t="str">
        <x:v>Desktop Platform</x:v>
      </x:c>
      <x:c r="L5" s="47"/>
      <x:c r="M5" s="47"/>
      <x:c r="N5" s="47"/>
      <x:c r="O5" s="47"/>
      <x:c r="P5" s="47"/>
      <x:c r="Q5" s="47"/>
      <x:c r="R5" s="47"/>
      <x:c r="S5" s="47"/>
      <x:c r="T5" s="47"/>
      <x:c r="U5" s="47"/>
      <x:c r="V5" s="47"/>
      <x:c r="W5" s="47"/>
      <x:c r="X5" s="47"/>
      <x:c r="Y5" s="47"/>
      <x:c r="Z5" s="47"/>
    </x:row>
    <x:row r="6">
      <x:c r="A6" s="205" t="str">
        <x:v>Deployable 1 — Device Control &amp; Policy Gateway</x:v>
      </x:c>
      <x:c r="B6" s="206" t="str">
        <x:v>Device registry; certificate lifecycle; policy distribution; session command/control; update rollout metadata; agent health.</x:v>
      </x:c>
      <x:c r="C6" s="206" t="str">
        <x:v>Cloud control plane for managed devices and capture policy.</x:v>
      </x:c>
      <x:c r="D6" s="206" t="str">
        <x:v>Java + Spring Boot</x:v>
      </x:c>
      <x:c r="E6" s="206" t="str">
        <x:v>PostgreSQL</x:v>
      </x:c>
      <x:c r="F6" s="206" t="str">
        <x:v>IAM, organisation, device attestation/MDM, policy service, secrets/KMS</x:v>
      </x:c>
      <x:c r="G6" s="206" t="str">
        <x:v>Registration/session/policy/update APIs and device events</x:v>
      </x:c>
      <x:c r="H6" s="206" t="str">
        <x:v>Identity, organisation, policy, secrets, audit, notification, API gateway</x:v>
      </x:c>
      <x:c r="I6" s="206" t="str">
        <x:v>3–4</x:v>
      </x:c>
      <x:c r="J6" s="206" t="str">
        <x:v>Split update service or fleet health if endpoint scale/ownership demands it.</x:v>
      </x:c>
      <x:c r="K6" s="207" t="str">
        <x:v>Platform / Security</x:v>
      </x:c>
      <x:c r="L6" s="47"/>
      <x:c r="M6" s="47"/>
      <x:c r="N6" s="47"/>
      <x:c r="O6" s="47"/>
      <x:c r="P6" s="47"/>
      <x:c r="Q6" s="47"/>
      <x:c r="R6" s="47"/>
      <x:c r="S6" s="47"/>
      <x:c r="T6" s="47"/>
      <x:c r="U6" s="47"/>
      <x:c r="V6" s="47"/>
      <x:c r="W6" s="47"/>
      <x:c r="X6" s="47"/>
      <x:c r="Y6" s="47"/>
      <x:c r="Z6" s="47"/>
    </x:row>
    <x:row r="7">
      <x:c r="A7" s="199" t="str">
        <x:v>Deployable 2 — Telemetry Ingestion &amp; Schema</x:v>
      </x:c>
      <x:c r="B7" s="200" t="str">
        <x:v>Batch gateway; signature validation; idempotency; tenant partitioning; schema registry integration; quotas; reject/diagnostics.</x:v>
      </x:c>
      <x:c r="C7" s="200" t="str">
        <x:v>Receive signed endpoint/adapter batches and publish normalised, replayable events.</x:v>
      </x:c>
      <x:c r="D7" s="200" t="str">
        <x:v>Java + Spring Boot + Spring Kafka</x:v>
      </x:c>
      <x:c r="E7" s="200" t="str">
        <x:v>Kafka-compatible bus + PostgreSQL ingestion metadata</x:v>
      </x:c>
      <x:c r="F7" s="200" t="str">
        <x:v>Device certificates, tenant/IAM, schema registry, event bus</x:v>
      </x:c>
      <x:c r="G7" s="200" t="str">
        <x:v>Normalised event topics, batch receipts, telemetry gap and rejection events</x:v>
      </x:c>
      <x:c r="H7" s="200" t="str">
        <x:v>IAM, event infrastructure, audit, API gateway</x:v>
      </x:c>
      <x:c r="I7" s="200" t="str">
        <x:v>4</x:v>
      </x:c>
      <x:c r="J7" s="200" t="str">
        <x:v>Scale ingress independently by region or workload when measured.</x:v>
      </x:c>
      <x:c r="K7" s="201" t="str">
        <x:v>Backend / Data Platform</x:v>
      </x:c>
      <x:c r="L7" s="47"/>
      <x:c r="M7" s="47"/>
      <x:c r="N7" s="47"/>
      <x:c r="O7" s="47"/>
      <x:c r="P7" s="47"/>
      <x:c r="Q7" s="47"/>
      <x:c r="R7" s="47"/>
      <x:c r="S7" s="47"/>
      <x:c r="T7" s="47"/>
      <x:c r="U7" s="47"/>
      <x:c r="V7" s="47"/>
      <x:c r="W7" s="47"/>
      <x:c r="X7" s="47"/>
      <x:c r="Y7" s="47"/>
      <x:c r="Z7" s="47"/>
    </x:row>
    <x:row r="8">
      <x:c r="A8" s="205" t="str">
        <x:v>Deployable 3 — Evidence &amp; Timeline</x:v>
      </x:c>
      <x:c r="B8" s="206" t="str">
        <x:v>Activity events; visual-state metadata; artefact references; relational provenance edges; retention; timeline/replay; evidence access.</x:v>
      </x:c>
      <x:c r="C8" s="206" t="str">
        <x:v>System of record for work evidence metadata and evidence-linked timelines.</x:v>
      </x:c>
      <x:c r="D8" s="206" t="str">
        <x:v>Java + Spring Boot</x:v>
      </x:c>
      <x:c r="E8" s="206" t="str">
        <x:v>PostgreSQL + object storage; search indexes as needed</x:v>
      </x:c>
      <x:c r="F8" s="206" t="str">
        <x:v>Normalised events, task/project context, file/Git/test/agent events, policy decisions</x:v>
      </x:c>
      <x:c r="G8" s="206" t="str">
        <x:v>Evidence/timeline APIs; evidence.linked and provenance.updated events</x:v>
      </x:c>
      <x:c r="H8" s="206" t="str">
        <x:v>Object/file service, policy, audit, IAM, tenant</x:v>
      </x:c>
      <x:c r="I8" s="206" t="str">
        <x:v>4–7</x:v>
      </x:c>
      <x:c r="J8" s="206" t="str">
        <x:v>Split visual/object indexing if retention/security/throughput becomes independent.</x:v>
      </x:c>
      <x:c r="K8" s="207" t="str">
        <x:v>Data / Evidence</x:v>
      </x:c>
      <x:c r="L8" s="47"/>
      <x:c r="M8" s="47"/>
      <x:c r="N8" s="47"/>
      <x:c r="O8" s="47"/>
      <x:c r="P8" s="47"/>
      <x:c r="Q8" s="47"/>
      <x:c r="R8" s="47"/>
      <x:c r="S8" s="47"/>
      <x:c r="T8" s="47"/>
      <x:c r="U8" s="47"/>
      <x:c r="V8" s="47"/>
      <x:c r="W8" s="47"/>
      <x:c r="X8" s="47"/>
      <x:c r="Y8" s="47"/>
      <x:c r="Z8" s="47"/>
    </x:row>
    <x:row r="9">
      <x:c r="A9" s="199" t="str">
        <x:v>Deployable 4A — Task Assurance Domain</x:v>
      </x:c>
      <x:c r="B9" s="200" t="str">
        <x:v>Task contract state; acceptance criteria; deterministic validators; assessment workflow; blocker and task-alignment state.</x:v>
      </x:c>
      <x:c r="C9" s="200" t="str">
        <x:v>Own durable task-assurance lifecycle and orchestrate evaluators and human review.</x:v>
      </x:c>
      <x:c r="D9" s="200" t="str">
        <x:v>Java + Spring Boot</x:v>
      </x:c>
      <x:c r="E9" s="200" t="str">
        <x:v>PostgreSQL</x:v>
      </x:c>
      <x:c r="F9" s="200" t="str">
        <x:v>HumanOS tasks/projects/workflow, evidence, build/test/CI, reviewer decisions</x:v>
      </x:c>
      <x:c r="G9" s="200" t="str">
        <x:v>Task assessment/criterion/blocker APIs and events</x:v>
      </x:c>
      <x:c r="H9" s="200" t="str">
        <x:v>Task/project service, workflow, policy, audit, notification</x:v>
      </x:c>
      <x:c r="I9" s="200" t="str">
        <x:v>2,7</x:v>
      </x:c>
      <x:c r="J9" s="200" t="str">
        <x:v>Separate task-contract compiler or validator workers only after independent scale/ownership.</x:v>
      </x:c>
      <x:c r="K9" s="201" t="str">
        <x:v>Product / Backend</x:v>
      </x:c>
      <x:c r="L9" s="47"/>
      <x:c r="M9" s="47"/>
      <x:c r="N9" s="47"/>
      <x:c r="O9" s="47"/>
      <x:c r="P9" s="47"/>
      <x:c r="Q9" s="47"/>
      <x:c r="R9" s="47"/>
      <x:c r="S9" s="47"/>
      <x:c r="T9" s="47"/>
      <x:c r="U9" s="47"/>
      <x:c r="V9" s="47"/>
      <x:c r="W9" s="47"/>
      <x:c r="X9" s="47"/>
      <x:c r="Y9" s="47"/>
      <x:c r="Z9" s="47"/>
    </x:row>
    <x:row r="10">
      <x:c r="A10" s="205" t="str">
        <x:v>Deployable 4B — Task &amp; Activity Evaluators</x:v>
      </x:c>
      <x:c r="B10" s="206" t="str">
        <x:v>Episode segmentation; task alignment; visual/text interpretation; quality reasoning; confidence calibration; evaluation harness.</x:v>
      </x:c>
      <x:c r="C10" s="206" t="str">
        <x:v>Return versioned, evidence-linked AI findings without owning final employment or task state.</x:v>
      </x:c>
      <x:c r="D10" s="206" t="str">
        <x:v>Python + FastAPI/worker runtime</x:v>
      </x:c>
      <x:c r="E10" s="206" t="str">
        <x:v>Evaluation/model artefact store + approved vector/search index</x:v>
      </x:c>
      <x:c r="F10" s="206" t="str">
        <x:v>Evidence references and minimised approved content through Model Gateway</x:v>
      </x:c>
      <x:c r="G10" s="206" t="str">
        <x:v>Evaluator findings, confidence, missing evidence and model/skill metadata</x:v>
      </x:c>
      <x:c r="H10" s="206" t="str">
        <x:v>Model Gateway, policy, audit, secrets, observability</x:v>
      </x:c>
      <x:c r="I10" s="206" t="str">
        <x:v>7</x:v>
      </x:c>
      <x:c r="J10" s="206" t="str">
        <x:v>Separate model-specific worker pools based on compute/security class.</x:v>
      </x:c>
      <x:c r="K10" s="207" t="str">
        <x:v>AI / Evaluation</x:v>
      </x:c>
      <x:c r="L10" s="47"/>
      <x:c r="M10" s="47"/>
      <x:c r="N10" s="47"/>
      <x:c r="O10" s="47"/>
      <x:c r="P10" s="47"/>
      <x:c r="Q10" s="47"/>
      <x:c r="R10" s="47"/>
      <x:c r="S10" s="47"/>
      <x:c r="T10" s="47"/>
      <x:c r="U10" s="47"/>
      <x:c r="V10" s="47"/>
      <x:c r="W10" s="47"/>
      <x:c r="X10" s="47"/>
      <x:c r="Y10" s="47"/>
      <x:c r="Z10" s="47"/>
    </x:row>
    <x:row r="11">
      <x:c r="A11" s="199" t="str">
        <x:v>Deployable 5A — Capability &amp; Learning Domain</x:v>
      </x:c>
      <x:c r="B11" s="200" t="str">
        <x:v>Role capability contracts; claims; evidence state; role readiness; learning plans; intervention workflow; employee capability view.</x:v>
      </x:c>
      <x:c r="C11" s="200" t="str">
        <x:v>Own transparent capability and learning lifecycle across HumanOS verticals.</x:v>
      </x:c>
      <x:c r="D11" s="200" t="str">
        <x:v>Java + Spring Boot</x:v>
      </x:c>
      <x:c r="E11" s="200" t="str">
        <x:v>PostgreSQL</x:v>
      </x:c>
      <x:c r="F11" s="200" t="str">
        <x:v>Organisation/roles, task assessments, baseline assessments, training outcomes, review decisions</x:v>
      </x:c>
      <x:c r="G11" s="200" t="str">
        <x:v>Capability evidence/state, gap, learning and role-readiness APIs/events</x:v>
      </x:c>
      <x:c r="H11" s="200" t="str">
        <x:v>Organisation/role, workflow, HR integrations, policy, audit, notification</x:v>
      </x:c>
      <x:c r="I11" s="200" t="str">
        <x:v>2,8–9</x:v>
      </x:c>
      <x:c r="J11" s="200" t="str">
        <x:v>Split learning marketplace/content integration if volume and ownership justify.</x:v>
      </x:c>
      <x:c r="K11" s="201" t="str">
        <x:v>Capability Product / L&amp;D</x:v>
      </x:c>
      <x:c r="L11" s="47"/>
      <x:c r="M11" s="47"/>
      <x:c r="N11" s="47"/>
      <x:c r="O11" s="47"/>
      <x:c r="P11" s="47"/>
      <x:c r="Q11" s="47"/>
      <x:c r="R11" s="47"/>
      <x:c r="S11" s="47"/>
      <x:c r="T11" s="47"/>
      <x:c r="U11" s="47"/>
      <x:c r="V11" s="47"/>
      <x:c r="W11" s="47"/>
      <x:c r="X11" s="47"/>
      <x:c r="Y11" s="47"/>
      <x:c r="Z11" s="47"/>
    </x:row>
    <x:row r="12">
      <x:c r="A12" s="205" t="str">
        <x:v>Deployable 5B — Capability Scoring &amp; Coaching AI</x:v>
      </x:c>
      <x:c r="B12" s="206" t="str">
        <x:v>Evidence weighting; confidence/recency/consistency; gap classification; coaching generation; training recommendations; effectiveness evaluation.</x:v>
      </x:c>
      <x:c r="C12" s="206" t="str">
        <x:v>Provide explainable recommendations to the durable Capability &amp; Learning domain.</x:v>
      </x:c>
      <x:c r="D12" s="206" t="str">
        <x:v>Python + FastAPI/worker runtime</x:v>
      </x:c>
      <x:c r="E12" s="206" t="str">
        <x:v>Evaluation store + approved skill/content index</x:v>
      </x:c>
      <x:c r="F12" s="206" t="str">
        <x:v>Qualified capability evidence, task context, employee request and approved learning content</x:v>
      </x:c>
      <x:c r="G12" s="206" t="str">
        <x:v>Scoring/coaching recommendations with explanations and version metadata</x:v>
      </x:c>
      <x:c r="H12" s="206" t="str">
        <x:v>Model Gateway, policy, audit, workflow</x:v>
      </x:c>
      <x:c r="I12" s="206" t="str">
        <x:v>8–9</x:v>
      </x:c>
      <x:c r="J12" s="206" t="str">
        <x:v>Separate coaching latency path from batch capability scoring if required.</x:v>
      </x:c>
      <x:c r="K12" s="207" t="str">
        <x:v>AI / L&amp;D</x:v>
      </x:c>
      <x:c r="L12" s="47"/>
      <x:c r="M12" s="47"/>
      <x:c r="N12" s="47"/>
      <x:c r="O12" s="47"/>
      <x:c r="P12" s="47"/>
      <x:c r="Q12" s="47"/>
      <x:c r="R12" s="47"/>
      <x:c r="S12" s="47"/>
      <x:c r="T12" s="47"/>
      <x:c r="U12" s="47"/>
      <x:c r="V12" s="47"/>
      <x:c r="W12" s="47"/>
      <x:c r="X12" s="47"/>
      <x:c r="Y12" s="47"/>
      <x:c r="Z12" s="47"/>
    </x:row>
    <x:row r="13">
      <x:c r="A13" s="199" t="str">
        <x:v>Deployable 6 — AI Adapter &amp; Memory Hub</x:v>
      </x:c>
      <x:c r="B13" s="200" t="str">
        <x:v>Codex/Claude/IDE agent adapters; provider-normalised lifecycle; prompt/tool observation; approved session memory; model/evaluation routing extensions.</x:v>
      </x:c>
      <x:c r="C13" s="200" t="str">
        <x:v>Connect AI work surfaces to HumanOS evidence and provide provider-neutral agent provenance.</x:v>
      </x:c>
      <x:c r="D13" s="200" t="str">
        <x:v>Python adapters + Java API/orchestration; extend existing HumanOS Model Gateway</x:v>
      </x:c>
      <x:c r="E13" s="200" t="str">
        <x:v>PostgreSQL metadata + approved search/vector index</x:v>
      </x:c>
      <x:c r="F13" s="200" t="str">
        <x:v>Official agent hooks, MCP/tool events, Model Gateway, evidence/task context</x:v>
      </x:c>
      <x:c r="G13" s="200" t="str">
        <x:v>Normalised agent events, memory/search APIs and AI audit</x:v>
      </x:c>
      <x:c r="H13" s="200" t="str">
        <x:v>Model Gateway, secrets, policy, audit, event bus</x:v>
      </x:c>
      <x:c r="I13" s="200" t="str">
        <x:v>6,11</x:v>
      </x:c>
      <x:c r="J13" s="200" t="str">
        <x:v>Split provider adapters or memory service when scale/security/ownership demands it.</x:v>
      </x:c>
      <x:c r="K13" s="201" t="str">
        <x:v>AI Platform / Integrations</x:v>
      </x:c>
      <x:c r="L13" s="47"/>
      <x:c r="M13" s="47"/>
      <x:c r="N13" s="47"/>
      <x:c r="O13" s="47"/>
      <x:c r="P13" s="47"/>
      <x:c r="Q13" s="47"/>
      <x:c r="R13" s="47"/>
      <x:c r="S13" s="47"/>
      <x:c r="T13" s="47"/>
      <x:c r="U13" s="47"/>
      <x:c r="V13" s="47"/>
      <x:c r="W13" s="47"/>
      <x:c r="X13" s="47"/>
      <x:c r="Y13" s="47"/>
      <x:c r="Z13" s="47"/>
    </x:row>
    <x:row r="14">
      <x:c r="A14" s="205" t="str">
        <x:v>Deployable 7 — Governance &amp; Human Review</x:v>
      </x:c>
      <x:c r="B14" s="206" t="str">
        <x:v>Employee evidence access; corrections; disputes; manager raw-evidence requests; human review; policy/decision reasons; consequential-decision safeguards.</x:v>
      </x:c>
      <x:c r="C14" s="206" t="str">
        <x:v>Operationalise employee rights and meaningful human review before assessments are used.</x:v>
      </x:c>
      <x:c r="D14" s="206" t="str">
        <x:v>Java + Spring Boot</x:v>
      </x:c>
      <x:c r="E14" s="206" t="str">
        <x:v>PostgreSQL + immutable audit references</x:v>
      </x:c>
      <x:c r="F14" s="206" t="str">
        <x:v>Assessment/dispute/access requests, identity/organisation, workflow and policy</x:v>
      </x:c>
      <x:c r="G14" s="206" t="str">
        <x:v>Review/correction/access decision APIs and events</x:v>
      </x:c>
      <x:c r="H14" s="206" t="str">
        <x:v>Workflow Runtime, IAM, policy, audit, notification</x:v>
      </x:c>
      <x:c r="I14" s="206" t="str">
        <x:v>0,7–10</x:v>
      </x:c>
      <x:c r="J14" s="206" t="str">
        <x:v>Split access-control admin from review case management only if security ownership differs.</x:v>
      </x:c>
      <x:c r="K14" s="207" t="str">
        <x:v>Governance / HR / DPO</x:v>
      </x:c>
      <x:c r="L14" s="47"/>
      <x:c r="M14" s="47"/>
      <x:c r="N14" s="47"/>
      <x:c r="O14" s="47"/>
      <x:c r="P14" s="47"/>
      <x:c r="Q14" s="47"/>
      <x:c r="R14" s="47"/>
      <x:c r="S14" s="47"/>
      <x:c r="T14" s="47"/>
      <x:c r="U14" s="47"/>
      <x:c r="V14" s="47"/>
      <x:c r="W14" s="47"/>
      <x:c r="X14" s="47"/>
      <x:c r="Y14" s="47"/>
      <x:c r="Z14" s="47"/>
    </x:row>
    <x:row r="15">
      <x:c r="A15" s="199" t="str">
        <x:v>Deployable 8 — Reporting &amp; Analytics</x:v>
      </x:c>
      <x:c r="B15" s="200" t="str">
        <x:v>Employee timeline read model; manager task assurance; capability views; pilot KPI; team/process and executive reporting.</x:v>
      </x:c>
      <x:c r="C15" s="200" t="str">
        <x:v>Deliver role-appropriate, exception-led views without making raw evidence the default experience.</x:v>
      </x:c>
      <x:c r="D15" s="200" t="str">
        <x:v>Java APIs + frontend/BI; Python/SQL analytics where justified</x:v>
      </x:c>
      <x:c r="E15" s="200" t="str">
        <x:v>PostgreSQL read models; warehouse/lakehouse later</x:v>
      </x:c>
      <x:c r="F15" s="200" t="str">
        <x:v>Task, capability, review, workflow and aggregated evidence events</x:v>
      </x:c>
      <x:c r="G15" s="200" t="str">
        <x:v>Reports, dashboards, exports and analytics APIs</x:v>
      </x:c>
      <x:c r="H15" s="200" t="str">
        <x:v>IAM, organisation, audit, notification, existing analytics platform</x:v>
      </x:c>
      <x:c r="I15" s="200" t="str">
        <x:v>10</x:v>
      </x:c>
      <x:c r="J15" s="200" t="str">
        <x:v>Separate analytics pipeline/warehouse after data-volume and governance proof.</x:v>
      </x:c>
      <x:c r="K15" s="201" t="str">
        <x:v>Product Analytics</x:v>
      </x:c>
      <x:c r="L15" s="47"/>
      <x:c r="M15" s="47"/>
      <x:c r="N15" s="47"/>
      <x:c r="O15" s="47"/>
      <x:c r="P15" s="47"/>
      <x:c r="Q15" s="47"/>
      <x:c r="R15" s="47"/>
      <x:c r="S15" s="47"/>
      <x:c r="T15" s="47"/>
      <x:c r="U15" s="47"/>
      <x:c r="V15" s="47"/>
      <x:c r="W15" s="47"/>
      <x:c r="X15" s="47"/>
      <x:c r="Y15" s="47"/>
      <x:c r="Z15" s="47"/>
    </x:row>
    <x:row r="16">
      <x:c r="A16" s="205" t="str">
        <x:v>Skill Forge Module — initially inside AI Platform</x:v>
      </x:c>
      <x:c r="B16" s="206" t="str">
        <x:v>Skill observation; proposal generation; version registry; evaluation suites; approvals; canary; promotion/rollback; confidentiality classification.</x:v>
      </x:c>
      <x:c r="C16" s="206" t="str">
        <x:v>Improve HumanOS skills, prompts, adapters and evaluators through governed evidence and feedback.</x:v>
      </x:c>
      <x:c r="D16" s="206" t="str">
        <x:v>Java lifecycle + Python generation/evaluation</x:v>
      </x:c>
      <x:c r="E16" s="206" t="str">
        <x:v>PostgreSQL + Git/artifact/evaluation stores</x:v>
      </x:c>
      <x:c r="F16" s="206" t="str">
        <x:v>User corrections, successful patterns, model/evaluator feedback, research candidates</x:v>
      </x:c>
      <x:c r="G16" s="206" t="str">
        <x:v>Skill proposal/version/deployment events</x:v>
      </x:c>
      <x:c r="H16" s="206" t="str">
        <x:v>Workflow, Model Gateway, policy, audit, secrets, notification</x:v>
      </x:c>
      <x:c r="I16" s="206" t="str">
        <x:v>11</x:v>
      </x:c>
      <x:c r="J16" s="206" t="str">
        <x:v>Become an independent deployable when cross-HumanOS usage and ownership justify it.</x:v>
      </x:c>
      <x:c r="K16" s="207" t="str">
        <x:v>AI Platform / Governance</x:v>
      </x:c>
      <x:c r="L16" s="47"/>
      <x:c r="M16" s="47"/>
      <x:c r="N16" s="47"/>
      <x:c r="O16" s="47"/>
      <x:c r="P16" s="47"/>
      <x:c r="Q16" s="47"/>
      <x:c r="R16" s="47"/>
      <x:c r="S16" s="47"/>
      <x:c r="T16" s="47"/>
      <x:c r="U16" s="47"/>
      <x:c r="V16" s="47"/>
      <x:c r="W16" s="47"/>
      <x:c r="X16" s="47"/>
      <x:c r="Y16" s="47"/>
      <x:c r="Z16" s="47"/>
    </x:row>
    <x:row r="17">
      <x:c r="A17" s="199" t="str">
        <x:v>Shared HumanOS — Identity &amp; Organisation</x:v>
      </x:c>
      <x:c r="B17" s="200" t="str">
        <x:v>Identity, tenant, person, team, manager, role assignment and service authentication.</x:v>
      </x:c>
      <x:c r="C17" s="200" t="str">
        <x:v>Remain authoritative for people, organisations and access context.</x:v>
      </x:c>
      <x:c r="D17" s="200" t="str">
        <x:v>Existing Java/Spring services</x:v>
      </x:c>
      <x:c r="E17" s="200" t="str">
        <x:v>Existing HumanOS stores</x:v>
      </x:c>
      <x:c r="F17" s="200" t="str">
        <x:v>Corporate identity/HR integrations</x:v>
      </x:c>
      <x:c r="G17" s="200" t="str">
        <x:v>Tokens, claims and organisation/role events</x:v>
      </x:c>
      <x:c r="H17" s="200" t="str">
        <x:v>Authoritative foundation</x:v>
      </x:c>
      <x:c r="I17" s="200" t="str">
        <x:v>All</x:v>
      </x:c>
      <x:c r="J17" s="200" t="str">
        <x:v>Do not duplicate in Work Intelligence.</x:v>
      </x:c>
      <x:c r="K17" s="201" t="str">
        <x:v>HumanOS Platform</x:v>
      </x:c>
      <x:c r="L17" s="47"/>
      <x:c r="M17" s="47"/>
      <x:c r="N17" s="47"/>
      <x:c r="O17" s="47"/>
      <x:c r="P17" s="47"/>
      <x:c r="Q17" s="47"/>
      <x:c r="R17" s="47"/>
      <x:c r="S17" s="47"/>
      <x:c r="T17" s="47"/>
      <x:c r="U17" s="47"/>
      <x:c r="V17" s="47"/>
      <x:c r="W17" s="47"/>
      <x:c r="X17" s="47"/>
      <x:c r="Y17" s="47"/>
      <x:c r="Z17" s="47"/>
    </x:row>
    <x:row r="18">
      <x:c r="A18" s="205" t="str">
        <x:v>Shared HumanOS — Projects, Tasks &amp; Plans</x:v>
      </x:c>
      <x:c r="B18" s="206" t="str">
        <x:v>Projects, assigned tasks, daily plans, status, deadlines and integration adapters.</x:v>
      </x:c>
      <x:c r="C18" s="206" t="str">
        <x:v>Remain authoritative for assigned work; Task Assurance compiles/evaluates contracts but does not replace task ownership.</x:v>
      </x:c>
      <x:c r="D18" s="206" t="str">
        <x:v>Existing Java/Spring services</x:v>
      </x:c>
      <x:c r="E18" s="206" t="str">
        <x:v>Existing HumanOS stores</x:v>
      </x:c>
      <x:c r="F18" s="206" t="str">
        <x:v>HumanOS/project-management integrations</x:v>
      </x:c>
      <x:c r="G18" s="206" t="str">
        <x:v>Task/project APIs and events</x:v>
      </x:c>
      <x:c r="H18" s="206" t="str">
        <x:v>Authoritative foundation</x:v>
      </x:c>
      <x:c r="I18" s="206" t="str">
        <x:v>2+</x:v>
      </x:c>
      <x:c r="J18" s="206" t="str">
        <x:v>Extend only where Task Execution Contract linkage is missing.</x:v>
      </x:c>
      <x:c r="K18" s="207" t="str">
        <x:v>HumanOS Product Platform</x:v>
      </x:c>
      <x:c r="L18" s="47"/>
      <x:c r="M18" s="47"/>
      <x:c r="N18" s="47"/>
      <x:c r="O18" s="47"/>
      <x:c r="P18" s="47"/>
      <x:c r="Q18" s="47"/>
      <x:c r="R18" s="47"/>
      <x:c r="S18" s="47"/>
      <x:c r="T18" s="47"/>
      <x:c r="U18" s="47"/>
      <x:c r="V18" s="47"/>
      <x:c r="W18" s="47"/>
      <x:c r="X18" s="47"/>
      <x:c r="Y18" s="47"/>
      <x:c r="Z18" s="47"/>
    </x:row>
    <x:row r="19">
      <x:c r="A19" s="199" t="str">
        <x:v>Shared HumanOS — Workflow Runtime</x:v>
      </x:c>
      <x:c r="B19" s="200" t="str">
        <x:v>Long-running review, dispute, coaching, approval, escalation and Skill Forge workflows.</x:v>
      </x:c>
      <x:c r="C19" s="200" t="str">
        <x:v>Provide deterministic orchestration and human tasks.</x:v>
      </x:c>
      <x:c r="D19" s="200" t="str">
        <x:v>Existing HumanOS workflow runtime</x:v>
      </x:c>
      <x:c r="E19" s="200" t="str">
        <x:v>Existing workflow state</x:v>
      </x:c>
      <x:c r="F19" s="200" t="str">
        <x:v>Domain events/commands</x:v>
      </x:c>
      <x:c r="G19" s="200" t="str">
        <x:v>Workflow states/actions/events</x:v>
      </x:c>
      <x:c r="H19" s="200" t="str">
        <x:v>Authoritative foundation</x:v>
      </x:c>
      <x:c r="I19" s="200" t="str">
        <x:v>0+</x:v>
      </x:c>
      <x:c r="J19" s="200" t="str">
        <x:v>Evaluate Temporal/alternative only after documented capability gaps.</x:v>
      </x:c>
      <x:c r="K19" s="201" t="str">
        <x:v>HumanOS Platform</x:v>
      </x:c>
      <x:c r="L19" s="47"/>
      <x:c r="M19" s="47"/>
      <x:c r="N19" s="47"/>
      <x:c r="O19" s="47"/>
      <x:c r="P19" s="47"/>
      <x:c r="Q19" s="47"/>
      <x:c r="R19" s="47"/>
      <x:c r="S19" s="47"/>
      <x:c r="T19" s="47"/>
      <x:c r="U19" s="47"/>
      <x:c r="V19" s="47"/>
      <x:c r="W19" s="47"/>
      <x:c r="X19" s="47"/>
      <x:c r="Y19" s="47"/>
      <x:c r="Z19" s="47"/>
    </x:row>
    <x:row r="20">
      <x:c r="A20" s="205" t="str">
        <x:v>Shared HumanOS — Policy, Audit, Secrets &amp; Object</x:v>
      </x:c>
      <x:c r="B20" s="206" t="str">
        <x:v>Policy decisions; immutable audit; device/service/evidence keys; evidence objects; regional storage; retention and access tokens.</x:v>
      </x:c>
      <x:c r="C20" s="206" t="str">
        <x:v>Provide shared control-plane and evidence infrastructure.</x:v>
      </x:c>
      <x:c r="D20" s="206" t="str">
        <x:v>Existing HumanOS services; evaluate OPA where valuable</x:v>
      </x:c>
      <x:c r="E20" s="206" t="str">
        <x:v>Policy repo, audit store, KMS/HSM, S3-compatible storage</x:v>
      </x:c>
      <x:c r="F20" s="206" t="str">
        <x:v>All Work Intelligence services</x:v>
      </x:c>
      <x:c r="G20" s="206" t="str">
        <x:v>Decisions, audit records, object references and security events</x:v>
      </x:c>
      <x:c r="H20" s="206" t="str">
        <x:v>Authoritative foundation</x:v>
      </x:c>
      <x:c r="I20" s="206" t="str">
        <x:v>0+</x:v>
      </x:c>
      <x:c r="J20" s="206" t="str">
        <x:v>Evidence-specific extensions require architecture review, not duplicated foundations.</x:v>
      </x:c>
      <x:c r="K20" s="207" t="str">
        <x:v>Security / Platform</x:v>
      </x:c>
      <x:c r="L20" s="47"/>
      <x:c r="M20" s="47"/>
      <x:c r="N20" s="47"/>
      <x:c r="O20" s="47"/>
      <x:c r="P20" s="47"/>
      <x:c r="Q20" s="47"/>
      <x:c r="R20" s="47"/>
      <x:c r="S20" s="47"/>
      <x:c r="T20" s="47"/>
      <x:c r="U20" s="47"/>
      <x:c r="V20" s="47"/>
      <x:c r="W20" s="47"/>
      <x:c r="X20" s="47"/>
      <x:c r="Y20" s="47"/>
      <x:c r="Z20" s="47"/>
    </x:row>
    <x:row r="21">
      <x:c r="A21" s="202" t="str">
        <x:v>Shared HumanOS — Event, API &amp; Observability Platform</x:v>
      </x:c>
      <x:c r="B21" s="203" t="str">
        <x:v>Kafka-compatible event bus; schema registry; API gateway; service mesh/mTLS; OpenTelemetry; deployment/feature flags.</x:v>
      </x:c>
      <x:c r="C21" s="203" t="str">
        <x:v>Provide cross-service contracts, security, operations and regional deployment.</x:v>
      </x:c>
      <x:c r="D21" s="203" t="str">
        <x:v>Existing HumanOS platform</x:v>
      </x:c>
      <x:c r="E21" s="203" t="str">
        <x:v>Kafka/schema/telemetry/platform stores</x:v>
      </x:c>
      <x:c r="F21" s="203" t="str">
        <x:v>All services and agents</x:v>
      </x:c>
      <x:c r="G21" s="203" t="str">
        <x:v>Events, APIs, traces/metrics/logs and deployments</x:v>
      </x:c>
      <x:c r="H21" s="203" t="str">
        <x:v>Authoritative foundation</x:v>
      </x:c>
      <x:c r="I21" s="203" t="str">
        <x:v>1+</x:v>
      </x:c>
      <x:c r="J21" s="203" t="str">
        <x:v>Operational telemetry must not become the raw employee-evidence store.</x:v>
      </x:c>
      <x:c r="K21" s="204" t="str">
        <x:v>Platform / SRE</x:v>
      </x:c>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K1"/>
    <x:mergeCell ref="A2:K2"/>
  </x:mergeCells>
  <x:dataValidations count="1">
    <x:dataValidation type="list" sqref="G5:G19">
      <x:formula1>"Yes,Partial,Later"</x:formula1>
    </x:dataValidation>
  </x:dataValidations>
  <x:pageMargins left="0.7" right="0.7" top="0.75" bottom="0.75" header="0.3" footer="0.3"/>
  <x:tableParts count="1">
    <x:tablePart xmlns:r="http://schemas.openxmlformats.org/officeDocument/2006/relationships" r:id="Rae83038d914d47b1"/>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52" hidden="0" customWidth="1"/>
    <x:col min="4" max="4" width="8" hidden="0" customWidth="1"/>
    <x:col min="5" max="5" width="18" hidden="0" customWidth="1"/>
    <x:col min="6" max="6" width="12" hidden="0" customWidth="1"/>
    <x:col min="7" max="7" width="14" hidden="0" customWidth="1"/>
    <x:col min="8" max="8" width="10" hidden="0" customWidth="1"/>
    <x:col min="9" max="9" width="50" hidden="0" customWidth="1"/>
    <x:col min="10" max="10" width="30" hidden="0" customWidth="1"/>
    <x:col min="11" max="11" width="30" hidden="0" customWidth="1"/>
  </x:cols>
  <x:sheetData>
    <x:row r="1" ht="34" customHeight="1">
      <x:c r="A1" s="64" t="str">
        <x:v>MVP Backlog</x:v>
      </x:c>
      <x:c r="B1" s="64"/>
      <x:c r="C1" s="64"/>
      <x:c r="D1" s="64"/>
      <x:c r="E1" s="64"/>
      <x:c r="F1" s="64"/>
      <x:c r="G1" s="64"/>
      <x:c r="H1" s="64"/>
      <x:c r="I1" s="64"/>
      <x:c r="J1" s="64"/>
      <x:c r="K1" s="64"/>
      <x:c r="L1" s="65"/>
      <x:c r="M1" s="65"/>
      <x:c r="N1" s="65"/>
      <x:c r="O1" s="65"/>
      <x:c r="P1" s="65"/>
      <x:c r="Q1" s="65"/>
      <x:c r="R1" s="65"/>
      <x:c r="S1" s="65"/>
      <x:c r="T1" s="65"/>
      <x:c r="U1" s="65"/>
      <x:c r="V1" s="65"/>
      <x:c r="W1" s="65"/>
      <x:c r="X1" s="65"/>
      <x:c r="Y1" s="65"/>
      <x:c r="Z1" s="65"/>
    </x:row>
    <x:row r="2" ht="34" customHeight="1">
      <x:c r="A2" s="48" t="str">
        <x:v>Initial epics and features for the controlled internal pilot.</x:v>
      </x:c>
      <x:c r="B2" s="48"/>
      <x:c r="C2" s="48"/>
      <x:c r="D2" s="48"/>
      <x:c r="E2" s="48"/>
      <x:c r="F2" s="48"/>
      <x:c r="G2" s="48"/>
      <x:c r="H2" s="48"/>
      <x:c r="I2" s="48"/>
      <x:c r="J2" s="48"/>
      <x:c r="K2" s="48"/>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Epic ID</x:v>
      </x:c>
      <x:c r="B4" s="49" t="str">
        <x:v>Epic</x:v>
      </x:c>
      <x:c r="C4" s="49" t="str">
        <x:v>Feature / user story</x:v>
      </x:c>
      <x:c r="D4" s="49" t="str">
        <x:v>Stage</x:v>
      </x:c>
      <x:c r="E4" s="49" t="str">
        <x:v>Owner</x:v>
      </x:c>
      <x:c r="F4" s="49" t="str">
        <x:v>Priority</x:v>
      </x:c>
      <x:c r="G4" s="49" t="str">
        <x:v>Status</x:v>
      </x:c>
      <x:c r="H4" s="49" t="str">
        <x:v>Effort pts</x:v>
      </x:c>
      <x:c r="I4" s="49" t="str">
        <x:v>Acceptance criteria</x:v>
      </x:c>
      <x:c r="J4" s="49" t="str">
        <x:v>Dependencies</x:v>
      </x:c>
      <x:c r="K4" s="49" t="str">
        <x:v>Notes</x:v>
      </x:c>
      <x:c r="L4" s="47"/>
      <x:c r="M4" s="47"/>
      <x:c r="N4" s="47"/>
      <x:c r="O4" s="47"/>
      <x:c r="P4" s="47"/>
      <x:c r="Q4" s="47"/>
      <x:c r="R4" s="47"/>
      <x:c r="S4" s="47"/>
      <x:c r="T4" s="47"/>
      <x:c r="U4" s="47"/>
      <x:c r="V4" s="47"/>
      <x:c r="W4" s="47"/>
      <x:c r="X4" s="47"/>
      <x:c r="Y4" s="47"/>
      <x:c r="Z4" s="47"/>
    </x:row>
    <x:row r="5">
      <x:c r="A5" s="50" t="str">
        <x:v>E01</x:v>
      </x:c>
      <x:c r="B5" s="50" t="str">
        <x:v>Work session control</x:v>
      </x:c>
      <x:c r="C5" s="50" t="str">
        <x:v>Employee can start/pause/stop a monitored work session against a HumanOS task.</x:v>
      </x:c>
      <x:c r="D5" s="50" t="n">
        <x:v>3</x:v>
      </x:c>
      <x:c r="E5" s="50" t="str">
        <x:v>Desktop/Backend</x:v>
      </x:c>
      <x:c r="F5" s="50" t="str">
        <x:v>Critical</x:v>
      </x:c>
      <x:c r="G5" s="50" t="str">
        <x:v>Not Started</x:v>
      </x:c>
      <x:c r="H5" s="50" t="n">
        <x:v>8</x:v>
      </x:c>
      <x:c r="I5" s="50" t="str">
        <x:v>Session event exists; visible status; offline buffering; task ID linked.</x:v>
      </x:c>
      <x:c r="J5" s="50" t="str">
        <x:v>Device Agent Gateway</x:v>
      </x:c>
      <x:c r="K5" s="50" t="str">
        <x:v>No hidden mode.</x:v>
      </x:c>
      <x:c r="L5" s="47"/>
      <x:c r="M5" s="47"/>
      <x:c r="N5" s="47"/>
      <x:c r="O5" s="47"/>
      <x:c r="P5" s="47"/>
      <x:c r="Q5" s="47"/>
      <x:c r="R5" s="47"/>
      <x:c r="S5" s="47"/>
      <x:c r="T5" s="47"/>
      <x:c r="U5" s="47"/>
      <x:c r="V5" s="47"/>
      <x:c r="W5" s="47"/>
      <x:c r="X5" s="47"/>
      <x:c r="Y5" s="47"/>
      <x:c r="Z5" s="47"/>
    </x:row>
    <x:row r="6">
      <x:c r="A6" s="50" t="str">
        <x:v>E02</x:v>
      </x:c>
      <x:c r="B6" s="50" t="str">
        <x:v>Policy sync</x:v>
      </x:c>
      <x:c r="C6" s="50" t="str">
        <x:v>Agent receives tenant/jurisdiction/capture policy before recording.</x:v>
      </x:c>
      <x:c r="D6" s="50" t="n">
        <x:v>3</x:v>
      </x:c>
      <x:c r="E6" s="50" t="str">
        <x:v>Platform/Security</x:v>
      </x:c>
      <x:c r="F6" s="50" t="str">
        <x:v>Critical</x:v>
      </x:c>
      <x:c r="G6" s="50" t="str">
        <x:v>Not Started</x:v>
      </x:c>
      <x:c r="H6" s="50" t="n">
        <x:v>8</x:v>
      </x:c>
      <x:c r="I6" s="50" t="str">
        <x:v>Policy signature verified; excluded apps/domains applied; audit emitted.</x:v>
      </x:c>
      <x:c r="J6" s="50" t="str">
        <x:v>Policy Service</x:v>
      </x:c>
      <x:c r="K6" s="50" t="str">
        <x:v>Policy version visible.</x:v>
      </x:c>
      <x:c r="L6" s="47"/>
      <x:c r="M6" s="47"/>
      <x:c r="N6" s="47"/>
      <x:c r="O6" s="47"/>
      <x:c r="P6" s="47"/>
      <x:c r="Q6" s="47"/>
      <x:c r="R6" s="47"/>
      <x:c r="S6" s="47"/>
      <x:c r="T6" s="47"/>
      <x:c r="U6" s="47"/>
      <x:c r="V6" s="47"/>
      <x:c r="W6" s="47"/>
      <x:c r="X6" s="47"/>
      <x:c r="Y6" s="47"/>
      <x:c r="Z6" s="47"/>
    </x:row>
    <x:row r="7">
      <x:c r="A7" s="50" t="str">
        <x:v>E03</x:v>
      </x:c>
      <x:c r="B7" s="50" t="str">
        <x:v>App/window telemetry</x:v>
      </x:c>
      <x:c r="C7" s="50" t="str">
        <x:v>Capture foreground app, process, window title and transitions.</x:v>
      </x:c>
      <x:c r="D7" s="50" t="n">
        <x:v>5</x:v>
      </x:c>
      <x:c r="E7" s="50" t="str">
        <x:v>Desktop</x:v>
      </x:c>
      <x:c r="F7" s="50" t="str">
        <x:v>Critical</x:v>
      </x:c>
      <x:c r="G7" s="50" t="str">
        <x:v>Not Started</x:v>
      </x:c>
      <x:c r="H7" s="50" t="n">
        <x:v>5</x:v>
      </x:c>
      <x:c r="I7" s="50" t="str">
        <x:v>99% foreground app transition capture in pilot.</x:v>
      </x:c>
      <x:c r="J7" s="50" t="str">
        <x:v>Agent foundation</x:v>
      </x:c>
      <x:c r="K7" s="50" t="str"/>
      <x:c r="L7" s="47"/>
      <x:c r="M7" s="47"/>
      <x:c r="N7" s="47"/>
      <x:c r="O7" s="47"/>
      <x:c r="P7" s="47"/>
      <x:c r="Q7" s="47"/>
      <x:c r="R7" s="47"/>
      <x:c r="S7" s="47"/>
      <x:c r="T7" s="47"/>
      <x:c r="U7" s="47"/>
      <x:c r="V7" s="47"/>
      <x:c r="W7" s="47"/>
      <x:c r="X7" s="47"/>
      <x:c r="Y7" s="47"/>
      <x:c r="Z7" s="47"/>
    </x:row>
    <x:row r="8">
      <x:c r="A8" s="50" t="str">
        <x:v>E04</x:v>
      </x:c>
      <x:c r="B8" s="50" t="str">
        <x:v>Click + visual state</x:v>
      </x:c>
      <x:c r="C8" s="50" t="str">
        <x:v>Capture mouse click with pre/post visual states and changed region.</x:v>
      </x:c>
      <x:c r="D8" s="50" t="n">
        <x:v>5</x:v>
      </x:c>
      <x:c r="E8" s="50" t="str">
        <x:v>Desktop/AI</x:v>
      </x:c>
      <x:c r="F8" s="50" t="str">
        <x:v>Critical</x:v>
      </x:c>
      <x:c r="G8" s="50" t="str">
        <x:v>Not Started</x:v>
      </x:c>
      <x:c r="H8" s="50" t="n">
        <x:v>13</x:v>
      </x:c>
      <x:c r="I8" s="50" t="str">
        <x:v>98% click-to-state correlation in supported pilot apps.</x:v>
      </x:c>
      <x:c r="J8" s="50" t="str">
        <x:v>Visual Evidence Store</x:v>
      </x:c>
      <x:c r="K8" s="50" t="str"/>
      <x:c r="L8" s="47"/>
      <x:c r="M8" s="47"/>
      <x:c r="N8" s="47"/>
      <x:c r="O8" s="47"/>
      <x:c r="P8" s="47"/>
      <x:c r="Q8" s="47"/>
      <x:c r="R8" s="47"/>
      <x:c r="S8" s="47"/>
      <x:c r="T8" s="47"/>
      <x:c r="U8" s="47"/>
      <x:c r="V8" s="47"/>
      <x:c r="W8" s="47"/>
      <x:c r="X8" s="47"/>
      <x:c r="Y8" s="47"/>
      <x:c r="Z8" s="47"/>
    </x:row>
    <x:row r="9">
      <x:c r="A9" s="50" t="str">
        <x:v>E05</x:v>
      </x:c>
      <x:c r="B9" s="50" t="str">
        <x:v>Text-state capture</x:v>
      </x:c>
      <x:c r="C9" s="50" t="str">
        <x:v>Reconcile physical input, text deltas and resulting artefact changes in approved controls.</x:v>
      </x:c>
      <x:c r="D9" s="50" t="n">
        <x:v>5</x:v>
      </x:c>
      <x:c r="E9" s="50" t="str">
        <x:v>Desktop/Data</x:v>
      </x:c>
      <x:c r="F9" s="50" t="str">
        <x:v>Critical</x:v>
      </x:c>
      <x:c r="G9" s="50" t="str">
        <x:v>Not Started</x:v>
      </x:c>
      <x:c r="H9" s="50" t="n">
        <x:v>21</x:v>
      </x:c>
      <x:c r="I9" s="50" t="str">
        <x:v>95% reconstruction in supported controls; zero secure-field leakage.</x:v>
      </x:c>
      <x:c r="J9" s="50" t="str">
        <x:v>Policy / UI accessibility</x:v>
      </x:c>
      <x:c r="K9" s="50" t="str">
        <x:v>Avoid raw keylogger-only logic.</x:v>
      </x:c>
      <x:c r="L9" s="47"/>
      <x:c r="M9" s="47"/>
      <x:c r="N9" s="47"/>
      <x:c r="O9" s="47"/>
      <x:c r="P9" s="47"/>
      <x:c r="Q9" s="47"/>
      <x:c r="R9" s="47"/>
      <x:c r="S9" s="47"/>
      <x:c r="T9" s="47"/>
      <x:c r="U9" s="47"/>
      <x:c r="V9" s="47"/>
      <x:c r="W9" s="47"/>
      <x:c r="X9" s="47"/>
      <x:c r="Y9" s="47"/>
      <x:c r="Z9" s="47"/>
    </x:row>
    <x:row r="10">
      <x:c r="A10" s="50" t="str">
        <x:v>E06</x:v>
      </x:c>
      <x:c r="B10" s="50" t="str">
        <x:v>File/process telemetry</x:v>
      </x:c>
      <x:c r="C10" s="50" t="str">
        <x:v>Capture process tree, file create/modify/delete and build/test process markers.</x:v>
      </x:c>
      <x:c r="D10" s="50" t="n">
        <x:v>5</x:v>
      </x:c>
      <x:c r="E10" s="50" t="str">
        <x:v>Desktop/Data</x:v>
      </x:c>
      <x:c r="F10" s="50" t="str">
        <x:v>High</x:v>
      </x:c>
      <x:c r="G10" s="50" t="str">
        <x:v>Not Started</x:v>
      </x:c>
      <x:c r="H10" s="50" t="n">
        <x:v>13</x:v>
      </x:c>
      <x:c r="I10" s="50" t="str">
        <x:v>Event causal chain links process -&gt; file/test output.</x:v>
      </x:c>
      <x:c r="J10" s="50" t="str">
        <x:v>ETW/macOS process bridge</x:v>
      </x:c>
      <x:c r="K10" s="50" t="str"/>
      <x:c r="L10" s="47"/>
      <x:c r="M10" s="47"/>
      <x:c r="N10" s="47"/>
      <x:c r="O10" s="47"/>
      <x:c r="P10" s="47"/>
      <x:c r="Q10" s="47"/>
      <x:c r="R10" s="47"/>
      <x:c r="S10" s="47"/>
      <x:c r="T10" s="47"/>
      <x:c r="U10" s="47"/>
      <x:c r="V10" s="47"/>
      <x:c r="W10" s="47"/>
      <x:c r="X10" s="47"/>
      <x:c r="Y10" s="47"/>
      <x:c r="Z10" s="47"/>
    </x:row>
    <x:row r="11">
      <x:c r="A11" s="50" t="str">
        <x:v>E07</x:v>
      </x:c>
      <x:c r="B11" s="50" t="str">
        <x:v>Browser adapter</x:v>
      </x:c>
      <x:c r="C11" s="50" t="str">
        <x:v>Capture active tab, title, approved URL/domain, navigation and visible page event.</x:v>
      </x:c>
      <x:c r="D11" s="50" t="n">
        <x:v>6</x:v>
      </x:c>
      <x:c r="E11" s="50" t="str">
        <x:v>Integrations</x:v>
      </x:c>
      <x:c r="F11" s="50" t="str">
        <x:v>High</x:v>
      </x:c>
      <x:c r="G11" s="50" t="str">
        <x:v>Not Started</x:v>
      </x:c>
      <x:c r="H11" s="50" t="n">
        <x:v>8</x:v>
      </x:c>
      <x:c r="I11" s="50" t="str">
        <x:v>Chrome/Edge MV3 extension sends normalized events.</x:v>
      </x:c>
      <x:c r="J11" s="50" t="str">
        <x:v>Native messaging</x:v>
      </x:c>
      <x:c r="K11" s="50" t="str"/>
      <x:c r="L11" s="47"/>
      <x:c r="M11" s="47"/>
      <x:c r="N11" s="47"/>
      <x:c r="O11" s="47"/>
      <x:c r="P11" s="47"/>
      <x:c r="Q11" s="47"/>
      <x:c r="R11" s="47"/>
      <x:c r="S11" s="47"/>
      <x:c r="T11" s="47"/>
      <x:c r="U11" s="47"/>
      <x:c r="V11" s="47"/>
      <x:c r="W11" s="47"/>
      <x:c r="X11" s="47"/>
      <x:c r="Y11" s="47"/>
      <x:c r="Z11" s="47"/>
    </x:row>
    <x:row r="12">
      <x:c r="A12" s="50" t="str">
        <x:v>E08</x:v>
      </x:c>
      <x:c r="B12" s="50" t="str">
        <x:v>Terminal adapter</x:v>
      </x:c>
      <x:c r="C12" s="50" t="str">
        <x:v>Capture command, cwd, exit code, stdout/stderr summary and process duration.</x:v>
      </x:c>
      <x:c r="D12" s="50" t="n">
        <x:v>6</x:v>
      </x:c>
      <x:c r="E12" s="50" t="str">
        <x:v>Integrations</x:v>
      </x:c>
      <x:c r="F12" s="50" t="str">
        <x:v>High</x:v>
      </x:c>
      <x:c r="G12" s="50" t="str">
        <x:v>Not Started</x:v>
      </x:c>
      <x:c r="H12" s="50" t="n">
        <x:v>13</x:v>
      </x:c>
      <x:c r="I12" s="50" t="str">
        <x:v>Command event links to resulting processes and files.</x:v>
      </x:c>
      <x:c r="J12" s="50" t="str">
        <x:v>Shell/PTTY hooks</x:v>
      </x:c>
      <x:c r="K12" s="50" t="str"/>
      <x:c r="L12" s="47"/>
      <x:c r="M12" s="47"/>
      <x:c r="N12" s="47"/>
      <x:c r="O12" s="47"/>
      <x:c r="P12" s="47"/>
      <x:c r="Q12" s="47"/>
      <x:c r="R12" s="47"/>
      <x:c r="S12" s="47"/>
      <x:c r="T12" s="47"/>
      <x:c r="U12" s="47"/>
      <x:c r="V12" s="47"/>
      <x:c r="W12" s="47"/>
      <x:c r="X12" s="47"/>
      <x:c r="Y12" s="47"/>
      <x:c r="Z12" s="47"/>
    </x:row>
    <x:row r="13">
      <x:c r="A13" s="50" t="str">
        <x:v>E09</x:v>
      </x:c>
      <x:c r="B13" s="50" t="str">
        <x:v>Git adapter</x:v>
      </x:c>
      <x:c r="C13" s="50" t="str">
        <x:v>Capture branch, diff summary, commit, PR, changed files and reviewer state.</x:v>
      </x:c>
      <x:c r="D13" s="50" t="n">
        <x:v>6</x:v>
      </x:c>
      <x:c r="E13" s="50" t="str">
        <x:v>Integrations</x:v>
      </x:c>
      <x:c r="F13" s="50" t="str">
        <x:v>High</x:v>
      </x:c>
      <x:c r="G13" s="50" t="str">
        <x:v>Not Started</x:v>
      </x:c>
      <x:c r="H13" s="50" t="n">
        <x:v>8</x:v>
      </x:c>
      <x:c r="I13" s="50" t="str">
        <x:v>Git diff/commit events linked to task and actor.</x:v>
      </x:c>
      <x:c r="J13" s="50" t="str">
        <x:v>GitHub/GitLab connectors</x:v>
      </x:c>
      <x:c r="K13" s="50" t="str"/>
      <x:c r="L13" s="47"/>
      <x:c r="M13" s="47"/>
      <x:c r="N13" s="47"/>
      <x:c r="O13" s="47"/>
      <x:c r="P13" s="47"/>
      <x:c r="Q13" s="47"/>
      <x:c r="R13" s="47"/>
      <x:c r="S13" s="47"/>
      <x:c r="T13" s="47"/>
      <x:c r="U13" s="47"/>
      <x:c r="V13" s="47"/>
      <x:c r="W13" s="47"/>
      <x:c r="X13" s="47"/>
      <x:c r="Y13" s="47"/>
      <x:c r="Z13" s="47"/>
    </x:row>
    <x:row r="14">
      <x:c r="A14" s="50" t="str">
        <x:v>E10</x:v>
      </x:c>
      <x:c r="B14" s="50" t="str">
        <x:v>Codex adapter</x:v>
      </x:c>
      <x:c r="C14" s="50" t="str">
        <x:v>Capture Codex prompt/tool/permission/stop lifecycle via hooks.</x:v>
      </x:c>
      <x:c r="D14" s="50" t="n">
        <x:v>6</x:v>
      </x:c>
      <x:c r="E14" s="50" t="str">
        <x:v>AI Integrations</x:v>
      </x:c>
      <x:c r="F14" s="50" t="str">
        <x:v>Critical</x:v>
      </x:c>
      <x:c r="G14" s="50" t="str">
        <x:v>Not Started</x:v>
      </x:c>
      <x:c r="H14" s="50" t="n">
        <x:v>8</x:v>
      </x:c>
      <x:c r="I14" s="50" t="str">
        <x:v>Agent events mapped to OTel-style spans and provenance graph.</x:v>
      </x:c>
      <x:c r="J14" s="50" t="str">
        <x:v>Codex hooks</x:v>
      </x:c>
      <x:c r="K14" s="50" t="str"/>
      <x:c r="L14" s="47"/>
      <x:c r="M14" s="47"/>
      <x:c r="N14" s="47"/>
      <x:c r="O14" s="47"/>
      <x:c r="P14" s="47"/>
      <x:c r="Q14" s="47"/>
      <x:c r="R14" s="47"/>
      <x:c r="S14" s="47"/>
      <x:c r="T14" s="47"/>
      <x:c r="U14" s="47"/>
      <x:c r="V14" s="47"/>
      <x:c r="W14" s="47"/>
      <x:c r="X14" s="47"/>
      <x:c r="Y14" s="47"/>
      <x:c r="Z14" s="47"/>
    </x:row>
    <x:row r="15">
      <x:c r="A15" s="50" t="str">
        <x:v>E11</x:v>
      </x:c>
      <x:c r="B15" s="50" t="str">
        <x:v>Claude Code adapter</x:v>
      </x:c>
      <x:c r="C15" s="50" t="str">
        <x:v>Capture Claude Code usage through hooks/OTel/MCP where available.</x:v>
      </x:c>
      <x:c r="D15" s="50" t="n">
        <x:v>6</x:v>
      </x:c>
      <x:c r="E15" s="50" t="str">
        <x:v>AI Integrations</x:v>
      </x:c>
      <x:c r="F15" s="50" t="str">
        <x:v>High</x:v>
      </x:c>
      <x:c r="G15" s="50" t="str">
        <x:v>Not Started</x:v>
      </x:c>
      <x:c r="H15" s="50" t="n">
        <x:v>8</x:v>
      </x:c>
      <x:c r="I15" s="50" t="str">
        <x:v>Prompt/tool/file/command events normalized.</x:v>
      </x:c>
      <x:c r="J15" s="50" t="str">
        <x:v>Claude Code config</x:v>
      </x:c>
      <x:c r="K15" s="50" t="str"/>
      <x:c r="L15" s="47"/>
      <x:c r="M15" s="47"/>
      <x:c r="N15" s="47"/>
      <x:c r="O15" s="47"/>
      <x:c r="P15" s="47"/>
      <x:c r="Q15" s="47"/>
      <x:c r="R15" s="47"/>
      <x:c r="S15" s="47"/>
      <x:c r="T15" s="47"/>
      <x:c r="U15" s="47"/>
      <x:c r="V15" s="47"/>
      <x:c r="W15" s="47"/>
      <x:c r="X15" s="47"/>
      <x:c r="Y15" s="47"/>
      <x:c r="Z15" s="47"/>
    </x:row>
    <x:row r="16">
      <x:c r="A16" s="50" t="str">
        <x:v>E12</x:v>
      </x:c>
      <x:c r="B16" s="50" t="str">
        <x:v>Episode segmentation</x:v>
      </x:c>
      <x:c r="C16" s="50" t="str">
        <x:v>Group raw events into meaningful 30-180 second work episodes.</x:v>
      </x:c>
      <x:c r="D16" s="50" t="n">
        <x:v>7</x:v>
      </x:c>
      <x:c r="E16" s="50" t="str">
        <x:v>AI/Data</x:v>
      </x:c>
      <x:c r="F16" s="50" t="str">
        <x:v>Critical</x:v>
      </x:c>
      <x:c r="G16" s="50" t="str">
        <x:v>Not Started</x:v>
      </x:c>
      <x:c r="H16" s="50" t="n">
        <x:v>21</x:v>
      </x:c>
      <x:c r="I16" s="50" t="str">
        <x:v>Episodes align with human review &gt;=90% in pilot sample.</x:v>
      </x:c>
      <x:c r="J16" s="50" t="str">
        <x:v>Evidence graph</x:v>
      </x:c>
      <x:c r="K16" s="50" t="str"/>
      <x:c r="L16" s="47"/>
      <x:c r="M16" s="47"/>
      <x:c r="N16" s="47"/>
      <x:c r="O16" s="47"/>
      <x:c r="P16" s="47"/>
      <x:c r="Q16" s="47"/>
      <x:c r="R16" s="47"/>
      <x:c r="S16" s="47"/>
      <x:c r="T16" s="47"/>
      <x:c r="U16" s="47"/>
      <x:c r="V16" s="47"/>
      <x:c r="W16" s="47"/>
      <x:c r="X16" s="47"/>
      <x:c r="Y16" s="47"/>
      <x:c r="Z16" s="47"/>
    </x:row>
    <x:row r="17">
      <x:c r="A17" s="50" t="str">
        <x:v>E13</x:v>
      </x:c>
      <x:c r="B17" s="50" t="str">
        <x:v>Task alignment classifier</x:v>
      </x:c>
      <x:c r="C17" s="50" t="str">
        <x:v>Classify episodes as on-task, supporting, blocked, automated-wait, idle, unrelated.</x:v>
      </x:c>
      <x:c r="D17" s="50" t="n">
        <x:v>7</x:v>
      </x:c>
      <x:c r="E17" s="50" t="str">
        <x:v>AI</x:v>
      </x:c>
      <x:c r="F17" s="50" t="str">
        <x:v>Critical</x:v>
      </x:c>
      <x:c r="G17" s="50" t="str">
        <x:v>Not Started</x:v>
      </x:c>
      <x:c r="H17" s="50" t="n">
        <x:v>21</x:v>
      </x:c>
      <x:c r="I17" s="50" t="str">
        <x:v>False idle below 5%; confidence calibrated.</x:v>
      </x:c>
      <x:c r="J17" s="50" t="str">
        <x:v>Task contracts</x:v>
      </x:c>
      <x:c r="K17" s="50" t="str"/>
      <x:c r="L17" s="47"/>
      <x:c r="M17" s="47"/>
      <x:c r="N17" s="47"/>
      <x:c r="O17" s="47"/>
      <x:c r="P17" s="47"/>
      <x:c r="Q17" s="47"/>
      <x:c r="R17" s="47"/>
      <x:c r="S17" s="47"/>
      <x:c r="T17" s="47"/>
      <x:c r="U17" s="47"/>
      <x:c r="V17" s="47"/>
      <x:c r="W17" s="47"/>
      <x:c r="X17" s="47"/>
      <x:c r="Y17" s="47"/>
      <x:c r="Z17" s="47"/>
    </x:row>
    <x:row r="18">
      <x:c r="A18" s="50" t="str">
        <x:v>E14</x:v>
      </x:c>
      <x:c r="B18" s="50" t="str">
        <x:v>Acceptance criteria validator</x:v>
      </x:c>
      <x:c r="C18" s="50" t="str">
        <x:v>Determine task completion evidence and missing verification.</x:v>
      </x:c>
      <x:c r="D18" s="50" t="n">
        <x:v>7</x:v>
      </x:c>
      <x:c r="E18" s="50" t="str">
        <x:v>AI/Product</x:v>
      </x:c>
      <x:c r="F18" s="50" t="str">
        <x:v>Critical</x:v>
      </x:c>
      <x:c r="G18" s="50" t="str">
        <x:v>Not Started</x:v>
      </x:c>
      <x:c r="H18" s="50" t="n">
        <x:v>21</x:v>
      </x:c>
      <x:c r="I18" s="50" t="str">
        <x:v>Every criterion has evidence, status and confidence.</x:v>
      </x:c>
      <x:c r="J18" s="50" t="str">
        <x:v>Task contract</x:v>
      </x:c>
      <x:c r="K18" s="50" t="str"/>
      <x:c r="L18" s="47"/>
      <x:c r="M18" s="47"/>
      <x:c r="N18" s="47"/>
      <x:c r="O18" s="47"/>
      <x:c r="P18" s="47"/>
      <x:c r="Q18" s="47"/>
      <x:c r="R18" s="47"/>
      <x:c r="S18" s="47"/>
      <x:c r="T18" s="47"/>
      <x:c r="U18" s="47"/>
      <x:c r="V18" s="47"/>
      <x:c r="W18" s="47"/>
      <x:c r="X18" s="47"/>
      <x:c r="Y18" s="47"/>
      <x:c r="Z18" s="47"/>
    </x:row>
    <x:row r="19">
      <x:c r="A19" s="50" t="str">
        <x:v>E15</x:v>
      </x:c>
      <x:c r="B19" s="50" t="str">
        <x:v>Capability graph MVP</x:v>
      </x:c>
      <x:c r="C19" s="50" t="str">
        <x:v>Create role capability profile and update capability evidence after assessed tasks.</x:v>
      </x:c>
      <x:c r="D19" s="50" t="n">
        <x:v>8</x:v>
      </x:c>
      <x:c r="E19" s="50" t="str">
        <x:v>AI/Backend</x:v>
      </x:c>
      <x:c r="F19" s="50" t="str">
        <x:v>High</x:v>
      </x:c>
      <x:c r="G19" s="50" t="str">
        <x:v>Not Started</x:v>
      </x:c>
      <x:c r="H19" s="50" t="n">
        <x:v>13</x:v>
      </x:c>
      <x:c r="I19" s="50" t="str">
        <x:v>Capability level, confidence, recency and evidence visible.</x:v>
      </x:c>
      <x:c r="J19" s="50" t="str">
        <x:v>Role ontology</x:v>
      </x:c>
      <x:c r="K19" s="50" t="str"/>
      <x:c r="L19" s="47"/>
      <x:c r="M19" s="47"/>
      <x:c r="N19" s="47"/>
      <x:c r="O19" s="47"/>
      <x:c r="P19" s="47"/>
      <x:c r="Q19" s="47"/>
      <x:c r="R19" s="47"/>
      <x:c r="S19" s="47"/>
      <x:c r="T19" s="47"/>
      <x:c r="U19" s="47"/>
      <x:c r="V19" s="47"/>
      <x:c r="W19" s="47"/>
      <x:c r="X19" s="47"/>
      <x:c r="Y19" s="47"/>
      <x:c r="Z19" s="47"/>
    </x:row>
    <x:row r="20">
      <x:c r="A20" s="50" t="str">
        <x:v>E16</x:v>
      </x:c>
      <x:c r="B20" s="50" t="str">
        <x:v>Growth coach MVP</x:v>
      </x:c>
      <x:c r="C20" s="50" t="str">
        <x:v>Generate non-disruptive guidance when task risk or capability gap is detected.</x:v>
      </x:c>
      <x:c r="D20" s="50" t="n">
        <x:v>9</x:v>
      </x:c>
      <x:c r="E20" s="50" t="str">
        <x:v>AI/L&amp;D</x:v>
      </x:c>
      <x:c r="F20" s="50" t="str">
        <x:v>High</x:v>
      </x:c>
      <x:c r="G20" s="50" t="str">
        <x:v>Not Started</x:v>
      </x:c>
      <x:c r="H20" s="50" t="n">
        <x:v>13</x:v>
      </x:c>
      <x:c r="I20" s="50" t="str">
        <x:v>Nudge/assist/teach messages audited; employee can dismiss/correct.</x:v>
      </x:c>
      <x:c r="J20" s="50" t="str">
        <x:v>Task intelligence</x:v>
      </x:c>
      <x:c r="K20" s="50" t="str"/>
      <x:c r="L20" s="47"/>
      <x:c r="M20" s="47"/>
      <x:c r="N20" s="47"/>
      <x:c r="O20" s="47"/>
      <x:c r="P20" s="47"/>
      <x:c r="Q20" s="47"/>
      <x:c r="R20" s="47"/>
      <x:c r="S20" s="47"/>
      <x:c r="T20" s="47"/>
      <x:c r="U20" s="47"/>
      <x:c r="V20" s="47"/>
      <x:c r="W20" s="47"/>
      <x:c r="X20" s="47"/>
      <x:c r="Y20" s="47"/>
      <x:c r="Z20" s="47"/>
    </x:row>
    <x:row r="21">
      <x:c r="A21" s="50" t="str">
        <x:v>E17</x:v>
      </x:c>
      <x:c r="B21" s="50" t="str">
        <x:v>Employee portal</x:v>
      </x:c>
      <x:c r="C21" s="50" t="str">
        <x:v>Employee can see timeline, report, capability profile and dispute findings.</x:v>
      </x:c>
      <x:c r="D21" s="50" t="n">
        <x:v>10</x:v>
      </x:c>
      <x:c r="E21" s="50" t="str">
        <x:v>Frontend</x:v>
      </x:c>
      <x:c r="F21" s="50" t="str">
        <x:v>Critical</x:v>
      </x:c>
      <x:c r="G21" s="50" t="str">
        <x:v>Not Started</x:v>
      </x:c>
      <x:c r="H21" s="50" t="n">
        <x:v>13</x:v>
      </x:c>
      <x:c r="I21" s="50" t="str">
        <x:v>Dispute creates review workflow; employee evidence visible.</x:v>
      </x:c>
      <x:c r="J21" s="50" t="str">
        <x:v>Reporting/Governance</x:v>
      </x:c>
      <x:c r="K21" s="50" t="str"/>
      <x:c r="L21" s="47"/>
      <x:c r="M21" s="47"/>
      <x:c r="N21" s="47"/>
      <x:c r="O21" s="47"/>
      <x:c r="P21" s="47"/>
      <x:c r="Q21" s="47"/>
      <x:c r="R21" s="47"/>
      <x:c r="S21" s="47"/>
      <x:c r="T21" s="47"/>
      <x:c r="U21" s="47"/>
      <x:c r="V21" s="47"/>
      <x:c r="W21" s="47"/>
      <x:c r="X21" s="47"/>
      <x:c r="Y21" s="47"/>
      <x:c r="Z21" s="47"/>
    </x:row>
    <x:row r="22">
      <x:c r="A22" s="50" t="str">
        <x:v>E18</x:v>
      </x:c>
      <x:c r="B22" s="50" t="str">
        <x:v>Manager console</x:v>
      </x:c>
      <x:c r="C22" s="50" t="str">
        <x:v>Lead sees exception-led task report, blockers, quality gaps and training recommendations.</x:v>
      </x:c>
      <x:c r="D22" s="50" t="n">
        <x:v>10</x:v>
      </x:c>
      <x:c r="E22" s="50" t="str">
        <x:v>Frontend/Product</x:v>
      </x:c>
      <x:c r="F22" s="50" t="str">
        <x:v>Critical</x:v>
      </x:c>
      <x:c r="G22" s="50" t="str">
        <x:v>Not Started</x:v>
      </x:c>
      <x:c r="H22" s="50" t="n">
        <x:v>13</x:v>
      </x:c>
      <x:c r="I22" s="50" t="str">
        <x:v>Manager report cites evidence and confidence.</x:v>
      </x:c>
      <x:c r="J22" s="50" t="str">
        <x:v>Task/capability services</x:v>
      </x:c>
      <x:c r="K22" s="50" t="str"/>
      <x:c r="L22" s="47"/>
      <x:c r="M22" s="47"/>
      <x:c r="N22" s="47"/>
      <x:c r="O22" s="47"/>
      <x:c r="P22" s="47"/>
      <x:c r="Q22" s="47"/>
      <x:c r="R22" s="47"/>
      <x:c r="S22" s="47"/>
      <x:c r="T22" s="47"/>
      <x:c r="U22" s="47"/>
      <x:c r="V22" s="47"/>
      <x:c r="W22" s="47"/>
      <x:c r="X22" s="47"/>
      <x:c r="Y22" s="47"/>
      <x:c r="Z22" s="47"/>
    </x:row>
    <x:row r="23">
      <x:c r="A23" s="50" t="str">
        <x:v>E19</x:v>
      </x:c>
      <x:c r="B23" s="50" t="str">
        <x:v>Skill observation log</x:v>
      </x:c>
      <x:c r="C23" s="50" t="str">
        <x:v>System logs user/system corrections as candidate skill improvements.</x:v>
      </x:c>
      <x:c r="D23" s="50" t="n">
        <x:v>11</x:v>
      </x:c>
      <x:c r="E23" s="50" t="str">
        <x:v>AI Platform</x:v>
      </x:c>
      <x:c r="F23" s="50" t="str">
        <x:v>Medium</x:v>
      </x:c>
      <x:c r="G23" s="50" t="str">
        <x:v>Not Started</x:v>
      </x:c>
      <x:c r="H23" s="50" t="n">
        <x:v>8</x:v>
      </x:c>
      <x:c r="I23" s="50" t="str">
        <x:v>Observation includes issue, improvement, principle, evidence and confidentiality class.</x:v>
      </x:c>
      <x:c r="J23" s="50" t="str">
        <x:v>Skill Forge</x:v>
      </x:c>
      <x:c r="K23" s="50" t="str"/>
      <x:c r="L23" s="47"/>
      <x:c r="M23" s="47"/>
      <x:c r="N23" s="47"/>
      <x:c r="O23" s="47"/>
      <x:c r="P23" s="47"/>
      <x:c r="Q23" s="47"/>
      <x:c r="R23" s="47"/>
      <x:c r="S23" s="47"/>
      <x:c r="T23" s="47"/>
      <x:c r="U23" s="47"/>
      <x:c r="V23" s="47"/>
      <x:c r="W23" s="47"/>
      <x:c r="X23" s="47"/>
      <x:c r="Y23" s="47"/>
      <x:c r="Z23" s="47"/>
    </x:row>
    <x:row r="24">
      <x:c r="A24" s="50" t="str">
        <x:v>E20</x:v>
      </x:c>
      <x:c r="B24" s="50" t="str">
        <x:v>Pilot validation</x:v>
      </x:c>
      <x:c r="C24" s="50" t="str">
        <x:v>Run internal pilot and measure capture accuracy, task alignment, worker trust and manager value.</x:v>
      </x:c>
      <x:c r="D24" s="50" t="n">
        <x:v>12</x:v>
      </x:c>
      <x:c r="E24" s="50" t="str">
        <x:v>Leadership/QA</x:v>
      </x:c>
      <x:c r="F24" s="50" t="str">
        <x:v>Critical</x:v>
      </x:c>
      <x:c r="G24" s="50" t="str">
        <x:v>Not Started</x:v>
      </x:c>
      <x:c r="H24" s="50" t="n">
        <x:v>21</x:v>
      </x:c>
      <x:c r="I24" s="50" t="str">
        <x:v>Pilot report with acceptance metrics and rollout decision.</x:v>
      </x:c>
      <x:c r="J24" s="50" t="str">
        <x:v>All MVP epics</x:v>
      </x:c>
      <x:c r="K24" s="50" t="str"/>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K1"/>
    <x:mergeCell ref="A2:K2"/>
  </x:mergeCells>
  <x:conditionalFormatting sqref="F5:F24">
    <x:cfRule type="expression" dxfId="2" priority="1">
      <x:formula>F5="Critical"</x:formula>
    </x:cfRule>
  </x:conditionalFormatting>
  <x:dataValidations count="2">
    <x:dataValidation type="list" sqref="F5:F24">
      <x:formula1>"Critical,High,Medium,Low"</x:formula1>
    </x:dataValidation>
    <x:dataValidation type="list" sqref="G5:G24">
      <x:formula1>"Not Started,In Progress,Blocked,Done"</x:formula1>
    </x:dataValidation>
  </x:dataValidations>
  <x:pageMargins left="0.7" right="0.7" top="0.75" bottom="0.75" header="0.3" footer="0.3"/>
  <x:tableParts count="1">
    <x:tablePart xmlns:r="http://schemas.openxmlformats.org/officeDocument/2006/relationships" r:id="R95f831efb1ea4250"/>
  </x:tableParts>
</x:worksheet>
</file>

<file path=xl/worksheets/sheet9.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44" hidden="0" customWidth="1"/>
    <x:col min="5" max="5" width="24" hidden="0" customWidth="1"/>
    <x:col min="6" max="6" width="26" hidden="0" customWidth="1"/>
    <x:col min="7" max="7" width="8" hidden="0" customWidth="1"/>
    <x:col min="8" max="8" width="40" hidden="0" customWidth="1"/>
    <x:col min="9" max="9" width="30" hidden="0" customWidth="1"/>
  </x:cols>
  <x:sheetData>
    <x:row r="1" ht="34" customHeight="1">
      <x:c r="A1" s="64" t="str">
        <x:v>Event &amp; Data Model</x:v>
      </x:c>
      <x:c r="B1" s="64"/>
      <x:c r="C1" s="64"/>
      <x:c r="D1" s="64"/>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48" t="str">
        <x:v>Core evidence graph, events, entities and provenance relationships.</x:v>
      </x:c>
      <x:c r="B2" s="48"/>
      <x:c r="C2" s="48"/>
      <x:c r="D2" s="48"/>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Model area</x:v>
      </x:c>
      <x:c r="B4" s="49" t="str">
        <x:v>Entity/Event</x:v>
      </x:c>
      <x:c r="C4" s="49" t="str">
        <x:v>Purpose</x:v>
      </x:c>
      <x:c r="D4" s="49" t="str">
        <x:v>Key fields</x:v>
      </x:c>
      <x:c r="E4" s="49" t="str">
        <x:v>Producer</x:v>
      </x:c>
      <x:c r="F4" s="49" t="str">
        <x:v>Consumer</x:v>
      </x:c>
      <x:c r="G4" s="49" t="str">
        <x:v>MVP</x:v>
      </x:c>
      <x:c r="H4" s="49" t="str">
        <x:v>Notes</x:v>
      </x:c>
      <x:c r="I4" s="49" t="str">
        <x:v>Source/ref</x:v>
      </x:c>
      <x:c r="J4" s="47"/>
      <x:c r="K4" s="47"/>
      <x:c r="L4" s="47"/>
      <x:c r="M4" s="47"/>
      <x:c r="N4" s="47"/>
      <x:c r="O4" s="47"/>
      <x:c r="P4" s="47"/>
      <x:c r="Q4" s="47"/>
      <x:c r="R4" s="47"/>
      <x:c r="S4" s="47"/>
      <x:c r="T4" s="47"/>
      <x:c r="U4" s="47"/>
      <x:c r="V4" s="47"/>
      <x:c r="W4" s="47"/>
      <x:c r="X4" s="47"/>
      <x:c r="Y4" s="47"/>
      <x:c r="Z4" s="47"/>
    </x:row>
    <x:row r="5">
      <x:c r="A5" s="50" t="str">
        <x:v>Entity</x:v>
      </x:c>
      <x:c r="B5" s="50" t="str">
        <x:v>WorkSession</x:v>
      </x:c>
      <x:c r="C5" s="50" t="str">
        <x:v>Tracks a monitored work period and task linkage.</x:v>
      </x:c>
      <x:c r="D5" s="50" t="str">
        <x:v>session_id, person_id, device_id, task_id, start/end, policy_version</x:v>
      </x:c>
      <x:c r="E5" s="50" t="str">
        <x:v>Device Agent Gateway</x:v>
      </x:c>
      <x:c r="F5" s="50" t="str">
        <x:v>Task Intelligence, Reporting</x:v>
      </x:c>
      <x:c r="G5" s="50" t="str">
        <x:v>Yes</x:v>
      </x:c>
      <x:c r="H5" s="50" t="str">
        <x:v>Supports pause/private/excluded segments.</x:v>
      </x:c>
      <x:c r="I5" s="50" t="str"/>
      <x:c r="J5" s="47"/>
      <x:c r="K5" s="47"/>
      <x:c r="L5" s="47"/>
      <x:c r="M5" s="47"/>
      <x:c r="N5" s="47"/>
      <x:c r="O5" s="47"/>
      <x:c r="P5" s="47"/>
      <x:c r="Q5" s="47"/>
      <x:c r="R5" s="47"/>
      <x:c r="S5" s="47"/>
      <x:c r="T5" s="47"/>
      <x:c r="U5" s="47"/>
      <x:c r="V5" s="47"/>
      <x:c r="W5" s="47"/>
      <x:c r="X5" s="47"/>
      <x:c r="Y5" s="47"/>
      <x:c r="Z5" s="47"/>
    </x:row>
    <x:row r="6">
      <x:c r="A6" s="50" t="str">
        <x:v>Entity</x:v>
      </x:c>
      <x:c r="B6" s="50" t="str">
        <x:v>TaskExecutionContract</x:v>
      </x:c>
      <x:c r="C6" s="50" t="str">
        <x:v>Structured task expectations and acceptance criteria.</x:v>
      </x:c>
      <x:c r="D6" s="50" t="str">
        <x:v>objective, criteria, evidence_required, tools, risks, reviewer</x:v>
      </x:c>
      <x:c r="E6" s="50" t="str">
        <x:v>Task Intelligence</x:v>
      </x:c>
      <x:c r="F6" s="50" t="str">
        <x:v>Task Assurance, Coach</x:v>
      </x:c>
      <x:c r="G6" s="50" t="str">
        <x:v>Yes</x:v>
      </x:c>
      <x:c r="H6" s="50" t="str">
        <x:v>Compiled from HumanOS task.</x:v>
      </x:c>
      <x:c r="I6" s="50" t="str"/>
      <x:c r="J6" s="47"/>
      <x:c r="K6" s="47"/>
      <x:c r="L6" s="47"/>
      <x:c r="M6" s="47"/>
      <x:c r="N6" s="47"/>
      <x:c r="O6" s="47"/>
      <x:c r="P6" s="47"/>
      <x:c r="Q6" s="47"/>
      <x:c r="R6" s="47"/>
      <x:c r="S6" s="47"/>
      <x:c r="T6" s="47"/>
      <x:c r="U6" s="47"/>
      <x:c r="V6" s="47"/>
      <x:c r="W6" s="47"/>
      <x:c r="X6" s="47"/>
      <x:c r="Y6" s="47"/>
      <x:c r="Z6" s="47"/>
    </x:row>
    <x:row r="7">
      <x:c r="A7" s="50" t="str">
        <x:v>Entity</x:v>
      </x:c>
      <x:c r="B7" s="50" t="str">
        <x:v>RoleCapabilityContract</x:v>
      </x:c>
      <x:c r="C7" s="50" t="str">
        <x:v>Structured role/job description capability requirements.</x:v>
      </x:c>
      <x:c r="D7" s="50" t="str">
        <x:v>role, level, capabilities, evidence rubrics, autonomy</x:v>
      </x:c>
      <x:c r="E7" s="50" t="str">
        <x:v>Role &amp; Capability</x:v>
      </x:c>
      <x:c r="F7" s="50" t="str">
        <x:v>Capability Graph</x:v>
      </x:c>
      <x:c r="G7" s="50" t="str">
        <x:v>Yes</x:v>
      </x:c>
      <x:c r="H7" s="50" t="str">
        <x:v>Job description becomes measurable contract.</x:v>
      </x:c>
      <x:c r="I7" s="50" t="str"/>
      <x:c r="J7" s="47"/>
      <x:c r="K7" s="47"/>
      <x:c r="L7" s="47"/>
      <x:c r="M7" s="47"/>
      <x:c r="N7" s="47"/>
      <x:c r="O7" s="47"/>
      <x:c r="P7" s="47"/>
      <x:c r="Q7" s="47"/>
      <x:c r="R7" s="47"/>
      <x:c r="S7" s="47"/>
      <x:c r="T7" s="47"/>
      <x:c r="U7" s="47"/>
      <x:c r="V7" s="47"/>
      <x:c r="W7" s="47"/>
      <x:c r="X7" s="47"/>
      <x:c r="Y7" s="47"/>
      <x:c r="Z7" s="47"/>
    </x:row>
    <x:row r="8">
      <x:c r="A8" s="50" t="str">
        <x:v>Event</x:v>
      </x:c>
      <x:c r="B8" s="50" t="str">
        <x:v>activity.application.changed</x:v>
      </x:c>
      <x:c r="C8" s="50" t="str">
        <x:v>Foreground app/window/process transition.</x:v>
      </x:c>
      <x:c r="D8" s="50" t="str">
        <x:v>app, pid, window_title, timestamp, confidence</x:v>
      </x:c>
      <x:c r="E8" s="50" t="str">
        <x:v>Desktop Agent</x:v>
      </x:c>
      <x:c r="F8" s="50" t="str">
        <x:v>Evidence Service</x:v>
      </x:c>
      <x:c r="G8" s="50" t="str">
        <x:v>Yes</x:v>
      </x:c>
      <x:c r="H8" s="50" t="str">
        <x:v>Universal capture stream.</x:v>
      </x:c>
      <x:c r="I8" s="50" t="str"/>
      <x:c r="J8" s="47"/>
      <x:c r="K8" s="47"/>
      <x:c r="L8" s="47"/>
      <x:c r="M8" s="47"/>
      <x:c r="N8" s="47"/>
      <x:c r="O8" s="47"/>
      <x:c r="P8" s="47"/>
      <x:c r="Q8" s="47"/>
      <x:c r="R8" s="47"/>
      <x:c r="S8" s="47"/>
      <x:c r="T8" s="47"/>
      <x:c r="U8" s="47"/>
      <x:c r="V8" s="47"/>
      <x:c r="W8" s="47"/>
      <x:c r="X8" s="47"/>
      <x:c r="Y8" s="47"/>
      <x:c r="Z8" s="47"/>
    </x:row>
    <x:row r="9">
      <x:c r="A9" s="50" t="str">
        <x:v>Event</x:v>
      </x:c>
      <x:c r="B9" s="50" t="str">
        <x:v>activity.input.observed</x:v>
      </x:c>
      <x:c r="C9" s="50" t="str">
        <x:v>Physical mouse/keyboard input metadata.</x:v>
      </x:c>
      <x:c r="D9" s="50" t="str">
        <x:v>input_type, key/button, coordinate, injected_flag, secure_field</x:v>
      </x:c>
      <x:c r="E9" s="50" t="str">
        <x:v>Desktop Agent</x:v>
      </x:c>
      <x:c r="F9" s="50" t="str">
        <x:v>Evidence Service</x:v>
      </x:c>
      <x:c r="G9" s="50" t="str">
        <x:v>Yes</x:v>
      </x:c>
      <x:c r="H9" s="50" t="str">
        <x:v>Text stored separately and controlled.</x:v>
      </x:c>
      <x:c r="I9" s="50" t="str">
        <x:v>Microsoft SetWindowsHookEx</x:v>
      </x:c>
      <x:c r="J9" s="47"/>
      <x:c r="K9" s="47"/>
      <x:c r="L9" s="47"/>
      <x:c r="M9" s="47"/>
      <x:c r="N9" s="47"/>
      <x:c r="O9" s="47"/>
      <x:c r="P9" s="47"/>
      <x:c r="Q9" s="47"/>
      <x:c r="R9" s="47"/>
      <x:c r="S9" s="47"/>
      <x:c r="T9" s="47"/>
      <x:c r="U9" s="47"/>
      <x:c r="V9" s="47"/>
      <x:c r="W9" s="47"/>
      <x:c r="X9" s="47"/>
      <x:c r="Y9" s="47"/>
      <x:c r="Z9" s="47"/>
    </x:row>
    <x:row r="10">
      <x:c r="A10" s="50" t="str">
        <x:v>Event</x:v>
      </x:c>
      <x:c r="B10" s="50" t="str">
        <x:v>activity.visual.changed</x:v>
      </x:c>
      <x:c r="C10" s="50" t="str">
        <x:v>Visual state changed due to click/app/action.</x:v>
      </x:c>
      <x:c r="D10" s="50" t="str">
        <x:v>before_state, after_state, changed_region, screenshot_hash</x:v>
      </x:c>
      <x:c r="E10" s="50" t="str">
        <x:v>Desktop Agent</x:v>
      </x:c>
      <x:c r="F10" s="50" t="str">
        <x:v>Evidence Service</x:v>
      </x:c>
      <x:c r="G10" s="50" t="str">
        <x:v>Yes</x:v>
      </x:c>
      <x:c r="H10" s="50" t="str">
        <x:v>Event-driven capture, not brute-force video.</x:v>
      </x:c>
      <x:c r="I10" s="50" t="str"/>
      <x:c r="J10" s="47"/>
      <x:c r="K10" s="47"/>
      <x:c r="L10" s="47"/>
      <x:c r="M10" s="47"/>
      <x:c r="N10" s="47"/>
      <x:c r="O10" s="47"/>
      <x:c r="P10" s="47"/>
      <x:c r="Q10" s="47"/>
      <x:c r="R10" s="47"/>
      <x:c r="S10" s="47"/>
      <x:c r="T10" s="47"/>
      <x:c r="U10" s="47"/>
      <x:c r="V10" s="47"/>
      <x:c r="W10" s="47"/>
      <x:c r="X10" s="47"/>
      <x:c r="Y10" s="47"/>
      <x:c r="Z10" s="47"/>
    </x:row>
    <x:row r="11">
      <x:c r="A11" s="50" t="str">
        <x:v>Event</x:v>
      </x:c>
      <x:c r="B11" s="50" t="str">
        <x:v>activity.text.changed</x:v>
      </x:c>
      <x:c r="C11" s="50" t="str">
        <x:v>Resulting text delta in an approved control/editor.</x:v>
      </x:c>
      <x:c r="D11" s="50" t="str">
        <x:v>inserted_ref, deleted_ref, source_control, privacy_class</x:v>
      </x:c>
      <x:c r="E11" s="50" t="str">
        <x:v>Desktop Agent/IDE Adapter</x:v>
      </x:c>
      <x:c r="F11" s="50" t="str">
        <x:v>Evidence, Task Intelligence</x:v>
      </x:c>
      <x:c r="G11" s="50" t="str">
        <x:v>Yes</x:v>
      </x:c>
      <x:c r="H11" s="50" t="str">
        <x:v>Authoritative text-state &gt; raw keys.</x:v>
      </x:c>
      <x:c r="I11" s="50" t="str"/>
      <x:c r="J11" s="47"/>
      <x:c r="K11" s="47"/>
      <x:c r="L11" s="47"/>
      <x:c r="M11" s="47"/>
      <x:c r="N11" s="47"/>
      <x:c r="O11" s="47"/>
      <x:c r="P11" s="47"/>
      <x:c r="Q11" s="47"/>
      <x:c r="R11" s="47"/>
      <x:c r="S11" s="47"/>
      <x:c r="T11" s="47"/>
      <x:c r="U11" s="47"/>
      <x:c r="V11" s="47"/>
      <x:c r="W11" s="47"/>
      <x:c r="X11" s="47"/>
      <x:c r="Y11" s="47"/>
      <x:c r="Z11" s="47"/>
    </x:row>
    <x:row r="12">
      <x:c r="A12" s="50" t="str">
        <x:v>Event</x:v>
      </x:c>
      <x:c r="B12" s="50" t="str">
        <x:v>agent.prompt.submitted</x:v>
      </x:c>
      <x:c r="C12" s="50" t="str">
        <x:v>Prompt sent to Codex/Claude/Cursor/etc.</x:v>
      </x:c>
      <x:c r="D12" s="50" t="str">
        <x:v>agent, prompt_ref, task_id, turn_id</x:v>
      </x:c>
      <x:c r="E12" s="50" t="str">
        <x:v>AI Agent Adapter</x:v>
      </x:c>
      <x:c r="F12" s="50" t="str">
        <x:v>Provenance, Coach</x:v>
      </x:c>
      <x:c r="G12" s="50" t="str">
        <x:v>Yes</x:v>
      </x:c>
      <x:c r="H12" s="50" t="str">
        <x:v>Use official hooks where possible.</x:v>
      </x:c>
      <x:c r="I12" s="50" t="str">
        <x:v>Codex hooks</x:v>
      </x:c>
      <x:c r="J12" s="47"/>
      <x:c r="K12" s="47"/>
      <x:c r="L12" s="47"/>
      <x:c r="M12" s="47"/>
      <x:c r="N12" s="47"/>
      <x:c r="O12" s="47"/>
      <x:c r="P12" s="47"/>
      <x:c r="Q12" s="47"/>
      <x:c r="R12" s="47"/>
      <x:c r="S12" s="47"/>
      <x:c r="T12" s="47"/>
      <x:c r="U12" s="47"/>
      <x:c r="V12" s="47"/>
      <x:c r="W12" s="47"/>
      <x:c r="X12" s="47"/>
      <x:c r="Y12" s="47"/>
      <x:c r="Z12" s="47"/>
    </x:row>
    <x:row r="13">
      <x:c r="A13" s="50" t="str">
        <x:v>Event</x:v>
      </x:c>
      <x:c r="B13" s="50" t="str">
        <x:v>agent.tool.completed</x:v>
      </x:c>
      <x:c r="C13" s="50" t="str">
        <x:v>Agent tool command or file operation completed.</x:v>
      </x:c>
      <x:c r="D13" s="50" t="str">
        <x:v>tool, input_ref, output_ref, exit_code, files_touched</x:v>
      </x:c>
      <x:c r="E13" s="50" t="str">
        <x:v>AI Agent Adapter</x:v>
      </x:c>
      <x:c r="F13" s="50" t="str">
        <x:v>Provenance</x:v>
      </x:c>
      <x:c r="G13" s="50" t="str">
        <x:v>Yes</x:v>
      </x:c>
      <x:c r="H13" s="50" t="str">
        <x:v>Causal parent is prompt or prior tool call.</x:v>
      </x:c>
      <x:c r="I13" s="50" t="str">
        <x:v>OpenTelemetry GenAI</x:v>
      </x:c>
      <x:c r="J13" s="47"/>
      <x:c r="K13" s="47"/>
      <x:c r="L13" s="47"/>
      <x:c r="M13" s="47"/>
      <x:c r="N13" s="47"/>
      <x:c r="O13" s="47"/>
      <x:c r="P13" s="47"/>
      <x:c r="Q13" s="47"/>
      <x:c r="R13" s="47"/>
      <x:c r="S13" s="47"/>
      <x:c r="T13" s="47"/>
      <x:c r="U13" s="47"/>
      <x:c r="V13" s="47"/>
      <x:c r="W13" s="47"/>
      <x:c r="X13" s="47"/>
      <x:c r="Y13" s="47"/>
      <x:c r="Z13" s="47"/>
    </x:row>
    <x:row r="14">
      <x:c r="A14" s="50" t="str">
        <x:v>Event</x:v>
      </x:c>
      <x:c r="B14" s="50" t="str">
        <x:v>process.completed</x:v>
      </x:c>
      <x:c r="C14" s="50" t="str">
        <x:v>System command/build/test process ended.</x:v>
      </x:c>
      <x:c r="D14" s="50" t="str">
        <x:v>command_ref, cwd, exit_code, duration, stdout_ref</x:v>
      </x:c>
      <x:c r="E14" s="50" t="str">
        <x:v>Terminal/OS Adapter</x:v>
      </x:c>
      <x:c r="F14" s="50" t="str">
        <x:v>Task Assurance</x:v>
      </x:c>
      <x:c r="G14" s="50" t="str">
        <x:v>Yes</x:v>
      </x:c>
      <x:c r="H14" s="50" t="str">
        <x:v>Distinguish automated wait from idle.</x:v>
      </x:c>
      <x:c r="I14" s="50" t="str"/>
      <x:c r="J14" s="47"/>
      <x:c r="K14" s="47"/>
      <x:c r="L14" s="47"/>
      <x:c r="M14" s="47"/>
      <x:c r="N14" s="47"/>
      <x:c r="O14" s="47"/>
      <x:c r="P14" s="47"/>
      <x:c r="Q14" s="47"/>
      <x:c r="R14" s="47"/>
      <x:c r="S14" s="47"/>
      <x:c r="T14" s="47"/>
      <x:c r="U14" s="47"/>
      <x:c r="V14" s="47"/>
      <x:c r="W14" s="47"/>
      <x:c r="X14" s="47"/>
      <x:c r="Y14" s="47"/>
      <x:c r="Z14" s="47"/>
    </x:row>
    <x:row r="15">
      <x:c r="A15" s="50" t="str">
        <x:v>Event</x:v>
      </x:c>
      <x:c r="B15" s="50" t="str">
        <x:v>task.criterion.verified</x:v>
      </x:c>
      <x:c r="C15" s="50" t="str">
        <x:v>Task criterion satisfied or failed with evidence.</x:v>
      </x:c>
      <x:c r="D15" s="50" t="str">
        <x:v>criterion_id, status, evidence_refs, confidence</x:v>
      </x:c>
      <x:c r="E15" s="50" t="str">
        <x:v>Task Intelligence</x:v>
      </x:c>
      <x:c r="F15" s="50" t="str">
        <x:v>Reporting/Capability</x:v>
      </x:c>
      <x:c r="G15" s="50" t="str">
        <x:v>Yes</x:v>
      </x:c>
      <x:c r="H15" s="50" t="str">
        <x:v>Outcome-driven assessment.</x:v>
      </x:c>
      <x:c r="I15" s="50" t="str"/>
      <x:c r="J15" s="47"/>
      <x:c r="K15" s="47"/>
      <x:c r="L15" s="47"/>
      <x:c r="M15" s="47"/>
      <x:c r="N15" s="47"/>
      <x:c r="O15" s="47"/>
      <x:c r="P15" s="47"/>
      <x:c r="Q15" s="47"/>
      <x:c r="R15" s="47"/>
      <x:c r="S15" s="47"/>
      <x:c r="T15" s="47"/>
      <x:c r="U15" s="47"/>
      <x:c r="V15" s="47"/>
      <x:c r="W15" s="47"/>
      <x:c r="X15" s="47"/>
      <x:c r="Y15" s="47"/>
      <x:c r="Z15" s="47"/>
    </x:row>
    <x:row r="16">
      <x:c r="A16" s="50" t="str">
        <x:v>Event</x:v>
      </x:c>
      <x:c r="B16" s="50" t="str">
        <x:v>capability.evidence.recorded</x:v>
      </x:c>
      <x:c r="C16" s="50" t="str">
        <x:v>Capability evidence gained from a task episode.</x:v>
      </x:c>
      <x:c r="D16" s="50" t="str">
        <x:v>capability_id, level_signal, confidence, evidence_refs</x:v>
      </x:c>
      <x:c r="E16" s="50" t="str">
        <x:v>Role &amp; Capability</x:v>
      </x:c>
      <x:c r="F16" s="50" t="str">
        <x:v>Learning/Reporting</x:v>
      </x:c>
      <x:c r="G16" s="50" t="str">
        <x:v>Yes</x:v>
      </x:c>
      <x:c r="H16" s="50" t="str">
        <x:v>Repeated evidence updates profile.</x:v>
      </x:c>
      <x:c r="I16" s="50" t="str"/>
      <x:c r="J16" s="47"/>
      <x:c r="K16" s="47"/>
      <x:c r="L16" s="47"/>
      <x:c r="M16" s="47"/>
      <x:c r="N16" s="47"/>
      <x:c r="O16" s="47"/>
      <x:c r="P16" s="47"/>
      <x:c r="Q16" s="47"/>
      <x:c r="R16" s="47"/>
      <x:c r="S16" s="47"/>
      <x:c r="T16" s="47"/>
      <x:c r="U16" s="47"/>
      <x:c r="V16" s="47"/>
      <x:c r="W16" s="47"/>
      <x:c r="X16" s="47"/>
      <x:c r="Y16" s="47"/>
      <x:c r="Z16" s="47"/>
    </x:row>
    <x:row r="17">
      <x:c r="A17" s="50" t="str">
        <x:v>Event</x:v>
      </x:c>
      <x:c r="B17" s="50" t="str">
        <x:v>skill.observation.created</x:v>
      </x:c>
      <x:c r="C17" s="50" t="str">
        <x:v>Candidate improvement to HumanOS skill/plugin/evaluator.</x:v>
      </x:c>
      <x:c r="D17" s="50" t="str">
        <x:v>issue, improvement, principle, evidence_refs, confidentiality</x:v>
      </x:c>
      <x:c r="E17" s="50" t="str">
        <x:v>Skill Forge</x:v>
      </x:c>
      <x:c r="F17" s="50" t="str">
        <x:v>Skill Review</x:v>
      </x:c>
      <x:c r="G17" s="50" t="str">
        <x:v>Later</x:v>
      </x:c>
      <x:c r="H17" s="50" t="str">
        <x:v>Human approval before activation.</x:v>
      </x:c>
      <x:c r="I17" s="50" t="str"/>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s>
  <x:pageMargins left="0.7" right="0.7" top="0.75" bottom="0.75" header="0.3" footer="0.3"/>
  <x:tableParts count="1">
    <x:tablePart xmlns:r="http://schemas.openxmlformats.org/officeDocument/2006/relationships" r:id="R968863e772bf4812"/>
  </x:tableParts>
</x:worksheet>
</file>

<file path=xl/worksheets/sheet10.xml><?xml version="1.0" encoding="utf-8"?>
<x:worksheet xmlns:x="http://schemas.openxmlformats.org/spreadsheetml/2006/main">
  <x:sheetFormatPr defaultRowHeight="15"/>
  <x:cols>
    <x:col min="1" max="1" width="30" hidden="0" customWidth="1"/>
    <x:col min="2" max="2" width="44" hidden="0" customWidth="1"/>
    <x:col min="3" max="3" width="28" hidden="0" customWidth="1"/>
    <x:col min="4" max="4" width="48" hidden="0" customWidth="1"/>
    <x:col min="5" max="5" width="42" hidden="0" customWidth="1"/>
    <x:col min="6" max="6" width="10" hidden="0" customWidth="1"/>
  </x:cols>
  <x:sheetData>
    <x:row r="1" ht="34" customHeight="1">
      <x:c r="A1" s="64" t="str">
        <x:v>AI Capability System</x:v>
      </x:c>
      <x:c r="B1" s="64"/>
      <x:c r="C1" s="64"/>
      <x:c r="D1" s="64"/>
      <x:c r="E1" s="64"/>
      <x:c r="F1" s="64"/>
      <x:c r="G1" s="64"/>
      <x:c r="H1" s="64"/>
      <x:c r="I1" s="64"/>
      <x:c r="J1" s="64"/>
      <x:c r="K1" s="65"/>
      <x:c r="L1" s="65"/>
      <x:c r="M1" s="65"/>
      <x:c r="N1" s="65"/>
      <x:c r="O1" s="65"/>
      <x:c r="P1" s="65"/>
      <x:c r="Q1" s="65"/>
      <x:c r="R1" s="65"/>
      <x:c r="S1" s="65"/>
      <x:c r="T1" s="65"/>
      <x:c r="U1" s="65"/>
      <x:c r="V1" s="65"/>
      <x:c r="W1" s="65"/>
      <x:c r="X1" s="65"/>
      <x:c r="Y1" s="65"/>
      <x:c r="Z1" s="65"/>
    </x:row>
    <x:row r="2" ht="34" customHeight="1">
      <x:c r="A2" s="48" t="str">
        <x:v>How Nessovo verifies capability, improves employees, and improves HumanOS itself.</x:v>
      </x:c>
      <x:c r="B2" s="48"/>
      <x:c r="C2" s="48"/>
      <x:c r="D2" s="48"/>
      <x:c r="E2" s="48"/>
      <x:c r="F2" s="48"/>
      <x:c r="G2" s="48"/>
      <x:c r="H2" s="4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Level</x:v>
      </x:c>
      <x:c r="B4" s="49" t="str">
        <x:v>Name</x:v>
      </x:c>
      <x:c r="C4" s="49" t="str">
        <x:v>Meaning</x:v>
      </x:c>
      <x:c r="D4" s="49" t="str">
        <x:v>Evidence examples</x:v>
      </x:c>
      <x:c r="E4" s="49" t="str">
        <x:v>Manager interpretation</x:v>
      </x:c>
      <x:c r="F4" s="49" t="str">
        <x:v>Employee experience</x:v>
      </x:c>
      <x:c r="G4" s="47"/>
      <x:c r="H4" s="47"/>
      <x:c r="I4" s="47"/>
      <x:c r="J4" s="47"/>
      <x:c r="K4" s="47"/>
      <x:c r="L4" s="47"/>
      <x:c r="M4" s="47"/>
      <x:c r="N4" s="47"/>
      <x:c r="O4" s="47"/>
      <x:c r="P4" s="47"/>
      <x:c r="Q4" s="47"/>
      <x:c r="R4" s="47"/>
      <x:c r="S4" s="47"/>
      <x:c r="T4" s="47"/>
      <x:c r="U4" s="47"/>
      <x:c r="V4" s="47"/>
      <x:c r="W4" s="47"/>
      <x:c r="X4" s="47"/>
      <x:c r="Y4" s="47"/>
      <x:c r="Z4" s="47"/>
    </x:row>
    <x:row r="5">
      <x:c r="A5" s="50" t="n">
        <x:v>0</x:v>
      </x:c>
      <x:c r="B5" s="50" t="str">
        <x:v>Unverified</x:v>
      </x:c>
      <x:c r="C5" s="50" t="str">
        <x:v>Claim exists but no reliable evidence yet.</x:v>
      </x:c>
      <x:c r="D5" s="50" t="str">
        <x:v>Onboarding claim, CV, self-assessment.</x:v>
      </x:c>
      <x:c r="E5" s="50" t="str">
        <x:v>Do not assume capability; assign baseline tasks.</x:v>
      </x:c>
      <x:c r="F5" s="50" t="str">
        <x:v>Skill locked or greyed out.</x:v>
      </x:c>
      <x:c r="G5" s="47"/>
      <x:c r="H5" s="47"/>
      <x:c r="I5" s="47"/>
      <x:c r="J5" s="47"/>
      <x:c r="K5" s="47"/>
      <x:c r="L5" s="47"/>
      <x:c r="M5" s="47"/>
      <x:c r="N5" s="47"/>
      <x:c r="O5" s="47"/>
      <x:c r="P5" s="47"/>
      <x:c r="Q5" s="47"/>
      <x:c r="R5" s="47"/>
      <x:c r="S5" s="47"/>
      <x:c r="T5" s="47"/>
      <x:c r="U5" s="47"/>
      <x:c r="V5" s="47"/>
      <x:c r="W5" s="47"/>
      <x:c r="X5" s="47"/>
      <x:c r="Y5" s="47"/>
      <x:c r="Z5" s="47"/>
    </x:row>
    <x:row r="6">
      <x:c r="A6" s="50" t="n">
        <x:v>1</x:v>
      </x:c>
      <x:c r="B6" s="50" t="str">
        <x:v>Learning</x:v>
      </x:c>
      <x:c r="C6" s="50" t="str">
        <x:v>Requires direct instruction and close guidance.</x:v>
      </x:c>
      <x:c r="D6" s="50" t="str">
        <x:v>Fails routine tasks without support; training in progress.</x:v>
      </x:c>
      <x:c r="E6" s="50" t="str">
        <x:v>Needs guided work and mentor review.</x:v>
      </x:c>
      <x:c r="F6" s="50" t="str">
        <x:v>Starter quests and basic lessons.</x:v>
      </x:c>
      <x:c r="G6" s="47"/>
      <x:c r="H6" s="47"/>
      <x:c r="I6" s="47"/>
      <x:c r="J6" s="47"/>
      <x:c r="K6" s="47"/>
      <x:c r="L6" s="47"/>
      <x:c r="M6" s="47"/>
      <x:c r="N6" s="47"/>
      <x:c r="O6" s="47"/>
      <x:c r="P6" s="47"/>
      <x:c r="Q6" s="47"/>
      <x:c r="R6" s="47"/>
      <x:c r="S6" s="47"/>
      <x:c r="T6" s="47"/>
      <x:c r="U6" s="47"/>
      <x:c r="V6" s="47"/>
      <x:c r="W6" s="47"/>
      <x:c r="X6" s="47"/>
      <x:c r="Y6" s="47"/>
      <x:c r="Z6" s="47"/>
    </x:row>
    <x:row r="7">
      <x:c r="A7" s="50" t="n">
        <x:v>2</x:v>
      </x:c>
      <x:c r="B7" s="50" t="str">
        <x:v>Assisted</x:v>
      </x:c>
      <x:c r="C7" s="50" t="str">
        <x:v>Can complete routine work with support.</x:v>
      </x:c>
      <x:c r="D7" s="50" t="str">
        <x:v>Completes tasks when guided; recurring review required.</x:v>
      </x:c>
      <x:c r="E7" s="50" t="str">
        <x:v>Suitable for scoped tasks.</x:v>
      </x:c>
      <x:c r="F7" s="50" t="str">
        <x:v>Progress quests and coaching.</x:v>
      </x:c>
      <x:c r="G7" s="47"/>
      <x:c r="H7" s="47"/>
      <x:c r="I7" s="47"/>
      <x:c r="J7" s="47"/>
      <x:c r="K7" s="47"/>
      <x:c r="L7" s="47"/>
      <x:c r="M7" s="47"/>
      <x:c r="N7" s="47"/>
      <x:c r="O7" s="47"/>
      <x:c r="P7" s="47"/>
      <x:c r="Q7" s="47"/>
      <x:c r="R7" s="47"/>
      <x:c r="S7" s="47"/>
      <x:c r="T7" s="47"/>
      <x:c r="U7" s="47"/>
      <x:c r="V7" s="47"/>
      <x:c r="W7" s="47"/>
      <x:c r="X7" s="47"/>
      <x:c r="Y7" s="47"/>
      <x:c r="Z7" s="47"/>
    </x:row>
    <x:row r="8">
      <x:c r="A8" s="50" t="n">
        <x:v>3</x:v>
      </x:c>
      <x:c r="B8" s="50" t="str">
        <x:v>Independent</x:v>
      </x:c>
      <x:c r="C8" s="50" t="str">
        <x:v>Reliably completes standard work independently.</x:v>
      </x:c>
      <x:c r="D8" s="50" t="str">
        <x:v>Multiple successful tasks with appropriate verification.</x:v>
      </x:c>
      <x:c r="E8" s="50" t="str">
        <x:v>Meets normal role requirement.</x:v>
      </x:c>
      <x:c r="F8" s="50" t="str">
        <x:v>Core skill unlocked.</x:v>
      </x:c>
      <x:c r="G8" s="47"/>
      <x:c r="H8" s="47"/>
      <x:c r="I8" s="47"/>
      <x:c r="J8" s="47"/>
      <x:c r="K8" s="47"/>
      <x:c r="L8" s="47"/>
      <x:c r="M8" s="47"/>
      <x:c r="N8" s="47"/>
      <x:c r="O8" s="47"/>
      <x:c r="P8" s="47"/>
      <x:c r="Q8" s="47"/>
      <x:c r="R8" s="47"/>
      <x:c r="S8" s="47"/>
      <x:c r="T8" s="47"/>
      <x:c r="U8" s="47"/>
      <x:c r="V8" s="47"/>
      <x:c r="W8" s="47"/>
      <x:c r="X8" s="47"/>
      <x:c r="Y8" s="47"/>
      <x:c r="Z8" s="47"/>
    </x:row>
    <x:row r="9">
      <x:c r="A9" s="50" t="n">
        <x:v>4</x:v>
      </x:c>
      <x:c r="B9" s="50" t="str">
        <x:v>Advanced</x:v>
      </x:c>
      <x:c r="C9" s="50" t="str">
        <x:v>Handles complex/non-routine work and supports others.</x:v>
      </x:c>
      <x:c r="D9" s="50" t="str">
        <x:v>Solves unfamiliar variants; mentors peers; improves playbooks.</x:v>
      </x:c>
      <x:c r="E9" s="50" t="str">
        <x:v>Can own complex workstreams.</x:v>
      </x:c>
      <x:c r="F9" s="50" t="str">
        <x:v>Advanced challenges and mentor badges.</x:v>
      </x:c>
      <x:c r="G9" s="47"/>
      <x:c r="H9" s="47"/>
      <x:c r="I9" s="47"/>
      <x:c r="J9" s="47"/>
      <x:c r="K9" s="47"/>
      <x:c r="L9" s="47"/>
      <x:c r="M9" s="47"/>
      <x:c r="N9" s="47"/>
      <x:c r="O9" s="47"/>
      <x:c r="P9" s="47"/>
      <x:c r="Q9" s="47"/>
      <x:c r="R9" s="47"/>
      <x:c r="S9" s="47"/>
      <x:c r="T9" s="47"/>
      <x:c r="U9" s="47"/>
      <x:c r="V9" s="47"/>
      <x:c r="W9" s="47"/>
      <x:c r="X9" s="47"/>
      <x:c r="Y9" s="47"/>
      <x:c r="Z9" s="47"/>
    </x:row>
    <x:row r="10">
      <x:c r="A10" s="50" t="n">
        <x:v>5</x:v>
      </x:c>
      <x:c r="B10" s="50" t="str">
        <x:v>Mastery</x:v>
      </x:c>
      <x:c r="C10" s="50" t="str">
        <x:v>Defines standards, solves novel problems and coaches others.</x:v>
      </x:c>
      <x:c r="D10" s="50" t="str">
        <x:v>Creates reusable methods; reviews designs; leads standards.</x:v>
      </x:c>
      <x:c r="E10" s="50" t="str">
        <x:v>Can define organisational practice.</x:v>
      </x:c>
      <x:c r="F10" s="50" t="str">
        <x:v>Mastery status and skill authoring.</x:v>
      </x:c>
      <x:c r="G10" s="47"/>
      <x:c r="H10" s="47"/>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ht="32" customHeight="1">
      <x:c r="A13" s="49" t="str">
        <x:v>Loop</x:v>
      </x:c>
      <x:c r="B13" s="49" t="str">
        <x:v>Input</x:v>
      </x:c>
      <x:c r="C13" s="49" t="str">
        <x:v>AI action</x:v>
      </x:c>
      <x:c r="D13" s="49" t="str">
        <x:v>Human control</x:v>
      </x:c>
      <x:c r="E13" s="49" t="str">
        <x:v>Output</x:v>
      </x:c>
      <x:c r="F13" s="47"/>
      <x:c r="G13" s="47"/>
      <x:c r="H13" s="47"/>
      <x:c r="I13" s="47"/>
      <x:c r="J13" s="47"/>
      <x:c r="K13" s="47"/>
      <x:c r="L13" s="47"/>
      <x:c r="M13" s="47"/>
      <x:c r="N13" s="47"/>
      <x:c r="O13" s="47"/>
      <x:c r="P13" s="47"/>
      <x:c r="Q13" s="47"/>
      <x:c r="R13" s="47"/>
      <x:c r="S13" s="47"/>
      <x:c r="T13" s="47"/>
      <x:c r="U13" s="47"/>
      <x:c r="V13" s="47"/>
      <x:c r="W13" s="47"/>
      <x:c r="X13" s="47"/>
      <x:c r="Y13" s="47"/>
      <x:c r="Z13" s="47"/>
    </x:row>
    <x:row r="14">
      <x:c r="A14" s="50" t="str">
        <x:v>Employee learning loop</x:v>
      </x:c>
      <x:c r="B14" s="50" t="str">
        <x:v>Task evidence, errors, coaching response</x:v>
      </x:c>
      <x:c r="C14" s="50" t="str">
        <x:v>Detect gap and recommend training/practice</x:v>
      </x:c>
      <x:c r="D14" s="50" t="str">
        <x:v>Employee can challenge; manager/mentor reviews</x:v>
      </x:c>
      <x:c r="E14" s="50" t="str">
        <x:v>Capability evidence and learning plan</x:v>
      </x:c>
      <x:c r="F14" s="47"/>
      <x:c r="G14" s="47"/>
      <x:c r="H14" s="47"/>
      <x:c r="I14" s="47"/>
      <x:c r="J14" s="47"/>
      <x:c r="K14" s="47"/>
      <x:c r="L14" s="47"/>
      <x:c r="M14" s="47"/>
      <x:c r="N14" s="47"/>
      <x:c r="O14" s="47"/>
      <x:c r="P14" s="47"/>
      <x:c r="Q14" s="47"/>
      <x:c r="R14" s="47"/>
      <x:c r="S14" s="47"/>
      <x:c r="T14" s="47"/>
      <x:c r="U14" s="47"/>
      <x:c r="V14" s="47"/>
      <x:c r="W14" s="47"/>
      <x:c r="X14" s="47"/>
      <x:c r="Y14" s="47"/>
      <x:c r="Z14" s="47"/>
    </x:row>
    <x:row r="15">
      <x:c r="A15" s="50" t="str">
        <x:v>Task assurance loop</x:v>
      </x:c>
      <x:c r="B15" s="50" t="str">
        <x:v>Task contract, activity episodes, artefacts</x:v>
      </x:c>
      <x:c r="C15" s="50" t="str">
        <x:v>Assess task alignment, progress, quality and completion</x:v>
      </x:c>
      <x:c r="D15" s="50" t="str">
        <x:v>Lead/reviewer decides status</x:v>
      </x:c>
      <x:c r="E15" s="50" t="str">
        <x:v>Evidence-backed task report</x:v>
      </x:c>
      <x:c r="F15" s="47"/>
      <x:c r="G15" s="47"/>
      <x:c r="H15" s="47"/>
      <x:c r="I15" s="47"/>
      <x:c r="J15" s="47"/>
      <x:c r="K15" s="47"/>
      <x:c r="L15" s="47"/>
      <x:c r="M15" s="47"/>
      <x:c r="N15" s="47"/>
      <x:c r="O15" s="47"/>
      <x:c r="P15" s="47"/>
      <x:c r="Q15" s="47"/>
      <x:c r="R15" s="47"/>
      <x:c r="S15" s="47"/>
      <x:c r="T15" s="47"/>
      <x:c r="U15" s="47"/>
      <x:c r="V15" s="47"/>
      <x:c r="W15" s="47"/>
      <x:c r="X15" s="47"/>
      <x:c r="Y15" s="47"/>
      <x:c r="Z15" s="47"/>
    </x:row>
    <x:row r="16">
      <x:c r="A16" s="50" t="str">
        <x:v>Organisational learning loop</x:v>
      </x:c>
      <x:c r="B16" s="50" t="str">
        <x:v>Repeated successful work patterns</x:v>
      </x:c>
      <x:c r="C16" s="50" t="str">
        <x:v>Propose playbooks/templates/workflows</x:v>
      </x:c>
      <x:c r="D16" s="50" t="str">
        <x:v>Domain expert approves</x:v>
      </x:c>
      <x:c r="E16" s="50" t="str">
        <x:v>HumanOS workflow / standard method</x:v>
      </x:c>
      <x:c r="F16" s="47"/>
      <x:c r="G16" s="47"/>
      <x:c r="H16" s="47"/>
      <x:c r="I16" s="47"/>
      <x:c r="J16" s="47"/>
      <x:c r="K16" s="47"/>
      <x:c r="L16" s="47"/>
      <x:c r="M16" s="47"/>
      <x:c r="N16" s="47"/>
      <x:c r="O16" s="47"/>
      <x:c r="P16" s="47"/>
      <x:c r="Q16" s="47"/>
      <x:c r="R16" s="47"/>
      <x:c r="S16" s="47"/>
      <x:c r="T16" s="47"/>
      <x:c r="U16" s="47"/>
      <x:c r="V16" s="47"/>
      <x:c r="W16" s="47"/>
      <x:c r="X16" s="47"/>
      <x:c r="Y16" s="47"/>
      <x:c r="Z16" s="47"/>
    </x:row>
    <x:row r="17">
      <x:c r="A17" s="50" t="str">
        <x:v>Skill Forge loop</x:v>
      </x:c>
      <x:c r="B17" s="50" t="str">
        <x:v>User correction, evaluator failure, new research</x:v>
      </x:c>
      <x:c r="C17" s="50" t="str">
        <x:v>Propose skill/plugin/evaluator update</x:v>
      </x:c>
      <x:c r="D17" s="50" t="str">
        <x:v>Skill reviewer, tests, canary, rollback</x:v>
      </x:c>
      <x:c r="E17" s="50" t="str">
        <x:v>Versioned HumanOS skill</x:v>
      </x:c>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ht="32" customHeight="1">
      <x:c r="A20" s="49" t="str">
        <x:v>Evaluator</x:v>
      </x:c>
      <x:c r="B20" s="49" t="str">
        <x:v>Purpose</x:v>
      </x:c>
      <x:c r="C20" s="49" t="str">
        <x:v>Runtime</x:v>
      </x:c>
      <x:c r="D20" s="49" t="str">
        <x:v>Inputs</x:v>
      </x:c>
      <x:c r="E20" s="49" t="str">
        <x:v>Outputs</x:v>
      </x:c>
      <x:c r="F20" s="49" t="str">
        <x:v>MVP</x:v>
      </x:c>
      <x:c r="G20" s="47"/>
      <x:c r="H20" s="47"/>
      <x:c r="I20" s="47"/>
      <x:c r="J20" s="47"/>
      <x:c r="K20" s="47"/>
      <x:c r="L20" s="47"/>
      <x:c r="M20" s="47"/>
      <x:c r="N20" s="47"/>
      <x:c r="O20" s="47"/>
      <x:c r="P20" s="47"/>
      <x:c r="Q20" s="47"/>
      <x:c r="R20" s="47"/>
      <x:c r="S20" s="47"/>
      <x:c r="T20" s="47"/>
      <x:c r="U20" s="47"/>
      <x:c r="V20" s="47"/>
      <x:c r="W20" s="47"/>
      <x:c r="X20" s="47"/>
      <x:c r="Y20" s="47"/>
      <x:c r="Z20" s="47"/>
    </x:row>
    <x:row r="21">
      <x:c r="A21" s="50" t="str">
        <x:v>Task alignment classifier</x:v>
      </x:c>
      <x:c r="B21" s="50" t="str">
        <x:v>Classify episode relative to assigned task.</x:v>
      </x:c>
      <x:c r="C21" s="50" t="str">
        <x:v>Python</x:v>
      </x:c>
      <x:c r="D21" s="50" t="str">
        <x:v>Episode, task contract, app context, artefacts</x:v>
      </x:c>
      <x:c r="E21" s="50" t="str">
        <x:v>classification + confidence + evidence refs</x:v>
      </x:c>
      <x:c r="F21" s="50" t="str">
        <x:v>Yes</x:v>
      </x:c>
      <x:c r="G21" s="47"/>
      <x:c r="H21" s="47"/>
      <x:c r="I21" s="47"/>
      <x:c r="J21" s="47"/>
      <x:c r="K21" s="47"/>
      <x:c r="L21" s="47"/>
      <x:c r="M21" s="47"/>
      <x:c r="N21" s="47"/>
      <x:c r="O21" s="47"/>
      <x:c r="P21" s="47"/>
      <x:c r="Q21" s="47"/>
      <x:c r="R21" s="47"/>
      <x:c r="S21" s="47"/>
      <x:c r="T21" s="47"/>
      <x:c r="U21" s="47"/>
      <x:c r="V21" s="47"/>
      <x:c r="W21" s="47"/>
      <x:c r="X21" s="47"/>
      <x:c r="Y21" s="47"/>
      <x:c r="Z21" s="47"/>
    </x:row>
    <x:row r="22">
      <x:c r="A22" s="50" t="str">
        <x:v>Provenance classifier</x:v>
      </x:c>
      <x:c r="B22" s="50" t="str">
        <x:v>Classify human/AI/automation/system actor.</x:v>
      </x:c>
      <x:c r="C22" s="50" t="str">
        <x:v>Python + rules</x:v>
      </x:c>
      <x:c r="D22" s="50" t="str">
        <x:v>Input events, agent hooks, process tree, file deltas</x:v>
      </x:c>
      <x:c r="E22" s="50" t="str">
        <x:v>actor + confidence + causal edge</x:v>
      </x:c>
      <x:c r="F22" s="50" t="str">
        <x:v>Yes</x:v>
      </x:c>
      <x:c r="G22" s="47"/>
      <x:c r="H22" s="47"/>
      <x:c r="I22" s="47"/>
      <x:c r="J22" s="47"/>
      <x:c r="K22" s="47"/>
      <x:c r="L22" s="47"/>
      <x:c r="M22" s="47"/>
      <x:c r="N22" s="47"/>
      <x:c r="O22" s="47"/>
      <x:c r="P22" s="47"/>
      <x:c r="Q22" s="47"/>
      <x:c r="R22" s="47"/>
      <x:c r="S22" s="47"/>
      <x:c r="T22" s="47"/>
      <x:c r="U22" s="47"/>
      <x:c r="V22" s="47"/>
      <x:c r="W22" s="47"/>
      <x:c r="X22" s="47"/>
      <x:c r="Y22" s="47"/>
      <x:c r="Z22" s="47"/>
    </x:row>
    <x:row r="23">
      <x:c r="A23" s="50" t="str">
        <x:v>Acceptance criteria verifier</x:v>
      </x:c>
      <x:c r="B23" s="50" t="str">
        <x:v>Determine criterion status and missing evidence.</x:v>
      </x:c>
      <x:c r="C23" s="50" t="str">
        <x:v>Python + deterministic validators</x:v>
      </x:c>
      <x:c r="D23" s="50" t="str">
        <x:v>Task contract, artefacts, tests, screenshots, reports</x:v>
      </x:c>
      <x:c r="E23" s="50" t="str">
        <x:v>met/partial/missing + evidence</x:v>
      </x:c>
      <x:c r="F23" s="50" t="str">
        <x:v>Yes</x:v>
      </x:c>
      <x:c r="G23" s="47"/>
      <x:c r="H23" s="47"/>
      <x:c r="I23" s="47"/>
      <x:c r="J23" s="47"/>
      <x:c r="K23" s="47"/>
      <x:c r="L23" s="47"/>
      <x:c r="M23" s="47"/>
      <x:c r="N23" s="47"/>
      <x:c r="O23" s="47"/>
      <x:c r="P23" s="47"/>
      <x:c r="Q23" s="47"/>
      <x:c r="R23" s="47"/>
      <x:c r="S23" s="47"/>
      <x:c r="T23" s="47"/>
      <x:c r="U23" s="47"/>
      <x:c r="V23" s="47"/>
      <x:c r="W23" s="47"/>
      <x:c r="X23" s="47"/>
      <x:c r="Y23" s="47"/>
      <x:c r="Z23" s="47"/>
    </x:row>
    <x:row r="24">
      <x:c r="A24" s="50" t="str">
        <x:v>Capability updater</x:v>
      </x:c>
      <x:c r="B24" s="50" t="str">
        <x:v>Update capability confidence and level from evidence.</x:v>
      </x:c>
      <x:c r="C24" s="50" t="str">
        <x:v>Python scoring + Java persistence</x:v>
      </x:c>
      <x:c r="D24" s="50" t="str">
        <x:v>Task assessment, difficulty, independence, guidance</x:v>
      </x:c>
      <x:c r="E24" s="50" t="str">
        <x:v>capability signal + level update proposal</x:v>
      </x:c>
      <x:c r="F24" s="50" t="str">
        <x:v>Yes</x:v>
      </x:c>
      <x:c r="G24" s="47"/>
      <x:c r="H24" s="47"/>
      <x:c r="I24" s="47"/>
      <x:c r="J24" s="47"/>
      <x:c r="K24" s="47"/>
      <x:c r="L24" s="47"/>
      <x:c r="M24" s="47"/>
      <x:c r="N24" s="47"/>
      <x:c r="O24" s="47"/>
      <x:c r="P24" s="47"/>
      <x:c r="Q24" s="47"/>
      <x:c r="R24" s="47"/>
      <x:c r="S24" s="47"/>
      <x:c r="T24" s="47"/>
      <x:c r="U24" s="47"/>
      <x:c r="V24" s="47"/>
      <x:c r="W24" s="47"/>
      <x:c r="X24" s="47"/>
      <x:c r="Y24" s="47"/>
      <x:c r="Z24" s="47"/>
    </x:row>
    <x:row r="25">
      <x:c r="A25" s="50" t="str">
        <x:v>Coaching selector</x:v>
      </x:c>
      <x:c r="B25" s="50" t="str">
        <x:v>Choose whether/how to intervene.</x:v>
      </x:c>
      <x:c r="C25" s="50" t="str">
        <x:v>Python</x:v>
      </x:c>
      <x:c r="D25" s="50" t="str">
        <x:v>Risk, confidence, history, user preferences</x:v>
      </x:c>
      <x:c r="E25" s="50" t="str">
        <x:v>nudge/assist/teach/escalate/observe</x:v>
      </x:c>
      <x:c r="F25" s="50" t="str">
        <x:v>Yes</x:v>
      </x:c>
      <x:c r="G25" s="47"/>
      <x:c r="H25" s="47"/>
      <x:c r="I25" s="47"/>
      <x:c r="J25" s="47"/>
      <x:c r="K25" s="47"/>
      <x:c r="L25" s="47"/>
      <x:c r="M25" s="47"/>
      <x:c r="N25" s="47"/>
      <x:c r="O25" s="47"/>
      <x:c r="P25" s="47"/>
      <x:c r="Q25" s="47"/>
      <x:c r="R25" s="47"/>
      <x:c r="S25" s="47"/>
      <x:c r="T25" s="47"/>
      <x:c r="U25" s="47"/>
      <x:c r="V25" s="47"/>
      <x:c r="W25" s="47"/>
      <x:c r="X25" s="47"/>
      <x:c r="Y25" s="47"/>
      <x:c r="Z25" s="47"/>
    </x:row>
    <x:row r="26">
      <x:c r="A26" s="50" t="str">
        <x:v>Skill improvement evaluator</x:v>
      </x:c>
      <x:c r="B26" s="50" t="str">
        <x:v>Test proposed skill/plugin changes.</x:v>
      </x:c>
      <x:c r="C26" s="50" t="str">
        <x:v>Python</x:v>
      </x:c>
      <x:c r="D26" s="50" t="str">
        <x:v>Observation, skill diff, test corpus, policy constraints</x:v>
      </x:c>
      <x:c r="E26" s="50" t="str">
        <x:v>pass/fail/regression/risk report</x:v>
      </x:c>
      <x:c r="F26" s="50" t="str">
        <x:v>Later</x:v>
      </x:c>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pageMargins left="0.7" right="0.7" top="0.75" bottom="0.75" header="0.3" footer="0.3"/>
  <x:tableParts count="3">
    <x:tablePart xmlns:r="http://schemas.openxmlformats.org/officeDocument/2006/relationships" r:id="Ra228e9e9aab44ef2"/>
    <x:tablePart xmlns:r="http://schemas.openxmlformats.org/officeDocument/2006/relationships" r:id="R2b4644048cc740c8"/>
    <x:tablePart xmlns:r="http://schemas.openxmlformats.org/officeDocument/2006/relationships" r:id="Rfc652d63b4c94622"/>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56" hidden="0" customWidth="1"/>
    <x:col min="4" max="4" width="52" hidden="0" customWidth="1"/>
    <x:col min="5" max="5" width="24" hidden="0" customWidth="1"/>
    <x:col min="6" max="6" width="15" hidden="0" customWidth="1"/>
    <x:col min="7" max="7" width="36" hidden="0" customWidth="1"/>
    <x:col min="8" max="8" width="18" hidden="0" customWidth="1"/>
    <x:col min="9" max="9" width="36" hidden="0" customWidth="1"/>
    <x:col min="10" max="10" width="34" hidden="0" customWidth="1"/>
  </x:cols>
  <x:sheetData>
    <x:row r="1" ht="30" customHeight="1">
      <x:c r="A1" s="161" t="str">
        <x:v>Governance and Compliance Control Baseline</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Minimum Stage 0 controls. This workbook defines the requirements; legal, DPO, security, HR and worker-consultation approvals remain necessary before an employee pilot.</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Control ID</x:v>
      </x:c>
      <x:c r="B4" s="170" t="str">
        <x:v>Control area</x:v>
      </x:c>
      <x:c r="C4" s="170" t="str">
        <x:v>Mandatory requirement</x:v>
      </x:c>
      <x:c r="D4" s="170" t="str">
        <x:v>Implementation direction</x:v>
      </x:c>
      <x:c r="E4" s="170" t="str">
        <x:v>Accountable owner</x:v>
      </x:c>
      <x:c r="F4" s="170" t="str">
        <x:v>Pilot blocking</x:v>
      </x:c>
      <x:c r="G4" s="170" t="str">
        <x:v>Required evidence</x:v>
      </x:c>
      <x:c r="H4" s="170" t="str">
        <x:v>Control status</x:v>
      </x:c>
      <x:c r="I4" s="170" t="str">
        <x:v>Primary risk reduced</x:v>
      </x:c>
      <x:c r="J4" s="175" t="str">
        <x:v>Source / note</x:v>
      </x:c>
      <x:c r="K4" s="47"/>
      <x:c r="L4" s="47"/>
      <x:c r="M4" s="47"/>
      <x:c r="N4" s="47"/>
      <x:c r="O4" s="47"/>
      <x:c r="P4" s="47"/>
      <x:c r="Q4" s="47"/>
      <x:c r="R4" s="47"/>
      <x:c r="S4" s="47"/>
      <x:c r="T4" s="47"/>
      <x:c r="U4" s="47"/>
      <x:c r="V4" s="47"/>
      <x:c r="W4" s="47"/>
      <x:c r="X4" s="47"/>
      <x:c r="Y4" s="47"/>
      <x:c r="Z4" s="47"/>
    </x:row>
    <x:row r="5">
      <x:c r="A5" s="197" t="str">
        <x:v>GOV-001</x:v>
      </x:c>
      <x:c r="B5" s="198" t="str">
        <x:v>Purpose and necessity</x:v>
      </x:c>
      <x:c r="C5" s="198" t="str">
        <x:v>Every collected or derived data category has a specific approved purpose, necessity analysis and less-intrusive alternative assessment.</x:v>
      </x:c>
      <x:c r="D5" s="198" t="str">
        <x:v>Purpose Policy Matrix, policy identifiers in events, periodic DPO review.</x:v>
      </x:c>
      <x:c r="E5" s="198" t="str">
        <x:v>DPO / Product</x:v>
      </x:c>
      <x:c r="F5" s="198" t="str">
        <x:v>Yes</x:v>
      </x:c>
      <x:c r="G5" s="198" t="str">
        <x:v>Approved matrix and DPIA.</x:v>
      </x:c>
      <x:c r="H5" s="198" t="str">
        <x:v>Draft Ready</x:v>
      </x:c>
      <x:c r="I5" s="198" t="str">
        <x:v>Excessive or repurposed surveillance.</x:v>
      </x:c>
      <x:c r="J5" s="220" t="str">
        <x:v>ICO monitoring guidance.</x:v>
      </x:c>
      <x:c r="K5" s="47"/>
      <x:c r="L5" s="47"/>
      <x:c r="M5" s="47"/>
      <x:c r="N5" s="47"/>
      <x:c r="O5" s="47"/>
      <x:c r="P5" s="47"/>
      <x:c r="Q5" s="47"/>
      <x:c r="R5" s="47"/>
      <x:c r="S5" s="47"/>
      <x:c r="T5" s="47"/>
      <x:c r="U5" s="47"/>
      <x:c r="V5" s="47"/>
      <x:c r="W5" s="47"/>
      <x:c r="X5" s="47"/>
      <x:c r="Y5" s="47"/>
      <x:c r="Z5" s="47"/>
    </x:row>
    <x:row r="6">
      <x:c r="A6" s="205" t="str">
        <x:v>GOV-002</x:v>
      </x:c>
      <x:c r="B6" s="206" t="str">
        <x:v>Transparency</x:v>
      </x:c>
      <x:c r="C6" s="206" t="str">
        <x:v>Workers understand what is captured, when, why, who can see it, retention, automated analysis and rights.</x:v>
      </x:c>
      <x:c r="D6" s="206" t="str">
        <x:v>Clear privacy notice, monitoring policy, onboarding, visible endpoint status and policy version.</x:v>
      </x:c>
      <x:c r="E6" s="206" t="str">
        <x:v>DPO / HR / Legal</x:v>
      </x:c>
      <x:c r="F6" s="206" t="str">
        <x:v>Yes</x:v>
      </x:c>
      <x:c r="G6" s="206" t="str">
        <x:v>Approved notice/policy and acknowledgement record.</x:v>
      </x:c>
      <x:c r="H6" s="206" t="str">
        <x:v>Draft Ready</x:v>
      </x:c>
      <x:c r="I6" s="206" t="str">
        <x:v>Unfair/opaque processing and trust failure.</x:v>
      </x:c>
      <x:c r="J6" s="207" t="str">
        <x:v>GOV.UK / ICO.</x:v>
      </x:c>
      <x:c r="K6" s="47"/>
      <x:c r="L6" s="47"/>
      <x:c r="M6" s="47"/>
      <x:c r="N6" s="47"/>
      <x:c r="O6" s="47"/>
      <x:c r="P6" s="47"/>
      <x:c r="Q6" s="47"/>
      <x:c r="R6" s="47"/>
      <x:c r="S6" s="47"/>
      <x:c r="T6" s="47"/>
      <x:c r="U6" s="47"/>
      <x:c r="V6" s="47"/>
      <x:c r="W6" s="47"/>
      <x:c r="X6" s="47"/>
      <x:c r="Y6" s="47"/>
      <x:c r="Z6" s="47"/>
    </x:row>
    <x:row r="7">
      <x:c r="A7" s="199" t="str">
        <x:v>GOV-003</x:v>
      </x:c>
      <x:c r="B7" s="200" t="str">
        <x:v>Worker consultation</x:v>
      </x:c>
      <x:c r="C7" s="200" t="str">
        <x:v>Affected workers or representatives are consulted before design is frozen and before material policy changes.</x:v>
      </x:c>
      <x:c r="D7" s="200" t="str">
        <x:v>Consultation plan, facilitated sessions, issue log, Nessovo response and change record.</x:v>
      </x:c>
      <x:c r="E7" s="200" t="str">
        <x:v>HR / DPO</x:v>
      </x:c>
      <x:c r="F7" s="200" t="str">
        <x:v>Yes</x:v>
      </x:c>
      <x:c r="G7" s="200" t="str">
        <x:v>Consultation record.</x:v>
      </x:c>
      <x:c r="H7" s="200" t="str">
        <x:v>Not Started</x:v>
      </x:c>
      <x:c r="I7" s="200" t="str">
        <x:v>Lack of worker voice and undiscovered harms.</x:v>
      </x:c>
      <x:c r="J7" s="201" t="str">
        <x:v>ICO and UK consultation direction.</x:v>
      </x:c>
      <x:c r="K7" s="47"/>
      <x:c r="L7" s="47"/>
      <x:c r="M7" s="47"/>
      <x:c r="N7" s="47"/>
      <x:c r="O7" s="47"/>
      <x:c r="P7" s="47"/>
      <x:c r="Q7" s="47"/>
      <x:c r="R7" s="47"/>
      <x:c r="S7" s="47"/>
      <x:c r="T7" s="47"/>
      <x:c r="U7" s="47"/>
      <x:c r="V7" s="47"/>
      <x:c r="W7" s="47"/>
      <x:c r="X7" s="47"/>
      <x:c r="Y7" s="47"/>
      <x:c r="Z7" s="47"/>
    </x:row>
    <x:row r="8">
      <x:c r="A8" s="205" t="str">
        <x:v>GOV-004</x:v>
      </x:c>
      <x:c r="B8" s="206" t="str">
        <x:v>DPIA</x:v>
      </x:c>
      <x:c r="C8" s="206" t="str">
        <x:v>High-risk monitoring and employment AI receive a completed DPIA and recorded DPO advice before pilot.</x:v>
      </x:c>
      <x:c r="D8" s="206" t="str">
        <x:v>Governance workflow, risk register, mitigation owners, residual-risk acceptance and review date.</x:v>
      </x:c>
      <x:c r="E8" s="206" t="str">
        <x:v>DPO</x:v>
      </x:c>
      <x:c r="F8" s="206" t="str">
        <x:v>Yes</x:v>
      </x:c>
      <x:c r="G8" s="206" t="str">
        <x:v>Completed DPIA and advice.</x:v>
      </x:c>
      <x:c r="H8" s="206" t="str">
        <x:v>Not Started</x:v>
      </x:c>
      <x:c r="I8" s="206" t="str">
        <x:v>Regulatory and employee harm.</x:v>
      </x:c>
      <x:c r="J8" s="207" t="str">
        <x:v>ICO.</x:v>
      </x:c>
      <x:c r="K8" s="47"/>
      <x:c r="L8" s="47"/>
      <x:c r="M8" s="47"/>
      <x:c r="N8" s="47"/>
      <x:c r="O8" s="47"/>
      <x:c r="P8" s="47"/>
      <x:c r="Q8" s="47"/>
      <x:c r="R8" s="47"/>
      <x:c r="S8" s="47"/>
      <x:c r="T8" s="47"/>
      <x:c r="U8" s="47"/>
      <x:c r="V8" s="47"/>
      <x:c r="W8" s="47"/>
      <x:c r="X8" s="47"/>
      <x:c r="Y8" s="47"/>
      <x:c r="Z8" s="47"/>
    </x:row>
    <x:row r="9">
      <x:c r="A9" s="199" t="str">
        <x:v>GOV-005</x:v>
      </x:c>
      <x:c r="B9" s="200" t="str">
        <x:v>Jurisdiction review</x:v>
      </x:c>
      <x:c r="C9" s="200" t="str">
        <x:v>UK and Pakistan/Lahore deployments have separate legal and employment assessments; EU customer deployment receives AI Act/GDPR analysis.</x:v>
      </x:c>
      <x:c r="D9" s="200" t="str">
        <x:v>Jurisdiction policy packs, data-flow maps, contractual safeguards and deployment flags.</x:v>
      </x:c>
      <x:c r="E9" s="200" t="str">
        <x:v>Legal / DPO</x:v>
      </x:c>
      <x:c r="F9" s="200" t="str">
        <x:v>Yes</x:v>
      </x:c>
      <x:c r="G9" s="200" t="str">
        <x:v>Legal memoranda and approved policy packs.</x:v>
      </x:c>
      <x:c r="H9" s="200" t="str">
        <x:v>Owner Input</x:v>
      </x:c>
      <x:c r="I9" s="200" t="str">
        <x:v>Cross-border and local-law non-compliance.</x:v>
      </x:c>
      <x:c r="J9" s="201" t="str">
        <x:v>Local counsel required.</x:v>
      </x:c>
      <x:c r="K9" s="47"/>
      <x:c r="L9" s="47"/>
      <x:c r="M9" s="47"/>
      <x:c r="N9" s="47"/>
      <x:c r="O9" s="47"/>
      <x:c r="P9" s="47"/>
      <x:c r="Q9" s="47"/>
      <x:c r="R9" s="47"/>
      <x:c r="S9" s="47"/>
      <x:c r="T9" s="47"/>
      <x:c r="U9" s="47"/>
      <x:c r="V9" s="47"/>
      <x:c r="W9" s="47"/>
      <x:c r="X9" s="47"/>
      <x:c r="Y9" s="47"/>
      <x:c r="Z9" s="47"/>
    </x:row>
    <x:row r="10">
      <x:c r="A10" s="205" t="str">
        <x:v>GOV-006</x:v>
      </x:c>
      <x:c r="B10" s="206" t="str">
        <x:v>No covert general monitoring</x:v>
      </x:c>
      <x:c r="C10" s="206" t="str">
        <x:v>The product has no routine hidden mode; any exceptional investigation is separate, specific, time-limited and legally authorised.</x:v>
      </x:c>
      <x:c r="D10" s="206" t="str">
        <x:v>Visible status, signed policy, restricted investigation workflow outside normal product operation.</x:v>
      </x:c>
      <x:c r="E10" s="206" t="str">
        <x:v>Legal / DPO / CISO</x:v>
      </x:c>
      <x:c r="F10" s="206" t="str">
        <x:v>Yes</x:v>
      </x:c>
      <x:c r="G10" s="206" t="str">
        <x:v>Product test and policy approval.</x:v>
      </x:c>
      <x:c r="H10" s="206" t="str">
        <x:v>Draft Ready</x:v>
      </x:c>
      <x:c r="I10" s="206" t="str">
        <x:v>Unlawful covert surveillance.</x:v>
      </x:c>
      <x:c r="J10" s="207" t="str">
        <x:v>GOV.UK.</x:v>
      </x:c>
      <x:c r="K10" s="47"/>
      <x:c r="L10" s="47"/>
      <x:c r="M10" s="47"/>
      <x:c r="N10" s="47"/>
      <x:c r="O10" s="47"/>
      <x:c r="P10" s="47"/>
      <x:c r="Q10" s="47"/>
      <x:c r="R10" s="47"/>
      <x:c r="S10" s="47"/>
      <x:c r="T10" s="47"/>
      <x:c r="U10" s="47"/>
      <x:c r="V10" s="47"/>
      <x:c r="W10" s="47"/>
      <x:c r="X10" s="47"/>
      <x:c r="Y10" s="47"/>
      <x:c r="Z10" s="47"/>
    </x:row>
    <x:row r="11">
      <x:c r="A11" s="199" t="str">
        <x:v>GOV-007</x:v>
      </x:c>
      <x:c r="B11" s="200" t="str">
        <x:v>Secure-field and secret blocking</x:v>
      </x:c>
      <x:c r="C11" s="200" t="str">
        <x:v>Passwords, authentication codes, known secure fields and detected secrets are suppressed before durable storage or upload.</x:v>
      </x:c>
      <x:c r="D11" s="200" t="str">
        <x:v>OS secure-control detection, local secret scanning/redaction, exclusion policy, zero-retention suppression event.</x:v>
      </x:c>
      <x:c r="E11" s="200" t="str">
        <x:v>CISO / Desktop</x:v>
      </x:c>
      <x:c r="F11" s="200" t="str">
        <x:v>Yes</x:v>
      </x:c>
      <x:c r="G11" s="200" t="str">
        <x:v>Adversarial leakage test with zero known-secret retention.</x:v>
      </x:c>
      <x:c r="H11" s="200" t="str">
        <x:v>Draft Ready</x:v>
      </x:c>
      <x:c r="I11" s="200" t="str">
        <x:v>Credential/IP/data breach.</x:v>
      </x:c>
      <x:c r="J11" s="201" t="str">
        <x:v>Privacy engineering requirement.</x:v>
      </x:c>
      <x:c r="K11" s="47"/>
      <x:c r="L11" s="47"/>
      <x:c r="M11" s="47"/>
      <x:c r="N11" s="47"/>
      <x:c r="O11" s="47"/>
      <x:c r="P11" s="47"/>
      <x:c r="Q11" s="47"/>
      <x:c r="R11" s="47"/>
      <x:c r="S11" s="47"/>
      <x:c r="T11" s="47"/>
      <x:c r="U11" s="47"/>
      <x:c r="V11" s="47"/>
      <x:c r="W11" s="47"/>
      <x:c r="X11" s="47"/>
      <x:c r="Y11" s="47"/>
      <x:c r="Z11" s="47"/>
    </x:row>
    <x:row r="12">
      <x:c r="A12" s="205" t="str">
        <x:v>GOV-008</x:v>
      </x:c>
      <x:c r="B12" s="206" t="str">
        <x:v>Application/domain/hour exclusions</x:v>
      </x:c>
      <x:c r="C12" s="206" t="str">
        <x:v>Personal/sensitive apps, domains, monitors and out-of-policy hours cannot be captured.</x:v>
      </x:c>
      <x:c r="D12" s="206" t="str">
        <x:v>Signed local policy, employee-visible exclusions, fail-safe behaviour and audit.</x:v>
      </x:c>
      <x:c r="E12" s="206" t="str">
        <x:v>DPO / HR / Security</x:v>
      </x:c>
      <x:c r="F12" s="206" t="str">
        <x:v>Yes</x:v>
      </x:c>
      <x:c r="G12" s="206" t="str">
        <x:v>Policy tests and endpoint audit.</x:v>
      </x:c>
      <x:c r="H12" s="206" t="str">
        <x:v>Draft Ready</x:v>
      </x:c>
      <x:c r="I12" s="206" t="str">
        <x:v>Private-life and special-category exposure.</x:v>
      </x:c>
      <x:c r="J12" s="207" t="str">
        <x:v>Purpose Policy Matrix.</x:v>
      </x:c>
      <x:c r="K12" s="47"/>
      <x:c r="L12" s="47"/>
      <x:c r="M12" s="47"/>
      <x:c r="N12" s="47"/>
      <x:c r="O12" s="47"/>
      <x:c r="P12" s="47"/>
      <x:c r="Q12" s="47"/>
      <x:c r="R12" s="47"/>
      <x:c r="S12" s="47"/>
      <x:c r="T12" s="47"/>
      <x:c r="U12" s="47"/>
      <x:c r="V12" s="47"/>
      <x:c r="W12" s="47"/>
      <x:c r="X12" s="47"/>
      <x:c r="Y12" s="47"/>
      <x:c r="Z12" s="47"/>
    </x:row>
    <x:row r="13">
      <x:c r="A13" s="199" t="str">
        <x:v>GOV-009</x:v>
      </x:c>
      <x:c r="B13" s="200" t="str">
        <x:v>Edge minimisation</x:v>
      </x:c>
      <x:c r="C13" s="200" t="str">
        <x:v>Deduplication, event-driven capture, changed regions, redaction and aggregation occur locally wherever feasible.</x:v>
      </x:c>
      <x:c r="D13" s="200" t="str">
        <x:v>Native agent pipeline and privacy budget.</x:v>
      </x:c>
      <x:c r="E13" s="200" t="str">
        <x:v>CISO / DPO / Desktop</x:v>
      </x:c>
      <x:c r="F13" s="200" t="str">
        <x:v>Yes</x:v>
      </x:c>
      <x:c r="G13" s="200" t="str">
        <x:v>Data-flow and benchmark evidence.</x:v>
      </x:c>
      <x:c r="H13" s="200" t="str">
        <x:v>Draft Ready</x:v>
      </x:c>
      <x:c r="I13" s="200" t="str">
        <x:v>Data concentration and cost.</x:v>
      </x:c>
      <x:c r="J13" s="201" t="str"/>
      <x:c r="K13" s="47"/>
      <x:c r="L13" s="47"/>
      <x:c r="M13" s="47"/>
      <x:c r="N13" s="47"/>
      <x:c r="O13" s="47"/>
      <x:c r="P13" s="47"/>
      <x:c r="Q13" s="47"/>
      <x:c r="R13" s="47"/>
      <x:c r="S13" s="47"/>
      <x:c r="T13" s="47"/>
      <x:c r="U13" s="47"/>
      <x:c r="V13" s="47"/>
      <x:c r="W13" s="47"/>
      <x:c r="X13" s="47"/>
      <x:c r="Y13" s="47"/>
      <x:c r="Z13" s="47"/>
    </x:row>
    <x:row r="14">
      <x:c r="A14" s="205" t="str">
        <x:v>GOV-010</x:v>
      </x:c>
      <x:c r="B14" s="206" t="str">
        <x:v>Raw evidence access</x:v>
      </x:c>
      <x:c r="C14" s="206" t="str">
        <x:v>Raw screenshots/text/keystrokes are not default manager content and require role, purpose, task, time and audit authorisation.</x:v>
      </x:c>
      <x:c r="D14" s="206" t="str">
        <x:v>Summary-first UX, purpose codes, ABAC/policy decisions, JIT access and immutable access log.</x:v>
      </x:c>
      <x:c r="E14" s="206" t="str">
        <x:v>Security / DPO / HR</x:v>
      </x:c>
      <x:c r="F14" s="206" t="str">
        <x:v>Yes</x:v>
      </x:c>
      <x:c r="G14" s="206" t="str">
        <x:v>Access-control tests and audit review.</x:v>
      </x:c>
      <x:c r="H14" s="206" t="str">
        <x:v>Draft Ready</x:v>
      </x:c>
      <x:c r="I14" s="206" t="str">
        <x:v>Manager/insider misuse.</x:v>
      </x:c>
      <x:c r="J14" s="207" t="str"/>
      <x:c r="K14" s="47"/>
      <x:c r="L14" s="47"/>
      <x:c r="M14" s="47"/>
      <x:c r="N14" s="47"/>
      <x:c r="O14" s="47"/>
      <x:c r="P14" s="47"/>
      <x:c r="Q14" s="47"/>
      <x:c r="R14" s="47"/>
      <x:c r="S14" s="47"/>
      <x:c r="T14" s="47"/>
      <x:c r="U14" s="47"/>
      <x:c r="V14" s="47"/>
      <x:c r="W14" s="47"/>
      <x:c r="X14" s="47"/>
      <x:c r="Y14" s="47"/>
      <x:c r="Z14" s="47"/>
    </x:row>
    <x:row r="15">
      <x:c r="A15" s="199" t="str">
        <x:v>GOV-011</x:v>
      </x:c>
      <x:c r="B15" s="200" t="str">
        <x:v>Employee access and correction</x:v>
      </x:c>
      <x:c r="C15" s="200" t="str">
        <x:v>Employees can view material evidence and assessments, correct task attribution/context and add explanations.</x:v>
      </x:c>
      <x:c r="D15" s="200" t="str">
        <x:v>Employee portal and correction workflow preserving original/corrected lineage.</x:v>
      </x:c>
      <x:c r="E15" s="200" t="str">
        <x:v>Product / DPO</x:v>
      </x:c>
      <x:c r="F15" s="200" t="str">
        <x:v>Yes</x:v>
      </x:c>
      <x:c r="G15" s="200" t="str">
        <x:v>UX test and correction audit.</x:v>
      </x:c>
      <x:c r="H15" s="200" t="str">
        <x:v>Draft Ready</x:v>
      </x:c>
      <x:c r="I15" s="200" t="str">
        <x:v>False or incomplete conclusions.</x:v>
      </x:c>
      <x:c r="J15" s="201" t="str">
        <x:v>ICO accuracy/challenge.</x:v>
      </x:c>
      <x:c r="K15" s="47"/>
      <x:c r="L15" s="47"/>
      <x:c r="M15" s="47"/>
      <x:c r="N15" s="47"/>
      <x:c r="O15" s="47"/>
      <x:c r="P15" s="47"/>
      <x:c r="Q15" s="47"/>
      <x:c r="R15" s="47"/>
      <x:c r="S15" s="47"/>
      <x:c r="T15" s="47"/>
      <x:c r="U15" s="47"/>
      <x:c r="V15" s="47"/>
      <x:c r="W15" s="47"/>
      <x:c r="X15" s="47"/>
      <x:c r="Y15" s="47"/>
      <x:c r="Z15" s="47"/>
    </x:row>
    <x:row r="16">
      <x:c r="A16" s="205" t="str">
        <x:v>GOV-012</x:v>
      </x:c>
      <x:c r="B16" s="206" t="str">
        <x:v>Dispute and human review</x:v>
      </x:c>
      <x:c r="C16" s="206" t="str">
        <x:v>Employees can request review; qualified reviewers consider context and can reject AI findings.</x:v>
      </x:c>
      <x:c r="D16" s="206" t="str">
        <x:v>Workflow SLA, reviewer qualifications, evidence package, reasoned decision and override logging.</x:v>
      </x:c>
      <x:c r="E16" s="206" t="str">
        <x:v>HR / Legal / DPO</x:v>
      </x:c>
      <x:c r="F16" s="206" t="str">
        <x:v>Yes</x:v>
      </x:c>
      <x:c r="G16" s="206" t="str">
        <x:v>End-to-end review test.</x:v>
      </x:c>
      <x:c r="H16" s="206" t="str">
        <x:v>Draft Ready</x:v>
      </x:c>
      <x:c r="I16" s="206" t="str">
        <x:v>Rubber-stamped automated decisions.</x:v>
      </x:c>
      <x:c r="J16" s="207" t="str">
        <x:v>ICO human review.</x:v>
      </x:c>
      <x:c r="K16" s="47"/>
      <x:c r="L16" s="47"/>
      <x:c r="M16" s="47"/>
      <x:c r="N16" s="47"/>
      <x:c r="O16" s="47"/>
      <x:c r="P16" s="47"/>
      <x:c r="Q16" s="47"/>
      <x:c r="R16" s="47"/>
      <x:c r="S16" s="47"/>
      <x:c r="T16" s="47"/>
      <x:c r="U16" s="47"/>
      <x:c r="V16" s="47"/>
      <x:c r="W16" s="47"/>
      <x:c r="X16" s="47"/>
      <x:c r="Y16" s="47"/>
      <x:c r="Z16" s="47"/>
    </x:row>
    <x:row r="17">
      <x:c r="A17" s="199" t="str">
        <x:v>GOV-013</x:v>
      </x:c>
      <x:c r="B17" s="200" t="str">
        <x:v>Consequential decisions</x:v>
      </x:c>
      <x:c r="C17" s="200" t="str">
        <x:v>No solely automated dismissal, discipline, pay, promotion, probation or equivalent decision.</x:v>
      </x:c>
      <x:c r="D17" s="200" t="str">
        <x:v>Policy and workflow block final decision state without authorised human decision and supporting evidence.</x:v>
      </x:c>
      <x:c r="E17" s="200" t="str">
        <x:v>HR / Legal</x:v>
      </x:c>
      <x:c r="F17" s="200" t="str">
        <x:v>Yes</x:v>
      </x:c>
      <x:c r="G17" s="200" t="str">
        <x:v>Decision audit and policy test.</x:v>
      </x:c>
      <x:c r="H17" s="200" t="str">
        <x:v>Draft Ready</x:v>
      </x:c>
      <x:c r="I17" s="200" t="str">
        <x:v>Employment harm and automated-decision breach.</x:v>
      </x:c>
      <x:c r="J17" s="201" t="str"/>
      <x:c r="K17" s="47"/>
      <x:c r="L17" s="47"/>
      <x:c r="M17" s="47"/>
      <x:c r="N17" s="47"/>
      <x:c r="O17" s="47"/>
      <x:c r="P17" s="47"/>
      <x:c r="Q17" s="47"/>
      <x:c r="R17" s="47"/>
      <x:c r="S17" s="47"/>
      <x:c r="T17" s="47"/>
      <x:c r="U17" s="47"/>
      <x:c r="V17" s="47"/>
      <x:c r="W17" s="47"/>
      <x:c r="X17" s="47"/>
      <x:c r="Y17" s="47"/>
      <x:c r="Z17" s="47"/>
    </x:row>
    <x:row r="18">
      <x:c r="A18" s="205" t="str">
        <x:v>GOV-014</x:v>
      </x:c>
      <x:c r="B18" s="206" t="str">
        <x:v>Evidence hierarchy</x:v>
      </x:c>
      <x:c r="C18" s="206" t="str">
        <x:v>Authoritative system outcomes and artefacts outrank tool, OS, accessibility, visual and AI inference evidence.</x:v>
      </x:c>
      <x:c r="D18" s="206" t="str">
        <x:v>Typed evidence classes and evaluator rules.</x:v>
      </x:c>
      <x:c r="E18" s="206" t="str">
        <x:v>Product / Data / AI</x:v>
      </x:c>
      <x:c r="F18" s="206" t="str">
        <x:v>Yes</x:v>
      </x:c>
      <x:c r="G18" s="206" t="str">
        <x:v>Evaluation tests and report explainability.</x:v>
      </x:c>
      <x:c r="H18" s="206" t="str">
        <x:v>Draft Ready</x:v>
      </x:c>
      <x:c r="I18" s="206" t="str">
        <x:v>Screenshot/AI narrative overriding facts.</x:v>
      </x:c>
      <x:c r="J18" s="207" t="str"/>
      <x:c r="K18" s="47"/>
      <x:c r="L18" s="47"/>
      <x:c r="M18" s="47"/>
      <x:c r="N18" s="47"/>
      <x:c r="O18" s="47"/>
      <x:c r="P18" s="47"/>
      <x:c r="Q18" s="47"/>
      <x:c r="R18" s="47"/>
      <x:c r="S18" s="47"/>
      <x:c r="T18" s="47"/>
      <x:c r="U18" s="47"/>
      <x:c r="V18" s="47"/>
      <x:c r="W18" s="47"/>
      <x:c r="X18" s="47"/>
      <x:c r="Y18" s="47"/>
      <x:c r="Z18" s="47"/>
    </x:row>
    <x:row r="19">
      <x:c r="A19" s="199" t="str">
        <x:v>GOV-015</x:v>
      </x:c>
      <x:c r="B19" s="200" t="str">
        <x:v>Confidence and uncertainty</x:v>
      </x:c>
      <x:c r="C19" s="200" t="str">
        <x:v>Material AI findings include confidence, evidence, missing evidence, alternative explanation, model/skill version and review status.</x:v>
      </x:c>
      <x:c r="D19" s="200" t="str">
        <x:v>Evaluator output schema and report UI.</x:v>
      </x:c>
      <x:c r="E19" s="200" t="str">
        <x:v>AI Governance</x:v>
      </x:c>
      <x:c r="F19" s="200" t="str">
        <x:v>Yes</x:v>
      </x:c>
      <x:c r="G19" s="200" t="str">
        <x:v>Calibration/evidence-grounding test.</x:v>
      </x:c>
      <x:c r="H19" s="200" t="str">
        <x:v>Draft Ready</x:v>
      </x:c>
      <x:c r="I19" s="200" t="str">
        <x:v>Overconfident false allegation.</x:v>
      </x:c>
      <x:c r="J19" s="201" t="str">
        <x:v>NIST AI RMF.</x:v>
      </x:c>
      <x:c r="K19" s="47"/>
      <x:c r="L19" s="47"/>
      <x:c r="M19" s="47"/>
      <x:c r="N19" s="47"/>
      <x:c r="O19" s="47"/>
      <x:c r="P19" s="47"/>
      <x:c r="Q19" s="47"/>
      <x:c r="R19" s="47"/>
      <x:c r="S19" s="47"/>
      <x:c r="T19" s="47"/>
      <x:c r="U19" s="47"/>
      <x:c r="V19" s="47"/>
      <x:c r="W19" s="47"/>
      <x:c r="X19" s="47"/>
      <x:c r="Y19" s="47"/>
      <x:c r="Z19" s="47"/>
    </x:row>
    <x:row r="20">
      <x:c r="A20" s="205" t="str">
        <x:v>GOV-016</x:v>
      </x:c>
      <x:c r="B20" s="206" t="str">
        <x:v>Prohibited inference</x:v>
      </x:c>
      <x:c r="C20" s="206" t="str">
        <x:v>No emotion, personality, honesty, protected-trait, health or mental-state inference from computer activity.</x:v>
      </x:c>
      <x:c r="D20" s="206" t="str">
        <x:v>Model-policy deny list, prompt/evaluator tests and review.</x:v>
      </x:c>
      <x:c r="E20" s="206" t="str">
        <x:v>AI Governance / DPO</x:v>
      </x:c>
      <x:c r="F20" s="206" t="str">
        <x:v>Yes</x:v>
      </x:c>
      <x:c r="G20" s="206" t="str">
        <x:v>Prohibited-output red-team results.</x:v>
      </x:c>
      <x:c r="H20" s="206" t="str">
        <x:v>Draft Ready</x:v>
      </x:c>
      <x:c r="I20" s="206" t="str">
        <x:v>Discriminatory or unlawful inference.</x:v>
      </x:c>
      <x:c r="J20" s="207" t="str">
        <x:v>EU employment AI risk context.</x:v>
      </x:c>
      <x:c r="K20" s="47"/>
      <x:c r="L20" s="47"/>
      <x:c r="M20" s="47"/>
      <x:c r="N20" s="47"/>
      <x:c r="O20" s="47"/>
      <x:c r="P20" s="47"/>
      <x:c r="Q20" s="47"/>
      <x:c r="R20" s="47"/>
      <x:c r="S20" s="47"/>
      <x:c r="T20" s="47"/>
      <x:c r="U20" s="47"/>
      <x:c r="V20" s="47"/>
      <x:c r="W20" s="47"/>
      <x:c r="X20" s="47"/>
      <x:c r="Y20" s="47"/>
      <x:c r="Z20" s="47"/>
    </x:row>
    <x:row r="21">
      <x:c r="A21" s="199" t="str">
        <x:v>GOV-017</x:v>
      </x:c>
      <x:c r="B21" s="200" t="str">
        <x:v>Outcome over activity</x:v>
      </x:c>
      <x:c r="C21" s="200" t="str">
        <x:v>Clicks, keys, code volume and hours are not used as standalone productivity or capability scores.</x:v>
      </x:c>
      <x:c r="D21" s="200" t="str">
        <x:v>Metric-policy rules and report tests.</x:v>
      </x:c>
      <x:c r="E21" s="200" t="str">
        <x:v>Product / HR</x:v>
      </x:c>
      <x:c r="F21" s="200" t="str">
        <x:v>Yes</x:v>
      </x:c>
      <x:c r="G21" s="200" t="str">
        <x:v>KPI/report review.</x:v>
      </x:c>
      <x:c r="H21" s="200" t="str">
        <x:v>Draft Ready</x:v>
      </x:c>
      <x:c r="I21" s="200" t="str">
        <x:v>Gaming and unfair management.</x:v>
      </x:c>
      <x:c r="J21" s="201" t="str"/>
      <x:c r="K21" s="47"/>
      <x:c r="L21" s="47"/>
      <x:c r="M21" s="47"/>
      <x:c r="N21" s="47"/>
      <x:c r="O21" s="47"/>
      <x:c r="P21" s="47"/>
      <x:c r="Q21" s="47"/>
      <x:c r="R21" s="47"/>
      <x:c r="S21" s="47"/>
      <x:c r="T21" s="47"/>
      <x:c r="U21" s="47"/>
      <x:c r="V21" s="47"/>
      <x:c r="W21" s="47"/>
      <x:c r="X21" s="47"/>
      <x:c r="Y21" s="47"/>
      <x:c r="Z21" s="47"/>
    </x:row>
    <x:row r="22">
      <x:c r="A22" s="205" t="str">
        <x:v>GOV-018</x:v>
      </x:c>
      <x:c r="B22" s="206" t="str">
        <x:v>Capability evidence</x:v>
      </x:c>
      <x:c r="C22" s="206" t="str">
        <x:v>Capability levels require repeated, context-qualified evidence, independence and quality; one task cannot establish dishonesty or permanent incapability.</x:v>
      </x:c>
      <x:c r="D22" s="206" t="str">
        <x:v>Stage 2 ontology, evidence thresholds, contradiction/recency and human review.</x:v>
      </x:c>
      <x:c r="E22" s="206" t="str">
        <x:v>Capability Lead / HR</x:v>
      </x:c>
      <x:c r="F22" s="206" t="str">
        <x:v>Yes before capability pilot</x:v>
      </x:c>
      <x:c r="G22" s="206" t="str">
        <x:v>Ontology/evaluation/fairness tests.</x:v>
      </x:c>
      <x:c r="H22" s="206" t="str">
        <x:v>Draft Ready</x:v>
      </x:c>
      <x:c r="I22" s="206" t="str">
        <x:v>Career harm and deceptive labels.</x:v>
      </x:c>
      <x:c r="J22" s="207" t="str"/>
      <x:c r="K22" s="47"/>
      <x:c r="L22" s="47"/>
      <x:c r="M22" s="47"/>
      <x:c r="N22" s="47"/>
      <x:c r="O22" s="47"/>
      <x:c r="P22" s="47"/>
      <x:c r="Q22" s="47"/>
      <x:c r="R22" s="47"/>
      <x:c r="S22" s="47"/>
      <x:c r="T22" s="47"/>
      <x:c r="U22" s="47"/>
      <x:c r="V22" s="47"/>
      <x:c r="W22" s="47"/>
      <x:c r="X22" s="47"/>
      <x:c r="Y22" s="47"/>
      <x:c r="Z22" s="47"/>
    </x:row>
    <x:row r="23">
      <x:c r="A23" s="199" t="str">
        <x:v>GOV-019</x:v>
      </x:c>
      <x:c r="B23" s="200" t="str">
        <x:v>Training use</x:v>
      </x:c>
      <x:c r="C23" s="200" t="str">
        <x:v>Detected gaps first support explanation, coaching, training and reassessment; training completion alone does not increase capability.</x:v>
      </x:c>
      <x:c r="D23" s="200" t="str">
        <x:v>Learning workflow and applied-evidence rule.</x:v>
      </x:c>
      <x:c r="E23" s="200" t="str">
        <x:v>HR / L&amp;D / Product</x:v>
      </x:c>
      <x:c r="F23" s="200" t="str">
        <x:v>No for capture pilot; yes for capability use</x:v>
      </x:c>
      <x:c r="G23" s="200" t="str">
        <x:v>Learning effectiveness design.</x:v>
      </x:c>
      <x:c r="H23" s="200" t="str">
        <x:v>Draft Ready</x:v>
      </x:c>
      <x:c r="I23" s="200" t="str">
        <x:v>Punitive or performative learning.</x:v>
      </x:c>
      <x:c r="J23" s="201" t="str"/>
      <x:c r="K23" s="47"/>
      <x:c r="L23" s="47"/>
      <x:c r="M23" s="47"/>
      <x:c r="N23" s="47"/>
      <x:c r="O23" s="47"/>
      <x:c r="P23" s="47"/>
      <x:c r="Q23" s="47"/>
      <x:c r="R23" s="47"/>
      <x:c r="S23" s="47"/>
      <x:c r="T23" s="47"/>
      <x:c r="U23" s="47"/>
      <x:c r="V23" s="47"/>
      <x:c r="W23" s="47"/>
      <x:c r="X23" s="47"/>
      <x:c r="Y23" s="47"/>
      <x:c r="Z23" s="47"/>
    </x:row>
    <x:row r="24">
      <x:c r="A24" s="205" t="str">
        <x:v>GOV-020</x:v>
      </x:c>
      <x:c r="B24" s="206" t="str">
        <x:v>Retention and deletion</x:v>
      </x:c>
      <x:c r="C24" s="206" t="str">
        <x:v>Raw evidence has short purpose-based retention; derived records have justified retention, deletion, export and legal-hold controls.</x:v>
      </x:c>
      <x:c r="D24" s="206" t="str">
        <x:v>Per-class retention policy, object lifecycle, deletion verification and employee request workflow.</x:v>
      </x:c>
      <x:c r="E24" s="206" t="str">
        <x:v>DPO / Data Governance</x:v>
      </x:c>
      <x:c r="F24" s="206" t="str">
        <x:v>Yes</x:v>
      </x:c>
      <x:c r="G24" s="206" t="str">
        <x:v>Approved schedule and deletion tests.</x:v>
      </x:c>
      <x:c r="H24" s="206" t="str">
        <x:v>Owner Input</x:v>
      </x:c>
      <x:c r="I24" s="206" t="str">
        <x:v>Data concentration and over-retention.</x:v>
      </x:c>
      <x:c r="J24" s="207" t="str"/>
      <x:c r="K24" s="47"/>
      <x:c r="L24" s="47"/>
      <x:c r="M24" s="47"/>
      <x:c r="N24" s="47"/>
      <x:c r="O24" s="47"/>
      <x:c r="P24" s="47"/>
      <x:c r="Q24" s="47"/>
      <x:c r="R24" s="47"/>
      <x:c r="S24" s="47"/>
      <x:c r="T24" s="47"/>
      <x:c r="U24" s="47"/>
      <x:c r="V24" s="47"/>
      <x:c r="W24" s="47"/>
      <x:c r="X24" s="47"/>
      <x:c r="Y24" s="47"/>
      <x:c r="Z24" s="47"/>
    </x:row>
    <x:row r="25">
      <x:c r="A25" s="199" t="str">
        <x:v>GOV-021</x:v>
      </x:c>
      <x:c r="B25" s="200" t="str">
        <x:v>Model/provider governance</x:v>
      </x:c>
      <x:c r="C25" s="200" t="str">
        <x:v>Employee evidence only uses approved Model Gateway routes, contracts and regional/private processing appropriate to its classification.</x:v>
      </x:c>
      <x:c r="D25" s="200" t="str">
        <x:v>Provider allowlist, no-training/retention terms, egress controls and model audit.</x:v>
      </x:c>
      <x:c r="E25" s="200" t="str">
        <x:v>AI Platform / CISO / Legal</x:v>
      </x:c>
      <x:c r="F25" s="200" t="str">
        <x:v>Yes</x:v>
      </x:c>
      <x:c r="G25" s="200" t="str">
        <x:v>Provider contracts and egress tests.</x:v>
      </x:c>
      <x:c r="H25" s="200" t="str">
        <x:v>Owner Input</x:v>
      </x:c>
      <x:c r="I25" s="200" t="str">
        <x:v>Third-party retention/training/exposure.</x:v>
      </x:c>
      <x:c r="J25" s="201" t="str"/>
      <x:c r="K25" s="47"/>
      <x:c r="L25" s="47"/>
      <x:c r="M25" s="47"/>
      <x:c r="N25" s="47"/>
      <x:c r="O25" s="47"/>
      <x:c r="P25" s="47"/>
      <x:c r="Q25" s="47"/>
      <x:c r="R25" s="47"/>
      <x:c r="S25" s="47"/>
      <x:c r="T25" s="47"/>
      <x:c r="U25" s="47"/>
      <x:c r="V25" s="47"/>
      <x:c r="W25" s="47"/>
      <x:c r="X25" s="47"/>
      <x:c r="Y25" s="47"/>
      <x:c r="Z25" s="47"/>
    </x:row>
    <x:row r="26">
      <x:c r="A26" s="205" t="str">
        <x:v>GOV-022</x:v>
      </x:c>
      <x:c r="B26" s="206" t="str">
        <x:v>Prompt injection and tool safety</x:v>
      </x:c>
      <x:c r="C26" s="206" t="str">
        <x:v>Observed content is untrusted data; evaluators and coaches cannot expand privileges or follow embedded instructions.</x:v>
      </x:c>
      <x:c r="D26" s="206" t="str">
        <x:v>Prompt isolation, tool restrictions, retrieval allowlists, output validation and adversarial tests.</x:v>
      </x:c>
      <x:c r="E26" s="206" t="str">
        <x:v>AI Security</x:v>
      </x:c>
      <x:c r="F26" s="206" t="str">
        <x:v>Yes before AI pilot</x:v>
      </x:c>
      <x:c r="G26" s="206" t="str">
        <x:v>Indirect-injection benchmark.</x:v>
      </x:c>
      <x:c r="H26" s="206" t="str">
        <x:v>Draft Ready</x:v>
      </x:c>
      <x:c r="I26" s="206" t="str">
        <x:v>Model manipulation and data exfiltration.</x:v>
      </x:c>
      <x:c r="J26" s="207" t="str"/>
      <x:c r="K26" s="47"/>
      <x:c r="L26" s="47"/>
      <x:c r="M26" s="47"/>
      <x:c r="N26" s="47"/>
      <x:c r="O26" s="47"/>
      <x:c r="P26" s="47"/>
      <x:c r="Q26" s="47"/>
      <x:c r="R26" s="47"/>
      <x:c r="S26" s="47"/>
      <x:c r="T26" s="47"/>
      <x:c r="U26" s="47"/>
      <x:c r="V26" s="47"/>
      <x:c r="W26" s="47"/>
      <x:c r="X26" s="47"/>
      <x:c r="Y26" s="47"/>
      <x:c r="Z26" s="47"/>
    </x:row>
    <x:row r="27">
      <x:c r="A27" s="199" t="str">
        <x:v>GOV-023</x:v>
      </x:c>
      <x:c r="B27" s="200" t="str">
        <x:v>Auditability</x:v>
      </x:c>
      <x:c r="C27" s="200" t="str">
        <x:v>Evidence access, policy decisions, AI findings, human reviews, corrections and skill changes are immutably auditable.</x:v>
      </x:c>
      <x:c r="D27" s="200" t="str">
        <x:v>Existing HumanOS audit extension and correlation identifiers.</x:v>
      </x:c>
      <x:c r="E27" s="200" t="str">
        <x:v>CISO / Audit</x:v>
      </x:c>
      <x:c r="F27" s="200" t="str">
        <x:v>Yes</x:v>
      </x:c>
      <x:c r="G27" s="200" t="str">
        <x:v>Audit coverage test.</x:v>
      </x:c>
      <x:c r="H27" s="200" t="str">
        <x:v>Draft Ready</x:v>
      </x:c>
      <x:c r="I27" s="200" t="str">
        <x:v>Undetectable misuse or unaccountable decisions.</x:v>
      </x:c>
      <x:c r="J27" s="201" t="str"/>
      <x:c r="K27" s="47"/>
      <x:c r="L27" s="47"/>
      <x:c r="M27" s="47"/>
      <x:c r="N27" s="47"/>
      <x:c r="O27" s="47"/>
      <x:c r="P27" s="47"/>
      <x:c r="Q27" s="47"/>
      <x:c r="R27" s="47"/>
      <x:c r="S27" s="47"/>
      <x:c r="T27" s="47"/>
      <x:c r="U27" s="47"/>
      <x:c r="V27" s="47"/>
      <x:c r="W27" s="47"/>
      <x:c r="X27" s="47"/>
      <x:c r="Y27" s="47"/>
      <x:c r="Z27" s="47"/>
    </x:row>
    <x:row r="28">
      <x:c r="A28" s="205" t="str">
        <x:v>GOV-024</x:v>
      </x:c>
      <x:c r="B28" s="206" t="str">
        <x:v>Skill/evaluator governance</x:v>
      </x:c>
      <x:c r="C28" s="206" t="str">
        <x:v>System improvements are proposals until evaluation, expert/security review, canary and rollback; confidential data is not leaked into reusable skills.</x:v>
      </x:c>
      <x:c r="D28" s="206" t="str">
        <x:v>Skill Forge lifecycle, signed versions, eval suites, internal/open classification and deployment gates.</x:v>
      </x:c>
      <x:c r="E28" s="206" t="str">
        <x:v>AI Platform / Governance</x:v>
      </x:c>
      <x:c r="F28" s="206" t="str">
        <x:v>Yes before Stage 11 production</x:v>
      </x:c>
      <x:c r="G28" s="206" t="str">
        <x:v>Regression and confidentiality tests.</x:v>
      </x:c>
      <x:c r="H28" s="206" t="str">
        <x:v>Draft Ready</x:v>
      </x:c>
      <x:c r="I28" s="206" t="str">
        <x:v>Unsafe self-modification and IP leakage.</x:v>
      </x:c>
      <x:c r="J28" s="207" t="str">
        <x:v>Task Observer/Claude-Mem patterns.</x:v>
      </x:c>
      <x:c r="K28" s="47"/>
      <x:c r="L28" s="47"/>
      <x:c r="M28" s="47"/>
      <x:c r="N28" s="47"/>
      <x:c r="O28" s="47"/>
      <x:c r="P28" s="47"/>
      <x:c r="Q28" s="47"/>
      <x:c r="R28" s="47"/>
      <x:c r="S28" s="47"/>
      <x:c r="T28" s="47"/>
      <x:c r="U28" s="47"/>
      <x:c r="V28" s="47"/>
      <x:c r="W28" s="47"/>
      <x:c r="X28" s="47"/>
      <x:c r="Y28" s="47"/>
      <x:c r="Z28" s="47"/>
    </x:row>
    <x:row r="29">
      <x:c r="A29" s="199" t="str">
        <x:v>GOV-025</x:v>
      </x:c>
      <x:c r="B29" s="200" t="str">
        <x:v>Pilot participant protection</x:v>
      </x:c>
      <x:c r="C29" s="200" t="str">
        <x:v>Pilot outputs are developmental/evaluative and cannot solely or primarily create adverse employment action.</x:v>
      </x:c>
      <x:c r="D29" s="200" t="str">
        <x:v>Participant terms, system labels, manager training, review and audit.</x:v>
      </x:c>
      <x:c r="E29" s="200" t="str">
        <x:v>Executive Sponsor / HR</x:v>
      </x:c>
      <x:c r="F29" s="200" t="str">
        <x:v>Yes</x:v>
      </x:c>
      <x:c r="G29" s="200" t="str">
        <x:v>Approved protocol and decision audit.</x:v>
      </x:c>
      <x:c r="H29" s="200" t="str">
        <x:v>Draft Ready</x:v>
      </x:c>
      <x:c r="I29" s="200" t="str">
        <x:v>Unvalidated pilot harm.</x:v>
      </x:c>
      <x:c r="J29" s="201" t="str"/>
      <x:c r="K29" s="47"/>
      <x:c r="L29" s="47"/>
      <x:c r="M29" s="47"/>
      <x:c r="N29" s="47"/>
      <x:c r="O29" s="47"/>
      <x:c r="P29" s="47"/>
      <x:c r="Q29" s="47"/>
      <x:c r="R29" s="47"/>
      <x:c r="S29" s="47"/>
      <x:c r="T29" s="47"/>
      <x:c r="U29" s="47"/>
      <x:c r="V29" s="47"/>
      <x:c r="W29" s="47"/>
      <x:c r="X29" s="47"/>
      <x:c r="Y29" s="47"/>
      <x:c r="Z29" s="47"/>
    </x:row>
    <x:row r="30">
      <x:c r="A30" s="208" t="str">
        <x:v>GOV-026</x:v>
      </x:c>
      <x:c r="B30" s="209" t="str">
        <x:v>Incident and stop control</x:v>
      </x:c>
      <x:c r="C30" s="209" t="str">
        <x:v>DPO, CISO and executive sponsor can pause affected capture or the pilot when blocking criteria occur.</x:v>
      </x:c>
      <x:c r="D30" s="209" t="str">
        <x:v>Agent disable, feature flags, containment, notification, evidence preservation and decision log.</x:v>
      </x:c>
      <x:c r="E30" s="209" t="str">
        <x:v>CISO / DPO / Executive Sponsor</x:v>
      </x:c>
      <x:c r="F30" s="209" t="str">
        <x:v>Yes</x:v>
      </x:c>
      <x:c r="G30" s="209" t="str">
        <x:v>Incident exercise.</x:v>
      </x:c>
      <x:c r="H30" s="209" t="str">
        <x:v>Draft Ready</x:v>
      </x:c>
      <x:c r="I30" s="209" t="str">
        <x:v>Continued harmful processing.</x:v>
      </x:c>
      <x:c r="J30" s="210" t="str"/>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dataValidations count="1">
    <x:dataValidation type="list" sqref="H5:H30">
      <x:formula1>"Met,Draft Ready,In Review,Owner Input,Not Started,Blocked"</x:formula1>
    </x:dataValidation>
  </x:dataValidations>
  <x:pageMargins left="0.7" right="0.7" top="0.75" bottom="0.75" header="0.3" footer="0.3"/>
  <x:tableParts count="1">
    <x:tablePart xmlns:r="http://schemas.openxmlformats.org/officeDocument/2006/relationships" r:id="R268bf47522904682"/>
  </x:tableParts>
</x:worksheet>
</file>

<file path=xl/worksheets/sheet12.xml><?xml version="1.0" encoding="utf-8"?>
<x:worksheet xmlns:x="http://schemas.openxmlformats.org/spreadsheetml/2006/main">
  <x:sheetFormatPr defaultRowHeight="15"/>
  <x:cols>
    <x:col min="1" max="1" width="11" hidden="0" customWidth="1"/>
    <x:col min="2" max="2" width="52" hidden="0" customWidth="1"/>
    <x:col min="3" max="3" width="24" hidden="0" customWidth="1"/>
    <x:col min="4" max="4" width="12" hidden="0" customWidth="1"/>
    <x:col min="5" max="5" width="12" hidden="0" customWidth="1"/>
    <x:col min="6" max="6" width="12" hidden="0" customWidth="1"/>
    <x:col min="7" max="7" width="60" hidden="0" customWidth="1"/>
    <x:col min="8" max="8" width="28" hidden="0" customWidth="1"/>
    <x:col min="9" max="9" width="16" hidden="0" customWidth="1"/>
    <x:col min="10" max="10" width="14" hidden="0" customWidth="1"/>
    <x:col min="11" max="11" width="14" hidden="0" customWidth="1"/>
    <x:col min="12" max="12" width="48" hidden="0" customWidth="1"/>
  </x:cols>
  <x:sheetData>
    <x:row r="1" ht="30" customHeight="1">
      <x:c r="A1" s="161" t="str">
        <x:v>Programme Risk Register</x:v>
      </x:c>
      <x:c r="B1" s="161"/>
      <x:c r="C1" s="161"/>
      <x:c r="D1" s="161"/>
      <x:c r="E1" s="161"/>
      <x:c r="F1" s="161"/>
      <x:c r="G1" s="161"/>
      <x:c r="H1" s="161"/>
      <x:c r="I1" s="161"/>
      <x:c r="J1" s="161"/>
      <x:c r="K1" s="161"/>
      <x:c r="L1" s="161"/>
      <x:c r="M1" s="65"/>
      <x:c r="N1" s="65"/>
      <x:c r="O1" s="65"/>
      <x:c r="P1" s="65"/>
      <x:c r="Q1" s="65"/>
      <x:c r="R1" s="65"/>
      <x:c r="S1" s="65"/>
      <x:c r="T1" s="65"/>
      <x:c r="U1" s="65"/>
      <x:c r="V1" s="65"/>
      <x:c r="W1" s="65"/>
      <x:c r="X1" s="65"/>
      <x:c r="Y1" s="65"/>
      <x:c r="Z1" s="65"/>
    </x:row>
    <x:row r="2" ht="34" customHeight="1">
      <x:c r="A2" s="164" t="str">
        <x:v>Leadership-level risks. The Foundation Threats sheet contains the deeper scenario/control model. Scores use 1–5 likelihood and impact.</x:v>
      </x:c>
      <x:c r="B2" s="164"/>
      <x:c r="C2" s="164"/>
      <x:c r="D2" s="164"/>
      <x:c r="E2" s="164"/>
      <x:c r="F2" s="164"/>
      <x:c r="G2" s="164"/>
      <x:c r="H2" s="164"/>
      <x:c r="I2" s="164"/>
      <x:c r="J2" s="164"/>
      <x:c r="K2" s="164"/>
      <x:c r="L2" s="164"/>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Risk ID</x:v>
      </x:c>
      <x:c r="B4" s="170" t="str">
        <x:v>Risk</x:v>
      </x:c>
      <x:c r="C4" s="170" t="str">
        <x:v>Category</x:v>
      </x:c>
      <x:c r="D4" s="170" t="str">
        <x:v>Likelihood</x:v>
      </x:c>
      <x:c r="E4" s="170" t="str">
        <x:v>Impact</x:v>
      </x:c>
      <x:c r="F4" s="170" t="str">
        <x:v>Inherent score</x:v>
      </x:c>
      <x:c r="G4" s="170" t="str">
        <x:v>Primary mitigation</x:v>
      </x:c>
      <x:c r="H4" s="170" t="str">
        <x:v>Accountable owner</x:v>
      </x:c>
      <x:c r="I4" s="170" t="str">
        <x:v>Relevant stage</x:v>
      </x:c>
      <x:c r="J4" s="170" t="str">
        <x:v>Status</x:v>
      </x:c>
      <x:c r="K4" s="170" t="str">
        <x:v>Residual target</x:v>
      </x:c>
      <x:c r="L4" s="175" t="str">
        <x:v>Trigger / escalation</x:v>
      </x:c>
      <x:c r="M4" s="47"/>
      <x:c r="N4" s="47"/>
      <x:c r="O4" s="47"/>
      <x:c r="P4" s="47"/>
      <x:c r="Q4" s="47"/>
      <x:c r="R4" s="47"/>
      <x:c r="S4" s="47"/>
      <x:c r="T4" s="47"/>
      <x:c r="U4" s="47"/>
      <x:c r="V4" s="47"/>
      <x:c r="W4" s="47"/>
      <x:c r="X4" s="47"/>
      <x:c r="Y4" s="47"/>
      <x:c r="Z4" s="47"/>
    </x:row>
    <x:row r="5">
      <x:c r="A5" s="197" t="str">
        <x:v>R-001</x:v>
      </x:c>
      <x:c r="B5" s="198" t="str">
        <x:v>Employees experience the product as punitive surveillance, reducing trust, retention and data quality.</x:v>
      </x:c>
      <x:c r="C5" s="198" t="str">
        <x:v>Trust / Adoption</x:v>
      </x:c>
      <x:c r="D5" s="198" t="n">
        <x:v>4</x:v>
      </x:c>
      <x:c r="E5" s="198" t="n">
        <x:v>5</x:v>
      </x:c>
      <x:c r="F5" s="198" t="n">
        <x:f>D5*E5</x:f>
        <x:v>20</x:v>
      </x:c>
      <x:c r="G5" s="198" t="str">
        <x:v>Employee value proposition; worker consultation; own evidence/corrections; pilot protection; no activity scores; manager training.</x:v>
      </x:c>
      <x:c r="H5" s="198" t="str">
        <x:v>Executive Sponsor / HR / Product</x:v>
      </x:c>
      <x:c r="I5" s="198" t="str">
        <x:v>0–12</x:v>
      </x:c>
      <x:c r="J5" s="198" t="str">
        <x:v>Open</x:v>
      </x:c>
      <x:c r="K5" s="198" t="n">
        <x:v>8</x:v>
      </x:c>
      <x:c r="L5" s="220" t="str">
        <x:v>Material negative trust shift, high opt-out/complaint rate or repeated manager misuse.</x:v>
      </x:c>
      <x:c r="M5" s="47"/>
      <x:c r="N5" s="47"/>
      <x:c r="O5" s="47"/>
      <x:c r="P5" s="47"/>
      <x:c r="Q5" s="47"/>
      <x:c r="R5" s="47"/>
      <x:c r="S5" s="47"/>
      <x:c r="T5" s="47"/>
      <x:c r="U5" s="47"/>
      <x:c r="V5" s="47"/>
      <x:c r="W5" s="47"/>
      <x:c r="X5" s="47"/>
      <x:c r="Y5" s="47"/>
      <x:c r="Z5" s="47"/>
    </x:row>
    <x:row r="6">
      <x:c r="A6" s="205" t="str">
        <x:v>R-002</x:v>
      </x:c>
      <x:c r="B6" s="206" t="str">
        <x:v>Passwords, secrets, customer data or private content are retained or uploaded.</x:v>
      </x:c>
      <x:c r="C6" s="206" t="str">
        <x:v>Privacy / Security</x:v>
      </x:c>
      <x:c r="D6" s="206" t="n">
        <x:v>4</x:v>
      </x:c>
      <x:c r="E6" s="206" t="n">
        <x:v>5</x:v>
      </x:c>
      <x:c r="F6" s="206" t="n">
        <x:f>D6*E6</x:f>
        <x:v>20</x:v>
      </x:c>
      <x:c r="G6" s="206" t="str">
        <x:v>Secure-field blocking; exclusions; local redaction; short retention; DLP tests; emergency stop.</x:v>
      </x:c>
      <x:c r="H6" s="206" t="str">
        <x:v>CISO / DPO / Desktop</x:v>
      </x:c>
      <x:c r="I6" s="206" t="str">
        <x:v>0,3–12</x:v>
      </x:c>
      <x:c r="J6" s="206" t="str">
        <x:v>Open</x:v>
      </x:c>
      <x:c r="K6" s="206" t="n">
        <x:v>5</x:v>
      </x:c>
      <x:c r="L6" s="207" t="str">
        <x:v>Any known secret or unauthorised private-content retention is pilot blocking.</x:v>
      </x:c>
      <x:c r="M6" s="47"/>
      <x:c r="N6" s="47"/>
      <x:c r="O6" s="47"/>
      <x:c r="P6" s="47"/>
      <x:c r="Q6" s="47"/>
      <x:c r="R6" s="47"/>
      <x:c r="S6" s="47"/>
      <x:c r="T6" s="47"/>
      <x:c r="U6" s="47"/>
      <x:c r="V6" s="47"/>
      <x:c r="W6" s="47"/>
      <x:c r="X6" s="47"/>
      <x:c r="Y6" s="47"/>
      <x:c r="Z6" s="47"/>
    </x:row>
    <x:row r="7">
      <x:c r="A7" s="199" t="str">
        <x:v>R-003</x:v>
      </x:c>
      <x:c r="B7" s="200" t="str">
        <x:v>AI task/idle/capability finding is wrong and harms an employee.</x:v>
      </x:c>
      <x:c r="C7" s="200" t="str">
        <x:v>AI / Employment</x:v>
      </x:c>
      <x:c r="D7" s="200" t="n">
        <x:v>4</x:v>
      </x:c>
      <x:c r="E7" s="200" t="n">
        <x:v>5</x:v>
      </x:c>
      <x:c r="F7" s="200" t="n">
        <x:f>D7*E7</x:f>
        <x:v>20</x:v>
      </x:c>
      <x:c r="G7" s="200" t="str">
        <x:v>Evidence hierarchy; confidence; alternatives; employee correction; qualified human review; no solely automated consequential decision.</x:v>
      </x:c>
      <x:c r="H7" s="200" t="str">
        <x:v>AI Governance / HR / DPO</x:v>
      </x:c>
      <x:c r="I7" s="200" t="str">
        <x:v>0,7–12</x:v>
      </x:c>
      <x:c r="J7" s="200" t="str">
        <x:v>Open</x:v>
      </x:c>
      <x:c r="K7" s="200" t="n">
        <x:v>8</x:v>
      </x:c>
      <x:c r="L7" s="201" t="str">
        <x:v>High-confidence unsupported allegation, material dispute overturn or subgroup error.</x:v>
      </x:c>
      <x:c r="M7" s="47"/>
      <x:c r="N7" s="47"/>
      <x:c r="O7" s="47"/>
      <x:c r="P7" s="47"/>
      <x:c r="Q7" s="47"/>
      <x:c r="R7" s="47"/>
      <x:c r="S7" s="47"/>
      <x:c r="T7" s="47"/>
      <x:c r="U7" s="47"/>
      <x:c r="V7" s="47"/>
      <x:c r="W7" s="47"/>
      <x:c r="X7" s="47"/>
      <x:c r="Y7" s="47"/>
      <x:c r="Z7" s="47"/>
    </x:row>
    <x:row r="8">
      <x:c r="A8" s="205" t="str">
        <x:v>R-004</x:v>
      </x:c>
      <x:c r="B8" s="206" t="str">
        <x:v>Legal basis, employment documentation or local monitoring requirements are unresolved.</x:v>
      </x:c>
      <x:c r="C8" s="206" t="str">
        <x:v>Legal / Regulatory</x:v>
      </x:c>
      <x:c r="D8" s="206" t="n">
        <x:v>3</x:v>
      </x:c>
      <x:c r="E8" s="206" t="n">
        <x:v>5</x:v>
      </x:c>
      <x:c r="F8" s="206" t="n">
        <x:f>D8*E8</x:f>
        <x:v>15</x:v>
      </x:c>
      <x:c r="G8" s="206" t="str">
        <x:v>Full DPIA; UK and Pakistan counsel; policy/notice; consultation; jurisdiction packs; controlled pilot.</x:v>
      </x:c>
      <x:c r="H8" s="206" t="str">
        <x:v>Legal / DPO</x:v>
      </x:c>
      <x:c r="I8" s="206" t="str">
        <x:v>0–12</x:v>
      </x:c>
      <x:c r="J8" s="206" t="str">
        <x:v>Open</x:v>
      </x:c>
      <x:c r="K8" s="206" t="n">
        <x:v>5</x:v>
      </x:c>
      <x:c r="L8" s="207" t="str">
        <x:v>Counsel/DPO advises hold or residual high risk is unaccepted.</x:v>
      </x:c>
      <x:c r="M8" s="47"/>
      <x:c r="N8" s="47"/>
      <x:c r="O8" s="47"/>
      <x:c r="P8" s="47"/>
      <x:c r="Q8" s="47"/>
      <x:c r="R8" s="47"/>
      <x:c r="S8" s="47"/>
      <x:c r="T8" s="47"/>
      <x:c r="U8" s="47"/>
      <x:c r="V8" s="47"/>
      <x:c r="W8" s="47"/>
      <x:c r="X8" s="47"/>
      <x:c r="Y8" s="47"/>
      <x:c r="Z8" s="47"/>
    </x:row>
    <x:row r="9">
      <x:c r="A9" s="199" t="str">
        <x:v>R-005</x:v>
      </x:c>
      <x:c r="B9" s="200" t="str">
        <x:v>Managers or administrators misuse raw evidence outside an approved purpose.</x:v>
      </x:c>
      <x:c r="C9" s="200" t="str">
        <x:v>Governance / Insider</x:v>
      </x:c>
      <x:c r="D9" s="200" t="n">
        <x:v>3</x:v>
      </x:c>
      <x:c r="E9" s="200" t="n">
        <x:v>5</x:v>
      </x:c>
      <x:c r="F9" s="200" t="n">
        <x:f>D9*E9</x:f>
        <x:v>15</x:v>
      </x:c>
      <x:c r="G9" s="200" t="str">
        <x:v>Summary-first UX; purpose/task/time access; JIT approval; separation of duties; immutable access audit and sanctions.</x:v>
      </x:c>
      <x:c r="H9" s="200" t="str">
        <x:v>CISO / HR / DPO</x:v>
      </x:c>
      <x:c r="I9" s="200" t="str">
        <x:v>0,10–12</x:v>
      </x:c>
      <x:c r="J9" s="200" t="str">
        <x:v>Open</x:v>
      </x:c>
      <x:c r="K9" s="200" t="n">
        <x:v>6</x:v>
      </x:c>
      <x:c r="L9" s="201" t="str">
        <x:v>Unauthorised access, repeated curiosity browsing or unreviewed live surveillance.</x:v>
      </x:c>
      <x:c r="M9" s="47"/>
      <x:c r="N9" s="47"/>
      <x:c r="O9" s="47"/>
      <x:c r="P9" s="47"/>
      <x:c r="Q9" s="47"/>
      <x:c r="R9" s="47"/>
      <x:c r="S9" s="47"/>
      <x:c r="T9" s="47"/>
      <x:c r="U9" s="47"/>
      <x:c r="V9" s="47"/>
      <x:c r="W9" s="47"/>
      <x:c r="X9" s="47"/>
      <x:c r="Y9" s="47"/>
      <x:c r="Z9" s="47"/>
    </x:row>
    <x:row r="10">
      <x:c r="A10" s="205" t="str">
        <x:v>R-006</x:v>
      </x:c>
      <x:c r="B10" s="206" t="str">
        <x:v>Device agent introduces unacceptable latency, CPU, memory, battery or stability impact.</x:v>
      </x:c>
      <x:c r="C10" s="206" t="str">
        <x:v>Endpoint / Technical</x:v>
      </x:c>
      <x:c r="D10" s="206" t="n">
        <x:v>4</x:v>
      </x:c>
      <x:c r="E10" s="206" t="n">
        <x:v>4</x:v>
      </x:c>
      <x:c r="F10" s="206" t="n">
        <x:f>D10*E10</x:f>
        <x:v>16</x:v>
      </x:c>
      <x:c r="G10" s="206" t="str">
        <x:v>Native/event-driven design; adaptive throttling; performance budgets; application compatibility matrix; kill switch.</x:v>
      </x:c>
      <x:c r="H10" s="206" t="str">
        <x:v>Desktop Lead / SRE</x:v>
      </x:c>
      <x:c r="I10" s="206" t="str">
        <x:v>3–12</x:v>
      </x:c>
      <x:c r="J10" s="206" t="str">
        <x:v>Open</x:v>
      </x:c>
      <x:c r="K10" s="206" t="n">
        <x:v>6</x:v>
      </x:c>
      <x:c r="L10" s="207" t="str">
        <x:v>Perceptible input latency, typical CPU above target or critical app instability.</x:v>
      </x:c>
      <x:c r="M10" s="47"/>
      <x:c r="N10" s="47"/>
      <x:c r="O10" s="47"/>
      <x:c r="P10" s="47"/>
      <x:c r="Q10" s="47"/>
      <x:c r="R10" s="47"/>
      <x:c r="S10" s="47"/>
      <x:c r="T10" s="47"/>
      <x:c r="U10" s="47"/>
      <x:c r="V10" s="47"/>
      <x:c r="W10" s="47"/>
      <x:c r="X10" s="47"/>
      <x:c r="Y10" s="47"/>
      <x:c r="Z10" s="47"/>
    </x:row>
    <x:row r="11">
      <x:c r="A11" s="199" t="str">
        <x:v>R-007</x:v>
      </x:c>
      <x:c r="B11" s="200" t="str">
        <x:v>Endpoint agent or update channel becomes a high-privilege compromise path.</x:v>
      </x:c>
      <x:c r="C11" s="200" t="str">
        <x:v>Security / Supply Chain</x:v>
      </x:c>
      <x:c r="D11" s="200" t="n">
        <x:v>3</x:v>
      </x:c>
      <x:c r="E11" s="200" t="n">
        <x:v>5</x:v>
      </x:c>
      <x:c r="F11" s="200" t="n">
        <x:f>D11*E11</x:f>
        <x:v>15</x:v>
      </x:c>
      <x:c r="G11" s="200" t="str">
        <x:v>Least privilege; signing/notarisation; SBOM; dependency scanning; staged updates; attestation; rollback; signing-key controls.</x:v>
      </x:c>
      <x:c r="H11" s="200" t="str">
        <x:v>CISO / DevSecOps / Desktop</x:v>
      </x:c>
      <x:c r="I11" s="200" t="str">
        <x:v>3–12</x:v>
      </x:c>
      <x:c r="J11" s="200" t="str">
        <x:v>Open</x:v>
      </x:c>
      <x:c r="K11" s="200" t="n">
        <x:v>5</x:v>
      </x:c>
      <x:c r="L11" s="201" t="str">
        <x:v>Critical endpoint finding or update-signing incident.</x:v>
      </x:c>
      <x:c r="M11" s="47"/>
      <x:c r="N11" s="47"/>
      <x:c r="O11" s="47"/>
      <x:c r="P11" s="47"/>
      <x:c r="Q11" s="47"/>
      <x:c r="R11" s="47"/>
      <x:c r="S11" s="47"/>
      <x:c r="T11" s="47"/>
      <x:c r="U11" s="47"/>
      <x:c r="V11" s="47"/>
      <x:c r="W11" s="47"/>
      <x:c r="X11" s="47"/>
      <x:c r="Y11" s="47"/>
      <x:c r="Z11" s="47"/>
    </x:row>
    <x:row r="12">
      <x:c r="A12" s="205" t="str">
        <x:v>R-008</x:v>
      </x:c>
      <x:c r="B12" s="206" t="str">
        <x:v>Human, AI-agent and automation provenance remains incomplete or inaccurate.</x:v>
      </x:c>
      <x:c r="C12" s="206" t="str">
        <x:v>Product / AI</x:v>
      </x:c>
      <x:c r="D12" s="206" t="n">
        <x:v>4</x:v>
      </x:c>
      <x:c r="E12" s="206" t="n">
        <x:v>4</x:v>
      </x:c>
      <x:c r="F12" s="206" t="n">
        <x:f>D12*E12</x:f>
        <x:v>16</x:v>
      </x:c>
      <x:c r="G12" s="206" t="str">
        <x:v>Official hooks; process/file correlation; event sequencing; authoritative artefacts; confidence/unknown class; labelled evaluation.</x:v>
      </x:c>
      <x:c r="H12" s="206" t="str">
        <x:v>AI Integrations / Data</x:v>
      </x:c>
      <x:c r="I12" s="206" t="str">
        <x:v>6–12</x:v>
      </x:c>
      <x:c r="J12" s="206" t="str">
        <x:v>Open</x:v>
      </x:c>
      <x:c r="K12" s="206" t="n">
        <x:v>8</x:v>
      </x:c>
      <x:c r="L12" s="207" t="str">
        <x:v>Attribution accuracy below pilot threshold or repeated mixed-origin errors.</x:v>
      </x:c>
      <x:c r="M12" s="47"/>
      <x:c r="N12" s="47"/>
      <x:c r="O12" s="47"/>
      <x:c r="P12" s="47"/>
      <x:c r="Q12" s="47"/>
      <x:c r="R12" s="47"/>
      <x:c r="S12" s="47"/>
      <x:c r="T12" s="47"/>
      <x:c r="U12" s="47"/>
      <x:c r="V12" s="47"/>
      <x:c r="W12" s="47"/>
      <x:c r="X12" s="47"/>
      <x:c r="Y12" s="47"/>
      <x:c r="Z12" s="47"/>
    </x:row>
    <x:row r="13">
      <x:c r="A13" s="199" t="str">
        <x:v>R-009</x:v>
      </x:c>
      <x:c r="B13" s="200" t="str">
        <x:v>Task Assurance rewards a preferred process instead of valid outcomes and evidence.</x:v>
      </x:c>
      <x:c r="C13" s="200" t="str">
        <x:v>Product / Fairness</x:v>
      </x:c>
      <x:c r="D13" s="200" t="n">
        <x:v>3</x:v>
      </x:c>
      <x:c r="E13" s="200" t="n">
        <x:v>5</x:v>
      </x:c>
      <x:c r="F13" s="200" t="n">
        <x:f>D13*E13</x:f>
        <x:v>15</x:v>
      </x:c>
      <x:c r="G13" s="200" t="str">
        <x:v>Task contracts with multiple valid methods; outcome/quality gates; employee explanation; domain reviewer; deterministic evidence.</x:v>
      </x:c>
      <x:c r="H13" s="200" t="str">
        <x:v>Product / Domain Reviewers</x:v>
      </x:c>
      <x:c r="I13" s="200" t="str">
        <x:v>2,7–12</x:v>
      </x:c>
      <x:c r="J13" s="200" t="str">
        <x:v>Open</x:v>
      </x:c>
      <x:c r="K13" s="200" t="n">
        <x:v>6</x:v>
      </x:c>
      <x:c r="L13" s="201" t="str">
        <x:v>Novel but valid work method receives repeated negative findings.</x:v>
      </x:c>
      <x:c r="M13" s="47"/>
      <x:c r="N13" s="47"/>
      <x:c r="O13" s="47"/>
      <x:c r="P13" s="47"/>
      <x:c r="Q13" s="47"/>
      <x:c r="R13" s="47"/>
      <x:c r="S13" s="47"/>
      <x:c r="T13" s="47"/>
      <x:c r="U13" s="47"/>
      <x:c r="V13" s="47"/>
      <x:c r="W13" s="47"/>
      <x:c r="X13" s="47"/>
      <x:c r="Y13" s="47"/>
      <x:c r="Z13" s="47"/>
    </x:row>
    <x:row r="14">
      <x:c r="A14" s="205" t="str">
        <x:v>R-010</x:v>
      </x:c>
      <x:c r="B14" s="206" t="str">
        <x:v>Capability model overstates certainty, treats one task as proof or implies deception.</x:v>
      </x:c>
      <x:c r="C14" s="206" t="str">
        <x:v>Capability / Employment</x:v>
      </x:c>
      <x:c r="D14" s="206" t="n">
        <x:v>4</x:v>
      </x:c>
      <x:c r="E14" s="206" t="n">
        <x:v>5</x:v>
      </x:c>
      <x:c r="F14" s="206" t="n">
        <x:f>D14*E14</x:f>
        <x:v>20</x:v>
      </x:c>
      <x:c r="G14" s="206" t="str">
        <x:v>Repeated context-qualified evidence; neutral claim-discrepancy states; confidence/recency/contradiction; human review and appeal.</x:v>
      </x:c>
      <x:c r="H14" s="206" t="str">
        <x:v>Capability Lead / HR / DPO</x:v>
      </x:c>
      <x:c r="I14" s="206" t="str">
        <x:v>2,8–12</x:v>
      </x:c>
      <x:c r="J14" s="206" t="str">
        <x:v>Open</x:v>
      </x:c>
      <x:c r="K14" s="206" t="n">
        <x:v>6</x:v>
      </x:c>
      <x:c r="L14" s="207" t="str">
        <x:v>Permanent capability or honesty label from insufficient evidence.</x:v>
      </x:c>
      <x:c r="M14" s="47"/>
      <x:c r="N14" s="47"/>
      <x:c r="O14" s="47"/>
      <x:c r="P14" s="47"/>
      <x:c r="Q14" s="47"/>
      <x:c r="R14" s="47"/>
      <x:c r="S14" s="47"/>
      <x:c r="T14" s="47"/>
      <x:c r="U14" s="47"/>
      <x:c r="V14" s="47"/>
      <x:c r="W14" s="47"/>
      <x:c r="X14" s="47"/>
      <x:c r="Y14" s="47"/>
      <x:c r="Z14" s="47"/>
    </x:row>
    <x:row r="15">
      <x:c r="A15" s="199" t="str">
        <x:v>R-011</x:v>
      </x:c>
      <x:c r="B15" s="200" t="str">
        <x:v>Accessibility accommodations, deep thinking, research or collaboration are misclassified.</x:v>
      </x:c>
      <x:c r="C15" s="200" t="str">
        <x:v>Fairness / Inclusion</x:v>
      </x:c>
      <x:c r="D15" s="200" t="n">
        <x:v>3</x:v>
      </x:c>
      <x:c r="E15" s="200" t="n">
        <x:v>5</x:v>
      </x:c>
      <x:c r="F15" s="200" t="n">
        <x:f>D15*E15</x:f>
        <x:v>15</x:v>
      </x:c>
      <x:c r="G15" s="200" t="str">
        <x:v>Outcome over activity; accommodation context; reading/review/collaboration classes; accessibility review; subgroup error tests.</x:v>
      </x:c>
      <x:c r="H15" s="200" t="str">
        <x:v>HR / Product / DPO</x:v>
      </x:c>
      <x:c r="I15" s="200" t="str">
        <x:v>0,7–12</x:v>
      </x:c>
      <x:c r="J15" s="200" t="str">
        <x:v>Open</x:v>
      </x:c>
      <x:c r="K15" s="200" t="n">
        <x:v>5</x:v>
      </x:c>
      <x:c r="L15" s="201" t="str">
        <x:v>Disproportionate errors or employee evidence of accommodation-related harm.</x:v>
      </x:c>
      <x:c r="M15" s="47"/>
      <x:c r="N15" s="47"/>
      <x:c r="O15" s="47"/>
      <x:c r="P15" s="47"/>
      <x:c r="Q15" s="47"/>
      <x:c r="R15" s="47"/>
      <x:c r="S15" s="47"/>
      <x:c r="T15" s="47"/>
      <x:c r="U15" s="47"/>
      <x:c r="V15" s="47"/>
      <x:c r="W15" s="47"/>
      <x:c r="X15" s="47"/>
      <x:c r="Y15" s="47"/>
      <x:c r="Z15" s="47"/>
    </x:row>
    <x:row r="16">
      <x:c r="A16" s="205" t="str">
        <x:v>R-012</x:v>
      </x:c>
      <x:c r="B16" s="206" t="str">
        <x:v>Skill Forge introduces a harmful, biased, insecure or confidential-data-leaking update.</x:v>
      </x:c>
      <x:c r="C16" s="206" t="str">
        <x:v>AI Platform / Governance</x:v>
      </x:c>
      <x:c r="D16" s="206" t="n">
        <x:v>3</x:v>
      </x:c>
      <x:c r="E16" s="206" t="n">
        <x:v>5</x:v>
      </x:c>
      <x:c r="F16" s="206" t="n">
        <x:f>D16*E16</x:f>
        <x:v>15</x:v>
      </x:c>
      <x:c r="G16" s="206" t="str">
        <x:v>Proposal-only observation; evaluation; expert/security/DPO review; internal/open classification; canary; rollback.</x:v>
      </x:c>
      <x:c r="H16" s="206" t="str">
        <x:v>AI Platform / Governance</x:v>
      </x:c>
      <x:c r="I16" s="206" t="str">
        <x:v>11–12</x:v>
      </x:c>
      <x:c r="J16" s="206" t="str">
        <x:v>Open</x:v>
      </x:c>
      <x:c r="K16" s="206" t="n">
        <x:v>6</x:v>
      </x:c>
      <x:c r="L16" s="207" t="str">
        <x:v>Regression, policy violation, confidential leakage or failed rollback.</x:v>
      </x:c>
      <x:c r="M16" s="47"/>
      <x:c r="N16" s="47"/>
      <x:c r="O16" s="47"/>
      <x:c r="P16" s="47"/>
      <x:c r="Q16" s="47"/>
      <x:c r="R16" s="47"/>
      <x:c r="S16" s="47"/>
      <x:c r="T16" s="47"/>
      <x:c r="U16" s="47"/>
      <x:c r="V16" s="47"/>
      <x:c r="W16" s="47"/>
      <x:c r="X16" s="47"/>
      <x:c r="Y16" s="47"/>
      <x:c r="Z16" s="47"/>
    </x:row>
    <x:row r="17">
      <x:c r="A17" s="199" t="str">
        <x:v>R-013</x:v>
      </x:c>
      <x:c r="B17" s="200" t="str">
        <x:v>Scope expands across HumanOS verticals before the core is technically and ethically proven.</x:v>
      </x:c>
      <x:c r="C17" s="200" t="str">
        <x:v>Programme / Scope</x:v>
      </x:c>
      <x:c r="D17" s="200" t="n">
        <x:v>4</x:v>
      </x:c>
      <x:c r="E17" s="200" t="n">
        <x:v>4</x:v>
      </x:c>
      <x:c r="F17" s="200" t="n">
        <x:f>D17*E17</x:f>
        <x:v>16</x:v>
      </x:c>
      <x:c r="G17" s="200" t="str">
        <x:v>Software-development first; domain-neutral ontology; expansion gates; kill criteria and next-vertical business case.</x:v>
      </x:c>
      <x:c r="H17" s="200" t="str">
        <x:v>CEO / Product / CTO</x:v>
      </x:c>
      <x:c r="I17" s="200" t="str">
        <x:v>0–12</x:v>
      </x:c>
      <x:c r="J17" s="200" t="str">
        <x:v>Open</x:v>
      </x:c>
      <x:c r="K17" s="200" t="n">
        <x:v>6</x:v>
      </x:c>
      <x:c r="L17" s="201" t="str">
        <x:v>New vertical added before pilot evidence or without domain/legal adapter plan.</x:v>
      </x:c>
      <x:c r="M17" s="47"/>
      <x:c r="N17" s="47"/>
      <x:c r="O17" s="47"/>
      <x:c r="P17" s="47"/>
      <x:c r="Q17" s="47"/>
      <x:c r="R17" s="47"/>
      <x:c r="S17" s="47"/>
      <x:c r="T17" s="47"/>
      <x:c r="U17" s="47"/>
      <x:c r="V17" s="47"/>
      <x:c r="W17" s="47"/>
      <x:c r="X17" s="47"/>
      <x:c r="Y17" s="47"/>
      <x:c r="Z17" s="47"/>
    </x:row>
    <x:row r="18">
      <x:c r="A18" s="205" t="str">
        <x:v>R-014</x:v>
      </x:c>
      <x:c r="B18" s="206" t="str">
        <x:v>Microservice fragmentation creates excessive latency, failure modes and operational burden.</x:v>
      </x:c>
      <x:c r="C18" s="206" t="str">
        <x:v>Architecture / Delivery</x:v>
      </x:c>
      <x:c r="D18" s="206" t="n">
        <x:v>4</x:v>
      </x:c>
      <x:c r="E18" s="206" t="n">
        <x:v>3</x:v>
      </x:c>
      <x:c r="F18" s="206" t="n">
        <x:f>D18*E18</x:f>
        <x:v>12</x:v>
      </x:c>
      <x:c r="G18" s="206" t="str">
        <x:v>Approximately eight initial deployables; reuse HumanOS foundations; service split triggers; architecture review.</x:v>
      </x:c>
      <x:c r="H18" s="206" t="str">
        <x:v>Enterprise Architect</x:v>
      </x:c>
      <x:c r="I18" s="206" t="str">
        <x:v>1–12</x:v>
      </x:c>
      <x:c r="J18" s="206" t="str">
        <x:v>Open</x:v>
      </x:c>
      <x:c r="K18" s="206" t="n">
        <x:v>4</x:v>
      </x:c>
      <x:c r="L18" s="207" t="str">
        <x:v>High cross-service change coupling, excessive synchronous chains or operational ownership gaps.</x:v>
      </x:c>
      <x:c r="M18" s="47"/>
      <x:c r="N18" s="47"/>
      <x:c r="O18" s="47"/>
      <x:c r="P18" s="47"/>
      <x:c r="Q18" s="47"/>
      <x:c r="R18" s="47"/>
      <x:c r="S18" s="47"/>
      <x:c r="T18" s="47"/>
      <x:c r="U18" s="47"/>
      <x:c r="V18" s="47"/>
      <x:c r="W18" s="47"/>
      <x:c r="X18" s="47"/>
      <x:c r="Y18" s="47"/>
      <x:c r="Z18" s="47"/>
    </x:row>
    <x:row r="19">
      <x:c r="A19" s="199" t="str">
        <x:v>R-015</x:v>
      </x:c>
      <x:c r="B19" s="200" t="str">
        <x:v>Existing HumanOS foundation services do not meet Work Intelligence security, scale or workflow needs.</x:v>
      </x:c>
      <x:c r="C19" s="200" t="str">
        <x:v>Platform / Dependency</x:v>
      </x:c>
      <x:c r="D19" s="200" t="n">
        <x:v>3</x:v>
      </x:c>
      <x:c r="E19" s="200" t="n">
        <x:v>4</x:v>
      </x:c>
      <x:c r="F19" s="200" t="n">
        <x:f>D19*E19</x:f>
        <x:v>12</x:v>
      </x:c>
      <x:c r="G19" s="200" t="str">
        <x:v>Capability inventory; explicit extension/gap decisions; technical spikes; do not duplicate without evidence.</x:v>
      </x:c>
      <x:c r="H19" s="200" t="str">
        <x:v>CTO / Platform Architect</x:v>
      </x:c>
      <x:c r="I19" s="200" t="str">
        <x:v>1–4</x:v>
      </x:c>
      <x:c r="J19" s="200" t="str">
        <x:v>Open</x:v>
      </x:c>
      <x:c r="K19" s="200" t="n">
        <x:v>6</x:v>
      </x:c>
      <x:c r="L19" s="201" t="str">
        <x:v>Policy/workflow/audit/object/event capability gap blocks Stage 3/4.</x:v>
      </x:c>
      <x:c r="M19" s="47"/>
      <x:c r="N19" s="47"/>
      <x:c r="O19" s="47"/>
      <x:c r="P19" s="47"/>
      <x:c r="Q19" s="47"/>
      <x:c r="R19" s="47"/>
      <x:c r="S19" s="47"/>
      <x:c r="T19" s="47"/>
      <x:c r="U19" s="47"/>
      <x:c r="V19" s="47"/>
      <x:c r="W19" s="47"/>
      <x:c r="X19" s="47"/>
      <x:c r="Y19" s="47"/>
      <x:c r="Z19" s="47"/>
    </x:row>
    <x:row r="20">
      <x:c r="A20" s="205" t="str">
        <x:v>R-016</x:v>
      </x:c>
      <x:c r="B20" s="206" t="str">
        <x:v>Third-party source-available/OSS code is used beyond licence conditions or creates supply-chain exposure.</x:v>
      </x:c>
      <x:c r="C20" s="206" t="str">
        <x:v>Legal / Supply Chain</x:v>
      </x:c>
      <x:c r="D20" s="206" t="n">
        <x:v>3</x:v>
      </x:c>
      <x:c r="E20" s="206" t="n">
        <x:v>4</x:v>
      </x:c>
      <x:c r="F20" s="206" t="n">
        <x:f>D20*E20</x:f>
        <x:v>12</x:v>
      </x:c>
      <x:c r="G20" s="206" t="str">
        <x:v>Licence register; counsel review; SBOM; clean-room build where needed; dependency/security scanning.</x:v>
      </x:c>
      <x:c r="H20" s="206" t="str">
        <x:v>Legal / Architecture / CISO</x:v>
      </x:c>
      <x:c r="I20" s="206" t="str">
        <x:v>1–12</x:v>
      </x:c>
      <x:c r="J20" s="206" t="str">
        <x:v>Open</x:v>
      </x:c>
      <x:c r="K20" s="206" t="n">
        <x:v>4</x:v>
      </x:c>
      <x:c r="L20" s="207" t="str">
        <x:v>Unapproved dependency or ambiguous commercial/distribution rights.</x:v>
      </x:c>
      <x:c r="M20" s="47"/>
      <x:c r="N20" s="47"/>
      <x:c r="O20" s="47"/>
      <x:c r="P20" s="47"/>
      <x:c r="Q20" s="47"/>
      <x:c r="R20" s="47"/>
      <x:c r="S20" s="47"/>
      <x:c r="T20" s="47"/>
      <x:c r="U20" s="47"/>
      <x:c r="V20" s="47"/>
      <x:c r="W20" s="47"/>
      <x:c r="X20" s="47"/>
      <x:c r="Y20" s="47"/>
      <x:c r="Z20" s="47"/>
    </x:row>
    <x:row r="21">
      <x:c r="A21" s="199" t="str">
        <x:v>R-017</x:v>
      </x:c>
      <x:c r="B21" s="200" t="str">
        <x:v>Raw evidence and AI inference costs make the product economically unviable.</x:v>
      </x:c>
      <x:c r="C21" s="200" t="str">
        <x:v>Cost / Scalability</x:v>
      </x:c>
      <x:c r="D21" s="200" t="n">
        <x:v>4</x:v>
      </x:c>
      <x:c r="E21" s="200" t="n">
        <x:v>4</x:v>
      </x:c>
      <x:c r="F21" s="200" t="n">
        <x:f>D21*E21</x:f>
        <x:v>16</x:v>
      </x:c>
      <x:c r="G21" s="200" t="str">
        <x:v>Event-driven capture; dedup; edge summarisation; tiered retention; quotas; low/base/high cost model; model routing.</x:v>
      </x:c>
      <x:c r="H21" s="200" t="str">
        <x:v>FinOps / Product / Data</x:v>
      </x:c>
      <x:c r="I21" s="200" t="str">
        <x:v>1,4–12</x:v>
      </x:c>
      <x:c r="J21" s="200" t="str">
        <x:v>Open</x:v>
      </x:c>
      <x:c r="K21" s="200" t="n">
        <x:v>6</x:v>
      </x:c>
      <x:c r="L21" s="201" t="str">
        <x:v>Cost per employee/task exceeds approved threshold or grows nonlinearly.</x:v>
      </x:c>
      <x:c r="M21" s="47"/>
      <x:c r="N21" s="47"/>
      <x:c r="O21" s="47"/>
      <x:c r="P21" s="47"/>
      <x:c r="Q21" s="47"/>
      <x:c r="R21" s="47"/>
      <x:c r="S21" s="47"/>
      <x:c r="T21" s="47"/>
      <x:c r="U21" s="47"/>
      <x:c r="V21" s="47"/>
      <x:c r="W21" s="47"/>
      <x:c r="X21" s="47"/>
      <x:c r="Y21" s="47"/>
      <x:c r="Z21" s="47"/>
    </x:row>
    <x:row r="22">
      <x:c r="A22" s="205" t="str">
        <x:v>R-018</x:v>
      </x:c>
      <x:c r="B22" s="206" t="str">
        <x:v>Operational telemetry copies sensitive employee evidence into logs or traces.</x:v>
      </x:c>
      <x:c r="C22" s="206" t="str">
        <x:v>Privacy / Observability</x:v>
      </x:c>
      <x:c r="D22" s="206" t="n">
        <x:v>3</x:v>
      </x:c>
      <x:c r="E22" s="206" t="n">
        <x:v>5</x:v>
      </x:c>
      <x:c r="F22" s="206" t="n">
        <x:f>D22*E22</x:f>
        <x:v>15</x:v>
      </x:c>
      <x:c r="G22" s="206" t="str">
        <x:v>Separate evidence domain; content-off OTel defaults; classification-aware logging; sampling/redaction; telemetry tests.</x:v>
      </x:c>
      <x:c r="H22" s="206" t="str">
        <x:v>SRE / DPO / AI Platform</x:v>
      </x:c>
      <x:c r="I22" s="206" t="str">
        <x:v>1,3–12</x:v>
      </x:c>
      <x:c r="J22" s="206" t="str">
        <x:v>Open</x:v>
      </x:c>
      <x:c r="K22" s="206" t="n">
        <x:v>5</x:v>
      </x:c>
      <x:c r="L22" s="207" t="str">
        <x:v>Prompt/text/screenshot content discovered in general observability backend.</x:v>
      </x:c>
      <x:c r="M22" s="47"/>
      <x:c r="N22" s="47"/>
      <x:c r="O22" s="47"/>
      <x:c r="P22" s="47"/>
      <x:c r="Q22" s="47"/>
      <x:c r="R22" s="47"/>
      <x:c r="S22" s="47"/>
      <x:c r="T22" s="47"/>
      <x:c r="U22" s="47"/>
      <x:c r="V22" s="47"/>
      <x:c r="W22" s="47"/>
      <x:c r="X22" s="47"/>
      <x:c r="Y22" s="47"/>
      <x:c r="Z22" s="47"/>
    </x:row>
    <x:row r="23">
      <x:c r="A23" s="199" t="str">
        <x:v>R-019</x:v>
      </x:c>
      <x:c r="B23" s="200" t="str">
        <x:v>Third-party AI provider retains, trains on or transfers employee evidence outside approved conditions.</x:v>
      </x:c>
      <x:c r="C23" s="200" t="str">
        <x:v>Vendor / Privacy</x:v>
      </x:c>
      <x:c r="D23" s="200" t="n">
        <x:v>3</x:v>
      </x:c>
      <x:c r="E23" s="200" t="n">
        <x:v>5</x:v>
      </x:c>
      <x:c r="F23" s="200" t="n">
        <x:f>D23*E23</x:f>
        <x:v>15</x:v>
      </x:c>
      <x:c r="G23" s="200" t="str">
        <x:v>Approved Model Gateway; contractual no-training/retention; regional/private models; minimised requests; egress controls.</x:v>
      </x:c>
      <x:c r="H23" s="200" t="str">
        <x:v>AI Platform / Legal / CISO</x:v>
      </x:c>
      <x:c r="I23" s="200" t="str">
        <x:v>1,7–12</x:v>
      </x:c>
      <x:c r="J23" s="200" t="str">
        <x:v>Open</x:v>
      </x:c>
      <x:c r="K23" s="200" t="n">
        <x:v>5</x:v>
      </x:c>
      <x:c r="L23" s="201" t="str">
        <x:v>Provider contract or technical behaviour does not meet policy.</x:v>
      </x:c>
      <x:c r="M23" s="47"/>
      <x:c r="N23" s="47"/>
      <x:c r="O23" s="47"/>
      <x:c r="P23" s="47"/>
      <x:c r="Q23" s="47"/>
      <x:c r="R23" s="47"/>
      <x:c r="S23" s="47"/>
      <x:c r="T23" s="47"/>
      <x:c r="U23" s="47"/>
      <x:c r="V23" s="47"/>
      <x:c r="W23" s="47"/>
      <x:c r="X23" s="47"/>
      <x:c r="Y23" s="47"/>
      <x:c r="Z23" s="47"/>
    </x:row>
    <x:row r="24">
      <x:c r="A24" s="205" t="str">
        <x:v>R-020</x:v>
      </x:c>
      <x:c r="B24" s="206" t="str">
        <x:v>Prompt injection or malicious observed content manipulates evaluators or coaching agents.</x:v>
      </x:c>
      <x:c r="C24" s="206" t="str">
        <x:v>AI Security</x:v>
      </x:c>
      <x:c r="D24" s="206" t="n">
        <x:v>4</x:v>
      </x:c>
      <x:c r="E24" s="206" t="n">
        <x:v>4</x:v>
      </x:c>
      <x:c r="F24" s="206" t="n">
        <x:f>D24*E24</x:f>
        <x:v>16</x:v>
      </x:c>
      <x:c r="G24" s="206" t="str">
        <x:v>Treat observed content as untrusted; prompt isolation; tool restrictions; allowlisted retrieval; output validation; adversarial tests.</x:v>
      </x:c>
      <x:c r="H24" s="206" t="str">
        <x:v>AI Security Lead</x:v>
      </x:c>
      <x:c r="I24" s="206" t="str">
        <x:v>7–12</x:v>
      </x:c>
      <x:c r="J24" s="206" t="str">
        <x:v>Open</x:v>
      </x:c>
      <x:c r="K24" s="206" t="n">
        <x:v>6</x:v>
      </x:c>
      <x:c r="L24" s="207" t="str">
        <x:v>Evaluator follows instructions embedded in screen/repository content or attempts unauthorised tools.</x:v>
      </x:c>
      <x:c r="M24" s="47"/>
      <x:c r="N24" s="47"/>
      <x:c r="O24" s="47"/>
      <x:c r="P24" s="47"/>
      <x:c r="Q24" s="47"/>
      <x:c r="R24" s="47"/>
      <x:c r="S24" s="47"/>
      <x:c r="T24" s="47"/>
      <x:c r="U24" s="47"/>
      <x:c r="V24" s="47"/>
      <x:c r="W24" s="47"/>
      <x:c r="X24" s="47"/>
      <x:c r="Y24" s="47"/>
      <x:c r="Z24" s="47"/>
    </x:row>
    <x:row r="25">
      <x:c r="A25" s="199" t="str">
        <x:v>R-021</x:v>
      </x:c>
      <x:c r="B25" s="200" t="str">
        <x:v>Pilot data and labels are biased, weak or too small to validate accuracy and fairness.</x:v>
      </x:c>
      <x:c r="C25" s="200" t="str">
        <x:v>Evaluation / Data</x:v>
      </x:c>
      <x:c r="D25" s="200" t="n">
        <x:v>4</x:v>
      </x:c>
      <x:c r="E25" s="200" t="n">
        <x:v>4</x:v>
      </x:c>
      <x:c r="F25" s="200" t="n">
        <x:f>D25*E25</x:f>
        <x:v>16</x:v>
      </x:c>
      <x:c r="G25" s="200" t="str">
        <x:v>Representative tasks/roles; employee context; expert labels; holdout sets; disagreement adjudication; confidence intervals.</x:v>
      </x:c>
      <x:c r="H25" s="200" t="str">
        <x:v>AI Evaluation / Product / HR</x:v>
      </x:c>
      <x:c r="I25" s="200" t="str">
        <x:v>7–12</x:v>
      </x:c>
      <x:c r="J25" s="200" t="str">
        <x:v>Open</x:v>
      </x:c>
      <x:c r="K25" s="200" t="n">
        <x:v>8</x:v>
      </x:c>
      <x:c r="L25" s="201" t="str">
        <x:v>Low label agreement, sparse edge cases or inability to estimate subgroup performance.</x:v>
      </x:c>
      <x:c r="M25" s="47"/>
      <x:c r="N25" s="47"/>
      <x:c r="O25" s="47"/>
      <x:c r="P25" s="47"/>
      <x:c r="Q25" s="47"/>
      <x:c r="R25" s="47"/>
      <x:c r="S25" s="47"/>
      <x:c r="T25" s="47"/>
      <x:c r="U25" s="47"/>
      <x:c r="V25" s="47"/>
      <x:c r="W25" s="47"/>
      <x:c r="X25" s="47"/>
      <x:c r="Y25" s="47"/>
      <x:c r="Z25" s="47"/>
    </x:row>
    <x:row r="26">
      <x:c r="A26" s="208" t="str">
        <x:v>R-022</x:v>
      </x:c>
      <x:c r="B26" s="209" t="str">
        <x:v>Product provides reports but fails to produce measurable employee learning or task-quality improvement.</x:v>
      </x:c>
      <x:c r="C26" s="209" t="str">
        <x:v>Product / Commercial</x:v>
      </x:c>
      <x:c r="D26" s="209" t="n">
        <x:v>3</x:v>
      </x:c>
      <x:c r="E26" s="209" t="n">
        <x:v>5</x:v>
      </x:c>
      <x:c r="F26" s="209" t="n">
        <x:f>D26*E26</x:f>
        <x:v>15</x:v>
      </x:c>
      <x:c r="G26" s="209" t="str">
        <x:v>Employee-benefit KPIs; coaching experiments; applied-learning verification; manager and employee qualitative evidence; stop/modify decision.</x:v>
      </x:c>
      <x:c r="H26" s="209" t="str">
        <x:v>Product / L&amp;D / Executive Sponsor</x:v>
      </x:c>
      <x:c r="I26" s="209" t="str">
        <x:v>9–12</x:v>
      </x:c>
      <x:c r="J26" s="209" t="str">
        <x:v>Open</x:v>
      </x:c>
      <x:c r="K26" s="209" t="n">
        <x:v>8</x:v>
      </x:c>
      <x:c r="L26" s="210" t="str">
        <x:v>No measurable reduction in rework/gaps or low employee usefulness after controlled trial.</x:v>
      </x:c>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A1:L1"/>
    <x:mergeCell ref="A2:L2"/>
  </x:mergeCells>
  <x:conditionalFormatting sqref="F5:F16">
    <x:cfRule type="colorScale" priority="1">
      <x:colorScale>
        <x:cfvo type="min"/>
        <x:cfvo type="percentile" val="50"/>
        <x:cfvo type="max"/>
        <x:color rgb="FFDCFCE7"/>
        <x:color rgb="FFFEF3C7"/>
        <x:color rgb="FFFEE2E2"/>
      </x:colorScale>
    </x:cfRule>
  </x:conditionalFormatting>
  <x:conditionalFormatting sqref="F5:F26">
    <x:cfRule type="colorScale" priority="2">
      <x:colorScale>
        <x:cfvo type="min"/>
        <x:cfvo type="percentile" val="50"/>
        <x:cfvo type="max"/>
        <x:color rgb="FFE2F0D9"/>
        <x:color rgb="FFFFF2CC"/>
        <x:color rgb="FFFCE4D6"/>
      </x:colorScale>
    </x:cfRule>
  </x:conditionalFormatting>
  <x:dataValidations count="3">
    <x:dataValidation operator="between" sqref="D5:D26">
      <x:formula1>1</x:formula1>
      <x:formula2>5</x:formula2>
    </x:dataValidation>
    <x:dataValidation operator="between" sqref="E5:E26">
      <x:formula1>1</x:formula1>
      <x:formula2>5</x:formula2>
    </x:dataValidation>
    <x:dataValidation type="list" sqref="J5:J26">
      <x:formula1>"Open,Mitigating,Accepted,Closed,Blocked"</x:formula1>
    </x:dataValidation>
  </x:dataValidations>
  <x:pageMargins left="0.7" right="0.7" top="0.75" bottom="0.75" header="0.3" footer="0.3"/>
  <x:tableParts count="1">
    <x:tablePart xmlns:r="http://schemas.openxmlformats.org/officeDocument/2006/relationships" r:id="R47b38d8724e84d60"/>
  </x:tableParts>
</x:worksheet>
</file>

<file path=xl/worksheets/sheet13.xml><?xml version="1.0" encoding="utf-8"?>
<x:worksheet xmlns:x="http://schemas.openxmlformats.org/spreadsheetml/2006/main">
  <x:sheetFormatPr defaultRowHeight="15"/>
  <x:cols>
    <x:col min="1" max="1" width="34" hidden="0" customWidth="1"/>
    <x:col min="2" max="2" width="18" hidden="0" customWidth="1"/>
    <x:col min="3" max="3" width="4" hidden="0" customWidth="1"/>
    <x:col min="5" max="5" width="45" hidden="0" customWidth="1"/>
    <x:col min="6" max="6" width="14" hidden="0" customWidth="1"/>
    <x:col min="7" max="7" width="4" hidden="0" customWidth="1"/>
    <x:col min="8" max="8" width="18" hidden="0" customWidth="1"/>
    <x:col min="9" max="9" width="18" hidden="0" customWidth="1"/>
    <x:col min="10" max="10" width="18" hidden="0" customWidth="1"/>
    <x:col min="4" max="4" width="10" hidden="0" customWidth="1"/>
  </x:cols>
  <x:sheetData>
    <x:row r="1" ht="30" customHeight="1">
      <x:c r="A1" s="161" t="str">
        <x:v>Programme KPI Dashboard</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Formula-driven programme summary. Foundation readiness reflects draft maturity and outstanding gate conditions; it is not a legal or leadership approval.</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Programme metric</x:v>
      </x:c>
      <x:c r="B4" s="175" t="str">
        <x:v>Value</x:v>
      </x:c>
      <x:c r="C4" s="49"/>
      <x:c r="D4" s="169" t="str">
        <x:v>Stage</x:v>
      </x:c>
      <x:c r="E4" s="170" t="str">
        <x:v>Stage name</x:v>
      </x:c>
      <x:c r="F4" s="175" t="str">
        <x:v>Effort PW</x:v>
      </x:c>
      <x:c r="G4" s="62"/>
      <x:c r="H4" s="62"/>
      <x:c r="I4" s="62"/>
      <x:c r="J4" s="62"/>
      <x:c r="K4" s="47"/>
      <x:c r="L4" s="47"/>
      <x:c r="M4" s="47"/>
      <x:c r="N4" s="47"/>
      <x:c r="O4" s="47"/>
      <x:c r="P4" s="47"/>
      <x:c r="Q4" s="47"/>
      <x:c r="R4" s="47"/>
      <x:c r="S4" s="47"/>
      <x:c r="T4" s="47"/>
      <x:c r="U4" s="47"/>
      <x:c r="V4" s="47"/>
      <x:c r="W4" s="47"/>
      <x:c r="X4" s="47"/>
      <x:c r="Y4" s="47"/>
      <x:c r="Z4" s="47"/>
    </x:row>
    <x:row r="5">
      <x:c r="A5" s="197" t="str">
        <x:v>Total stages</x:v>
      </x:c>
      <x:c r="B5" s="220" t="n">
        <x:f>COUNTA('Delivery Stages'!A5:A17)</x:f>
        <x:v>13</x:v>
      </x:c>
      <x:c r="C5" s="50"/>
      <x:c r="D5" s="197" t="n">
        <x:f>'Delivery Stages'!A5</x:f>
        <x:v>0</x:v>
      </x:c>
      <x:c r="E5" s="181" t="str">
        <x:f>'Delivery Stages'!B5</x:f>
        <x:v>Foundation — charter, governance and legal boundary</x:v>
      </x:c>
      <x:c r="F5" s="182" t="n">
        <x:f>'Delivery Stages'!N5</x:f>
        <x:v>16</x:v>
      </x:c>
      <x:c r="G5" s="48"/>
      <x:c r="H5" s="48"/>
      <x:c r="I5" s="48"/>
      <x:c r="J5" s="48"/>
      <x:c r="K5" s="47"/>
      <x:c r="L5" s="47"/>
      <x:c r="M5" s="47"/>
      <x:c r="N5" s="47"/>
      <x:c r="O5" s="47"/>
      <x:c r="P5" s="47"/>
      <x:c r="Q5" s="47"/>
      <x:c r="R5" s="47"/>
      <x:c r="S5" s="47"/>
      <x:c r="T5" s="47"/>
      <x:c r="U5" s="47"/>
      <x:c r="V5" s="47"/>
      <x:c r="W5" s="47"/>
      <x:c r="X5" s="47"/>
      <x:c r="Y5" s="47"/>
      <x:c r="Z5" s="47"/>
    </x:row>
    <x:row r="6">
      <x:c r="A6" s="199" t="str">
        <x:v>Total planned duration weeks</x:v>
      </x:c>
      <x:c r="B6" s="201" t="n">
        <x:f>SUM('Delivery Stages'!D5:D17)</x:f>
        <x:v>64</x:v>
      </x:c>
      <x:c r="C6" s="50"/>
      <x:c r="D6" s="199" t="n">
        <x:f>'Delivery Stages'!A6</x:f>
        <x:v>1</x:v>
      </x:c>
      <x:c r="E6" s="185" t="str">
        <x:f>'Delivery Stages'!B6</x:f>
        <x:v>Foundation — market validation and reference architecture</x:v>
      </x:c>
      <x:c r="F6" s="186" t="n">
        <x:f>'Delivery Stages'!N6</x:f>
        <x:v>20</x:v>
      </x:c>
      <x:c r="G6" s="48"/>
      <x:c r="H6" s="48"/>
      <x:c r="I6" s="48"/>
      <x:c r="J6" s="48"/>
      <x:c r="K6" s="47"/>
      <x:c r="L6" s="47"/>
      <x:c r="M6" s="47"/>
      <x:c r="N6" s="47"/>
      <x:c r="O6" s="47"/>
      <x:c r="P6" s="47"/>
      <x:c r="Q6" s="47"/>
      <x:c r="R6" s="47"/>
      <x:c r="S6" s="47"/>
      <x:c r="T6" s="47"/>
      <x:c r="U6" s="47"/>
      <x:c r="V6" s="47"/>
      <x:c r="W6" s="47"/>
      <x:c r="X6" s="47"/>
      <x:c r="Y6" s="47"/>
      <x:c r="Z6" s="47"/>
    </x:row>
    <x:row r="7">
      <x:c r="A7" s="199" t="str">
        <x:v>Indicative total effort person-weeks</x:v>
      </x:c>
      <x:c r="B7" s="201" t="n">
        <x:f>SUM('Delivery Stages'!N5:N17)</x:f>
        <x:v>572</x:v>
      </x:c>
      <x:c r="C7" s="50"/>
      <x:c r="D7" s="199" t="n">
        <x:f>'Delivery Stages'!A7</x:f>
        <x:v>2</x:v>
      </x:c>
      <x:c r="E7" s="185" t="str">
        <x:f>'Delivery Stages'!B7</x:f>
        <x:v>Role capability and task contract ontology</x:v>
      </x:c>
      <x:c r="F7" s="186" t="n">
        <x:f>'Delivery Stages'!N7</x:f>
        <x:v>21</x:v>
      </x:c>
      <x:c r="G7" s="48"/>
      <x:c r="H7" s="48"/>
      <x:c r="I7" s="48"/>
      <x:c r="J7" s="48"/>
      <x:c r="K7" s="47"/>
      <x:c r="L7" s="47"/>
      <x:c r="M7" s="47"/>
      <x:c r="N7" s="47"/>
      <x:c r="O7" s="47"/>
      <x:c r="P7" s="47"/>
      <x:c r="Q7" s="47"/>
      <x:c r="R7" s="47"/>
      <x:c r="S7" s="47"/>
      <x:c r="T7" s="47"/>
      <x:c r="U7" s="47"/>
      <x:c r="V7" s="47"/>
      <x:c r="W7" s="47"/>
      <x:c r="X7" s="47"/>
      <x:c r="Y7" s="47"/>
      <x:c r="Z7" s="47"/>
    </x:row>
    <x:row r="8">
      <x:c r="A8" s="199" t="str">
        <x:v>Critical-priority stages</x:v>
      </x:c>
      <x:c r="B8" s="201" t="n">
        <x:f>COUNTIF('Delivery Stages'!J5:J17,"Critical")</x:f>
        <x:v>8</x:v>
      </x:c>
      <x:c r="C8" s="50"/>
      <x:c r="D8" s="199" t="n">
        <x:f>'Delivery Stages'!A8</x:f>
        <x:v>3</x:v>
      </x:c>
      <x:c r="E8" s="185" t="str">
        <x:f>'Delivery Stages'!B8</x:f>
        <x:v>Device agent foundation</x:v>
      </x:c>
      <x:c r="F8" s="186" t="n">
        <x:f>'Delivery Stages'!N8</x:f>
        <x:v>40</x:v>
      </x:c>
      <x:c r="G8" s="48"/>
      <x:c r="H8" s="48"/>
      <x:c r="I8" s="48"/>
      <x:c r="J8" s="48"/>
      <x:c r="K8" s="47"/>
      <x:c r="L8" s="47"/>
      <x:c r="M8" s="47"/>
      <x:c r="N8" s="47"/>
      <x:c r="O8" s="47"/>
      <x:c r="P8" s="47"/>
      <x:c r="Q8" s="47"/>
      <x:c r="R8" s="47"/>
      <x:c r="S8" s="47"/>
      <x:c r="T8" s="47"/>
      <x:c r="U8" s="47"/>
      <x:c r="V8" s="47"/>
      <x:c r="W8" s="47"/>
      <x:c r="X8" s="47"/>
      <x:c r="Y8" s="47"/>
      <x:c r="Z8" s="47"/>
    </x:row>
    <x:row r="9">
      <x:c r="A9" s="199" t="str">
        <x:v>High-risk stages</x:v>
      </x:c>
      <x:c r="B9" s="201" t="n">
        <x:f>COUNTIF('Delivery Stages'!K5:K17,"High")</x:f>
        <x:v>12</x:v>
      </x:c>
      <x:c r="C9" s="50"/>
      <x:c r="D9" s="199" t="n">
        <x:f>'Delivery Stages'!A9</x:f>
        <x:v>4</x:v>
      </x:c>
      <x:c r="E9" s="185" t="str">
        <x:f>'Delivery Stages'!B9</x:f>
        <x:v>Telemetry ingestion and evidence storage</x:v>
      </x:c>
      <x:c r="F9" s="186" t="n">
        <x:f>'Delivery Stages'!N9</x:f>
        <x:v>28</x:v>
      </x:c>
      <x:c r="G9" s="48"/>
      <x:c r="H9" s="48"/>
      <x:c r="I9" s="48"/>
      <x:c r="J9" s="48"/>
      <x:c r="K9" s="47"/>
      <x:c r="L9" s="47"/>
      <x:c r="M9" s="47"/>
      <x:c r="N9" s="47"/>
      <x:c r="O9" s="47"/>
      <x:c r="P9" s="47"/>
      <x:c r="Q9" s="47"/>
      <x:c r="R9" s="47"/>
      <x:c r="S9" s="47"/>
      <x:c r="T9" s="47"/>
      <x:c r="U9" s="47"/>
      <x:c r="V9" s="47"/>
      <x:c r="W9" s="47"/>
      <x:c r="X9" s="47"/>
      <x:c r="Y9" s="47"/>
      <x:c r="Z9" s="47"/>
    </x:row>
    <x:row r="10">
      <x:c r="A10" s="199" t="str">
        <x:v>Stage 0 workplan maturity</x:v>
      </x:c>
      <x:c r="B10" s="247" t="n">
        <x:f>'Foundation Dashboard'!B6</x:f>
        <x:v>0.6529411764705886</x:v>
      </x:c>
      <x:c r="C10" s="50"/>
      <x:c r="D10" s="199" t="n">
        <x:f>'Delivery Stages'!A10</x:f>
        <x:v>5</x:v>
      </x:c>
      <x:c r="E10" s="200" t="str">
        <x:f>'Delivery Stages'!B10</x:f>
        <x:v>Universal capture MVP</x:v>
      </x:c>
      <x:c r="F10" s="201" t="n">
        <x:f>'Delivery Stages'!N10</x:f>
        <x:v>54</x:v>
      </x:c>
      <x:c r="G10" s="47"/>
      <x:c r="H10" s="47"/>
      <x:c r="I10" s="47"/>
      <x:c r="J10" s="47"/>
      <x:c r="K10" s="47"/>
      <x:c r="L10" s="47"/>
      <x:c r="M10" s="47"/>
      <x:c r="N10" s="47"/>
      <x:c r="O10" s="47"/>
      <x:c r="P10" s="47"/>
      <x:c r="Q10" s="47"/>
      <x:c r="R10" s="47"/>
      <x:c r="S10" s="47"/>
      <x:c r="T10" s="47"/>
      <x:c r="U10" s="47"/>
      <x:c r="V10" s="47"/>
      <x:c r="W10" s="47"/>
      <x:c r="X10" s="47"/>
      <x:c r="Y10" s="47"/>
      <x:c r="Z10" s="47"/>
    </x:row>
    <x:row r="11">
      <x:c r="A11" s="199" t="str">
        <x:v>Stage 1 workplan maturity</x:v>
      </x:c>
      <x:c r="B11" s="247" t="n">
        <x:f>'Foundation Dashboard'!B7</x:f>
        <x:v>0.7121212121212126</x:v>
      </x:c>
      <x:c r="C11" s="50"/>
      <x:c r="D11" s="199" t="n">
        <x:f>'Delivery Stages'!A11</x:f>
        <x:v>6</x:v>
      </x:c>
      <x:c r="E11" s="200" t="str">
        <x:f>'Delivery Stages'!B11</x:f>
        <x:v>Development semantics and AI-agent adapters</x:v>
      </x:c>
      <x:c r="F11" s="201" t="n">
        <x:f>'Delivery Stages'!N11</x:f>
        <x:v>54</x:v>
      </x:c>
      <x:c r="G11" s="47"/>
      <x:c r="H11" s="47"/>
      <x:c r="I11" s="47"/>
      <x:c r="J11" s="47"/>
      <x:c r="K11" s="47"/>
      <x:c r="L11" s="47"/>
      <x:c r="M11" s="47"/>
      <x:c r="N11" s="47"/>
      <x:c r="O11" s="47"/>
      <x:c r="P11" s="47"/>
      <x:c r="Q11" s="47"/>
      <x:c r="R11" s="47"/>
      <x:c r="S11" s="47"/>
      <x:c r="T11" s="47"/>
      <x:c r="U11" s="47"/>
      <x:c r="V11" s="47"/>
      <x:c r="W11" s="47"/>
      <x:c r="X11" s="47"/>
      <x:c r="Y11" s="47"/>
      <x:c r="Z11" s="47"/>
    </x:row>
    <x:row r="12" ht="32" customHeight="1">
      <x:c r="A12" s="199" t="str">
        <x:v>Stage 0 gate readiness</x:v>
      </x:c>
      <x:c r="B12" s="247" t="n">
        <x:f>'Foundation Dashboard'!B8</x:f>
        <x:v>0.5722222222222223</x:v>
      </x:c>
      <x:c r="C12" s="50"/>
      <x:c r="D12" s="199" t="n">
        <x:f>'Delivery Stages'!A12</x:f>
        <x:v>7</x:v>
      </x:c>
      <x:c r="E12" s="258" t="str">
        <x:f>'Delivery Stages'!B12</x:f>
        <x:v>Provenance and Task Assurance Engine</x:v>
      </x:c>
      <x:c r="F12" s="259" t="n">
        <x:f>'Delivery Stages'!N12</x:f>
        <x:v>70</x:v>
      </x:c>
      <x:c r="G12" s="47"/>
      <x:c r="H12" s="47"/>
      <x:c r="I12" s="47"/>
      <x:c r="J12" s="47"/>
      <x:c r="K12" s="47"/>
      <x:c r="L12" s="47"/>
      <x:c r="M12" s="47"/>
      <x:c r="N12" s="47"/>
      <x:c r="O12" s="47"/>
      <x:c r="P12" s="47"/>
      <x:c r="Q12" s="47"/>
      <x:c r="R12" s="47"/>
      <x:c r="S12" s="47"/>
      <x:c r="T12" s="47"/>
      <x:c r="U12" s="47"/>
      <x:c r="V12" s="47"/>
      <x:c r="W12" s="47"/>
      <x:c r="X12" s="47"/>
      <x:c r="Y12" s="47"/>
      <x:c r="Z12" s="47"/>
    </x:row>
    <x:row r="13">
      <x:c r="A13" s="199" t="str">
        <x:v>Stage 1 gate readiness</x:v>
      </x:c>
      <x:c r="B13" s="247" t="n">
        <x:f>'Foundation Dashboard'!B9</x:f>
        <x:v>0.5666666666666665</x:v>
      </x:c>
      <x:c r="C13" s="47"/>
      <x:c r="D13" s="199" t="n">
        <x:f>'Delivery Stages'!A13</x:f>
        <x:v>8</x:v>
      </x:c>
      <x:c r="E13" s="200" t="str">
        <x:f>'Delivery Stages'!B13</x:f>
        <x:v>Capability Graph and baseline assessment</x:v>
      </x:c>
      <x:c r="F13" s="201" t="n">
        <x:f>'Delivery Stages'!N13</x:f>
        <x:v>40</x:v>
      </x:c>
      <x:c r="G13" s="47"/>
      <x:c r="H13" s="47"/>
      <x:c r="I13" s="47"/>
      <x:c r="J13" s="47"/>
      <x:c r="K13" s="47"/>
      <x:c r="L13" s="47"/>
      <x:c r="M13" s="47"/>
      <x:c r="N13" s="47"/>
      <x:c r="O13" s="47"/>
      <x:c r="P13" s="47"/>
      <x:c r="Q13" s="47"/>
      <x:c r="R13" s="47"/>
      <x:c r="S13" s="47"/>
      <x:c r="T13" s="47"/>
      <x:c r="U13" s="47"/>
      <x:c r="V13" s="47"/>
      <x:c r="W13" s="47"/>
      <x:c r="X13" s="47"/>
      <x:c r="Y13" s="47"/>
      <x:c r="Z13" s="47"/>
    </x:row>
    <x:row r="14">
      <x:c r="A14" s="199" t="str">
        <x:v>Mandatory gate blockers/not-started</x:v>
      </x:c>
      <x:c r="B14" s="201" t="n">
        <x:f>'Foundation Dashboard'!B10</x:f>
        <x:v>5</x:v>
      </x:c>
      <x:c r="C14" s="47"/>
      <x:c r="D14" s="199" t="n">
        <x:f>'Delivery Stages'!A14</x:f>
        <x:v>9</x:v>
      </x:c>
      <x:c r="E14" s="200" t="str">
        <x:f>'Delivery Stages'!B14</x:f>
        <x:v>Growth Coach and learning loop</x:v>
      </x:c>
      <x:c r="F14" s="201" t="n">
        <x:f>'Delivery Stages'!N14</x:f>
        <x:v>40</x:v>
      </x:c>
      <x:c r="G14" s="47"/>
      <x:c r="H14" s="47"/>
      <x:c r="I14" s="47"/>
      <x:c r="J14" s="47"/>
      <x:c r="K14" s="47"/>
      <x:c r="L14" s="47"/>
      <x:c r="M14" s="47"/>
      <x:c r="N14" s="47"/>
      <x:c r="O14" s="47"/>
      <x:c r="P14" s="47"/>
      <x:c r="Q14" s="47"/>
      <x:c r="R14" s="47"/>
      <x:c r="S14" s="47"/>
      <x:c r="T14" s="47"/>
      <x:c r="U14" s="47"/>
      <x:c r="V14" s="47"/>
      <x:c r="W14" s="47"/>
      <x:c r="X14" s="47"/>
      <x:c r="Y14" s="47"/>
      <x:c r="Z14" s="47"/>
    </x:row>
    <x:row r="15">
      <x:c r="A15" s="199" t="str">
        <x:v>Open programme risks</x:v>
      </x:c>
      <x:c r="B15" s="201" t="n">
        <x:f>COUNTIF('Risk Register'!J5:J26,"Open")+COUNTIF('Risk Register'!J5:J26,"Mitigating")</x:f>
        <x:v>22</x:v>
      </x:c>
      <x:c r="C15" s="47"/>
      <x:c r="D15" s="199" t="n">
        <x:f>'Delivery Stages'!A15</x:f>
        <x:v>10</x:v>
      </x:c>
      <x:c r="E15" s="200" t="str">
        <x:f>'Delivery Stages'!B15</x:f>
        <x:v>Employee and manager experiences</x:v>
      </x:c>
      <x:c r="F15" s="201" t="n">
        <x:f>'Delivery Stages'!N15</x:f>
        <x:v>45</x:v>
      </x:c>
      <x:c r="G15" s="47"/>
      <x:c r="H15" s="47"/>
      <x:c r="I15" s="47"/>
      <x:c r="J15" s="47"/>
      <x:c r="K15" s="47"/>
      <x:c r="L15" s="47"/>
      <x:c r="M15" s="47"/>
      <x:c r="N15" s="47"/>
      <x:c r="O15" s="47"/>
      <x:c r="P15" s="47"/>
      <x:c r="Q15" s="47"/>
      <x:c r="R15" s="47"/>
      <x:c r="S15" s="47"/>
      <x:c r="T15" s="47"/>
      <x:c r="U15" s="47"/>
      <x:c r="V15" s="47"/>
      <x:c r="W15" s="47"/>
      <x:c r="X15" s="47"/>
      <x:c r="Y15" s="47"/>
      <x:c r="Z15" s="47"/>
    </x:row>
    <x:row r="16">
      <x:c r="A16" s="199" t="str">
        <x:v>High/critical inherent programme risks</x:v>
      </x:c>
      <x:c r="B16" s="201" t="n">
        <x:f>COUNTIF('Risk Register'!F5:F26,"&gt;=15")</x:f>
        <x:v>19</x:v>
      </x:c>
      <x:c r="C16" s="47"/>
      <x:c r="D16" s="199" t="n">
        <x:f>'Delivery Stages'!A16</x:f>
        <x:v>11</x:v>
      </x:c>
      <x:c r="E16" s="200" t="str">
        <x:f>'Delivery Stages'!B16</x:f>
        <x:v>Skill Forge and governed self-improvement</x:v>
      </x:c>
      <x:c r="F16" s="201" t="n">
        <x:f>'Delivery Stages'!N16</x:f>
        <x:v>48</x:v>
      </x:c>
      <x:c r="G16" s="47"/>
      <x:c r="H16" s="47"/>
      <x:c r="I16" s="47"/>
      <x:c r="J16" s="47"/>
      <x:c r="K16" s="47"/>
      <x:c r="L16" s="47"/>
      <x:c r="M16" s="47"/>
      <x:c r="N16" s="47"/>
      <x:c r="O16" s="47"/>
      <x:c r="P16" s="47"/>
      <x:c r="Q16" s="47"/>
      <x:c r="R16" s="47"/>
      <x:c r="S16" s="47"/>
      <x:c r="T16" s="47"/>
      <x:c r="U16" s="47"/>
      <x:c r="V16" s="47"/>
      <x:c r="W16" s="47"/>
      <x:c r="X16" s="47"/>
      <x:c r="Y16" s="47"/>
      <x:c r="Z16" s="47"/>
    </x:row>
    <x:row r="17">
      <x:c r="A17" s="199" t="str">
        <x:v>Residual high/critical foundation threats</x:v>
      </x:c>
      <x:c r="B17" s="201" t="n">
        <x:f>COUNTIF('Foundation Threats'!K5:K34,"&gt;=15")</x:f>
        <x:v>0</x:v>
      </x:c>
      <x:c r="C17" s="47"/>
      <x:c r="D17" s="202" t="n">
        <x:f>'Delivery Stages'!A17</x:f>
        <x:v>12</x:v>
      </x:c>
      <x:c r="E17" s="203" t="str">
        <x:f>'Delivery Stages'!B17</x:f>
        <x:v>Security hardening, internal pilot and rollout decision</x:v>
      </x:c>
      <x:c r="F17" s="204" t="n">
        <x:f>'Delivery Stages'!N17</x:f>
        <x:v>96</x:v>
      </x:c>
      <x:c r="G17" s="47"/>
      <x:c r="H17" s="47"/>
      <x:c r="I17" s="47"/>
      <x:c r="J17" s="47"/>
      <x:c r="K17" s="47"/>
      <x:c r="L17" s="47"/>
      <x:c r="M17" s="47"/>
      <x:c r="N17" s="47"/>
      <x:c r="O17" s="47"/>
      <x:c r="P17" s="47"/>
      <x:c r="Q17" s="47"/>
      <x:c r="R17" s="47"/>
      <x:c r="S17" s="47"/>
      <x:c r="T17" s="47"/>
      <x:c r="U17" s="47"/>
      <x:c r="V17" s="47"/>
      <x:c r="W17" s="47"/>
      <x:c r="X17" s="47"/>
      <x:c r="Y17" s="47"/>
      <x:c r="Z17" s="47"/>
    </x:row>
    <x:row r="18">
      <x:c r="A18" s="199" t="str">
        <x:v>Open assumptions/questions</x:v>
      </x:c>
      <x:c r="B18" s="201" t="n">
        <x:f>COUNTIF('Assumptions Questions'!H5:H44,"Open")+COUNTIF('Assumptions Questions'!H5:H44,"Assumed")+COUNTIF('Assumptions Questions'!H5:H44,"Draft decision")</x:f>
        <x:v>40</x:v>
      </x:c>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Architecture decisions accepted/in-principle</x:v>
      </x:c>
      <x:c r="B19" s="201" t="n">
        <x:f>COUNTIF('Architecture Decisions'!C5:C26,"Accepted in principle")+COUNTIF('Architecture Decisions'!C5:C26,"Accepted")</x:f>
        <x:v>20</x:v>
      </x:c>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2" t="str">
        <x:v>Registered research sources</x:v>
      </x:c>
      <x:c r="B20" s="204" t="n">
        <x:f>COUNTA('Source Register'!A5:A200)</x:f>
        <x:v>96</x:v>
      </x:c>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ht="30" customHeight="1">
      <x:c r="A24" s="261" t="str">
        <x:v>Leadership interpretation and decision rules</x:v>
      </x:c>
      <x:c r="B24" s="261"/>
      <x:c r="C24" s="261"/>
      <x:c r="D24" s="376" t="str">
        <x:v>Stage 2–3 metric</x:v>
      </x:c>
      <x:c r="E24" s="377" t="str">
        <x:v>Value</x:v>
      </x:c>
      <x:c r="F24" s="378" t="str">
        <x:v>Interpretation</x:v>
      </x:c>
      <x:c r="G24" s="261"/>
      <x:c r="H24" s="261"/>
      <x:c r="I24" s="261"/>
      <x:c r="J24" s="261"/>
      <x:c r="K24" s="47"/>
      <x:c r="L24" s="47"/>
      <x:c r="M24" s="47"/>
      <x:c r="N24" s="47"/>
      <x:c r="O24" s="47"/>
      <x:c r="P24" s="47"/>
      <x:c r="Q24" s="47"/>
      <x:c r="R24" s="47"/>
      <x:c r="S24" s="47"/>
      <x:c r="T24" s="47"/>
      <x:c r="U24" s="47"/>
      <x:c r="V24" s="47"/>
      <x:c r="W24" s="47"/>
      <x:c r="X24" s="47"/>
      <x:c r="Y24" s="47"/>
      <x:c r="Z24" s="47"/>
    </x:row>
    <x:row r="25" ht="28" customHeight="1">
      <x:c r="A25" s="169" t="str">
        <x:v>#</x:v>
      </x:c>
      <x:c r="B25" s="175" t="str">
        <x:v>Decision rule</x:v>
      </x:c>
      <x:c r="C25" s="47"/>
      <x:c r="D25" s="391" t="str">
        <x:v>Stage 2 gate readiness</x:v>
      </x:c>
      <x:c r="E25" s="399" t="n">
        <x:f>'Stage 2-3 Dashboard'!B5</x:f>
        <x:v>0.7571428571428572</x:v>
      </x:c>
      <x:c r="F25" s="393" t="str">
        <x:v>Ontology specification readiness; formal approval pending.</x:v>
      </x:c>
      <x:c r="G25" s="47"/>
      <x:c r="H25" s="47"/>
      <x:c r="I25" s="47"/>
      <x:c r="J25" s="47"/>
      <x:c r="K25" s="47"/>
      <x:c r="L25" s="47"/>
      <x:c r="M25" s="47"/>
      <x:c r="N25" s="47"/>
      <x:c r="O25" s="47"/>
      <x:c r="P25" s="47"/>
      <x:c r="Q25" s="47"/>
      <x:c r="R25" s="47"/>
      <x:c r="S25" s="47"/>
      <x:c r="T25" s="47"/>
      <x:c r="U25" s="47"/>
      <x:c r="V25" s="47"/>
      <x:c r="W25" s="47"/>
      <x:c r="X25" s="47"/>
      <x:c r="Y25" s="47"/>
      <x:c r="Z25" s="47"/>
    </x:row>
    <x:row r="26">
      <x:c r="A26" s="197" t="str">
        <x:v>1</x:v>
      </x:c>
      <x:c r="B26" s="262" t="str">
        <x:v>Foundation drafting is complete; Stage 0 remains unapproved until DPIA/DPO, legal, worker consultation, security and executive decisions are recorded.</x:v>
      </x:c>
      <x:c r="C26" s="267"/>
      <x:c r="D26" s="383" t="str">
        <x:v>Stage 3 gate readiness</x:v>
      </x:c>
      <x:c r="E26" s="400" t="n">
        <x:f>'Stage 2-3 Dashboard'!B6</x:f>
        <x:v>0.7333333333333333</x:v>
      </x:c>
      <x:c r="F26" s="384" t="str">
        <x:v>Device-agent foundation readiness; code implementation pending.</x:v>
      </x:c>
      <x:c r="G26" s="267"/>
      <x:c r="H26" s="267"/>
      <x:c r="I26" s="267"/>
      <x:c r="J26" s="268"/>
      <x:c r="K26" s="47"/>
      <x:c r="L26" s="47"/>
      <x:c r="M26" s="47"/>
      <x:c r="N26" s="47"/>
      <x:c r="O26" s="47"/>
      <x:c r="P26" s="47"/>
      <x:c r="Q26" s="47"/>
      <x:c r="R26" s="47"/>
      <x:c r="S26" s="47"/>
      <x:c r="T26" s="47"/>
      <x:c r="U26" s="47"/>
      <x:c r="V26" s="47"/>
      <x:c r="W26" s="47"/>
      <x:c r="X26" s="47"/>
      <x:c r="Y26" s="47"/>
      <x:c r="Z26" s="47"/>
    </x:row>
    <x:row r="27">
      <x:c r="A27" s="199" t="str">
        <x:v>2</x:v>
      </x:c>
      <x:c r="B27" s="262" t="str">
        <x:v>Stage 1 remains unapproved until formal licence, platform inventory, cost, resourcing and Architecture Board decisions are recorded.</x:v>
      </x:c>
      <x:c r="C27" s="267"/>
      <x:c r="D27" s="383" t="str">
        <x:v>Stage 2 backlog maturity</x:v>
      </x:c>
      <x:c r="E27" s="400" t="n">
        <x:f>'Stage 2-3 Dashboard'!B7</x:f>
        <x:v>0</x:v>
      </x:c>
      <x:c r="F27" s="384" t="str">
        <x:v>Backlog is not started; specs are drafted.</x:v>
      </x:c>
      <x:c r="G27" s="267"/>
      <x:c r="H27" s="267"/>
      <x:c r="I27" s="267"/>
      <x:c r="J27" s="268"/>
      <x:c r="K27" s="47"/>
      <x:c r="L27" s="47"/>
      <x:c r="M27" s="47"/>
      <x:c r="N27" s="47"/>
      <x:c r="O27" s="47"/>
      <x:c r="P27" s="47"/>
      <x:c r="Q27" s="47"/>
      <x:c r="R27" s="47"/>
      <x:c r="S27" s="47"/>
      <x:c r="T27" s="47"/>
      <x:c r="U27" s="47"/>
      <x:c r="V27" s="47"/>
      <x:c r="W27" s="47"/>
      <x:c r="X27" s="47"/>
      <x:c r="Y27" s="47"/>
      <x:c r="Z27" s="47"/>
    </x:row>
    <x:row r="28">
      <x:c r="A28" s="199" t="str">
        <x:v>3</x:v>
      </x:c>
      <x:c r="B28" s="262" t="str">
        <x:v>Stage 2 and Stage 3 prompts are ready and may be mobilised conditionally, but implementation involving employee monitoring must not bypass Stage 0 conditions.</x:v>
      </x:c>
      <x:c r="C28" s="267"/>
      <x:c r="D28" s="383" t="str">
        <x:v>Stage 3 backlog maturity</x:v>
      </x:c>
      <x:c r="E28" s="400" t="n">
        <x:f>'Stage 2-3 Dashboard'!B8</x:f>
        <x:v>0</x:v>
      </x:c>
      <x:c r="F28" s="384" t="str">
        <x:v>Backlog is not started; specs are drafted.</x:v>
      </x:c>
      <x:c r="G28" s="267"/>
      <x:c r="H28" s="267"/>
      <x:c r="I28" s="267"/>
      <x:c r="J28" s="268"/>
      <x:c r="K28" s="47"/>
      <x:c r="L28" s="47"/>
      <x:c r="M28" s="47"/>
      <x:c r="N28" s="47"/>
      <x:c r="O28" s="47"/>
      <x:c r="P28" s="47"/>
      <x:c r="Q28" s="47"/>
      <x:c r="R28" s="47"/>
      <x:c r="S28" s="47"/>
      <x:c r="T28" s="47"/>
      <x:c r="U28" s="47"/>
      <x:c r="V28" s="47"/>
      <x:c r="W28" s="47"/>
      <x:c r="X28" s="47"/>
      <x:c r="Y28" s="47"/>
      <x:c r="Z28" s="47"/>
    </x:row>
    <x:row r="29">
      <x:c r="A29" s="199" t="str">
        <x:v>4</x:v>
      </x:c>
      <x:c r="B29" s="262" t="str">
        <x:v>Build the proprietary evidence/provenance, Task Assurance, Capability Graph, Growth Coach and Skill Forge layers; reuse standards and HumanOS foundation services.</x:v>
      </x:c>
      <x:c r="C29" s="267"/>
      <x:c r="D29" s="383" t="str">
        <x:v>Stage 2 sources</x:v>
      </x:c>
      <x:c r="E29" s="379" t="n">
        <x:f>'Stage 2-3 Dashboard'!B13</x:f>
        <x:v>12</x:v>
      </x:c>
      <x:c r="F29" s="384" t="str">
        <x:v>Stage-specific sources.</x:v>
      </x:c>
      <x:c r="G29" s="267"/>
      <x:c r="H29" s="267"/>
      <x:c r="I29" s="267"/>
      <x:c r="J29" s="268"/>
      <x:c r="K29" s="47"/>
      <x:c r="L29" s="47"/>
      <x:c r="M29" s="47"/>
      <x:c r="N29" s="47"/>
      <x:c r="O29" s="47"/>
      <x:c r="P29" s="47"/>
      <x:c r="Q29" s="47"/>
      <x:c r="R29" s="47"/>
      <x:c r="S29" s="47"/>
      <x:c r="T29" s="47"/>
      <x:c r="U29" s="47"/>
      <x:c r="V29" s="47"/>
      <x:c r="W29" s="47"/>
      <x:c r="X29" s="47"/>
      <x:c r="Y29" s="47"/>
      <x:c r="Z29" s="47"/>
    </x:row>
    <x:row r="30">
      <x:c r="A30" s="199" t="str">
        <x:v>5</x:v>
      </x:c>
      <x:c r="B30" s="262" t="str">
        <x:v>Do not measure productivity through click, keystroke, code-volume or hours alone. Use task outcomes, quality, independence, context and employee response.</x:v>
      </x:c>
      <x:c r="C30" s="267"/>
      <x:c r="D30" s="385" t="str">
        <x:v>Stage 3 sources</x:v>
      </x:c>
      <x:c r="E30" s="386" t="n">
        <x:f>'Stage 2-3 Dashboard'!B14</x:f>
        <x:v>20</x:v>
      </x:c>
      <x:c r="F30" s="387" t="str">
        <x:v>Stage-specific sources.</x:v>
      </x:c>
      <x:c r="G30" s="267"/>
      <x:c r="H30" s="267"/>
      <x:c r="I30" s="267"/>
      <x:c r="J30" s="268"/>
      <x:c r="K30" s="47"/>
      <x:c r="L30" s="47"/>
      <x:c r="M30" s="47"/>
      <x:c r="N30" s="47"/>
      <x:c r="O30" s="47"/>
      <x:c r="P30" s="47"/>
      <x:c r="Q30" s="47"/>
      <x:c r="R30" s="47"/>
      <x:c r="S30" s="47"/>
      <x:c r="T30" s="47"/>
      <x:c r="U30" s="47"/>
      <x:c r="V30" s="47"/>
      <x:c r="W30" s="47"/>
      <x:c r="X30" s="47"/>
      <x:c r="Y30" s="47"/>
      <x:c r="Z30" s="47"/>
    </x:row>
    <x:row r="31">
      <x:c r="A31" s="199" t="str">
        <x:v>6</x:v>
      </x:c>
      <x:c r="B31" s="262" t="str">
        <x:v>Keep operational observability separate from sensitive employee evidence; use references and correlation identifiers rather than copying content into traces.</x:v>
      </x:c>
      <x:c r="C31" s="267"/>
      <x:c r="D31" s="267"/>
      <x:c r="E31" s="267"/>
      <x:c r="F31" s="267"/>
      <x:c r="G31" s="267"/>
      <x:c r="H31" s="267"/>
      <x:c r="I31" s="267"/>
      <x:c r="J31" s="268"/>
      <x:c r="K31" s="47"/>
      <x:c r="L31" s="47"/>
      <x:c r="M31" s="47"/>
      <x:c r="N31" s="47"/>
      <x:c r="O31" s="47"/>
      <x:c r="P31" s="47"/>
      <x:c r="Q31" s="47"/>
      <x:c r="R31" s="47"/>
      <x:c r="S31" s="47"/>
      <x:c r="T31" s="47"/>
      <x:c r="U31" s="47"/>
      <x:c r="V31" s="47"/>
      <x:c r="W31" s="47"/>
      <x:c r="X31" s="47"/>
      <x:c r="Y31" s="47"/>
      <x:c r="Z31" s="47"/>
    </x:row>
    <x:row r="32">
      <x:c r="A32" s="202" t="str">
        <x:v>7</x:v>
      </x:c>
      <x:c r="B32" s="262" t="str">
        <x:v>Pilot success requires employee usefulness and trust evidence as well as capture and model accuracy.</x:v>
      </x:c>
      <x:c r="C32" s="267"/>
      <x:c r="D32" s="267"/>
      <x:c r="E32" s="267"/>
      <x:c r="F32" s="267"/>
      <x:c r="G32" s="267"/>
      <x:c r="H32" s="267"/>
      <x:c r="I32" s="267"/>
      <x:c r="J32" s="268"/>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E4:J4"/>
    <x:mergeCell ref="F5:J5"/>
    <x:mergeCell ref="F6:J6"/>
    <x:mergeCell ref="F7:J7"/>
    <x:mergeCell ref="F8:J8"/>
    <x:mergeCell ref="F9:J9"/>
    <x:mergeCell ref="A24:J24"/>
    <x:mergeCell ref="B26:J26"/>
    <x:mergeCell ref="B27:J27"/>
    <x:mergeCell ref="B28:J28"/>
    <x:mergeCell ref="B29:J29"/>
    <x:mergeCell ref="B30:J30"/>
    <x:mergeCell ref="B31:J31"/>
    <x:mergeCell ref="B32:J32"/>
  </x:mergeCells>
  <x:conditionalFormatting sqref="B10:B13">
    <x:cfRule type="dataBar" priority="1">
      <x:dataBar>
        <x:cfvo type="min"/>
        <x:cfvo type="max"/>
        <x:color rgb="FFA02B93"/>
      </x:dataBar>
      <x:extLst>
        <x:ext xmlns:x14="http://schemas.microsoft.com/office/spreadsheetml/2009/9/main" uri="{B025F937-C7B1-47D3-B67F-A62EFF666E3E}">
          <x14:id>{A8C29B92-7E5D-F1FD-AD1F-1BC96FBD399E}</x14:id>
        </x:ext>
      </x:extLst>
    </x:cfRule>
  </x:conditionalFormatting>
  <x:pageMargins left="0.7" right="0.7" top="0.75" bottom="0.75" header="0.3" footer="0.3"/>
  <x:drawing xmlns:r="http://schemas.openxmlformats.org/officeDocument/2006/relationships" r:id="R02ce336f6c8840ae"/>
  <x:tableParts count="1">
    <x:tablePart xmlns:r="http://schemas.openxmlformats.org/officeDocument/2006/relationships" r:id="Re7ca187c3cde4b26"/>
  </x:tableParts>
  <x:extLst>
    <x:ext xmlns:x14="http://schemas.microsoft.com/office/spreadsheetml/2009/9/main" xmlns:xm="http://schemas.microsoft.com/office/excel/2006/main" uri="{78C0D931-6437-407d-A8EE-F0AAD7539E65}">
      <x14:conditionalFormattings>
        <x14:conditionalFormatting>
          <x14:cfRule type="dataBar" priority="1" id="{A8C29B92-7E5D-F1FD-AD1F-1BC96FBD399E}">
            <x14:dataBar gradient="1">
              <x14:cfvo type="min"/>
              <x14:cfvo type="max"/>
              <x14:fillColor rgb="FFA02B93"/>
            </x14:dataBar>
          </x14:cfRule>
          <xm:sqref>B10:B13</xm:sqref>
        </x14:conditionalFormatting>
      </x14:conditionalFormattings>
    </x:ext>
  </x:extLst>
</x:worksheet>
</file>

<file path=xl/worksheets/sheet14.xml><?xml version="1.0" encoding="utf-8"?>
<x:worksheet xmlns:x="http://schemas.openxmlformats.org/spreadsheetml/2006/main">
  <x:sheetFormatPr defaultRowHeight="15"/>
  <x:cols>
    <x:col min="1" max="1" width="12" hidden="0" customWidth="1"/>
    <x:col min="2" max="2" width="40" hidden="0" customWidth="1"/>
    <x:col min="3" max="3" width="26" hidden="0" customWidth="1"/>
    <x:col min="4" max="4" width="58" hidden="0" customWidth="1"/>
    <x:col min="5" max="5" width="64" hidden="0" customWidth="1"/>
    <x:col min="6" max="6" width="12" hidden="0" customWidth="1"/>
    <x:col min="7" max="7" width="42" hidden="0" customWidth="1"/>
  </x:cols>
  <x:sheetData>
    <x:row r="1" ht="30" customHeight="1">
      <x:c r="A1" s="161" t="str">
        <x:v>Source Register</x:v>
      </x:c>
      <x:c r="B1" s="161"/>
      <x:c r="C1" s="161"/>
      <x:c r="D1" s="161"/>
      <x:c r="E1" s="161"/>
      <x:c r="F1" s="161"/>
      <x:c r="G1" s="161"/>
      <x:c r="H1" s="64"/>
      <x:c r="I1" s="65"/>
      <x:c r="J1" s="65"/>
      <x:c r="K1" s="65"/>
      <x:c r="L1" s="65"/>
      <x:c r="M1" s="65"/>
      <x:c r="N1" s="65"/>
      <x:c r="O1" s="65"/>
      <x:c r="P1" s="65"/>
      <x:c r="Q1" s="65"/>
      <x:c r="R1" s="65"/>
      <x:c r="S1" s="65"/>
      <x:c r="T1" s="65"/>
      <x:c r="U1" s="65"/>
      <x:c r="V1" s="65"/>
      <x:c r="W1" s="65"/>
      <x:c r="X1" s="65"/>
      <x:c r="Y1" s="65"/>
      <x:c r="Z1" s="65"/>
    </x:row>
    <x:row r="2" ht="34" customHeight="1">
      <x:c r="A2" s="164" t="str">
        <x:v>Primary and high-value research sources used for the Stage 0–1 foundation package. Sources support planning decisions but do not replace Nessovo legal, security, architecture or procurement approvals.</x:v>
      </x:c>
      <x:c r="B2" s="164"/>
      <x:c r="C2" s="164"/>
      <x:c r="D2" s="164"/>
      <x:c r="E2" s="164"/>
      <x:c r="F2" s="164"/>
      <x:c r="G2" s="164"/>
      <x:c r="H2" s="48"/>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Source ID</x:v>
      </x:c>
      <x:c r="B4" s="170" t="str">
        <x:v>Source / publisher</x:v>
      </x:c>
      <x:c r="C4" s="170" t="str">
        <x:v>Type</x:v>
      </x:c>
      <x:c r="D4" s="170" t="str">
        <x:v>Supports</x:v>
      </x:c>
      <x:c r="E4" s="170" t="str">
        <x:v>Source URL</x:v>
      </x:c>
      <x:c r="F4" s="170" t="str">
        <x:v>Priority</x:v>
      </x:c>
      <x:c r="G4" s="175" t="str">
        <x:v>Review note / status</x:v>
      </x:c>
      <x:c r="H4" s="47"/>
      <x:c r="I4" s="47"/>
      <x:c r="J4" s="47"/>
      <x:c r="K4" s="47"/>
      <x:c r="L4" s="47"/>
      <x:c r="M4" s="47"/>
      <x:c r="N4" s="47"/>
      <x:c r="O4" s="47"/>
      <x:c r="P4" s="47"/>
      <x:c r="Q4" s="47"/>
      <x:c r="R4" s="47"/>
      <x:c r="S4" s="47"/>
      <x:c r="T4" s="47"/>
      <x:c r="U4" s="47"/>
      <x:c r="V4" s="47"/>
      <x:c r="W4" s="47"/>
      <x:c r="X4" s="47"/>
      <x:c r="Y4" s="47"/>
      <x:c r="Z4" s="47"/>
    </x:row>
    <x:row r="5">
      <x:c r="A5" s="197" t="str">
        <x:v>SRC-001</x:v>
      </x:c>
      <x:c r="B5" s="198" t="str">
        <x:v>OpenAI — Prompt engineering best practices</x:v>
      </x:c>
      <x:c r="C5" s="198" t="str">
        <x:v>Official guidance</x:v>
      </x:c>
      <x:c r="D5" s="198" t="str">
        <x:v>Instructions first, delimiters, specificity, output examples and iterative refinement.</x:v>
      </x:c>
      <x:c r="E5" s="198" t="str">
        <x:v>https://help.openai.com/en/articles/6654000-best-practices-for-prompt-engineering-with-the-openai-api</x:v>
      </x:c>
      <x:c r="F5" s="198" t="str">
        <x:v>High</x:v>
      </x:c>
      <x:c r="G5" s="220" t="str">
        <x:v>Used in Master Prompts.</x:v>
      </x:c>
      <x:c r="H5" s="47"/>
      <x:c r="I5" s="47"/>
      <x:c r="J5" s="47"/>
      <x:c r="K5" s="47"/>
      <x:c r="L5" s="47"/>
      <x:c r="M5" s="47"/>
      <x:c r="N5" s="47"/>
      <x:c r="O5" s="47"/>
      <x:c r="P5" s="47"/>
      <x:c r="Q5" s="47"/>
      <x:c r="R5" s="47"/>
      <x:c r="S5" s="47"/>
      <x:c r="T5" s="47"/>
      <x:c r="U5" s="47"/>
      <x:c r="V5" s="47"/>
      <x:c r="W5" s="47"/>
      <x:c r="X5" s="47"/>
      <x:c r="Y5" s="47"/>
      <x:c r="Z5" s="47"/>
    </x:row>
    <x:row r="6">
      <x:c r="A6" s="205" t="str">
        <x:v>SRC-002</x:v>
      </x:c>
      <x:c r="B6" s="206" t="str">
        <x:v>OpenAI — Prompt engineering best practices for ChatGPT</x:v>
      </x:c>
      <x:c r="C6" s="206" t="str">
        <x:v>Official guidance</x:v>
      </x:c>
      <x:c r="D6" s="206" t="str">
        <x:v>Clear task, context, format, iterative refinement and examples.</x:v>
      </x:c>
      <x:c r="E6" s="206" t="str">
        <x:v>https://help.openai.com/en/articles/10032626-prompt-engineering-best-practices</x:v>
      </x:c>
      <x:c r="F6" s="206" t="str">
        <x:v>High</x:v>
      </x:c>
      <x:c r="G6" s="207" t="str">
        <x:v>Used in Master Prompts.</x:v>
      </x:c>
      <x:c r="H6" s="47"/>
      <x:c r="I6" s="47"/>
      <x:c r="J6" s="47"/>
      <x:c r="K6" s="47"/>
      <x:c r="L6" s="47"/>
      <x:c r="M6" s="47"/>
      <x:c r="N6" s="47"/>
      <x:c r="O6" s="47"/>
      <x:c r="P6" s="47"/>
      <x:c r="Q6" s="47"/>
      <x:c r="R6" s="47"/>
      <x:c r="S6" s="47"/>
      <x:c r="T6" s="47"/>
      <x:c r="U6" s="47"/>
      <x:c r="V6" s="47"/>
      <x:c r="W6" s="47"/>
      <x:c r="X6" s="47"/>
      <x:c r="Y6" s="47"/>
      <x:c r="Z6" s="47"/>
    </x:row>
    <x:row r="7">
      <x:c r="A7" s="199" t="str">
        <x:v>SRC-003</x:v>
      </x:c>
      <x:c r="B7" s="200" t="str">
        <x:v>Google Gemini — Prompting strategies</x:v>
      </x:c>
      <x:c r="C7" s="200" t="str">
        <x:v>Official guidance</x:v>
      </x:c>
      <x:c r="D7" s="200" t="str">
        <x:v>Precise instructions, consistent structure, decomposition, planning and validation.</x:v>
      </x:c>
      <x:c r="E7" s="200" t="str">
        <x:v>https://ai.google.dev/gemini-api/docs/prompting-strategies</x:v>
      </x:c>
      <x:c r="F7" s="200" t="str">
        <x:v>High</x:v>
      </x:c>
      <x:c r="G7" s="201" t="str">
        <x:v>Used in Master Prompts.</x:v>
      </x:c>
      <x:c r="H7" s="47"/>
      <x:c r="I7" s="47"/>
      <x:c r="J7" s="47"/>
      <x:c r="K7" s="47"/>
      <x:c r="L7" s="47"/>
      <x:c r="M7" s="47"/>
      <x:c r="N7" s="47"/>
      <x:c r="O7" s="47"/>
      <x:c r="P7" s="47"/>
      <x:c r="Q7" s="47"/>
      <x:c r="R7" s="47"/>
      <x:c r="S7" s="47"/>
      <x:c r="T7" s="47"/>
      <x:c r="U7" s="47"/>
      <x:c r="V7" s="47"/>
      <x:c r="W7" s="47"/>
      <x:c r="X7" s="47"/>
      <x:c r="Y7" s="47"/>
      <x:c r="Z7" s="47"/>
    </x:row>
    <x:row r="8">
      <x:c r="A8" s="205" t="str">
        <x:v>SRC-004</x:v>
      </x:c>
      <x:c r="B8" s="206" t="str">
        <x:v>GitHub Copilot — Prompt engineering concepts</x:v>
      </x:c>
      <x:c r="C8" s="206" t="str">
        <x:v>Official guidance</x:v>
      </x:c>
      <x:c r="D8" s="206" t="str">
        <x:v>Break down complex tasks, provide context/examples and validate outputs.</x:v>
      </x:c>
      <x:c r="E8" s="206" t="str">
        <x:v>https://docs.github.com/en/enterprise-cloud@latest/copilot/concepts/prompting/prompt-engineering</x:v>
      </x:c>
      <x:c r="F8" s="206" t="str">
        <x:v>High</x:v>
      </x:c>
      <x:c r="G8" s="207" t="str">
        <x:v>Used in Master Prompts.</x:v>
      </x:c>
      <x:c r="H8" s="47"/>
      <x:c r="I8" s="47"/>
      <x:c r="J8" s="47"/>
      <x:c r="K8" s="47"/>
      <x:c r="L8" s="47"/>
      <x:c r="M8" s="47"/>
      <x:c r="N8" s="47"/>
      <x:c r="O8" s="47"/>
      <x:c r="P8" s="47"/>
      <x:c r="Q8" s="47"/>
      <x:c r="R8" s="47"/>
      <x:c r="S8" s="47"/>
      <x:c r="T8" s="47"/>
      <x:c r="U8" s="47"/>
      <x:c r="V8" s="47"/>
      <x:c r="W8" s="47"/>
      <x:c r="X8" s="47"/>
      <x:c r="Y8" s="47"/>
      <x:c r="Z8" s="47"/>
    </x:row>
    <x:row r="9">
      <x:c r="A9" s="199" t="str">
        <x:v>SRC-005</x:v>
      </x:c>
      <x:c r="B9" s="200" t="str">
        <x:v>GitHub Copilot — Best practices</x:v>
      </x:c>
      <x:c r="C9" s="200" t="str">
        <x:v>Official guidance</x:v>
      </x:c>
      <x:c r="D9" s="200" t="str">
        <x:v>Specific prompts, task decomposition, context and output review.</x:v>
      </x:c>
      <x:c r="E9" s="200" t="str">
        <x:v>https://docs.github.com/en/copilot/get-started/best-practices</x:v>
      </x:c>
      <x:c r="F9" s="200" t="str">
        <x:v>High</x:v>
      </x:c>
      <x:c r="G9" s="201" t="str">
        <x:v>Used in Master Prompts.</x:v>
      </x:c>
      <x:c r="H9" s="47"/>
      <x:c r="I9" s="47"/>
      <x:c r="J9" s="47"/>
      <x:c r="K9" s="47"/>
      <x:c r="L9" s="47"/>
      <x:c r="M9" s="47"/>
      <x:c r="N9" s="47"/>
      <x:c r="O9" s="47"/>
      <x:c r="P9" s="47"/>
      <x:c r="Q9" s="47"/>
      <x:c r="R9" s="47"/>
      <x:c r="S9" s="47"/>
      <x:c r="T9" s="47"/>
      <x:c r="U9" s="47"/>
      <x:c r="V9" s="47"/>
      <x:c r="W9" s="47"/>
      <x:c r="X9" s="47"/>
      <x:c r="Y9" s="47"/>
      <x:c r="Z9" s="47"/>
    </x:row>
    <x:row r="10">
      <x:c r="A10" s="205" t="str">
        <x:v>SRC-006</x:v>
      </x:c>
      <x:c r="B10" s="206" t="str">
        <x:v>Teramind employee monitoring</x:v>
      </x:c>
      <x:c r="C10" s="206" t="str">
        <x:v>Commercial product</x:v>
      </x:c>
      <x:c r="D10" s="206" t="str">
        <x:v>Market baseline for screen, keystroke, application/web and active/idle monitoring.</x:v>
      </x:c>
      <x:c r="E10" s="206" t="str">
        <x:v>https://www.teramind.co/solutions/employee-monitoring/</x:v>
      </x:c>
      <x:c r="F10" s="206" t="str">
        <x:v>High</x:v>
      </x:c>
      <x:c r="G10" s="207" t="str">
        <x:v>Benchmark only; not recommended as product core.</x:v>
      </x:c>
      <x:c r="H10" s="47"/>
      <x:c r="I10" s="47"/>
      <x:c r="J10" s="47"/>
      <x:c r="K10" s="47"/>
      <x:c r="L10" s="47"/>
      <x:c r="M10" s="47"/>
      <x:c r="N10" s="47"/>
      <x:c r="O10" s="47"/>
      <x:c r="P10" s="47"/>
      <x:c r="Q10" s="47"/>
      <x:c r="R10" s="47"/>
      <x:c r="S10" s="47"/>
      <x:c r="T10" s="47"/>
      <x:c r="U10" s="47"/>
      <x:c r="V10" s="47"/>
      <x:c r="W10" s="47"/>
      <x:c r="X10" s="47"/>
      <x:c r="Y10" s="47"/>
      <x:c r="Z10" s="47"/>
    </x:row>
    <x:row r="11">
      <x:c r="A11" s="199" t="str">
        <x:v>SRC-007</x:v>
      </x:c>
      <x:c r="B11" s="200" t="str">
        <x:v>Teramind live desktop/history playback</x:v>
      </x:c>
      <x:c r="C11" s="200" t="str">
        <x:v>Commercial product</x:v>
      </x:c>
      <x:c r="D11" s="200" t="str">
        <x:v>Live view and historical screen playback capability.</x:v>
      </x:c>
      <x:c r="E11" s="200" t="str">
        <x:v>https://www.teramind.co/features/live-desktop-view-history-playback/</x:v>
      </x:c>
      <x:c r="F11" s="200" t="str">
        <x:v>Medium</x:v>
      </x:c>
      <x:c r="G11" s="201" t="str">
        <x:v>Raw monitoring baseline.</x:v>
      </x:c>
      <x:c r="H11" s="47"/>
      <x:c r="I11" s="47"/>
      <x:c r="J11" s="47"/>
      <x:c r="K11" s="47"/>
      <x:c r="L11" s="47"/>
      <x:c r="M11" s="47"/>
      <x:c r="N11" s="47"/>
      <x:c r="O11" s="47"/>
      <x:c r="P11" s="47"/>
      <x:c r="Q11" s="47"/>
      <x:c r="R11" s="47"/>
      <x:c r="S11" s="47"/>
      <x:c r="T11" s="47"/>
      <x:c r="U11" s="47"/>
      <x:c r="V11" s="47"/>
      <x:c r="W11" s="47"/>
      <x:c r="X11" s="47"/>
      <x:c r="Y11" s="47"/>
      <x:c r="Z11" s="47"/>
    </x:row>
    <x:row r="12">
      <x:c r="A12" s="205" t="str">
        <x:v>SRC-008</x:v>
      </x:c>
      <x:c r="B12" s="206" t="str">
        <x:v>ActivTrak AI Insights</x:v>
      </x:c>
      <x:c r="C12" s="206" t="str">
        <x:v>Commercial product</x:v>
      </x:c>
      <x:c r="D12" s="206" t="str">
        <x:v>AI-tool adoption, workforce analytics and productivity-impact reporting.</x:v>
      </x:c>
      <x:c r="E12" s="206" t="str">
        <x:v>https://support.activtrak.com/hc/en-us/articles/50125731483675-AI-Insights-Add-on</x:v>
      </x:c>
      <x:c r="F12" s="206" t="str">
        <x:v>High</x:v>
      </x:c>
      <x:c r="G12" s="207" t="str">
        <x:v>Reporting/market signal.</x:v>
      </x:c>
      <x:c r="H12" s="47"/>
      <x:c r="I12" s="47"/>
      <x:c r="J12" s="47"/>
      <x:c r="K12" s="47"/>
      <x:c r="L12" s="47"/>
      <x:c r="M12" s="47"/>
      <x:c r="N12" s="47"/>
      <x:c r="O12" s="47"/>
      <x:c r="P12" s="47"/>
      <x:c r="Q12" s="47"/>
      <x:c r="R12" s="47"/>
      <x:c r="S12" s="47"/>
      <x:c r="T12" s="47"/>
      <x:c r="U12" s="47"/>
      <x:c r="V12" s="47"/>
      <x:c r="W12" s="47"/>
      <x:c r="X12" s="47"/>
      <x:c r="Y12" s="47"/>
      <x:c r="Z12" s="47"/>
    </x:row>
    <x:row r="13">
      <x:c r="A13" s="199" t="str">
        <x:v>SRC-009</x:v>
      </x:c>
      <x:c r="B13" s="200" t="str">
        <x:v>UiPath Task Capture settings</x:v>
      </x:c>
      <x:c r="C13" s="200" t="str">
        <x:v>Commercial documentation</x:v>
      </x:c>
      <x:c r="D13" s="200" t="str">
        <x:v>Screenshots around clicks/keyboard actions, UI elements and task capture.</x:v>
      </x:c>
      <x:c r="E13" s="200" t="str">
        <x:v>https://docs.uipath.com/task-capture/standalone/2021.10/user-guide/capture-settings</x:v>
      </x:c>
      <x:c r="F13" s="200" t="str">
        <x:v>High</x:v>
      </x:c>
      <x:c r="G13" s="201" t="str">
        <x:v>Action-level capture reference.</x:v>
      </x:c>
      <x:c r="H13" s="47"/>
      <x:c r="I13" s="47"/>
      <x:c r="J13" s="47"/>
      <x:c r="K13" s="47"/>
      <x:c r="L13" s="47"/>
      <x:c r="M13" s="47"/>
      <x:c r="N13" s="47"/>
      <x:c r="O13" s="47"/>
      <x:c r="P13" s="47"/>
      <x:c r="Q13" s="47"/>
      <x:c r="R13" s="47"/>
      <x:c r="S13" s="47"/>
      <x:c r="T13" s="47"/>
      <x:c r="U13" s="47"/>
      <x:c r="V13" s="47"/>
      <x:c r="W13" s="47"/>
      <x:c r="X13" s="47"/>
      <x:c r="Y13" s="47"/>
      <x:c r="Z13" s="47"/>
    </x:row>
    <x:row r="14">
      <x:c r="A14" s="205" t="str">
        <x:v>SRC-010</x:v>
      </x:c>
      <x:c r="B14" s="206" t="str">
        <x:v>UiPath Task Mining</x:v>
      </x:c>
      <x:c r="C14" s="206" t="str">
        <x:v>Commercial documentation</x:v>
      </x:c>
      <x:c r="D14" s="206" t="str">
        <x:v>Task-mining projects and process discovery.</x:v>
      </x:c>
      <x:c r="E14" s="206" t="str">
        <x:v>https://docs.uipath.com/process-mining/automation-cloud/latest/user-guide/starting-a-task-mining-project-from-process-mining</x:v>
      </x:c>
      <x:c r="F14" s="206" t="str">
        <x:v>High</x:v>
      </x:c>
      <x:c r="G14" s="207" t="str">
        <x:v>Process/task mining reference.</x:v>
      </x:c>
      <x:c r="H14" s="47"/>
      <x:c r="I14" s="47"/>
      <x:c r="J14" s="47"/>
      <x:c r="K14" s="47"/>
      <x:c r="L14" s="47"/>
      <x:c r="M14" s="47"/>
      <x:c r="N14" s="47"/>
      <x:c r="O14" s="47"/>
      <x:c r="P14" s="47"/>
      <x:c r="Q14" s="47"/>
      <x:c r="R14" s="47"/>
      <x:c r="S14" s="47"/>
      <x:c r="T14" s="47"/>
      <x:c r="U14" s="47"/>
      <x:c r="V14" s="47"/>
      <x:c r="W14" s="47"/>
      <x:c r="X14" s="47"/>
      <x:c r="Y14" s="47"/>
      <x:c r="Z14" s="47"/>
    </x:row>
    <x:row r="15">
      <x:c r="A15" s="199" t="str">
        <x:v>SRC-011</x:v>
      </x:c>
      <x:c r="B15" s="200" t="str">
        <x:v>ABBYY Timeline Task Mining</x:v>
      </x:c>
      <x:c r="C15" s="200" t="str">
        <x:v>Commercial documentation</x:v>
      </x:c>
      <x:c r="D15" s="200" t="str">
        <x:v>Screen snapshots, clicks, text entered, applications and task association.</x:v>
      </x:c>
      <x:c r="E15" s="200" t="str">
        <x:v>https://help.abbyy.com/en-us/timeline/6/user_guide/task-mining</x:v>
      </x:c>
      <x:c r="F15" s="200" t="str">
        <x:v>High</x:v>
      </x:c>
      <x:c r="G15" s="201" t="str">
        <x:v>Task reconstruction reference.</x:v>
      </x:c>
      <x:c r="H15" s="47"/>
      <x:c r="I15" s="47"/>
      <x:c r="J15" s="47"/>
      <x:c r="K15" s="47"/>
      <x:c r="L15" s="47"/>
      <x:c r="M15" s="47"/>
      <x:c r="N15" s="47"/>
      <x:c r="O15" s="47"/>
      <x:c r="P15" s="47"/>
      <x:c r="Q15" s="47"/>
      <x:c r="R15" s="47"/>
      <x:c r="S15" s="47"/>
      <x:c r="T15" s="47"/>
      <x:c r="U15" s="47"/>
      <x:c r="V15" s="47"/>
      <x:c r="W15" s="47"/>
      <x:c r="X15" s="47"/>
      <x:c r="Y15" s="47"/>
      <x:c r="Z15" s="47"/>
    </x:row>
    <x:row r="16">
      <x:c r="A16" s="205" t="str">
        <x:v>SRC-012</x:v>
      </x:c>
      <x:c r="B16" s="206" t="str">
        <x:v>Microsoft Power Automate AI Recorder</x:v>
      </x:c>
      <x:c r="C16" s="206" t="str">
        <x:v>Official documentation</x:v>
      </x:c>
      <x:c r="D16" s="206" t="str">
        <x:v>Screen/voice/mouse/keyboard demonstration converted into desktop automation.</x:v>
      </x:c>
      <x:c r="E16" s="206" t="str">
        <x:v>https://learn.microsoft.com/en-us/power-automate/desktop-flows/create-flow-using-ai-recorder</x:v>
      </x:c>
      <x:c r="F16" s="206" t="str">
        <x:v>Medium</x:v>
      </x:c>
      <x:c r="G16" s="207" t="str">
        <x:v>Record/replay and Skill Forge reference.</x:v>
      </x:c>
      <x:c r="H16" s="47"/>
      <x:c r="I16" s="47"/>
      <x:c r="J16" s="47"/>
      <x:c r="K16" s="47"/>
      <x:c r="L16" s="47"/>
      <x:c r="M16" s="47"/>
      <x:c r="N16" s="47"/>
      <x:c r="O16" s="47"/>
      <x:c r="P16" s="47"/>
      <x:c r="Q16" s="47"/>
      <x:c r="R16" s="47"/>
      <x:c r="S16" s="47"/>
      <x:c r="T16" s="47"/>
      <x:c r="U16" s="47"/>
      <x:c r="V16" s="47"/>
      <x:c r="W16" s="47"/>
      <x:c r="X16" s="47"/>
      <x:c r="Y16" s="47"/>
      <x:c r="Z16" s="47"/>
    </x:row>
    <x:row r="17">
      <x:c r="A17" s="199" t="str">
        <x:v>SRC-013</x:v>
      </x:c>
      <x:c r="B17" s="200" t="str">
        <x:v>Microsoft Power Automate desktop recording</x:v>
      </x:c>
      <x:c r="C17" s="200" t="str">
        <x:v>Official documentation</x:v>
      </x:c>
      <x:c r="D17" s="200" t="str">
        <x:v>Mouse/keyboard and UI/image/OCR-based automation recording.</x:v>
      </x:c>
      <x:c r="E17" s="200" t="str">
        <x:v>https://learn.microsoft.com/en-gb/power-automate/desktop-flows/recording-flow</x:v>
      </x:c>
      <x:c r="F17" s="200" t="str">
        <x:v>Medium</x:v>
      </x:c>
      <x:c r="G17" s="201" t="str">
        <x:v>GUI capture/replay reference.</x:v>
      </x:c>
      <x:c r="H17" s="47"/>
      <x:c r="I17" s="47"/>
      <x:c r="J17" s="47"/>
      <x:c r="K17" s="47"/>
      <x:c r="L17" s="47"/>
      <x:c r="M17" s="47"/>
      <x:c r="N17" s="47"/>
      <x:c r="O17" s="47"/>
      <x:c r="P17" s="47"/>
      <x:c r="Q17" s="47"/>
      <x:c r="R17" s="47"/>
      <x:c r="S17" s="47"/>
      <x:c r="T17" s="47"/>
      <x:c r="U17" s="47"/>
      <x:c r="V17" s="47"/>
      <x:c r="W17" s="47"/>
      <x:c r="X17" s="47"/>
      <x:c r="Y17" s="47"/>
      <x:c r="Z17" s="47"/>
    </x:row>
    <x:row r="18">
      <x:c r="A18" s="205" t="str">
        <x:v>SRC-014</x:v>
      </x:c>
      <x:c r="B18" s="206" t="str">
        <x:v>Soroco</x:v>
      </x:c>
      <x:c r="C18" s="206" t="str">
        <x:v>Commercial product</x:v>
      </x:c>
      <x:c r="D18" s="206" t="str">
        <x:v>Work graph, process variants, workarounds and automation opportunity discovery.</x:v>
      </x:c>
      <x:c r="E18" s="206" t="str">
        <x:v>https://soroco.com/</x:v>
      </x:c>
      <x:c r="F18" s="206" t="str">
        <x:v>Medium</x:v>
      </x:c>
      <x:c r="G18" s="207" t="str">
        <x:v>Work-graph category reference.</x:v>
      </x:c>
      <x:c r="H18" s="47"/>
      <x:c r="I18" s="47"/>
      <x:c r="J18" s="47"/>
      <x:c r="K18" s="47"/>
      <x:c r="L18" s="47"/>
      <x:c r="M18" s="47"/>
      <x:c r="N18" s="47"/>
      <x:c r="O18" s="47"/>
      <x:c r="P18" s="47"/>
      <x:c r="Q18" s="47"/>
      <x:c r="R18" s="47"/>
      <x:c r="S18" s="47"/>
      <x:c r="T18" s="47"/>
      <x:c r="U18" s="47"/>
      <x:c r="V18" s="47"/>
      <x:c r="W18" s="47"/>
      <x:c r="X18" s="47"/>
      <x:c r="Y18" s="47"/>
      <x:c r="Z18" s="47"/>
    </x:row>
    <x:row r="19">
      <x:c r="A19" s="199" t="str">
        <x:v>SRC-015</x:v>
      </x:c>
      <x:c r="B19" s="200" t="str">
        <x:v>Workfellow</x:v>
      </x:c>
      <x:c r="C19" s="200" t="str">
        <x:v>Commercial product</x:v>
      </x:c>
      <x:c r="D19" s="200" t="str">
        <x:v>Process and task mining and workflow analysis.</x:v>
      </x:c>
      <x:c r="E19" s="200" t="str">
        <x:v>https://www.workfellow.ai/</x:v>
      </x:c>
      <x:c r="F19" s="200" t="str">
        <x:v>Medium</x:v>
      </x:c>
      <x:c r="G19" s="201" t="str">
        <x:v>Process-intelligence reference.</x:v>
      </x:c>
      <x:c r="H19" s="47"/>
      <x:c r="I19" s="47"/>
      <x:c r="J19" s="47"/>
      <x:c r="K19" s="47"/>
      <x:c r="L19" s="47"/>
      <x:c r="M19" s="47"/>
      <x:c r="N19" s="47"/>
      <x:c r="O19" s="47"/>
      <x:c r="P19" s="47"/>
      <x:c r="Q19" s="47"/>
      <x:c r="R19" s="47"/>
      <x:c r="S19" s="47"/>
      <x:c r="T19" s="47"/>
      <x:c r="U19" s="47"/>
      <x:c r="V19" s="47"/>
      <x:c r="W19" s="47"/>
      <x:c r="X19" s="47"/>
      <x:c r="Y19" s="47"/>
      <x:c r="Z19" s="47"/>
    </x:row>
    <x:row r="20">
      <x:c r="A20" s="205" t="str">
        <x:v>SRC-016</x:v>
      </x:c>
      <x:c r="B20" s="206" t="str">
        <x:v>LinearB AI &amp; Developer Productivity Insights</x:v>
      </x:c>
      <x:c r="C20" s="206" t="str">
        <x:v>Commercial product</x:v>
      </x:c>
      <x:c r="D20" s="206" t="str">
        <x:v>AI usage, engineering productivity, workflow governance, coaching and business alignment.</x:v>
      </x:c>
      <x:c r="E20" s="206" t="str">
        <x:v>https://linearb.io/platform/ai-developer-productivity-insights</x:v>
      </x:c>
      <x:c r="F20" s="206" t="str">
        <x:v>High</x:v>
      </x:c>
      <x:c r="G20" s="207" t="str">
        <x:v>Adjacent software-development competitor.</x:v>
      </x:c>
      <x:c r="H20" s="47"/>
      <x:c r="I20" s="47"/>
      <x:c r="J20" s="47"/>
      <x:c r="K20" s="47"/>
      <x:c r="L20" s="47"/>
      <x:c r="M20" s="47"/>
      <x:c r="N20" s="47"/>
      <x:c r="O20" s="47"/>
      <x:c r="P20" s="47"/>
      <x:c r="Q20" s="47"/>
      <x:c r="R20" s="47"/>
      <x:c r="S20" s="47"/>
      <x:c r="T20" s="47"/>
      <x:c r="U20" s="47"/>
      <x:c r="V20" s="47"/>
      <x:c r="W20" s="47"/>
      <x:c r="X20" s="47"/>
      <x:c r="Y20" s="47"/>
      <x:c r="Z20" s="47"/>
    </x:row>
    <x:row r="21">
      <x:c r="A21" s="199" t="str">
        <x:v>SRC-017</x:v>
      </x:c>
      <x:c r="B21" s="200" t="str">
        <x:v>LinearB AI Workflow Governance</x:v>
      </x:c>
      <x:c r="C21" s="200" t="str">
        <x:v>Commercial product</x:v>
      </x:c>
      <x:c r="D21" s="200" t="str">
        <x:v>AI workflow automation, scalable policy and governance across engineering tools.</x:v>
      </x:c>
      <x:c r="E21" s="200" t="str">
        <x:v>https://linearb.io/platform/ai-workflow-governance</x:v>
      </x:c>
      <x:c r="F21" s="200" t="str">
        <x:v>Medium</x:v>
      </x:c>
      <x:c r="G21" s="201" t="str">
        <x:v>Developer AI governance reference.</x:v>
      </x:c>
      <x:c r="H21" s="47"/>
      <x:c r="I21" s="47"/>
      <x:c r="J21" s="47"/>
      <x:c r="K21" s="47"/>
      <x:c r="L21" s="47"/>
      <x:c r="M21" s="47"/>
      <x:c r="N21" s="47"/>
      <x:c r="O21" s="47"/>
      <x:c r="P21" s="47"/>
      <x:c r="Q21" s="47"/>
      <x:c r="R21" s="47"/>
      <x:c r="S21" s="47"/>
      <x:c r="T21" s="47"/>
      <x:c r="U21" s="47"/>
      <x:c r="V21" s="47"/>
      <x:c r="W21" s="47"/>
      <x:c r="X21" s="47"/>
      <x:c r="Y21" s="47"/>
      <x:c r="Z21" s="47"/>
    </x:row>
    <x:row r="22">
      <x:c r="A22" s="205" t="str">
        <x:v>SRC-018</x:v>
      </x:c>
      <x:c r="B22" s="206" t="str">
        <x:v>Jellyfish engineering intelligence</x:v>
      </x:c>
      <x:c r="C22" s="206" t="str">
        <x:v>Commercial product</x:v>
      </x:c>
      <x:c r="D22" s="206" t="str">
        <x:v>AI-integrated engineering intelligence, AI spend/usage, workflow and delivery outcomes.</x:v>
      </x:c>
      <x:c r="E22" s="206" t="str">
        <x:v>https://jellyfish.co/</x:v>
      </x:c>
      <x:c r="F22" s="206" t="str">
        <x:v>High</x:v>
      </x:c>
      <x:c r="G22" s="207" t="str">
        <x:v>Adjacent software-development competitor.</x:v>
      </x:c>
      <x:c r="H22" s="47"/>
      <x:c r="I22" s="47"/>
      <x:c r="J22" s="47"/>
      <x:c r="K22" s="47"/>
      <x:c r="L22" s="47"/>
      <x:c r="M22" s="47"/>
      <x:c r="N22" s="47"/>
      <x:c r="O22" s="47"/>
      <x:c r="P22" s="47"/>
      <x:c r="Q22" s="47"/>
      <x:c r="R22" s="47"/>
      <x:c r="S22" s="47"/>
      <x:c r="T22" s="47"/>
      <x:c r="U22" s="47"/>
      <x:c r="V22" s="47"/>
      <x:c r="W22" s="47"/>
      <x:c r="X22" s="47"/>
      <x:c r="Y22" s="47"/>
      <x:c r="Z22" s="47"/>
    </x:row>
    <x:row r="23">
      <x:c r="A23" s="199" t="str">
        <x:v>SRC-019</x:v>
      </x:c>
      <x:c r="B23" s="200" t="str">
        <x:v>Jellyfish Data Hub</x:v>
      </x:c>
      <x:c r="C23" s="200" t="str">
        <x:v>Commercial product</x:v>
      </x:c>
      <x:c r="D23" s="200" t="str">
        <x:v>Combines Jira/PR/AI usage, DORA and custom engineering metrics.</x:v>
      </x:c>
      <x:c r="E23" s="200" t="str">
        <x:v>https://jellyfish.co/platform/data-hub/</x:v>
      </x:c>
      <x:c r="F23" s="200" t="str">
        <x:v>Medium</x:v>
      </x:c>
      <x:c r="G23" s="201" t="str">
        <x:v>Engineering data model/reporting reference.</x:v>
      </x:c>
      <x:c r="H23" s="47"/>
      <x:c r="I23" s="47"/>
      <x:c r="J23" s="47"/>
      <x:c r="K23" s="47"/>
      <x:c r="L23" s="47"/>
      <x:c r="M23" s="47"/>
      <x:c r="N23" s="47"/>
      <x:c r="O23" s="47"/>
      <x:c r="P23" s="47"/>
      <x:c r="Q23" s="47"/>
      <x:c r="R23" s="47"/>
      <x:c r="S23" s="47"/>
      <x:c r="T23" s="47"/>
      <x:c r="U23" s="47"/>
      <x:c r="V23" s="47"/>
      <x:c r="W23" s="47"/>
      <x:c r="X23" s="47"/>
      <x:c r="Y23" s="47"/>
      <x:c r="Z23" s="47"/>
    </x:row>
    <x:row r="24">
      <x:c r="A24" s="205" t="str">
        <x:v>SRC-020</x:v>
      </x:c>
      <x:c r="B24" s="206" t="str">
        <x:v>Jellyfish Claude Code dashboard</x:v>
      </x:c>
      <x:c r="C24" s="206" t="str">
        <x:v>Commercial product</x:v>
      </x:c>
      <x:c r="D24" s="206" t="str">
        <x:v>Claude Code adoption, usage and delivery impact.</x:v>
      </x:c>
      <x:c r="E24" s="206" t="str">
        <x:v>https://jellyfish.co/platform/claude-code-dashboard/</x:v>
      </x:c>
      <x:c r="F24" s="206" t="str">
        <x:v>Medium</x:v>
      </x:c>
      <x:c r="G24" s="207" t="str">
        <x:v>AI developer-tool ROI reference.</x:v>
      </x:c>
      <x:c r="H24" s="47"/>
      <x:c r="I24" s="47"/>
      <x:c r="J24" s="47"/>
      <x:c r="K24" s="47"/>
      <x:c r="L24" s="47"/>
      <x:c r="M24" s="47"/>
      <x:c r="N24" s="47"/>
      <x:c r="O24" s="47"/>
      <x:c r="P24" s="47"/>
      <x:c r="Q24" s="47"/>
      <x:c r="R24" s="47"/>
      <x:c r="S24" s="47"/>
      <x:c r="T24" s="47"/>
      <x:c r="U24" s="47"/>
      <x:c r="V24" s="47"/>
      <x:c r="W24" s="47"/>
      <x:c r="X24" s="47"/>
      <x:c r="Y24" s="47"/>
      <x:c r="Z24" s="47"/>
    </x:row>
    <x:row r="25">
      <x:c r="A25" s="199" t="str">
        <x:v>SRC-021</x:v>
      </x:c>
      <x:c r="B25" s="200" t="str">
        <x:v>GitClear</x:v>
      </x:c>
      <x:c r="C25" s="200" t="str">
        <x:v>Commercial product</x:v>
      </x:c>
      <x:c r="D25" s="200" t="str">
        <x:v>Code analytics, AI-code quality and developer analytics.</x:v>
      </x:c>
      <x:c r="E25" s="200" t="str">
        <x:v>https://www.gitclear.com/</x:v>
      </x:c>
      <x:c r="F25" s="200" t="str">
        <x:v>Medium</x:v>
      </x:c>
      <x:c r="G25" s="201" t="str">
        <x:v>Repository/code-quality reference.</x:v>
      </x:c>
      <x:c r="H25" s="47"/>
      <x:c r="I25" s="47"/>
      <x:c r="J25" s="47"/>
      <x:c r="K25" s="47"/>
      <x:c r="L25" s="47"/>
      <x:c r="M25" s="47"/>
      <x:c r="N25" s="47"/>
      <x:c r="O25" s="47"/>
      <x:c r="P25" s="47"/>
      <x:c r="Q25" s="47"/>
      <x:c r="R25" s="47"/>
      <x:c r="S25" s="47"/>
      <x:c r="T25" s="47"/>
      <x:c r="U25" s="47"/>
      <x:c r="V25" s="47"/>
      <x:c r="W25" s="47"/>
      <x:c r="X25" s="47"/>
      <x:c r="Y25" s="47"/>
      <x:c r="Z25" s="47"/>
    </x:row>
    <x:row r="26">
      <x:c r="A26" s="205" t="str">
        <x:v>SRC-022</x:v>
      </x:c>
      <x:c r="B26" s="206" t="str">
        <x:v>TechWolf Skills Intelligence</x:v>
      </x:c>
      <x:c r="C26" s="206" t="str">
        <x:v>Commercial product</x:v>
      </x:c>
      <x:c r="D26" s="206" t="str">
        <x:v>Continuously inferred skills from actual work activity and HCM integration.</x:v>
      </x:c>
      <x:c r="E26" s="206" t="str">
        <x:v>https://www.techwolf.ai/product/skills-intelligence</x:v>
      </x:c>
      <x:c r="F26" s="206" t="str">
        <x:v>High</x:v>
      </x:c>
      <x:c r="G26" s="207" t="str">
        <x:v>Directly relevant to capability verification.</x:v>
      </x:c>
      <x:c r="H26" s="47"/>
      <x:c r="I26" s="47"/>
      <x:c r="J26" s="47"/>
      <x:c r="K26" s="47"/>
      <x:c r="L26" s="47"/>
      <x:c r="M26" s="47"/>
      <x:c r="N26" s="47"/>
      <x:c r="O26" s="47"/>
      <x:c r="P26" s="47"/>
      <x:c r="Q26" s="47"/>
      <x:c r="R26" s="47"/>
      <x:c r="S26" s="47"/>
      <x:c r="T26" s="47"/>
      <x:c r="U26" s="47"/>
      <x:c r="V26" s="47"/>
      <x:c r="W26" s="47"/>
      <x:c r="X26" s="47"/>
      <x:c r="Y26" s="47"/>
      <x:c r="Z26" s="47"/>
    </x:row>
    <x:row r="27">
      <x:c r="A27" s="199" t="str">
        <x:v>SRC-023</x:v>
      </x:c>
      <x:c r="B27" s="200" t="str">
        <x:v>TechWolf platform</x:v>
      </x:c>
      <x:c r="C27" s="200" t="str">
        <x:v>Commercial product</x:v>
      </x:c>
      <x:c r="D27" s="200" t="str">
        <x:v>Skills, work and market intelligence data layer.</x:v>
      </x:c>
      <x:c r="E27" s="200" t="str">
        <x:v>https://www.techwolf.ai/</x:v>
      </x:c>
      <x:c r="F27" s="200" t="str">
        <x:v>High</x:v>
      </x:c>
      <x:c r="G27" s="201" t="str">
        <x:v>Skills/work-intelligence category reference.</x:v>
      </x:c>
      <x:c r="H27" s="47"/>
      <x:c r="I27" s="47"/>
      <x:c r="J27" s="47"/>
      <x:c r="K27" s="47"/>
      <x:c r="L27" s="47"/>
      <x:c r="M27" s="47"/>
      <x:c r="N27" s="47"/>
      <x:c r="O27" s="47"/>
      <x:c r="P27" s="47"/>
      <x:c r="Q27" s="47"/>
      <x:c r="R27" s="47"/>
      <x:c r="S27" s="47"/>
      <x:c r="T27" s="47"/>
      <x:c r="U27" s="47"/>
      <x:c r="V27" s="47"/>
      <x:c r="W27" s="47"/>
      <x:c r="X27" s="47"/>
      <x:c r="Y27" s="47"/>
      <x:c r="Z27" s="47"/>
    </x:row>
    <x:row r="28">
      <x:c r="A28" s="205" t="str">
        <x:v>SRC-024</x:v>
      </x:c>
      <x:c r="B28" s="206" t="str">
        <x:v>Eightfold Talent Intelligence</x:v>
      </x:c>
      <x:c r="C28" s="206" t="str">
        <x:v>Commercial product</x:v>
      </x:c>
      <x:c r="D28" s="206" t="str">
        <x:v>Models workers, skills, capabilities and work signals for hiring, development and staffing.</x:v>
      </x:c>
      <x:c r="E28" s="206" t="str">
        <x:v>https://eightfold.ai/products/</x:v>
      </x:c>
      <x:c r="F28" s="206" t="str">
        <x:v>High</x:v>
      </x:c>
      <x:c r="G28" s="207" t="str">
        <x:v>Talent/capability reference.</x:v>
      </x:c>
      <x:c r="H28" s="47"/>
      <x:c r="I28" s="47"/>
      <x:c r="J28" s="47"/>
      <x:c r="K28" s="47"/>
      <x:c r="L28" s="47"/>
      <x:c r="M28" s="47"/>
      <x:c r="N28" s="47"/>
      <x:c r="O28" s="47"/>
      <x:c r="P28" s="47"/>
      <x:c r="Q28" s="47"/>
      <x:c r="R28" s="47"/>
      <x:c r="S28" s="47"/>
      <x:c r="T28" s="47"/>
      <x:c r="U28" s="47"/>
      <x:c r="V28" s="47"/>
      <x:c r="W28" s="47"/>
      <x:c r="X28" s="47"/>
      <x:c r="Y28" s="47"/>
      <x:c r="Z28" s="47"/>
    </x:row>
    <x:row r="29">
      <x:c r="A29" s="199" t="str">
        <x:v>SRC-025</x:v>
      </x:c>
      <x:c r="B29" s="200" t="str">
        <x:v>Eightfold Talent Management</x:v>
      </x:c>
      <x:c r="C29" s="200" t="str">
        <x:v>Commercial product</x:v>
      </x:c>
      <x:c r="D29" s="200" t="str">
        <x:v>Employee skills, work signals, career development and workforce readiness.</x:v>
      </x:c>
      <x:c r="E29" s="200" t="str">
        <x:v>https://eightfold.ai/products/talent-management/</x:v>
      </x:c>
      <x:c r="F29" s="200" t="str">
        <x:v>Medium</x:v>
      </x:c>
      <x:c r="G29" s="201" t="str">
        <x:v>Employee-growth reference.</x:v>
      </x:c>
      <x:c r="H29" s="47"/>
      <x:c r="I29" s="47"/>
      <x:c r="J29" s="47"/>
      <x:c r="K29" s="47"/>
      <x:c r="L29" s="47"/>
      <x:c r="M29" s="47"/>
      <x:c r="N29" s="47"/>
      <x:c r="O29" s="47"/>
      <x:c r="P29" s="47"/>
      <x:c r="Q29" s="47"/>
      <x:c r="R29" s="47"/>
      <x:c r="S29" s="47"/>
      <x:c r="T29" s="47"/>
      <x:c r="U29" s="47"/>
      <x:c r="V29" s="47"/>
      <x:c r="W29" s="47"/>
      <x:c r="X29" s="47"/>
      <x:c r="Y29" s="47"/>
      <x:c r="Z29" s="47"/>
    </x:row>
    <x:row r="30">
      <x:c r="A30" s="205" t="str">
        <x:v>SRC-026</x:v>
      </x:c>
      <x:c r="B30" s="206" t="str">
        <x:v>Gloat Workforce Graph</x:v>
      </x:c>
      <x:c r="C30" s="206" t="str">
        <x:v>Commercial product</x:v>
      </x:c>
      <x:c r="D30" s="206" t="str">
        <x:v>Dynamic skills ontology, task-role mapping and workforce graph.</x:v>
      </x:c>
      <x:c r="E30" s="206" t="str">
        <x:v>https://gloat.com/platform/workforce-graph/</x:v>
      </x:c>
      <x:c r="F30" s="206" t="str">
        <x:v>High</x:v>
      </x:c>
      <x:c r="G30" s="207" t="str">
        <x:v>Capability/workforce graph reference.</x:v>
      </x:c>
      <x:c r="H30" s="47"/>
      <x:c r="I30" s="47"/>
      <x:c r="J30" s="47"/>
      <x:c r="K30" s="47"/>
      <x:c r="L30" s="47"/>
      <x:c r="M30" s="47"/>
      <x:c r="N30" s="47"/>
      <x:c r="O30" s="47"/>
      <x:c r="P30" s="47"/>
      <x:c r="Q30" s="47"/>
      <x:c r="R30" s="47"/>
      <x:c r="S30" s="47"/>
      <x:c r="T30" s="47"/>
      <x:c r="U30" s="47"/>
      <x:c r="V30" s="47"/>
      <x:c r="W30" s="47"/>
      <x:c r="X30" s="47"/>
      <x:c r="Y30" s="47"/>
      <x:c r="Z30" s="47"/>
    </x:row>
    <x:row r="31">
      <x:c r="A31" s="199" t="str">
        <x:v>SRC-027</x:v>
      </x:c>
      <x:c r="B31" s="200" t="str">
        <x:v>Gloat Agentic HR Platform</x:v>
      </x:c>
      <x:c r="C31" s="200" t="str">
        <x:v>Commercial product</x:v>
      </x:c>
      <x:c r="D31" s="200" t="str">
        <x:v>Governed, auditable and reversible workforce agents and skills inference.</x:v>
      </x:c>
      <x:c r="E31" s="200" t="str">
        <x:v>https://gloat.com/</x:v>
      </x:c>
      <x:c r="F31" s="200" t="str">
        <x:v>High</x:v>
      </x:c>
      <x:c r="G31" s="201" t="str">
        <x:v>Agentic HR and governance reference.</x:v>
      </x:c>
      <x:c r="H31" s="47"/>
      <x:c r="I31" s="47"/>
      <x:c r="J31" s="47"/>
      <x:c r="K31" s="47"/>
      <x:c r="L31" s="47"/>
      <x:c r="M31" s="47"/>
      <x:c r="N31" s="47"/>
      <x:c r="O31" s="47"/>
      <x:c r="P31" s="47"/>
      <x:c r="Q31" s="47"/>
      <x:c r="R31" s="47"/>
      <x:c r="S31" s="47"/>
      <x:c r="T31" s="47"/>
      <x:c r="U31" s="47"/>
      <x:c r="V31" s="47"/>
      <x:c r="W31" s="47"/>
      <x:c r="X31" s="47"/>
      <x:c r="Y31" s="47"/>
      <x:c r="Z31" s="47"/>
    </x:row>
    <x:row r="32">
      <x:c r="A32" s="205" t="str">
        <x:v>SRC-028</x:v>
      </x:c>
      <x:c r="B32" s="206" t="str">
        <x:v>Gloat Work Orchestration Mosaic</x:v>
      </x:c>
      <x:c r="C32" s="206" t="str">
        <x:v>Commercial product</x:v>
      </x:c>
      <x:c r="D32" s="206" t="str">
        <x:v>Human/AI task-level work planning and orchestration.</x:v>
      </x:c>
      <x:c r="E32" s="206" t="str">
        <x:v>https://gloat.com/platform/work-orchestration-mosaic/</x:v>
      </x:c>
      <x:c r="F32" s="206" t="str">
        <x:v>Medium</x:v>
      </x:c>
      <x:c r="G32" s="207" t="str">
        <x:v>Human–AI work orchestration reference.</x:v>
      </x:c>
      <x:c r="H32" s="47"/>
      <x:c r="I32" s="47"/>
      <x:c r="J32" s="47"/>
      <x:c r="K32" s="47"/>
      <x:c r="L32" s="47"/>
      <x:c r="M32" s="47"/>
      <x:c r="N32" s="47"/>
      <x:c r="O32" s="47"/>
      <x:c r="P32" s="47"/>
      <x:c r="Q32" s="47"/>
      <x:c r="R32" s="47"/>
      <x:c r="S32" s="47"/>
      <x:c r="T32" s="47"/>
      <x:c r="U32" s="47"/>
      <x:c r="V32" s="47"/>
      <x:c r="W32" s="47"/>
      <x:c r="X32" s="47"/>
      <x:c r="Y32" s="47"/>
      <x:c r="Z32" s="47"/>
    </x:row>
    <x:row r="33">
      <x:c r="A33" s="199" t="str">
        <x:v>SRC-029</x:v>
      </x:c>
      <x:c r="B33" s="200" t="str">
        <x:v>Degreed Maestro</x:v>
      </x:c>
      <x:c r="C33" s="200" t="str">
        <x:v>Commercial product</x:v>
      </x:c>
      <x:c r="D33" s="200" t="str">
        <x:v>AI learning, coaching, skill review, pathways and behaviour change.</x:v>
      </x:c>
      <x:c r="E33" s="200" t="str">
        <x:v>https://degreed.com/experience/artificial-intelligence/</x:v>
      </x:c>
      <x:c r="F33" s="200" t="str">
        <x:v>High</x:v>
      </x:c>
      <x:c r="G33" s="201" t="str">
        <x:v>Learning/coaching reference.</x:v>
      </x:c>
      <x:c r="H33" s="47"/>
      <x:c r="I33" s="47"/>
      <x:c r="J33" s="47"/>
      <x:c r="K33" s="47"/>
      <x:c r="L33" s="47"/>
      <x:c r="M33" s="47"/>
      <x:c r="N33" s="47"/>
      <x:c r="O33" s="47"/>
      <x:c r="P33" s="47"/>
      <x:c r="Q33" s="47"/>
      <x:c r="R33" s="47"/>
      <x:c r="S33" s="47"/>
      <x:c r="T33" s="47"/>
      <x:c r="U33" s="47"/>
      <x:c r="V33" s="47"/>
      <x:c r="W33" s="47"/>
      <x:c r="X33" s="47"/>
      <x:c r="Y33" s="47"/>
      <x:c r="Z33" s="47"/>
    </x:row>
    <x:row r="34">
      <x:c r="A34" s="205" t="str">
        <x:v>SRC-030</x:v>
      </x:c>
      <x:c r="B34" s="206" t="str">
        <x:v>Degreed platform</x:v>
      </x:c>
      <x:c r="C34" s="206" t="str">
        <x:v>Commercial product</x:v>
      </x:c>
      <x:c r="D34" s="206" t="str">
        <x:v>Personalised workforce learning and targeted upskilling.</x:v>
      </x:c>
      <x:c r="E34" s="206" t="str">
        <x:v>https://degreed.com/</x:v>
      </x:c>
      <x:c r="F34" s="206" t="str">
        <x:v>Medium</x:v>
      </x:c>
      <x:c r="G34" s="207" t="str">
        <x:v>Learning-content and LMS integration reference.</x:v>
      </x:c>
      <x:c r="H34" s="47"/>
      <x:c r="I34" s="47"/>
      <x:c r="J34" s="47"/>
      <x:c r="K34" s="47"/>
      <x:c r="L34" s="47"/>
      <x:c r="M34" s="47"/>
      <x:c r="N34" s="47"/>
      <x:c r="O34" s="47"/>
      <x:c r="P34" s="47"/>
      <x:c r="Q34" s="47"/>
      <x:c r="R34" s="47"/>
      <x:c r="S34" s="47"/>
      <x:c r="T34" s="47"/>
      <x:c r="U34" s="47"/>
      <x:c r="V34" s="47"/>
      <x:c r="W34" s="47"/>
      <x:c r="X34" s="47"/>
      <x:c r="Y34" s="47"/>
      <x:c r="Z34" s="47"/>
    </x:row>
    <x:row r="35">
      <x:c r="A35" s="199" t="str">
        <x:v>SRC-031</x:v>
      </x:c>
      <x:c r="B35" s="200" t="str">
        <x:v>Screenpipe GitHub</x:v>
      </x:c>
      <x:c r="C35" s="200" t="str">
        <x:v>Source-available repository</x:v>
      </x:c>
      <x:c r="D35" s="200" t="str">
        <x:v>Event-driven screen capture, accessibility, OCR fallback, keyboard/app events, local search and AI pipes.</x:v>
      </x:c>
      <x:c r="E35" s="200" t="str">
        <x:v>https://github.com/screenpipe/screenpipe</x:v>
      </x:c>
      <x:c r="F35" s="200" t="str">
        <x:v>High</x:v>
      </x:c>
      <x:c r="G35" s="201" t="str">
        <x:v>Commercial use requires licence per repository.</x:v>
      </x:c>
      <x:c r="H35" s="47"/>
      <x:c r="I35" s="47"/>
      <x:c r="J35" s="47"/>
      <x:c r="K35" s="47"/>
      <x:c r="L35" s="47"/>
      <x:c r="M35" s="47"/>
      <x:c r="N35" s="47"/>
      <x:c r="O35" s="47"/>
      <x:c r="P35" s="47"/>
      <x:c r="Q35" s="47"/>
      <x:c r="R35" s="47"/>
      <x:c r="S35" s="47"/>
      <x:c r="T35" s="47"/>
      <x:c r="U35" s="47"/>
      <x:c r="V35" s="47"/>
      <x:c r="W35" s="47"/>
      <x:c r="X35" s="47"/>
      <x:c r="Y35" s="47"/>
      <x:c r="Z35" s="47"/>
    </x:row>
    <x:row r="36">
      <x:c r="A36" s="205" t="str">
        <x:v>SRC-032</x:v>
      </x:c>
      <x:c r="B36" s="206" t="str">
        <x:v>ActivityWatch GitHub</x:v>
      </x:c>
      <x:c r="C36" s="206" t="str">
        <x:v>Open-source repository</x:v>
      </x:c>
      <x:c r="D36" s="206" t="str">
        <x:v>Local watcher/server architecture for window/browser/AFK events.</x:v>
      </x:c>
      <x:c r="E36" s="206" t="str">
        <x:v>https://github.com/ActivityWatch/activitywatch</x:v>
      </x:c>
      <x:c r="F36" s="206" t="str">
        <x:v>High</x:v>
      </x:c>
      <x:c r="G36" s="207" t="str">
        <x:v>MPL-2.0 verified.</x:v>
      </x:c>
      <x:c r="H36" s="47"/>
      <x:c r="I36" s="47"/>
      <x:c r="J36" s="47"/>
      <x:c r="K36" s="47"/>
      <x:c r="L36" s="47"/>
      <x:c r="M36" s="47"/>
      <x:c r="N36" s="47"/>
      <x:c r="O36" s="47"/>
      <x:c r="P36" s="47"/>
      <x:c r="Q36" s="47"/>
      <x:c r="R36" s="47"/>
      <x:c r="S36" s="47"/>
      <x:c r="T36" s="47"/>
      <x:c r="U36" s="47"/>
      <x:c r="V36" s="47"/>
      <x:c r="W36" s="47"/>
      <x:c r="X36" s="47"/>
      <x:c r="Y36" s="47"/>
      <x:c r="Z36" s="47"/>
    </x:row>
    <x:row r="37">
      <x:c r="A37" s="199" t="str">
        <x:v>SRC-033</x:v>
      </x:c>
      <x:c r="B37" s="200" t="str">
        <x:v>ActivityWatch window watcher</x:v>
      </x:c>
      <x:c r="C37" s="200" t="str">
        <x:v>Open-source repository</x:v>
      </x:c>
      <x:c r="D37" s="200" t="str">
        <x:v>Foreground-window event collector.</x:v>
      </x:c>
      <x:c r="E37" s="200" t="str">
        <x:v>https://github.com/ActivityWatch/aw-watcher-window</x:v>
      </x:c>
      <x:c r="F37" s="200" t="str">
        <x:v>Medium</x:v>
      </x:c>
      <x:c r="G37" s="201" t="str">
        <x:v>Reference for endpoint event semantics.</x:v>
      </x:c>
      <x:c r="H37" s="47"/>
      <x:c r="I37" s="47"/>
      <x:c r="J37" s="47"/>
      <x:c r="K37" s="47"/>
      <x:c r="L37" s="47"/>
      <x:c r="M37" s="47"/>
      <x:c r="N37" s="47"/>
      <x:c r="O37" s="47"/>
      <x:c r="P37" s="47"/>
      <x:c r="Q37" s="47"/>
      <x:c r="R37" s="47"/>
      <x:c r="S37" s="47"/>
      <x:c r="T37" s="47"/>
      <x:c r="U37" s="47"/>
      <x:c r="V37" s="47"/>
      <x:c r="W37" s="47"/>
      <x:c r="X37" s="47"/>
      <x:c r="Y37" s="47"/>
      <x:c r="Z37" s="47"/>
    </x:row>
    <x:row r="38">
      <x:c r="A38" s="205" t="str">
        <x:v>SRC-034</x:v>
      </x:c>
      <x:c r="B38" s="206" t="str">
        <x:v>ActivityWatch web watcher</x:v>
      </x:c>
      <x:c r="C38" s="206" t="str">
        <x:v>Open-source repository</x:v>
      </x:c>
      <x:c r="D38" s="206" t="str">
        <x:v>Browser tab/title/URL watcher.</x:v>
      </x:c>
      <x:c r="E38" s="206" t="str">
        <x:v>https://github.com/ActivityWatch/aw-watcher-web</x:v>
      </x:c>
      <x:c r="F38" s="206" t="str">
        <x:v>Medium</x:v>
      </x:c>
      <x:c r="G38" s="207" t="str">
        <x:v>Reference for browser adapter.</x:v>
      </x:c>
      <x:c r="H38" s="47"/>
      <x:c r="I38" s="47"/>
      <x:c r="J38" s="47"/>
      <x:c r="K38" s="47"/>
      <x:c r="L38" s="47"/>
      <x:c r="M38" s="47"/>
      <x:c r="N38" s="47"/>
      <x:c r="O38" s="47"/>
      <x:c r="P38" s="47"/>
      <x:c r="Q38" s="47"/>
      <x:c r="R38" s="47"/>
      <x:c r="S38" s="47"/>
      <x:c r="T38" s="47"/>
      <x:c r="U38" s="47"/>
      <x:c r="V38" s="47"/>
      <x:c r="W38" s="47"/>
      <x:c r="X38" s="47"/>
      <x:c r="Y38" s="47"/>
      <x:c r="Z38" s="47"/>
    </x:row>
    <x:row r="39">
      <x:c r="A39" s="199" t="str">
        <x:v>SRC-035</x:v>
      </x:c>
      <x:c r="B39" s="200" t="str">
        <x:v>OpenAdapt Desktop</x:v>
      </x:c>
      <x:c r="C39" s="200" t="str">
        <x:v>Open-source repository</x:v>
      </x:c>
      <x:c r="D39" s="200" t="str">
        <x:v>Capture/review/teach desktop architecture and bridge to workflow engine.</x:v>
      </x:c>
      <x:c r="E39" s="200" t="str">
        <x:v>https://github.com/OpenAdaptAI/openadapt-desktop</x:v>
      </x:c>
      <x:c r="F39" s="200" t="str">
        <x:v>High</x:v>
      </x:c>
      <x:c r="G39" s="201" t="str">
        <x:v>MIT; repository states experimental/non-production.</x:v>
      </x:c>
      <x:c r="H39" s="47"/>
      <x:c r="I39" s="47"/>
      <x:c r="J39" s="47"/>
      <x:c r="K39" s="47"/>
      <x:c r="L39" s="47"/>
      <x:c r="M39" s="47"/>
      <x:c r="N39" s="47"/>
      <x:c r="O39" s="47"/>
      <x:c r="P39" s="47"/>
      <x:c r="Q39" s="47"/>
      <x:c r="R39" s="47"/>
      <x:c r="S39" s="47"/>
      <x:c r="T39" s="47"/>
      <x:c r="U39" s="47"/>
      <x:c r="V39" s="47"/>
      <x:c r="W39" s="47"/>
      <x:c r="X39" s="47"/>
      <x:c r="Y39" s="47"/>
      <x:c r="Z39" s="47"/>
    </x:row>
    <x:row r="40">
      <x:c r="A40" s="205" t="str">
        <x:v>SRC-036</x:v>
      </x:c>
      <x:c r="B40" s="206" t="str">
        <x:v>OpenAdapt Flow</x:v>
      </x:c>
      <x:c r="C40" s="206" t="str">
        <x:v>Open-source repository</x:v>
      </x:c>
      <x:c r="D40" s="206" t="str">
        <x:v>Record/compile/lint/certify/replay/repair/teach workflow pattern.</x:v>
      </x:c>
      <x:c r="E40" s="206" t="str">
        <x:v>https://github.com/OpenAdaptAI/openadapt-flow</x:v>
      </x:c>
      <x:c r="F40" s="206" t="str">
        <x:v>Medium</x:v>
      </x:c>
      <x:c r="G40" s="207" t="str">
        <x:v>Licence/security review required.</x:v>
      </x:c>
      <x:c r="H40" s="47"/>
      <x:c r="I40" s="47"/>
      <x:c r="J40" s="47"/>
      <x:c r="K40" s="47"/>
      <x:c r="L40" s="47"/>
      <x:c r="M40" s="47"/>
      <x:c r="N40" s="47"/>
      <x:c r="O40" s="47"/>
      <x:c r="P40" s="47"/>
      <x:c r="Q40" s="47"/>
      <x:c r="R40" s="47"/>
      <x:c r="S40" s="47"/>
      <x:c r="T40" s="47"/>
      <x:c r="U40" s="47"/>
      <x:c r="V40" s="47"/>
      <x:c r="W40" s="47"/>
      <x:c r="X40" s="47"/>
      <x:c r="Y40" s="47"/>
      <x:c r="Z40" s="47"/>
    </x:row>
    <x:row r="41">
      <x:c r="A41" s="199" t="str">
        <x:v>SRC-037</x:v>
      </x:c>
      <x:c r="B41" s="200" t="str">
        <x:v>OpenAdapt Privacy</x:v>
      </x:c>
      <x:c r="C41" s="200" t="str">
        <x:v>Open-source repository</x:v>
      </x:c>
      <x:c r="D41" s="200" t="str">
        <x:v>Experimental PII/redaction component.</x:v>
      </x:c>
      <x:c r="E41" s="200" t="str">
        <x:v>https://github.com/OpenAdaptAI/openadapt-privacy</x:v>
      </x:c>
      <x:c r="F41" s="200" t="str">
        <x:v>Medium</x:v>
      </x:c>
      <x:c r="G41" s="201" t="str">
        <x:v>Independent evaluation and model-licence review required.</x:v>
      </x:c>
      <x:c r="H41" s="47"/>
      <x:c r="I41" s="47"/>
      <x:c r="J41" s="47"/>
      <x:c r="K41" s="47"/>
      <x:c r="L41" s="47"/>
      <x:c r="M41" s="47"/>
      <x:c r="N41" s="47"/>
      <x:c r="O41" s="47"/>
      <x:c r="P41" s="47"/>
      <x:c r="Q41" s="47"/>
      <x:c r="R41" s="47"/>
      <x:c r="S41" s="47"/>
      <x:c r="T41" s="47"/>
      <x:c r="U41" s="47"/>
      <x:c r="V41" s="47"/>
      <x:c r="W41" s="47"/>
      <x:c r="X41" s="47"/>
      <x:c r="Y41" s="47"/>
      <x:c r="Z41" s="47"/>
    </x:row>
    <x:row r="42">
      <x:c r="A42" s="205" t="str">
        <x:v>SRC-038</x:v>
      </x:c>
      <x:c r="B42" s="206" t="str">
        <x:v>Claude-Mem GitHub</x:v>
      </x:c>
      <x:c r="C42" s="206" t="str">
        <x:v>Open-source repository</x:v>
      </x:c>
      <x:c r="D42" s="206" t="str">
        <x:v>Agent lifecycle hooks, local worker, SQLite/FTS5, summaries and memory retrieval.</x:v>
      </x:c>
      <x:c r="E42" s="206" t="str">
        <x:v>https://github.com/thedotmack/claude-mem</x:v>
      </x:c>
      <x:c r="F42" s="206" t="str">
        <x:v>High</x:v>
      </x:c>
      <x:c r="G42" s="207" t="str">
        <x:v>Apache-2.0 in repository metadata.</x:v>
      </x:c>
      <x:c r="H42" s="47"/>
      <x:c r="I42" s="47"/>
      <x:c r="J42" s="47"/>
      <x:c r="K42" s="47"/>
      <x:c r="L42" s="47"/>
      <x:c r="M42" s="47"/>
      <x:c r="N42" s="47"/>
      <x:c r="O42" s="47"/>
      <x:c r="P42" s="47"/>
      <x:c r="Q42" s="47"/>
      <x:c r="R42" s="47"/>
      <x:c r="S42" s="47"/>
      <x:c r="T42" s="47"/>
      <x:c r="U42" s="47"/>
      <x:c r="V42" s="47"/>
      <x:c r="W42" s="47"/>
      <x:c r="X42" s="47"/>
      <x:c r="Y42" s="47"/>
      <x:c r="Z42" s="47"/>
    </x:row>
    <x:row r="43">
      <x:c r="A43" s="199" t="str">
        <x:v>SRC-039</x:v>
      </x:c>
      <x:c r="B43" s="200" t="str">
        <x:v>Task Observer GitHub</x:v>
      </x:c>
      <x:c r="C43" s="200" t="str">
        <x:v>Open-source methodology</x:v>
      </x:c>
      <x:c r="D43" s="200" t="str">
        <x:v>Correction/gap observations, cross-cutting principles and human-reviewed skill improvement.</x:v>
      </x:c>
      <x:c r="E43" s="200" t="str">
        <x:v>https://github.com/rebelytics/one-skill-to-rule-them-all</x:v>
      </x:c>
      <x:c r="F43" s="200" t="str">
        <x:v>High</x:v>
      </x:c>
      <x:c r="G43" s="201" t="str">
        <x:v>CC BY 4.0 attribution required.</x:v>
      </x:c>
      <x:c r="H43" s="47"/>
      <x:c r="I43" s="47"/>
      <x:c r="J43" s="47"/>
      <x:c r="K43" s="47"/>
      <x:c r="L43" s="47"/>
      <x:c r="M43" s="47"/>
      <x:c r="N43" s="47"/>
      <x:c r="O43" s="47"/>
      <x:c r="P43" s="47"/>
      <x:c r="Q43" s="47"/>
      <x:c r="R43" s="47"/>
      <x:c r="S43" s="47"/>
      <x:c r="T43" s="47"/>
      <x:c r="U43" s="47"/>
      <x:c r="V43" s="47"/>
      <x:c r="W43" s="47"/>
      <x:c r="X43" s="47"/>
      <x:c r="Y43" s="47"/>
      <x:c r="Z43" s="47"/>
    </x:row>
    <x:row r="44">
      <x:c r="A44" s="205" t="str">
        <x:v>SRC-040</x:v>
      </x:c>
      <x:c r="B44" s="206" t="str">
        <x:v>WakaTime CLI GitHub</x:v>
      </x:c>
      <x:c r="C44" s="206" t="str">
        <x:v>Open-source repository</x:v>
      </x:c>
      <x:c r="D44" s="206" t="str">
        <x:v>Developer editor/CLI heartbeat instrumentation.</x:v>
      </x:c>
      <x:c r="E44" s="206" t="str">
        <x:v>https://github.com/wakatime/wakatime-cli</x:v>
      </x:c>
      <x:c r="F44" s="206" t="str">
        <x:v>Medium</x:v>
      </x:c>
      <x:c r="G44" s="207" t="str">
        <x:v>BSD 3-Clause verified.</x:v>
      </x:c>
      <x:c r="H44" s="47"/>
      <x:c r="I44" s="47"/>
      <x:c r="J44" s="47"/>
      <x:c r="K44" s="47"/>
      <x:c r="L44" s="47"/>
      <x:c r="M44" s="47"/>
      <x:c r="N44" s="47"/>
      <x:c r="O44" s="47"/>
      <x:c r="P44" s="47"/>
      <x:c r="Q44" s="47"/>
      <x:c r="R44" s="47"/>
      <x:c r="S44" s="47"/>
      <x:c r="T44" s="47"/>
      <x:c r="U44" s="47"/>
      <x:c r="V44" s="47"/>
      <x:c r="W44" s="47"/>
      <x:c r="X44" s="47"/>
      <x:c r="Y44" s="47"/>
      <x:c r="Z44" s="47"/>
    </x:row>
    <x:row r="45">
      <x:c r="A45" s="199" t="str">
        <x:v>SRC-041</x:v>
      </x:c>
      <x:c r="B45" s="200" t="str">
        <x:v>OpenTelemetry Semantic Conventions GitHub</x:v>
      </x:c>
      <x:c r="C45" s="200" t="str">
        <x:v>Open standard repository</x:v>
      </x:c>
      <x:c r="D45" s="200" t="str">
        <x:v>Cross-language trace/metric/log semantic conventions.</x:v>
      </x:c>
      <x:c r="E45" s="200" t="str">
        <x:v>https://github.com/open-telemetry/semantic-conventions</x:v>
      </x:c>
      <x:c r="F45" s="200" t="str">
        <x:v>High</x:v>
      </x:c>
      <x:c r="G45" s="201" t="str">
        <x:v>Operational observability reference.</x:v>
      </x:c>
      <x:c r="H45" s="47"/>
      <x:c r="I45" s="47"/>
      <x:c r="J45" s="47"/>
      <x:c r="K45" s="47"/>
      <x:c r="L45" s="47"/>
      <x:c r="M45" s="47"/>
      <x:c r="N45" s="47"/>
      <x:c r="O45" s="47"/>
      <x:c r="P45" s="47"/>
      <x:c r="Q45" s="47"/>
      <x:c r="R45" s="47"/>
      <x:c r="S45" s="47"/>
      <x:c r="T45" s="47"/>
      <x:c r="U45" s="47"/>
      <x:c r="V45" s="47"/>
      <x:c r="W45" s="47"/>
      <x:c r="X45" s="47"/>
      <x:c r="Y45" s="47"/>
      <x:c r="Z45" s="47"/>
    </x:row>
    <x:row r="46">
      <x:c r="A46" s="205" t="str">
        <x:v>SRC-042</x:v>
      </x:c>
      <x:c r="B46" s="206" t="str">
        <x:v>OpenTelemetry GenAI Conventions GitHub</x:v>
      </x:c>
      <x:c r="C46" s="206" t="str">
        <x:v>Open standard repository</x:v>
      </x:c>
      <x:c r="D46" s="206" t="str">
        <x:v>Provider-neutral GenAI/agent/tool/MCP telemetry conventions.</x:v>
      </x:c>
      <x:c r="E46" s="206" t="str">
        <x:v>https://github.com/open-telemetry/semantic-conventions-genai</x:v>
      </x:c>
      <x:c r="F46" s="206" t="str">
        <x:v>High</x:v>
      </x:c>
      <x:c r="G46" s="207" t="str">
        <x:v>Sensitive input/output fields require policy.</x:v>
      </x:c>
      <x:c r="H46" s="47"/>
      <x:c r="I46" s="47"/>
      <x:c r="J46" s="47"/>
      <x:c r="K46" s="47"/>
      <x:c r="L46" s="47"/>
      <x:c r="M46" s="47"/>
      <x:c r="N46" s="47"/>
      <x:c r="O46" s="47"/>
      <x:c r="P46" s="47"/>
      <x:c r="Q46" s="47"/>
      <x:c r="R46" s="47"/>
      <x:c r="S46" s="47"/>
      <x:c r="T46" s="47"/>
      <x:c r="U46" s="47"/>
      <x:c r="V46" s="47"/>
      <x:c r="W46" s="47"/>
      <x:c r="X46" s="47"/>
      <x:c r="Y46" s="47"/>
      <x:c r="Z46" s="47"/>
    </x:row>
    <x:row r="47">
      <x:c r="A47" s="199" t="str">
        <x:v>SRC-043</x:v>
      </x:c>
      <x:c r="B47" s="200" t="str">
        <x:v>CloudEvents specification GitHub</x:v>
      </x:c>
      <x:c r="C47" s="200" t="str">
        <x:v>Open standard repository</x:v>
      </x:c>
      <x:c r="D47" s="200" t="str">
        <x:v>Portable event-envelope metadata and bindings.</x:v>
      </x:c>
      <x:c r="E47" s="200" t="str">
        <x:v>https://github.com/cloudevents/spec</x:v>
      </x:c>
      <x:c r="F47" s="200" t="str">
        <x:v>High</x:v>
      </x:c>
      <x:c r="G47" s="201" t="str">
        <x:v>Apache-2.0 verified.</x:v>
      </x:c>
      <x:c r="H47" s="47"/>
      <x:c r="I47" s="47"/>
      <x:c r="J47" s="47"/>
      <x:c r="K47" s="47"/>
      <x:c r="L47" s="47"/>
      <x:c r="M47" s="47"/>
      <x:c r="N47" s="47"/>
      <x:c r="O47" s="47"/>
      <x:c r="P47" s="47"/>
      <x:c r="Q47" s="47"/>
      <x:c r="R47" s="47"/>
      <x:c r="S47" s="47"/>
      <x:c r="T47" s="47"/>
      <x:c r="U47" s="47"/>
      <x:c r="V47" s="47"/>
      <x:c r="W47" s="47"/>
      <x:c r="X47" s="47"/>
      <x:c r="Y47" s="47"/>
      <x:c r="Z47" s="47"/>
    </x:row>
    <x:row r="48">
      <x:c r="A48" s="205" t="str">
        <x:v>SRC-044</x:v>
      </x:c>
      <x:c r="B48" s="206" t="str">
        <x:v>Open Policy Agent GitHub</x:v>
      </x:c>
      <x:c r="C48" s="206" t="str">
        <x:v>Open-source repository</x:v>
      </x:c>
      <x:c r="D48" s="206" t="str">
        <x:v>Policy-as-code engine, bundles and decision APIs.</x:v>
      </x:c>
      <x:c r="E48" s="206" t="str">
        <x:v>https://github.com/open-policy-agent/opa</x:v>
      </x:c>
      <x:c r="F48" s="206" t="str">
        <x:v>High</x:v>
      </x:c>
      <x:c r="G48" s="207" t="str">
        <x:v>Reuse HumanOS policy service first; benchmark OPA.</x:v>
      </x:c>
      <x:c r="H48" s="47"/>
      <x:c r="I48" s="47"/>
      <x:c r="J48" s="47"/>
      <x:c r="K48" s="47"/>
      <x:c r="L48" s="47"/>
      <x:c r="M48" s="47"/>
      <x:c r="N48" s="47"/>
      <x:c r="O48" s="47"/>
      <x:c r="P48" s="47"/>
      <x:c r="Q48" s="47"/>
      <x:c r="R48" s="47"/>
      <x:c r="S48" s="47"/>
      <x:c r="T48" s="47"/>
      <x:c r="U48" s="47"/>
      <x:c r="V48" s="47"/>
      <x:c r="W48" s="47"/>
      <x:c r="X48" s="47"/>
      <x:c r="Y48" s="47"/>
      <x:c r="Z48" s="47"/>
    </x:row>
    <x:row r="49">
      <x:c r="A49" s="199" t="str">
        <x:v>SRC-045</x:v>
      </x:c>
      <x:c r="B49" s="200" t="str">
        <x:v>Temporal Java SDK GitHub</x:v>
      </x:c>
      <x:c r="C49" s="200" t="str">
        <x:v>Open-source repository</x:v>
      </x:c>
      <x:c r="D49" s="200" t="str">
        <x:v>Durable Java workflows and activities.</x:v>
      </x:c>
      <x:c r="E49" s="200" t="str">
        <x:v>https://github.com/temporalio/sdk-java</x:v>
      </x:c>
      <x:c r="F49" s="200" t="str">
        <x:v>Medium</x:v>
      </x:c>
      <x:c r="G49" s="201" t="str">
        <x:v>Reference only until HumanOS workflow gaps are proven.</x:v>
      </x:c>
      <x:c r="H49" s="47"/>
      <x:c r="I49" s="47"/>
      <x:c r="J49" s="47"/>
      <x:c r="K49" s="47"/>
      <x:c r="L49" s="47"/>
      <x:c r="M49" s="47"/>
      <x:c r="N49" s="47"/>
      <x:c r="O49" s="47"/>
      <x:c r="P49" s="47"/>
      <x:c r="Q49" s="47"/>
      <x:c r="R49" s="47"/>
      <x:c r="S49" s="47"/>
      <x:c r="T49" s="47"/>
      <x:c r="U49" s="47"/>
      <x:c r="V49" s="47"/>
      <x:c r="W49" s="47"/>
      <x:c r="X49" s="47"/>
      <x:c r="Y49" s="47"/>
      <x:c r="Z49" s="47"/>
    </x:row>
    <x:row r="50">
      <x:c r="A50" s="205" t="str">
        <x:v>SRC-046</x:v>
      </x:c>
      <x:c r="B50" s="206" t="str">
        <x:v>Temporal Python SDK GitHub</x:v>
      </x:c>
      <x:c r="C50" s="206" t="str">
        <x:v>Open-source repository</x:v>
      </x:c>
      <x:c r="D50" s="206" t="str">
        <x:v>Durable Python workflows and activities.</x:v>
      </x:c>
      <x:c r="E50" s="206" t="str">
        <x:v>https://github.com/temporalio/sdk-python</x:v>
      </x:c>
      <x:c r="F50" s="206" t="str">
        <x:v>Medium</x:v>
      </x:c>
      <x:c r="G50" s="207" t="str">
        <x:v>Reference only.</x:v>
      </x:c>
      <x:c r="H50" s="47"/>
      <x:c r="I50" s="47"/>
      <x:c r="J50" s="47"/>
      <x:c r="K50" s="47"/>
      <x:c r="L50" s="47"/>
      <x:c r="M50" s="47"/>
      <x:c r="N50" s="47"/>
      <x:c r="O50" s="47"/>
      <x:c r="P50" s="47"/>
      <x:c r="Q50" s="47"/>
      <x:c r="R50" s="47"/>
      <x:c r="S50" s="47"/>
      <x:c r="T50" s="47"/>
      <x:c r="U50" s="47"/>
      <x:c r="V50" s="47"/>
      <x:c r="W50" s="47"/>
      <x:c r="X50" s="47"/>
      <x:c r="Y50" s="47"/>
      <x:c r="Z50" s="47"/>
    </x:row>
    <x:row r="51">
      <x:c r="A51" s="199" t="str">
        <x:v>SRC-047</x:v>
      </x:c>
      <x:c r="B51" s="200" t="str">
        <x:v>OpenAI Codex Hooks</x:v>
      </x:c>
      <x:c r="C51" s="200" t="str">
        <x:v>Official documentation</x:v>
      </x:c>
      <x:c r="D51" s="200" t="str">
        <x:v>Codex lifecycle instrumentation and policy/validation hooks.</x:v>
      </x:c>
      <x:c r="E51" s="200" t="str">
        <x:v>https://developers.openai.com/codex/hooks</x:v>
      </x:c>
      <x:c r="F51" s="200" t="str">
        <x:v>High</x:v>
      </x:c>
      <x:c r="G51" s="201" t="str">
        <x:v>First-class AI Adapter input.</x:v>
      </x:c>
      <x:c r="H51" s="47"/>
      <x:c r="I51" s="47"/>
      <x:c r="J51" s="47"/>
      <x:c r="K51" s="47"/>
      <x:c r="L51" s="47"/>
      <x:c r="M51" s="47"/>
      <x:c r="N51" s="47"/>
      <x:c r="O51" s="47"/>
      <x:c r="P51" s="47"/>
      <x:c r="Q51" s="47"/>
      <x:c r="R51" s="47"/>
      <x:c r="S51" s="47"/>
      <x:c r="T51" s="47"/>
      <x:c r="U51" s="47"/>
      <x:c r="V51" s="47"/>
      <x:c r="W51" s="47"/>
      <x:c r="X51" s="47"/>
      <x:c r="Y51" s="47"/>
      <x:c r="Z51" s="47"/>
    </x:row>
    <x:row r="52">
      <x:c r="A52" s="205" t="str">
        <x:v>SRC-048</x:v>
      </x:c>
      <x:c r="B52" s="206" t="str">
        <x:v>OpenAI Record &amp; Replay</x:v>
      </x:c>
      <x:c r="C52" s="206" t="str">
        <x:v>Official documentation</x:v>
      </x:c>
      <x:c r="D52" s="206" t="str">
        <x:v>Demonstration converted to reusable skill with inputs, steps and verification.</x:v>
      </x:c>
      <x:c r="E52" s="206" t="str">
        <x:v>https://developers.openai.com/codex/record-and-replay</x:v>
      </x:c>
      <x:c r="F52" s="206" t="str">
        <x:v>Medium</x:v>
      </x:c>
      <x:c r="G52" s="207" t="str">
        <x:v>Skill Forge reference; provider-neutral Nessovo design.</x:v>
      </x:c>
      <x:c r="H52" s="47"/>
      <x:c r="I52" s="47"/>
      <x:c r="J52" s="47"/>
      <x:c r="K52" s="47"/>
      <x:c r="L52" s="47"/>
      <x:c r="M52" s="47"/>
      <x:c r="N52" s="47"/>
      <x:c r="O52" s="47"/>
      <x:c r="P52" s="47"/>
      <x:c r="Q52" s="47"/>
      <x:c r="R52" s="47"/>
      <x:c r="S52" s="47"/>
      <x:c r="T52" s="47"/>
      <x:c r="U52" s="47"/>
      <x:c r="V52" s="47"/>
      <x:c r="W52" s="47"/>
      <x:c r="X52" s="47"/>
      <x:c r="Y52" s="47"/>
      <x:c r="Z52" s="47"/>
    </x:row>
    <x:row r="53">
      <x:c r="A53" s="199" t="str">
        <x:v>SRC-049</x:v>
      </x:c>
      <x:c r="B53" s="200" t="str">
        <x:v>OpenTelemetry semantic conventions</x:v>
      </x:c>
      <x:c r="C53" s="200" t="str">
        <x:v>Official documentation</x:v>
      </x:c>
      <x:c r="D53" s="200" t="str">
        <x:v>Standard operational telemetry naming and lifecycle.</x:v>
      </x:c>
      <x:c r="E53" s="200" t="str">
        <x:v>https://opentelemetry.io/docs/concepts/semantic-conventions/</x:v>
      </x:c>
      <x:c r="F53" s="200" t="str">
        <x:v>High</x:v>
      </x:c>
      <x:c r="G53" s="201" t="str">
        <x:v>Keep raw employee evidence outside traces.</x:v>
      </x:c>
      <x:c r="H53" s="47"/>
      <x:c r="I53" s="47"/>
      <x:c r="J53" s="47"/>
      <x:c r="K53" s="47"/>
      <x:c r="L53" s="47"/>
      <x:c r="M53" s="47"/>
      <x:c r="N53" s="47"/>
      <x:c r="O53" s="47"/>
      <x:c r="P53" s="47"/>
      <x:c r="Q53" s="47"/>
      <x:c r="R53" s="47"/>
      <x:c r="S53" s="47"/>
      <x:c r="T53" s="47"/>
      <x:c r="U53" s="47"/>
      <x:c r="V53" s="47"/>
      <x:c r="W53" s="47"/>
      <x:c r="X53" s="47"/>
      <x:c r="Y53" s="47"/>
      <x:c r="Z53" s="47"/>
    </x:row>
    <x:row r="54">
      <x:c r="A54" s="205" t="str">
        <x:v>SRC-050</x:v>
      </x:c>
      <x:c r="B54" s="206" t="str">
        <x:v>OpenTelemetry GenAI attributes</x:v>
      </x:c>
      <x:c r="C54" s="206" t="str">
        <x:v>Official documentation</x:v>
      </x:c>
      <x:c r="D54" s="206" t="str">
        <x:v>GenAI request/response/agent/tool attributes and sensitivity warnings.</x:v>
      </x:c>
      <x:c r="E54" s="206" t="str">
        <x:v>https://opentelemetry.io/docs/specs/semconv/registry/attributes/gen-ai/</x:v>
      </x:c>
      <x:c r="F54" s="206" t="str">
        <x:v>High</x:v>
      </x:c>
      <x:c r="G54" s="207" t="str">
        <x:v>Content capture must be policy-controlled.</x:v>
      </x:c>
      <x:c r="H54" s="47"/>
      <x:c r="I54" s="47"/>
      <x:c r="J54" s="47"/>
      <x:c r="K54" s="47"/>
      <x:c r="L54" s="47"/>
      <x:c r="M54" s="47"/>
      <x:c r="N54" s="47"/>
      <x:c r="O54" s="47"/>
      <x:c r="P54" s="47"/>
      <x:c r="Q54" s="47"/>
      <x:c r="R54" s="47"/>
      <x:c r="S54" s="47"/>
      <x:c r="T54" s="47"/>
      <x:c r="U54" s="47"/>
      <x:c r="V54" s="47"/>
      <x:c r="W54" s="47"/>
      <x:c r="X54" s="47"/>
      <x:c r="Y54" s="47"/>
      <x:c r="Z54" s="47"/>
    </x:row>
    <x:row r="55">
      <x:c r="A55" s="199" t="str">
        <x:v>SRC-051</x:v>
      </x:c>
      <x:c r="B55" s="200" t="str">
        <x:v>Apache Kafka documentation</x:v>
      </x:c>
      <x:c r="C55" s="200" t="str">
        <x:v>Official documentation</x:v>
      </x:c>
      <x:c r="D55" s="200" t="str">
        <x:v>Durable event streaming, consumers, replay and distributed data flow.</x:v>
      </x:c>
      <x:c r="E55" s="200" t="str">
        <x:v>https://kafka.apache.org/documentation/</x:v>
      </x:c>
      <x:c r="F55" s="200" t="str">
        <x:v>High</x:v>
      </x:c>
      <x:c r="G55" s="201" t="str">
        <x:v>Reuse HumanOS compatible event infrastructure.</x:v>
      </x:c>
      <x:c r="H55" s="47"/>
      <x:c r="I55" s="47"/>
      <x:c r="J55" s="47"/>
      <x:c r="K55" s="47"/>
      <x:c r="L55" s="47"/>
      <x:c r="M55" s="47"/>
      <x:c r="N55" s="47"/>
      <x:c r="O55" s="47"/>
      <x:c r="P55" s="47"/>
      <x:c r="Q55" s="47"/>
      <x:c r="R55" s="47"/>
      <x:c r="S55" s="47"/>
      <x:c r="T55" s="47"/>
      <x:c r="U55" s="47"/>
      <x:c r="V55" s="47"/>
      <x:c r="W55" s="47"/>
      <x:c r="X55" s="47"/>
      <x:c r="Y55" s="47"/>
      <x:c r="Z55" s="47"/>
    </x:row>
    <x:row r="56">
      <x:c r="A56" s="205" t="str">
        <x:v>SRC-052</x:v>
      </x:c>
      <x:c r="B56" s="206" t="str">
        <x:v>CloudEvents</x:v>
      </x:c>
      <x:c r="C56" s="206" t="str">
        <x:v>Official project</x:v>
      </x:c>
      <x:c r="D56" s="206" t="str">
        <x:v>Standard event envelope and ecosystem.</x:v>
      </x:c>
      <x:c r="E56" s="206" t="str">
        <x:v>https://cloudevents.io/</x:v>
      </x:c>
      <x:c r="F56" s="206" t="str">
        <x:v>High</x:v>
      </x:c>
      <x:c r="G56" s="207" t="str">
        <x:v>Adopt style if compatible with existing HumanOS contracts.</x:v>
      </x:c>
      <x:c r="H56" s="47"/>
      <x:c r="I56" s="47"/>
      <x:c r="J56" s="47"/>
      <x:c r="K56" s="47"/>
      <x:c r="L56" s="47"/>
      <x:c r="M56" s="47"/>
      <x:c r="N56" s="47"/>
      <x:c r="O56" s="47"/>
      <x:c r="P56" s="47"/>
      <x:c r="Q56" s="47"/>
      <x:c r="R56" s="47"/>
      <x:c r="S56" s="47"/>
      <x:c r="T56" s="47"/>
      <x:c r="U56" s="47"/>
      <x:c r="V56" s="47"/>
      <x:c r="W56" s="47"/>
      <x:c r="X56" s="47"/>
      <x:c r="Y56" s="47"/>
      <x:c r="Z56" s="47"/>
    </x:row>
    <x:row r="57">
      <x:c r="A57" s="199" t="str">
        <x:v>SRC-053</x:v>
      </x:c>
      <x:c r="B57" s="200" t="str">
        <x:v>Open Policy Agent documentation</x:v>
      </x:c>
      <x:c r="C57" s="200" t="str">
        <x:v>Official documentation</x:v>
      </x:c>
      <x:c r="D57" s="200" t="str">
        <x:v>Policy decision/enforcement separation and policy bundles.</x:v>
      </x:c>
      <x:c r="E57" s="200" t="str">
        <x:v>https://www.openpolicyagent.org/docs</x:v>
      </x:c>
      <x:c r="F57" s="200" t="str">
        <x:v>High</x:v>
      </x:c>
      <x:c r="G57" s="201" t="str">
        <x:v>Architecture benchmark.</x:v>
      </x:c>
      <x:c r="H57" s="47"/>
      <x:c r="I57" s="47"/>
      <x:c r="J57" s="47"/>
      <x:c r="K57" s="47"/>
      <x:c r="L57" s="47"/>
      <x:c r="M57" s="47"/>
      <x:c r="N57" s="47"/>
      <x:c r="O57" s="47"/>
      <x:c r="P57" s="47"/>
      <x:c r="Q57" s="47"/>
      <x:c r="R57" s="47"/>
      <x:c r="S57" s="47"/>
      <x:c r="T57" s="47"/>
      <x:c r="U57" s="47"/>
      <x:c r="V57" s="47"/>
      <x:c r="W57" s="47"/>
      <x:c r="X57" s="47"/>
      <x:c r="Y57" s="47"/>
      <x:c r="Z57" s="47"/>
    </x:row>
    <x:row r="58">
      <x:c r="A58" s="205" t="str">
        <x:v>SRC-054</x:v>
      </x:c>
      <x:c r="B58" s="206" t="str">
        <x:v>Spring Microservices</x:v>
      </x:c>
      <x:c r="C58" s="206" t="str">
        <x:v>Official documentation</x:v>
      </x:c>
      <x:c r="D58" s="206" t="str">
        <x:v>Spring Boot/Cloud microservice architecture.</x:v>
      </x:c>
      <x:c r="E58" s="206" t="str">
        <x:v>https://spring.io/microservices</x:v>
      </x:c>
      <x:c r="F58" s="206" t="str">
        <x:v>High</x:v>
      </x:c>
      <x:c r="G58" s="207" t="str">
        <x:v>Java platform basis.</x:v>
      </x:c>
      <x:c r="H58" s="47"/>
      <x:c r="I58" s="47"/>
      <x:c r="J58" s="47"/>
      <x:c r="K58" s="47"/>
      <x:c r="L58" s="47"/>
      <x:c r="M58" s="47"/>
      <x:c r="N58" s="47"/>
      <x:c r="O58" s="47"/>
      <x:c r="P58" s="47"/>
      <x:c r="Q58" s="47"/>
      <x:c r="R58" s="47"/>
      <x:c r="S58" s="47"/>
      <x:c r="T58" s="47"/>
      <x:c r="U58" s="47"/>
      <x:c r="V58" s="47"/>
      <x:c r="W58" s="47"/>
      <x:c r="X58" s="47"/>
      <x:c r="Y58" s="47"/>
      <x:c r="Z58" s="47"/>
    </x:row>
    <x:row r="59">
      <x:c r="A59" s="199" t="str">
        <x:v>SRC-055</x:v>
      </x:c>
      <x:c r="B59" s="200" t="str">
        <x:v>Spring Boot 4.1 release</x:v>
      </x:c>
      <x:c r="C59" s="200" t="str">
        <x:v>Official release article</x:v>
      </x:c>
      <x:c r="D59" s="200" t="str">
        <x:v>Current Spring Boot 4.1 release capabilities and baseline.</x:v>
      </x:c>
      <x:c r="E59" s="200" t="str">
        <x:v>https://spring.io/blog/2026/06/10/spring-boot-4-1-0-available-now</x:v>
      </x:c>
      <x:c r="F59" s="200" t="str">
        <x:v>Medium</x:v>
      </x:c>
      <x:c r="G59" s="201" t="str">
        <x:v>Benchmark, not forced migration.</x:v>
      </x:c>
      <x:c r="H59" s="47"/>
      <x:c r="I59" s="47"/>
      <x:c r="J59" s="47"/>
      <x:c r="K59" s="47"/>
      <x:c r="L59" s="47"/>
      <x:c r="M59" s="47"/>
      <x:c r="N59" s="47"/>
      <x:c r="O59" s="47"/>
      <x:c r="P59" s="47"/>
      <x:c r="Q59" s="47"/>
      <x:c r="R59" s="47"/>
      <x:c r="S59" s="47"/>
      <x:c r="T59" s="47"/>
      <x:c r="U59" s="47"/>
      <x:c r="V59" s="47"/>
      <x:c r="W59" s="47"/>
      <x:c r="X59" s="47"/>
      <x:c r="Y59" s="47"/>
      <x:c r="Z59" s="47"/>
    </x:row>
    <x:row r="60">
      <x:c r="A60" s="205" t="str">
        <x:v>SRC-056</x:v>
      </x:c>
      <x:c r="B60" s="206" t="str">
        <x:v>Spring Cloud project</x:v>
      </x:c>
      <x:c r="C60" s="206" t="str">
        <x:v>Official documentation</x:v>
      </x:c>
      <x:c r="D60" s="206" t="str">
        <x:v>Spring Cloud release-train compatibility and distributed-system features.</x:v>
      </x:c>
      <x:c r="E60" s="206" t="str">
        <x:v>https://spring.io/projects/spring-cloud/</x:v>
      </x:c>
      <x:c r="F60" s="206" t="str">
        <x:v>High</x:v>
      </x:c>
      <x:c r="G60" s="207" t="str">
        <x:v>Confirm against current HumanOS stack.</x:v>
      </x:c>
      <x:c r="H60" s="47"/>
      <x:c r="I60" s="47"/>
      <x:c r="J60" s="47"/>
      <x:c r="K60" s="47"/>
      <x:c r="L60" s="47"/>
      <x:c r="M60" s="47"/>
      <x:c r="N60" s="47"/>
      <x:c r="O60" s="47"/>
      <x:c r="P60" s="47"/>
      <x:c r="Q60" s="47"/>
      <x:c r="R60" s="47"/>
      <x:c r="S60" s="47"/>
      <x:c r="T60" s="47"/>
      <x:c r="U60" s="47"/>
      <x:c r="V60" s="47"/>
      <x:c r="W60" s="47"/>
      <x:c r="X60" s="47"/>
      <x:c r="Y60" s="47"/>
      <x:c r="Z60" s="47"/>
    </x:row>
    <x:row r="61">
      <x:c r="A61" s="199" t="str">
        <x:v>SRC-057</x:v>
      </x:c>
      <x:c r="B61" s="200" t="str">
        <x:v>OpenJDK JDK 25 project</x:v>
      </x:c>
      <x:c r="C61" s="200" t="str">
        <x:v>Official project</x:v>
      </x:c>
      <x:c r="D61" s="200" t="str">
        <x:v>Java 25 platform release information.</x:v>
      </x:c>
      <x:c r="E61" s="200" t="str">
        <x:v>https://openjdk.org/projects/jdk/25/</x:v>
      </x:c>
      <x:c r="F61" s="200" t="str">
        <x:v>Medium</x:v>
      </x:c>
      <x:c r="G61" s="201" t="str">
        <x:v>Java 25 is an LTS release from most vendors; benchmark selectively.</x:v>
      </x:c>
      <x:c r="H61" s="47"/>
      <x:c r="I61" s="47"/>
      <x:c r="J61" s="47"/>
      <x:c r="K61" s="47"/>
      <x:c r="L61" s="47"/>
      <x:c r="M61" s="47"/>
      <x:c r="N61" s="47"/>
      <x:c r="O61" s="47"/>
      <x:c r="P61" s="47"/>
      <x:c r="Q61" s="47"/>
      <x:c r="R61" s="47"/>
      <x:c r="S61" s="47"/>
      <x:c r="T61" s="47"/>
      <x:c r="U61" s="47"/>
      <x:c r="V61" s="47"/>
      <x:c r="W61" s="47"/>
      <x:c r="X61" s="47"/>
      <x:c r="Y61" s="47"/>
      <x:c r="Z61" s="47"/>
    </x:row>
    <x:row r="62">
      <x:c r="A62" s="205" t="str">
        <x:v>SRC-058</x:v>
      </x:c>
      <x:c r="B62" s="206" t="str">
        <x:v>PostgreSQL</x:v>
      </x:c>
      <x:c r="C62" s="206" t="str">
        <x:v>Official documentation</x:v>
      </x:c>
      <x:c r="D62" s="206" t="str">
        <x:v>Transactional database platform.</x:v>
      </x:c>
      <x:c r="E62" s="206" t="str">
        <x:v>https://www.postgresql.org/docs/</x:v>
      </x:c>
      <x:c r="F62" s="206" t="str">
        <x:v>High</x:v>
      </x:c>
      <x:c r="G62" s="207" t="str">
        <x:v>Initial system of record.</x:v>
      </x:c>
      <x:c r="H62" s="47"/>
      <x:c r="I62" s="47"/>
      <x:c r="J62" s="47"/>
      <x:c r="K62" s="47"/>
      <x:c r="L62" s="47"/>
      <x:c r="M62" s="47"/>
      <x:c r="N62" s="47"/>
      <x:c r="O62" s="47"/>
      <x:c r="P62" s="47"/>
      <x:c r="Q62" s="47"/>
      <x:c r="R62" s="47"/>
      <x:c r="S62" s="47"/>
      <x:c r="T62" s="47"/>
      <x:c r="U62" s="47"/>
      <x:c r="V62" s="47"/>
      <x:c r="W62" s="47"/>
      <x:c r="X62" s="47"/>
      <x:c r="Y62" s="47"/>
      <x:c r="Z62" s="47"/>
    </x:row>
    <x:row r="63">
      <x:c r="A63" s="199" t="str">
        <x:v>SRC-059</x:v>
      </x:c>
      <x:c r="B63" s="200" t="str">
        <x:v>pgvector GitHub</x:v>
      </x:c>
      <x:c r="C63" s="200" t="str">
        <x:v>Open-source repository</x:v>
      </x:c>
      <x:c r="D63" s="200" t="str">
        <x:v>Vector similarity search in PostgreSQL.</x:v>
      </x:c>
      <x:c r="E63" s="200" t="str">
        <x:v>https://github.com/pgvector/pgvector</x:v>
      </x:c>
      <x:c r="F63" s="200" t="str">
        <x:v>Medium</x:v>
      </x:c>
      <x:c r="G63" s="201" t="str">
        <x:v>Use only for approved/minimised embeddings.</x:v>
      </x:c>
      <x:c r="H63" s="47"/>
      <x:c r="I63" s="47"/>
      <x:c r="J63" s="47"/>
      <x:c r="K63" s="47"/>
      <x:c r="L63" s="47"/>
      <x:c r="M63" s="47"/>
      <x:c r="N63" s="47"/>
      <x:c r="O63" s="47"/>
      <x:c r="P63" s="47"/>
      <x:c r="Q63" s="47"/>
      <x:c r="R63" s="47"/>
      <x:c r="S63" s="47"/>
      <x:c r="T63" s="47"/>
      <x:c r="U63" s="47"/>
      <x:c r="V63" s="47"/>
      <x:c r="W63" s="47"/>
      <x:c r="X63" s="47"/>
      <x:c r="Y63" s="47"/>
      <x:c r="Z63" s="47"/>
    </x:row>
    <x:row r="64">
      <x:c r="A64" s="205" t="str">
        <x:v>SRC-060</x:v>
      </x:c>
      <x:c r="B64" s="206" t="str">
        <x:v>MinIO</x:v>
      </x:c>
      <x:c r="C64" s="206" t="str">
        <x:v>Official documentation</x:v>
      </x:c>
      <x:c r="D64" s="206" t="str">
        <x:v>S3-compatible object storage reference.</x:v>
      </x:c>
      <x:c r="E64" s="206" t="str">
        <x:v>https://min.io/docs/minio/linux/index.html</x:v>
      </x:c>
      <x:c r="F64" s="206" t="str">
        <x:v>Medium</x:v>
      </x:c>
      <x:c r="G64" s="207" t="str">
        <x:v>Reuse HumanOS object service where suitable.</x:v>
      </x:c>
      <x:c r="H64" s="47"/>
      <x:c r="I64" s="47"/>
      <x:c r="J64" s="47"/>
      <x:c r="K64" s="47"/>
      <x:c r="L64" s="47"/>
      <x:c r="M64" s="47"/>
      <x:c r="N64" s="47"/>
      <x:c r="O64" s="47"/>
      <x:c r="P64" s="47"/>
      <x:c r="Q64" s="47"/>
      <x:c r="R64" s="47"/>
      <x:c r="S64" s="47"/>
      <x:c r="T64" s="47"/>
      <x:c r="U64" s="47"/>
      <x:c r="V64" s="47"/>
      <x:c r="W64" s="47"/>
      <x:c r="X64" s="47"/>
      <x:c r="Y64" s="47"/>
      <x:c r="Z64" s="47"/>
    </x:row>
    <x:row r="65">
      <x:c r="A65" s="199" t="str">
        <x:v>SRC-061</x:v>
      </x:c>
      <x:c r="B65" s="200" t="str">
        <x:v>NIST AI Risk Management Framework</x:v>
      </x:c>
      <x:c r="C65" s="200" t="str">
        <x:v>Standards/guidance</x:v>
      </x:c>
      <x:c r="D65" s="200" t="str">
        <x:v>Govern, Map, Measure and Manage AI risks with testing and monitoring.</x:v>
      </x:c>
      <x:c r="E65" s="200" t="str">
        <x:v>https://www.nist.gov/itl/ai-risk-management-framework</x:v>
      </x:c>
      <x:c r="F65" s="200" t="str">
        <x:v>High</x:v>
      </x:c>
      <x:c r="G65" s="201" t="str">
        <x:v>AI governance/evaluation basis.</x:v>
      </x:c>
      <x:c r="H65" s="47"/>
      <x:c r="I65" s="47"/>
      <x:c r="J65" s="47"/>
      <x:c r="K65" s="47"/>
      <x:c r="L65" s="47"/>
      <x:c r="M65" s="47"/>
      <x:c r="N65" s="47"/>
      <x:c r="O65" s="47"/>
      <x:c r="P65" s="47"/>
      <x:c r="Q65" s="47"/>
      <x:c r="R65" s="47"/>
      <x:c r="S65" s="47"/>
      <x:c r="T65" s="47"/>
      <x:c r="U65" s="47"/>
      <x:c r="V65" s="47"/>
      <x:c r="W65" s="47"/>
      <x:c r="X65" s="47"/>
      <x:c r="Y65" s="47"/>
      <x:c r="Z65" s="47"/>
    </x:row>
    <x:row r="66">
      <x:c r="A66" s="205" t="str">
        <x:v>SRC-062</x:v>
      </x:c>
      <x:c r="B66" s="206" t="str">
        <x:v>SFIA 9 role-family/job-title resources</x:v>
      </x:c>
      <x:c r="C66" s="206" t="str">
        <x:v>Skills framework</x:v>
      </x:c>
      <x:c r="D66" s="206" t="str">
        <x:v>Skills and responsibility levels separated from inconsistent job titles.</x:v>
      </x:c>
      <x:c r="E66" s="206" t="str">
        <x:v>https://sfia-online.org/en/tools-and-resources/standard-industry-skills-profiles/sfia-9-skills-for-role-families-job-titles</x:v>
      </x:c>
      <x:c r="F66" s="206" t="str">
        <x:v>Medium</x:v>
      </x:c>
      <x:c r="G66" s="207" t="str">
        <x:v>Stage 2 mapping reference, not sole ontology.</x:v>
      </x:c>
      <x:c r="H66" s="47"/>
      <x:c r="I66" s="47"/>
      <x:c r="J66" s="47"/>
      <x:c r="K66" s="47"/>
      <x:c r="L66" s="47"/>
      <x:c r="M66" s="47"/>
      <x:c r="N66" s="47"/>
      <x:c r="O66" s="47"/>
      <x:c r="P66" s="47"/>
      <x:c r="Q66" s="47"/>
      <x:c r="R66" s="47"/>
      <x:c r="S66" s="47"/>
      <x:c r="T66" s="47"/>
      <x:c r="U66" s="47"/>
      <x:c r="V66" s="47"/>
      <x:c r="W66" s="47"/>
      <x:c r="X66" s="47"/>
      <x:c r="Y66" s="47"/>
      <x:c r="Z66" s="47"/>
    </x:row>
    <x:row r="67">
      <x:c r="A67" s="199" t="str">
        <x:v>SRC-063</x:v>
      </x:c>
      <x:c r="B67" s="200" t="str">
        <x:v>Microsoft UI Automation overview</x:v>
      </x:c>
      <x:c r="C67" s="200" t="str">
        <x:v>Official documentation</x:v>
      </x:c>
      <x:c r="D67" s="200" t="str">
        <x:v>Windows accessibility/control tree and programmatic UI events.</x:v>
      </x:c>
      <x:c r="E67" s="200" t="str">
        <x:v>https://learn.microsoft.com/en-us/dotnet/framework/ui-automation/ui-automation-overview</x:v>
      </x:c>
      <x:c r="F67" s="200" t="str">
        <x:v>High</x:v>
      </x:c>
      <x:c r="G67" s="201" t="str">
        <x:v>Windows native bridge reference.</x:v>
      </x:c>
      <x:c r="H67" s="47"/>
      <x:c r="I67" s="47"/>
      <x:c r="J67" s="47"/>
      <x:c r="K67" s="47"/>
      <x:c r="L67" s="47"/>
      <x:c r="M67" s="47"/>
      <x:c r="N67" s="47"/>
      <x:c r="O67" s="47"/>
      <x:c r="P67" s="47"/>
      <x:c r="Q67" s="47"/>
      <x:c r="R67" s="47"/>
      <x:c r="S67" s="47"/>
      <x:c r="T67" s="47"/>
      <x:c r="U67" s="47"/>
      <x:c r="V67" s="47"/>
      <x:c r="W67" s="47"/>
      <x:c r="X67" s="47"/>
      <x:c r="Y67" s="47"/>
      <x:c r="Z67" s="47"/>
    </x:row>
    <x:row r="68">
      <x:c r="A68" s="205" t="str">
        <x:v>SRC-064</x:v>
      </x:c>
      <x:c r="B68" s="206" t="str">
        <x:v>Microsoft Event Tracing for Windows</x:v>
      </x:c>
      <x:c r="C68" s="206" t="str">
        <x:v>Official documentation</x:v>
      </x:c>
      <x:c r="D68" s="206" t="str">
        <x:v>Efficient kernel/application event tracing.</x:v>
      </x:c>
      <x:c r="E68" s="206" t="str">
        <x:v>https://learn.microsoft.com/en-us/windows/win32/etw/about-event-tracing</x:v>
      </x:c>
      <x:c r="F68" s="206" t="str">
        <x:v>High</x:v>
      </x:c>
      <x:c r="G68" s="207" t="str">
        <x:v>Process/system telemetry reference.</x:v>
      </x:c>
      <x:c r="H68" s="47"/>
      <x:c r="I68" s="47"/>
      <x:c r="J68" s="47"/>
      <x:c r="K68" s="47"/>
      <x:c r="L68" s="47"/>
      <x:c r="M68" s="47"/>
      <x:c r="N68" s="47"/>
      <x:c r="O68" s="47"/>
      <x:c r="P68" s="47"/>
      <x:c r="Q68" s="47"/>
      <x:c r="R68" s="47"/>
      <x:c r="S68" s="47"/>
      <x:c r="T68" s="47"/>
      <x:c r="U68" s="47"/>
      <x:c r="V68" s="47"/>
      <x:c r="W68" s="47"/>
      <x:c r="X68" s="47"/>
      <x:c r="Y68" s="47"/>
      <x:c r="Z68" s="47"/>
    </x:row>
    <x:row r="69">
      <x:c r="A69" s="199" t="str">
        <x:v>SRC-065</x:v>
      </x:c>
      <x:c r="B69" s="200" t="str">
        <x:v>Microsoft SetWindowsHookEx</x:v>
      </x:c>
      <x:c r="C69" s="200" t="str">
        <x:v>Official documentation</x:v>
      </x:c>
      <x:c r="D69" s="200" t="str">
        <x:v>Low-level hook capability and system-wide constraints.</x:v>
      </x:c>
      <x:c r="E69" s="200" t="str">
        <x:v>https://learn.microsoft.com/en-us/windows/win32/api/winuser/nf-winuser-setwindowshookexw</x:v>
      </x:c>
      <x:c r="F69" s="200" t="str">
        <x:v>High</x:v>
      </x:c>
      <x:c r="G69" s="201" t="str">
        <x:v>Input implementation risk reference.</x:v>
      </x:c>
      <x:c r="H69" s="47"/>
      <x:c r="I69" s="47"/>
      <x:c r="J69" s="47"/>
      <x:c r="K69" s="47"/>
      <x:c r="L69" s="47"/>
      <x:c r="M69" s="47"/>
      <x:c r="N69" s="47"/>
      <x:c r="O69" s="47"/>
      <x:c r="P69" s="47"/>
      <x:c r="Q69" s="47"/>
      <x:c r="R69" s="47"/>
      <x:c r="S69" s="47"/>
      <x:c r="T69" s="47"/>
      <x:c r="U69" s="47"/>
      <x:c r="V69" s="47"/>
      <x:c r="W69" s="47"/>
      <x:c r="X69" s="47"/>
      <x:c r="Y69" s="47"/>
      <x:c r="Z69" s="47"/>
    </x:row>
    <x:row r="70">
      <x:c r="A70" s="205" t="str">
        <x:v>SRC-066</x:v>
      </x:c>
      <x:c r="B70" s="206" t="str">
        <x:v>Windows Graphics Capture</x:v>
      </x:c>
      <x:c r="C70" s="206" t="str">
        <x:v>Official documentation</x:v>
      </x:c>
      <x:c r="D70" s="206" t="str">
        <x:v>Windows display/window capture primitives.</x:v>
      </x:c>
      <x:c r="E70" s="206" t="str">
        <x:v>https://learn.microsoft.com/en-us/windows/uwp/audio-video-camera/screen-capture</x:v>
      </x:c>
      <x:c r="F70" s="206" t="str">
        <x:v>High</x:v>
      </x:c>
      <x:c r="G70" s="207" t="str">
        <x:v>Windows screen-capture reference.</x:v>
      </x:c>
      <x:c r="H70" s="47"/>
      <x:c r="I70" s="47"/>
      <x:c r="J70" s="47"/>
      <x:c r="K70" s="47"/>
      <x:c r="L70" s="47"/>
      <x:c r="M70" s="47"/>
      <x:c r="N70" s="47"/>
      <x:c r="O70" s="47"/>
      <x:c r="P70" s="47"/>
      <x:c r="Q70" s="47"/>
      <x:c r="R70" s="47"/>
      <x:c r="S70" s="47"/>
      <x:c r="T70" s="47"/>
      <x:c r="U70" s="47"/>
      <x:c r="V70" s="47"/>
      <x:c r="W70" s="47"/>
      <x:c r="X70" s="47"/>
      <x:c r="Y70" s="47"/>
      <x:c r="Z70" s="47"/>
    </x:row>
    <x:row r="71">
      <x:c r="A71" s="199" t="str">
        <x:v>SRC-067</x:v>
      </x:c>
      <x:c r="B71" s="200" t="str">
        <x:v>Apple ScreenCaptureKit</x:v>
      </x:c>
      <x:c r="C71" s="200" t="str">
        <x:v>Official documentation</x:v>
      </x:c>
      <x:c r="D71" s="200" t="str">
        <x:v>macOS screen/audio capture framework.</x:v>
      </x:c>
      <x:c r="E71" s="200" t="str">
        <x:v>https://developer.apple.com/documentation/screencapturekit</x:v>
      </x:c>
      <x:c r="F71" s="200" t="str">
        <x:v>High</x:v>
      </x:c>
      <x:c r="G71" s="201" t="str">
        <x:v>Audio disabled for v1.</x:v>
      </x:c>
      <x:c r="H71" s="47"/>
      <x:c r="I71" s="47"/>
      <x:c r="J71" s="47"/>
      <x:c r="K71" s="47"/>
      <x:c r="L71" s="47"/>
      <x:c r="M71" s="47"/>
      <x:c r="N71" s="47"/>
      <x:c r="O71" s="47"/>
      <x:c r="P71" s="47"/>
      <x:c r="Q71" s="47"/>
      <x:c r="R71" s="47"/>
      <x:c r="S71" s="47"/>
      <x:c r="T71" s="47"/>
      <x:c r="U71" s="47"/>
      <x:c r="V71" s="47"/>
      <x:c r="W71" s="47"/>
      <x:c r="X71" s="47"/>
      <x:c r="Y71" s="47"/>
      <x:c r="Z71" s="47"/>
    </x:row>
    <x:row r="72">
      <x:c r="A72" s="205" t="str">
        <x:v>SRC-068</x:v>
      </x:c>
      <x:c r="B72" s="206" t="str">
        <x:v>Apple Accessibility</x:v>
      </x:c>
      <x:c r="C72" s="206" t="str">
        <x:v>Official documentation</x:v>
      </x:c>
      <x:c r="D72" s="206" t="str">
        <x:v>macOS accessibility APIs and UI element access.</x:v>
      </x:c>
      <x:c r="E72" s="206" t="str">
        <x:v>https://developer.apple.com/documentation/applicationservices/axuielement</x:v>
      </x:c>
      <x:c r="F72" s="206" t="str">
        <x:v>High</x:v>
      </x:c>
      <x:c r="G72" s="207" t="str">
        <x:v>macOS semantic-state reference.</x:v>
      </x:c>
      <x:c r="H72" s="47"/>
      <x:c r="I72" s="47"/>
      <x:c r="J72" s="47"/>
      <x:c r="K72" s="47"/>
      <x:c r="L72" s="47"/>
      <x:c r="M72" s="47"/>
      <x:c r="N72" s="47"/>
      <x:c r="O72" s="47"/>
      <x:c r="P72" s="47"/>
      <x:c r="Q72" s="47"/>
      <x:c r="R72" s="47"/>
      <x:c r="S72" s="47"/>
      <x:c r="T72" s="47"/>
      <x:c r="U72" s="47"/>
      <x:c r="V72" s="47"/>
      <x:c r="W72" s="47"/>
      <x:c r="X72" s="47"/>
      <x:c r="Y72" s="47"/>
      <x:c r="Z72" s="47"/>
    </x:row>
    <x:row r="73">
      <x:c r="A73" s="199" t="str">
        <x:v>SRC-069</x:v>
      </x:c>
      <x:c r="B73" s="200" t="str">
        <x:v>Chrome Tabs API</x:v>
      </x:c>
      <x:c r="C73" s="200" t="str">
        <x:v>Official documentation</x:v>
      </x:c>
      <x:c r="D73" s="200" t="str">
        <x:v>Browser tab metadata and permissions.</x:v>
      </x:c>
      <x:c r="E73" s="200" t="str">
        <x:v>https://developer.chrome.com/docs/extensions/reference/api/tabs</x:v>
      </x:c>
      <x:c r="F73" s="200" t="str">
        <x:v>High</x:v>
      </x:c>
      <x:c r="G73" s="201" t="str">
        <x:v>Browser adapter reference.</x:v>
      </x:c>
      <x:c r="H73" s="47"/>
      <x:c r="I73" s="47"/>
      <x:c r="J73" s="47"/>
      <x:c r="K73" s="47"/>
      <x:c r="L73" s="47"/>
      <x:c r="M73" s="47"/>
      <x:c r="N73" s="47"/>
      <x:c r="O73" s="47"/>
      <x:c r="P73" s="47"/>
      <x:c r="Q73" s="47"/>
      <x:c r="R73" s="47"/>
      <x:c r="S73" s="47"/>
      <x:c r="T73" s="47"/>
      <x:c r="U73" s="47"/>
      <x:c r="V73" s="47"/>
      <x:c r="W73" s="47"/>
      <x:c r="X73" s="47"/>
      <x:c r="Y73" s="47"/>
      <x:c r="Z73" s="47"/>
    </x:row>
    <x:row r="74">
      <x:c r="A74" s="205" t="str">
        <x:v>SRC-070</x:v>
      </x:c>
      <x:c r="B74" s="206" t="str">
        <x:v>Chrome Native Messaging</x:v>
      </x:c>
      <x:c r="C74" s="206" t="str">
        <x:v>Official documentation</x:v>
      </x:c>
      <x:c r="D74" s="206" t="str">
        <x:v>Browser extension to native application communication.</x:v>
      </x:c>
      <x:c r="E74" s="206" t="str">
        <x:v>https://developer.chrome.com/docs/extensions/develop/concepts/native-messaging</x:v>
      </x:c>
      <x:c r="F74" s="206" t="str">
        <x:v>High</x:v>
      </x:c>
      <x:c r="G74" s="207" t="str">
        <x:v>Browser-agent bridge.</x:v>
      </x:c>
      <x:c r="H74" s="47"/>
      <x:c r="I74" s="47"/>
      <x:c r="J74" s="47"/>
      <x:c r="K74" s="47"/>
      <x:c r="L74" s="47"/>
      <x:c r="M74" s="47"/>
      <x:c r="N74" s="47"/>
      <x:c r="O74" s="47"/>
      <x:c r="P74" s="47"/>
      <x:c r="Q74" s="47"/>
      <x:c r="R74" s="47"/>
      <x:c r="S74" s="47"/>
      <x:c r="T74" s="47"/>
      <x:c r="U74" s="47"/>
      <x:c r="V74" s="47"/>
      <x:c r="W74" s="47"/>
      <x:c r="X74" s="47"/>
      <x:c r="Y74" s="47"/>
      <x:c r="Z74" s="47"/>
    </x:row>
    <x:row r="75">
      <x:c r="A75" s="199" t="str">
        <x:v>SRC-071</x:v>
      </x:c>
      <x:c r="B75" s="200" t="str">
        <x:v>XDG Desktop Portal InputCapture</x:v>
      </x:c>
      <x:c r="C75" s="200" t="str">
        <x:v>Official documentation</x:v>
      </x:c>
      <x:c r="D75" s="200" t="str">
        <x:v>Wayland input-capture permission and compositor constraints.</x:v>
      </x:c>
      <x:c r="E75" s="200" t="str">
        <x:v>https://flatpak.github.io/xdg-desktop-portal/docs/doc-org.freedesktop.portal.InputCapture.html</x:v>
      </x:c>
      <x:c r="F75" s="200" t="str">
        <x:v>Medium</x:v>
      </x:c>
      <x:c r="G75" s="201" t="str">
        <x:v>Supports deferring uniform Linux capture.</x:v>
      </x:c>
      <x:c r="H75" s="47"/>
      <x:c r="I75" s="47"/>
      <x:c r="J75" s="47"/>
      <x:c r="K75" s="47"/>
      <x:c r="L75" s="47"/>
      <x:c r="M75" s="47"/>
      <x:c r="N75" s="47"/>
      <x:c r="O75" s="47"/>
      <x:c r="P75" s="47"/>
      <x:c r="Q75" s="47"/>
      <x:c r="R75" s="47"/>
      <x:c r="S75" s="47"/>
      <x:c r="T75" s="47"/>
      <x:c r="U75" s="47"/>
      <x:c r="V75" s="47"/>
      <x:c r="W75" s="47"/>
      <x:c r="X75" s="47"/>
      <x:c r="Y75" s="47"/>
      <x:c r="Z75" s="47"/>
    </x:row>
    <x:row r="76">
      <x:c r="A76" s="205" t="str">
        <x:v>SRC-072</x:v>
      </x:c>
      <x:c r="B76" s="206" t="str">
        <x:v>GOV.UK — Monitoring staff at work</x:v>
      </x:c>
      <x:c r="C76" s="206" t="str">
        <x:v>Government guidance</x:v>
      </x:c>
      <x:c r="D76" s="206" t="str">
        <x:v>Monitoring justification, worker information and covert-monitoring limits.</x:v>
      </x:c>
      <x:c r="E76" s="206" t="str">
        <x:v>https://www.gov.uk/data-protection-your-business/monitoring-staff-at-work</x:v>
      </x:c>
      <x:c r="F76" s="206" t="str">
        <x:v>Critical</x:v>
      </x:c>
      <x:c r="G76" s="207" t="str">
        <x:v>Stage 0 legal/governance basis.</x:v>
      </x:c>
      <x:c r="H76" s="47"/>
      <x:c r="I76" s="47"/>
      <x:c r="J76" s="47"/>
      <x:c r="K76" s="47"/>
      <x:c r="L76" s="47"/>
      <x:c r="M76" s="47"/>
      <x:c r="N76" s="47"/>
      <x:c r="O76" s="47"/>
      <x:c r="P76" s="47"/>
      <x:c r="Q76" s="47"/>
      <x:c r="R76" s="47"/>
      <x:c r="S76" s="47"/>
      <x:c r="T76" s="47"/>
      <x:c r="U76" s="47"/>
      <x:c r="V76" s="47"/>
      <x:c r="W76" s="47"/>
      <x:c r="X76" s="47"/>
      <x:c r="Y76" s="47"/>
      <x:c r="Z76" s="47"/>
    </x:row>
    <x:row r="77">
      <x:c r="A77" s="199" t="str">
        <x:v>SRC-073</x:v>
      </x:c>
      <x:c r="B77" s="200" t="str">
        <x:v>ICO — Data protection and monitoring workers</x:v>
      </x:c>
      <x:c r="C77" s="200" t="str">
        <x:v>Regulator guidance</x:v>
      </x:c>
      <x:c r="D77" s="200" t="str">
        <x:v>DPIA, necessity, proportionality, transparency, accuracy and worker challenge.</x:v>
      </x:c>
      <x:c r="E77" s="200" t="str">
        <x:v>https://ico.org.uk/for-organisations/uk-gdpr-guidance-and-resources/employment/monitoring-workers/data-protection-and-monitoring-workers/</x:v>
      </x:c>
      <x:c r="F77" s="200" t="str">
        <x:v>Critical</x:v>
      </x:c>
      <x:c r="G77" s="201" t="str">
        <x:v>Keystroke/performance monitoring is high-risk.</x:v>
      </x:c>
      <x:c r="H77" s="47"/>
      <x:c r="I77" s="47"/>
      <x:c r="J77" s="47"/>
      <x:c r="K77" s="47"/>
      <x:c r="L77" s="47"/>
      <x:c r="M77" s="47"/>
      <x:c r="N77" s="47"/>
      <x:c r="O77" s="47"/>
      <x:c r="P77" s="47"/>
      <x:c r="Q77" s="47"/>
      <x:c r="R77" s="47"/>
      <x:c r="S77" s="47"/>
      <x:c r="T77" s="47"/>
      <x:c r="U77" s="47"/>
      <x:c r="V77" s="47"/>
      <x:c r="W77" s="47"/>
      <x:c r="X77" s="47"/>
      <x:c r="Y77" s="47"/>
      <x:c r="Z77" s="47"/>
    </x:row>
    <x:row r="78">
      <x:c r="A78" s="205" t="str">
        <x:v>SRC-074</x:v>
      </x:c>
      <x:c r="B78" s="206" t="str">
        <x:v>ICO — Human review</x:v>
      </x:c>
      <x:c r="C78" s="206" t="str">
        <x:v>Regulator guidance</x:v>
      </x:c>
      <x:c r="D78" s="206" t="str">
        <x:v>Meaningful human review, authority, competence and independence.</x:v>
      </x:c>
      <x:c r="E78" s="206" t="str">
        <x:v>https://ico.org.uk/for-organisations/advice-and-services/audits/data-protection-audit-framework/toolkits/artificial-intelligence/human-review/</x:v>
      </x:c>
      <x:c r="F78" s="206" t="str">
        <x:v>Critical</x:v>
      </x:c>
      <x:c r="G78" s="207" t="str">
        <x:v>Consequential-decision safeguard.</x:v>
      </x:c>
      <x:c r="H78" s="47"/>
      <x:c r="I78" s="47"/>
      <x:c r="J78" s="47"/>
      <x:c r="K78" s="47"/>
      <x:c r="L78" s="47"/>
      <x:c r="M78" s="47"/>
      <x:c r="N78" s="47"/>
      <x:c r="O78" s="47"/>
      <x:c r="P78" s="47"/>
      <x:c r="Q78" s="47"/>
      <x:c r="R78" s="47"/>
      <x:c r="S78" s="47"/>
      <x:c r="T78" s="47"/>
      <x:c r="U78" s="47"/>
      <x:c r="V78" s="47"/>
      <x:c r="W78" s="47"/>
      <x:c r="X78" s="47"/>
      <x:c r="Y78" s="47"/>
      <x:c r="Z78" s="47"/>
    </x:row>
    <x:row r="79">
      <x:c r="A79" s="199" t="str">
        <x:v>SRC-075</x:v>
      </x:c>
      <x:c r="B79" s="200" t="str">
        <x:v>UK Government — Workplace monitoring technologies consultation</x:v>
      </x:c>
      <x:c r="C79" s="200" t="str">
        <x:v>Government consultation</x:v>
      </x:c>
      <x:c r="D79" s="200" t="str">
        <x:v>Transparency, clarity and worker voice in workplace-monitoring policy.</x:v>
      </x:c>
      <x:c r="E79" s="200" t="str">
        <x:v>https://www.gov.uk/government/consultations/make-work-pay-workplace-monitoring-technologies</x:v>
      </x:c>
      <x:c r="F79" s="200" t="str">
        <x:v>High</x:v>
      </x:c>
      <x:c r="G79" s="201" t="str">
        <x:v>Published July 2026; policy direction may evolve.</x:v>
      </x:c>
      <x:c r="H79" s="47"/>
      <x:c r="I79" s="47"/>
      <x:c r="J79" s="47"/>
      <x:c r="K79" s="47"/>
      <x:c r="L79" s="47"/>
      <x:c r="M79" s="47"/>
      <x:c r="N79" s="47"/>
      <x:c r="O79" s="47"/>
      <x:c r="P79" s="47"/>
      <x:c r="Q79" s="47"/>
      <x:c r="R79" s="47"/>
      <x:c r="S79" s="47"/>
      <x:c r="T79" s="47"/>
      <x:c r="U79" s="47"/>
      <x:c r="V79" s="47"/>
      <x:c r="W79" s="47"/>
      <x:c r="X79" s="47"/>
      <x:c r="Y79" s="47"/>
      <x:c r="Z79" s="47"/>
    </x:row>
    <x:row r="80">
      <x:c r="A80" s="205" t="str">
        <x:v>SRC-076</x:v>
      </x:c>
      <x:c r="B80" s="206" t="str">
        <x:v>UK Data (Use and Access) Act 2025 explanatory notes</x:v>
      </x:c>
      <x:c r="C80" s="206" t="str">
        <x:v>Legislation notes</x:v>
      </x:c>
      <x:c r="D80" s="206" t="str">
        <x:v>Automated-decision safeguards and UK data-law changes.</x:v>
      </x:c>
      <x:c r="E80" s="206" t="str">
        <x:v>https://www.legislation.gov.uk/ukpga/2025/18/notes/division/10/index.htm</x:v>
      </x:c>
      <x:c r="F80" s="206" t="str">
        <x:v>High</x:v>
      </x:c>
      <x:c r="G80" s="207" t="str">
        <x:v>Legal counsel must interpret current application.</x:v>
      </x:c>
      <x:c r="H80" s="47"/>
      <x:c r="I80" s="47"/>
      <x:c r="J80" s="47"/>
      <x:c r="K80" s="47"/>
      <x:c r="L80" s="47"/>
      <x:c r="M80" s="47"/>
      <x:c r="N80" s="47"/>
      <x:c r="O80" s="47"/>
      <x:c r="P80" s="47"/>
      <x:c r="Q80" s="47"/>
      <x:c r="R80" s="47"/>
      <x:c r="S80" s="47"/>
      <x:c r="T80" s="47"/>
      <x:c r="U80" s="47"/>
      <x:c r="V80" s="47"/>
      <x:c r="W80" s="47"/>
      <x:c r="X80" s="47"/>
      <x:c r="Y80" s="47"/>
      <x:c r="Z80" s="47"/>
    </x:row>
    <x:row r="81">
      <x:c r="A81" s="199" t="str">
        <x:v>SRC-077</x:v>
      </x:c>
      <x:c r="B81" s="200" t="str">
        <x:v>EU AI Act Annex III</x:v>
      </x:c>
      <x:c r="C81" s="200" t="str">
        <x:v>Regulation reference</x:v>
      </x:c>
      <x:c r="D81" s="200" t="str">
        <x:v>High-risk employment, worker-management and access-to-employment AI categories.</x:v>
      </x:c>
      <x:c r="E81" s="200" t="str">
        <x:v>https://ai-act-service-desk.ec.europa.eu/en/ai-act/annex-3</x:v>
      </x:c>
      <x:c r="F81" s="200" t="str">
        <x:v>High</x:v>
      </x:c>
      <x:c r="G81" s="201" t="str">
        <x:v>Relevant to future EU deployment.</x:v>
      </x:c>
      <x:c r="H81" s="47"/>
      <x:c r="I81" s="47"/>
      <x:c r="J81" s="47"/>
      <x:c r="K81" s="47"/>
      <x:c r="L81" s="47"/>
      <x:c r="M81" s="47"/>
      <x:c r="N81" s="47"/>
      <x:c r="O81" s="47"/>
      <x:c r="P81" s="47"/>
      <x:c r="Q81" s="47"/>
      <x:c r="R81" s="47"/>
      <x:c r="S81" s="47"/>
      <x:c r="T81" s="47"/>
      <x:c r="U81" s="47"/>
      <x:c r="V81" s="47"/>
      <x:c r="W81" s="47"/>
      <x:c r="X81" s="47"/>
      <x:c r="Y81" s="47"/>
      <x:c r="Z81" s="47"/>
    </x:row>
    <x:row r="82">
      <x:c r="A82" s="205" t="str">
        <x:v>SRC-078</x:v>
      </x:c>
      <x:c r="B82" s="206" t="str">
        <x:v>EU AI Act Article 6</x:v>
      </x:c>
      <x:c r="C82" s="206" t="str">
        <x:v>Regulation reference</x:v>
      </x:c>
      <x:c r="D82" s="206" t="str">
        <x:v>Classification rules for high-risk AI and profiling context.</x:v>
      </x:c>
      <x:c r="E82" s="206" t="str">
        <x:v>https://ai-act-service-desk.ec.europa.eu/en/ai-act/article-6</x:v>
      </x:c>
      <x:c r="F82" s="206" t="str">
        <x:v>High</x:v>
      </x:c>
      <x:c r="G82" s="207" t="str">
        <x:v>Future EU policy pack.</x:v>
      </x:c>
      <x:c r="H82" s="47"/>
      <x:c r="I82" s="47"/>
      <x:c r="J82" s="47"/>
      <x:c r="K82" s="47"/>
      <x:c r="L82" s="47"/>
      <x:c r="M82" s="47"/>
      <x:c r="N82" s="47"/>
      <x:c r="O82" s="47"/>
      <x:c r="P82" s="47"/>
      <x:c r="Q82" s="47"/>
      <x:c r="R82" s="47"/>
      <x:c r="S82" s="47"/>
      <x:c r="T82" s="47"/>
      <x:c r="U82" s="47"/>
      <x:c r="V82" s="47"/>
      <x:c r="W82" s="47"/>
      <x:c r="X82" s="47"/>
      <x:c r="Y82" s="47"/>
      <x:c r="Z82" s="47"/>
    </x:row>
    <x:row r="83">
      <x:c r="A83" s="199" t="str">
        <x:v>SRC-079</x:v>
      </x:c>
      <x:c r="B83" s="200" t="str">
        <x:v>Pakistan MoITT — Personal Data Protection Bill update</x:v>
      </x:c>
      <x:c r="C83" s="200" t="str">
        <x:v>Government source</x:v>
      </x:c>
      <x:c r="D83" s="200" t="str">
        <x:v>Pakistan's continuing data-protection legislative development.</x:v>
      </x:c>
      <x:c r="E83" s="200" t="str">
        <x:v>https://moitt.gov.pk/NewsDetail/NzdkMmNjZDAtNjZkMi00NTY2LWE1NTYtYjRjMmIxOGZlNWNm</x:v>
      </x:c>
      <x:c r="F83" s="200" t="str">
        <x:v>High</x:v>
      </x:c>
      <x:c r="G83" s="201" t="str">
        <x:v>Status has evolved; current local counsel confirmation required.</x:v>
      </x:c>
      <x:c r="H83" s="47"/>
      <x:c r="I83" s="47"/>
      <x:c r="J83" s="47"/>
      <x:c r="K83" s="47"/>
      <x:c r="L83" s="47"/>
      <x:c r="M83" s="47"/>
      <x:c r="N83" s="47"/>
      <x:c r="O83" s="47"/>
      <x:c r="P83" s="47"/>
      <x:c r="Q83" s="47"/>
      <x:c r="R83" s="47"/>
      <x:c r="S83" s="47"/>
      <x:c r="T83" s="47"/>
      <x:c r="U83" s="47"/>
      <x:c r="V83" s="47"/>
      <x:c r="W83" s="47"/>
      <x:c r="X83" s="47"/>
      <x:c r="Y83" s="47"/>
      <x:c r="Z83" s="47"/>
    </x:row>
    <x:row r="84">
      <x:c r="A84" s="205" t="str">
        <x:v>SRC-080</x:v>
      </x:c>
      <x:c r="B84" s="206" t="str">
        <x:v>President of Pakistan — PECA Amendment Bill 2025 assent</x:v>
      </x:c>
      <x:c r="C84" s="206" t="str">
        <x:v>Government source</x:v>
      </x:c>
      <x:c r="D84" s="206" t="str">
        <x:v>Current cyber-law context and 2025 amendment assent.</x:v>
      </x:c>
      <x:c r="E84" s="206" t="str">
        <x:v>https://president.gov.pk/president-asif-ali-zardari-signed-the-electronic-crimes-amendment-bill-2025-peca-2</x:v>
      </x:c>
      <x:c r="F84" s="206" t="str">
        <x:v>High</x:v>
      </x:c>
      <x:c r="G84" s="207" t="str">
        <x:v>Does not by itself answer workplace monitoring; local counsel required.</x:v>
      </x:c>
      <x:c r="H84" s="47"/>
      <x:c r="I84" s="47"/>
      <x:c r="J84" s="47"/>
      <x:c r="K84" s="47"/>
      <x:c r="L84" s="47"/>
      <x:c r="M84" s="47"/>
      <x:c r="N84" s="47"/>
      <x:c r="O84" s="47"/>
      <x:c r="P84" s="47"/>
      <x:c r="Q84" s="47"/>
      <x:c r="R84" s="47"/>
      <x:c r="S84" s="47"/>
      <x:c r="T84" s="47"/>
      <x:c r="U84" s="47"/>
      <x:c r="V84" s="47"/>
      <x:c r="W84" s="47"/>
      <x:c r="X84" s="47"/>
      <x:c r="Y84" s="47"/>
      <x:c r="Z84" s="47"/>
    </x:row>
    <x:row r="85">
      <x:c r="A85" s="199" t="str">
        <x:v>SRC-081</x:v>
      </x:c>
      <x:c r="B85" s="200" t="str">
        <x:v>Pakistan National Cyber Crime Investigation Agency</x:v>
      </x:c>
      <x:c r="C85" s="200" t="str">
        <x:v>Government source</x:v>
      </x:c>
      <x:c r="D85" s="200" t="str">
        <x:v>Current cybercrime enforcement body and cyber-law context.</x:v>
      </x:c>
      <x:c r="E85" s="200" t="str">
        <x:v>https://www.nccia.gov.pk/</x:v>
      </x:c>
      <x:c r="F85" s="200" t="str">
        <x:v>Medium</x:v>
      </x:c>
      <x:c r="G85" s="201" t="str">
        <x:v>Local counsel required for employment-monitoring application.</x:v>
      </x:c>
      <x:c r="H85" s="47"/>
      <x:c r="I85" s="47"/>
      <x:c r="J85" s="47"/>
      <x:c r="K85" s="47"/>
      <x:c r="L85" s="47"/>
      <x:c r="M85" s="47"/>
      <x:c r="N85" s="47"/>
      <x:c r="O85" s="47"/>
      <x:c r="P85" s="47"/>
      <x:c r="Q85" s="47"/>
      <x:c r="R85" s="47"/>
      <x:c r="S85" s="47"/>
      <x:c r="T85" s="47"/>
      <x:c r="U85" s="47"/>
      <x:c r="V85" s="47"/>
      <x:c r="W85" s="47"/>
      <x:c r="X85" s="47"/>
      <x:c r="Y85" s="47"/>
      <x:c r="Z85" s="47"/>
    </x:row>
    <x:row r="86">
      <x:c r="A86" s="208" t="str">
        <x:v>SRC-082</x:v>
      </x:c>
      <x:c r="B86" s="209" t="str">
        <x:v>Pakistan Draft Data Governance Policy 2026 reporting</x:v>
      </x:c>
      <x:c r="C86" s="209" t="str">
        <x:v>Current policy reporting</x:v>
      </x:c>
      <x:c r="D86" s="209" t="str">
        <x:v>Emerging public-sector data-governance, privacy-by-design and audit direction.</x:v>
      </x:c>
      <x:c r="E86" s="209" t="str">
        <x:v>https://www.dawn.com/news/2011804</x:v>
      </x:c>
      <x:c r="F86" s="209" t="str">
        <x:v>Medium</x:v>
      </x:c>
      <x:c r="G86" s="210" t="str">
        <x:v>Draft concerns public-sector data and is not a private-sector workplace-monitoring law.</x:v>
      </x:c>
      <x:c r="H86" s="47"/>
      <x:c r="I86" s="47"/>
      <x:c r="J86" s="47"/>
      <x:c r="K86" s="47"/>
      <x:c r="L86" s="47"/>
      <x:c r="M86" s="47"/>
      <x:c r="N86" s="47"/>
      <x:c r="O86" s="47"/>
      <x:c r="P86" s="47"/>
      <x:c r="Q86" s="47"/>
      <x:c r="R86" s="47"/>
      <x:c r="S86" s="47"/>
      <x:c r="T86" s="47"/>
      <x:c r="U86" s="47"/>
      <x:c r="V86" s="47"/>
      <x:c r="W86" s="47"/>
      <x:c r="X86" s="47"/>
      <x:c r="Y86" s="47"/>
      <x:c r="Z86" s="47"/>
    </x:row>
    <x:row r="87">
      <x:c r="A87" s="391" t="str">
        <x:v>SRC-083</x:v>
      </x:c>
      <x:c r="B87" s="392" t="str">
        <x:v>LinearB AI Developer Productivity Insights</x:v>
      </x:c>
      <x:c r="C87" s="392" t="str">
        <x:v>Commercial product</x:v>
      </x:c>
      <x:c r="D87" s="392" t="str">
        <x:v>Developer AI usage, productivity and governance market benchmark.</x:v>
      </x:c>
      <x:c r="E87" s="392" t="str">
        <x:v>https://linearb.io/platform/ai-developer-productivity-insights</x:v>
      </x:c>
      <x:c r="F87" s="392" t="str">
        <x:v>High</x:v>
      </x:c>
      <x:c r="G87" s="393" t="str">
        <x:v>Added in Stage 2–3 update.</x:v>
      </x:c>
      <x:c r="H87" s="47"/>
      <x:c r="I87" s="47"/>
      <x:c r="J87" s="47"/>
      <x:c r="K87" s="47"/>
      <x:c r="L87" s="47"/>
      <x:c r="M87" s="47"/>
      <x:c r="N87" s="47"/>
      <x:c r="O87" s="47"/>
      <x:c r="P87" s="47"/>
      <x:c r="Q87" s="47"/>
      <x:c r="R87" s="47"/>
      <x:c r="S87" s="47"/>
      <x:c r="T87" s="47"/>
      <x:c r="U87" s="47"/>
      <x:c r="V87" s="47"/>
      <x:c r="W87" s="47"/>
      <x:c r="X87" s="47"/>
      <x:c r="Y87" s="47"/>
      <x:c r="Z87" s="47"/>
    </x:row>
    <x:row r="88">
      <x:c r="A88" s="430" t="str">
        <x:v>SRC-084</x:v>
      </x:c>
      <x:c r="B88" s="431" t="str">
        <x:v>Jellyfish AI/Engineering Intelligence</x:v>
      </x:c>
      <x:c r="C88" s="431" t="str">
        <x:v>Commercial product</x:v>
      </x:c>
      <x:c r="D88" s="431" t="str">
        <x:v>AI-SDLC, usage, cost and engineering intelligence benchmark.</x:v>
      </x:c>
      <x:c r="E88" s="431" t="str">
        <x:v>https://jellyfish.co/</x:v>
      </x:c>
      <x:c r="F88" s="431" t="str">
        <x:v>High</x:v>
      </x:c>
      <x:c r="G88" s="432" t="str">
        <x:v>Added in Stage 2–3 update.</x:v>
      </x:c>
      <x:c r="H88" s="47"/>
      <x:c r="I88" s="47"/>
      <x:c r="J88" s="47"/>
      <x:c r="K88" s="47"/>
      <x:c r="L88" s="47"/>
      <x:c r="M88" s="47"/>
      <x:c r="N88" s="47"/>
      <x:c r="O88" s="47"/>
      <x:c r="P88" s="47"/>
      <x:c r="Q88" s="47"/>
      <x:c r="R88" s="47"/>
      <x:c r="S88" s="47"/>
      <x:c r="T88" s="47"/>
      <x:c r="U88" s="47"/>
      <x:c r="V88" s="47"/>
      <x:c r="W88" s="47"/>
      <x:c r="X88" s="47"/>
      <x:c r="Y88" s="47"/>
      <x:c r="Z88" s="47"/>
    </x:row>
    <x:row r="89">
      <x:c r="A89" s="394" t="str">
        <x:v>SRC-085</x:v>
      </x:c>
      <x:c r="B89" s="200" t="str">
        <x:v>TechWolf Skills Intelligence</x:v>
      </x:c>
      <x:c r="C89" s="200" t="str">
        <x:v>Commercial product</x:v>
      </x:c>
      <x:c r="D89" s="200" t="str">
        <x:v>Work-derived skills intelligence category benchmark.</x:v>
      </x:c>
      <x:c r="E89" s="200" t="str">
        <x:v>https://www.techwolf.ai/product/skills-intelligence</x:v>
      </x:c>
      <x:c r="F89" s="200" t="str">
        <x:v>High</x:v>
      </x:c>
      <x:c r="G89" s="395" t="str">
        <x:v>Added in Stage 2–3 update.</x:v>
      </x:c>
      <x:c r="H89" s="47"/>
      <x:c r="I89" s="47"/>
      <x:c r="J89" s="47"/>
      <x:c r="K89" s="47"/>
      <x:c r="L89" s="47"/>
      <x:c r="M89" s="47"/>
      <x:c r="N89" s="47"/>
      <x:c r="O89" s="47"/>
      <x:c r="P89" s="47"/>
      <x:c r="Q89" s="47"/>
      <x:c r="R89" s="47"/>
      <x:c r="S89" s="47"/>
      <x:c r="T89" s="47"/>
      <x:c r="U89" s="47"/>
      <x:c r="V89" s="47"/>
      <x:c r="W89" s="47"/>
      <x:c r="X89" s="47"/>
      <x:c r="Y89" s="47"/>
      <x:c r="Z89" s="47"/>
    </x:row>
    <x:row r="90">
      <x:c r="A90" s="430" t="str">
        <x:v>SRC-086</x:v>
      </x:c>
      <x:c r="B90" s="431" t="str">
        <x:v>Eightfold Talent Intelligence</x:v>
      </x:c>
      <x:c r="C90" s="431" t="str">
        <x:v>Commercial product</x:v>
      </x:c>
      <x:c r="D90" s="431" t="str">
        <x:v>Skills/capabilities/talent intelligence benchmark.</x:v>
      </x:c>
      <x:c r="E90" s="431" t="str">
        <x:v>https://eightfold.ai/products/</x:v>
      </x:c>
      <x:c r="F90" s="431" t="str">
        <x:v>High</x:v>
      </x:c>
      <x:c r="G90" s="432" t="str">
        <x:v>Added in Stage 2–3 update.</x:v>
      </x:c>
      <x:c r="H90" s="47"/>
      <x:c r="I90" s="47"/>
      <x:c r="J90" s="47"/>
      <x:c r="K90" s="47"/>
      <x:c r="L90" s="47"/>
      <x:c r="M90" s="47"/>
      <x:c r="N90" s="47"/>
      <x:c r="O90" s="47"/>
      <x:c r="P90" s="47"/>
      <x:c r="Q90" s="47"/>
      <x:c r="R90" s="47"/>
      <x:c r="S90" s="47"/>
      <x:c r="T90" s="47"/>
      <x:c r="U90" s="47"/>
      <x:c r="V90" s="47"/>
      <x:c r="W90" s="47"/>
      <x:c r="X90" s="47"/>
      <x:c r="Y90" s="47"/>
      <x:c r="Z90" s="47"/>
    </x:row>
    <x:row r="91">
      <x:c r="A91" s="394" t="str">
        <x:v>SRC-087</x:v>
      </x:c>
      <x:c r="B91" s="200" t="str">
        <x:v>Gloat Workforce Graph</x:v>
      </x:c>
      <x:c r="C91" s="200" t="str">
        <x:v>Commercial product</x:v>
      </x:c>
      <x:c r="D91" s="200" t="str">
        <x:v>Dynamic skills ontology and workforce graph benchmark.</x:v>
      </x:c>
      <x:c r="E91" s="200" t="str">
        <x:v>https://gloat.com/platform/workforce-graph/</x:v>
      </x:c>
      <x:c r="F91" s="200" t="str">
        <x:v>High</x:v>
      </x:c>
      <x:c r="G91" s="395" t="str">
        <x:v>Added in Stage 2–3 update.</x:v>
      </x:c>
      <x:c r="H91" s="47"/>
      <x:c r="I91" s="47"/>
      <x:c r="J91" s="47"/>
      <x:c r="K91" s="47"/>
      <x:c r="L91" s="47"/>
      <x:c r="M91" s="47"/>
      <x:c r="N91" s="47"/>
      <x:c r="O91" s="47"/>
      <x:c r="P91" s="47"/>
      <x:c r="Q91" s="47"/>
      <x:c r="R91" s="47"/>
      <x:c r="S91" s="47"/>
      <x:c r="T91" s="47"/>
      <x:c r="U91" s="47"/>
      <x:c r="V91" s="47"/>
      <x:c r="W91" s="47"/>
      <x:c r="X91" s="47"/>
      <x:c r="Y91" s="47"/>
      <x:c r="Z91" s="47"/>
    </x:row>
    <x:row r="92">
      <x:c r="A92" s="430" t="str">
        <x:v>SRC-088</x:v>
      </x:c>
      <x:c r="B92" s="431" t="str">
        <x:v>Degreed Maestro</x:v>
      </x:c>
      <x:c r="C92" s="431" t="str">
        <x:v>Commercial product</x:v>
      </x:c>
      <x:c r="D92" s="431" t="str">
        <x:v>AI learning and coaching benchmark.</x:v>
      </x:c>
      <x:c r="E92" s="431" t="str">
        <x:v>https://degreed.com/experience/artificial-intelligence/</x:v>
      </x:c>
      <x:c r="F92" s="431" t="str">
        <x:v>High</x:v>
      </x:c>
      <x:c r="G92" s="432" t="str">
        <x:v>Added in Stage 2–3 update.</x:v>
      </x:c>
      <x:c r="H92" s="47"/>
      <x:c r="I92" s="47"/>
      <x:c r="J92" s="47"/>
      <x:c r="K92" s="47"/>
      <x:c r="L92" s="47"/>
      <x:c r="M92" s="47"/>
      <x:c r="N92" s="47"/>
      <x:c r="O92" s="47"/>
      <x:c r="P92" s="47"/>
      <x:c r="Q92" s="47"/>
      <x:c r="R92" s="47"/>
      <x:c r="S92" s="47"/>
      <x:c r="T92" s="47"/>
      <x:c r="U92" s="47"/>
      <x:c r="V92" s="47"/>
      <x:c r="W92" s="47"/>
      <x:c r="X92" s="47"/>
      <x:c r="Y92" s="47"/>
      <x:c r="Z92" s="47"/>
    </x:row>
    <x:row r="93">
      <x:c r="A93" s="394" t="str">
        <x:v>SRC-089</x:v>
      </x:c>
      <x:c r="B93" s="200" t="str">
        <x:v>OpenAPI 3.1.1 Specification</x:v>
      </x:c>
      <x:c r="C93" s="200" t="str">
        <x:v>Official standard</x:v>
      </x:c>
      <x:c r="D93" s="200" t="str">
        <x:v>REST/OpenAPI contracts.</x:v>
      </x:c>
      <x:c r="E93" s="200" t="str">
        <x:v>https://spec.openapis.org/oas/v3.1.1.html</x:v>
      </x:c>
      <x:c r="F93" s="200" t="str">
        <x:v>High</x:v>
      </x:c>
      <x:c r="G93" s="395" t="str">
        <x:v>Stage 2/3 API design.</x:v>
      </x:c>
      <x:c r="H93" s="47"/>
      <x:c r="I93" s="47"/>
      <x:c r="J93" s="47"/>
      <x:c r="K93" s="47"/>
      <x:c r="L93" s="47"/>
      <x:c r="M93" s="47"/>
      <x:c r="N93" s="47"/>
      <x:c r="O93" s="47"/>
      <x:c r="P93" s="47"/>
      <x:c r="Q93" s="47"/>
      <x:c r="R93" s="47"/>
      <x:c r="S93" s="47"/>
      <x:c r="T93" s="47"/>
      <x:c r="U93" s="47"/>
      <x:c r="V93" s="47"/>
      <x:c r="W93" s="47"/>
      <x:c r="X93" s="47"/>
      <x:c r="Y93" s="47"/>
      <x:c r="Z93" s="47"/>
    </x:row>
    <x:row r="94">
      <x:c r="A94" s="430" t="str">
        <x:v>SRC-090</x:v>
      </x:c>
      <x:c r="B94" s="431" t="str">
        <x:v>JSON Schema 2020-12</x:v>
      </x:c>
      <x:c r="C94" s="431" t="str">
        <x:v>Official standard</x:v>
      </x:c>
      <x:c r="D94" s="431" t="str">
        <x:v>JSON validation for role/task/evidence/policy/event schemas.</x:v>
      </x:c>
      <x:c r="E94" s="431" t="str">
        <x:v>https://json-schema.org/draft/2020-12/json-schema-validation</x:v>
      </x:c>
      <x:c r="F94" s="431" t="str">
        <x:v>High</x:v>
      </x:c>
      <x:c r="G94" s="432" t="str">
        <x:v>Stage 2/3 schemas.</x:v>
      </x:c>
      <x:c r="H94" s="47"/>
      <x:c r="I94" s="47"/>
      <x:c r="J94" s="47"/>
      <x:c r="K94" s="47"/>
      <x:c r="L94" s="47"/>
      <x:c r="M94" s="47"/>
      <x:c r="N94" s="47"/>
      <x:c r="O94" s="47"/>
      <x:c r="P94" s="47"/>
      <x:c r="Q94" s="47"/>
      <x:c r="R94" s="47"/>
      <x:c r="S94" s="47"/>
      <x:c r="T94" s="47"/>
      <x:c r="U94" s="47"/>
      <x:c r="V94" s="47"/>
      <x:c r="W94" s="47"/>
      <x:c r="X94" s="47"/>
      <x:c r="Y94" s="47"/>
      <x:c r="Z94" s="47"/>
    </x:row>
    <x:row r="95">
      <x:c r="A95" s="394" t="str">
        <x:v>SRC-091</x:v>
      </x:c>
      <x:c r="B95" s="200" t="str">
        <x:v>CloudEvents</x:v>
      </x:c>
      <x:c r="C95" s="200" t="str">
        <x:v>Official standard</x:v>
      </x:c>
      <x:c r="D95" s="200" t="str">
        <x:v>Event envelope metadata.</x:v>
      </x:c>
      <x:c r="E95" s="200" t="str">
        <x:v>https://cloudevents.io/</x:v>
      </x:c>
      <x:c r="F95" s="200" t="str">
        <x:v>High</x:v>
      </x:c>
      <x:c r="G95" s="395" t="str">
        <x:v>Stage 2/3 events.</x:v>
      </x:c>
      <x:c r="H95" s="47"/>
      <x:c r="I95" s="47"/>
      <x:c r="J95" s="47"/>
      <x:c r="K95" s="47"/>
      <x:c r="L95" s="47"/>
      <x:c r="M95" s="47"/>
      <x:c r="N95" s="47"/>
      <x:c r="O95" s="47"/>
      <x:c r="P95" s="47"/>
      <x:c r="Q95" s="47"/>
      <x:c r="R95" s="47"/>
      <x:c r="S95" s="47"/>
      <x:c r="T95" s="47"/>
      <x:c r="U95" s="47"/>
      <x:c r="V95" s="47"/>
      <x:c r="W95" s="47"/>
      <x:c r="X95" s="47"/>
      <x:c r="Y95" s="47"/>
      <x:c r="Z95" s="47"/>
    </x:row>
    <x:row r="96">
      <x:c r="A96" s="430" t="str">
        <x:v>SRC-092</x:v>
      </x:c>
      <x:c r="B96" s="431" t="str">
        <x:v>NIST NICE Current Versions</x:v>
      </x:c>
      <x:c r="C96" s="431" t="str">
        <x:v>Framework data</x:v>
      </x:c>
      <x:c r="D96" s="431" t="str">
        <x:v>Current Work Role, Task, Knowledge and Skill components.</x:v>
      </x:c>
      <x:c r="E96" s="431" t="str">
        <x:v>https://www.nist.gov/itl/applied-cybersecurity/nice/nice-framework-resource-center/nice-framework-current-versions</x:v>
      </x:c>
      <x:c r="F96" s="431" t="str">
        <x:v>High</x:v>
      </x:c>
      <x:c r="G96" s="432" t="str">
        <x:v>Stage 2 reference.</x:v>
      </x:c>
      <x:c r="H96" s="47"/>
      <x:c r="I96" s="47"/>
      <x:c r="J96" s="47"/>
      <x:c r="K96" s="47"/>
      <x:c r="L96" s="47"/>
      <x:c r="M96" s="47"/>
      <x:c r="N96" s="47"/>
      <x:c r="O96" s="47"/>
      <x:c r="P96" s="47"/>
      <x:c r="Q96" s="47"/>
      <x:c r="R96" s="47"/>
      <x:c r="S96" s="47"/>
      <x:c r="T96" s="47"/>
      <x:c r="U96" s="47"/>
      <x:c r="V96" s="47"/>
      <x:c r="W96" s="47"/>
      <x:c r="X96" s="47"/>
      <x:c r="Y96" s="47"/>
      <x:c r="Z96" s="47"/>
    </x:row>
    <x:row r="97">
      <x:c r="A97" s="394" t="str">
        <x:v>SRC-093</x:v>
      </x:c>
      <x:c r="B97" s="200" t="str">
        <x:v>Apple Developer ID</x:v>
      </x:c>
      <x:c r="C97" s="200" t="str">
        <x:v>Official docs</x:v>
      </x:c>
      <x:c r="D97" s="200" t="str">
        <x:v>macOS signing and notarisation.</x:v>
      </x:c>
      <x:c r="E97" s="200" t="str">
        <x:v>https://developer.apple.com/developer-id/</x:v>
      </x:c>
      <x:c r="F97" s="200" t="str">
        <x:v>High</x:v>
      </x:c>
      <x:c r="G97" s="395" t="str">
        <x:v>Stage 3 CI/CD.</x:v>
      </x:c>
      <x:c r="H97" s="47"/>
      <x:c r="I97" s="47"/>
      <x:c r="J97" s="47"/>
      <x:c r="K97" s="47"/>
      <x:c r="L97" s="47"/>
      <x:c r="M97" s="47"/>
      <x:c r="N97" s="47"/>
      <x:c r="O97" s="47"/>
      <x:c r="P97" s="47"/>
      <x:c r="Q97" s="47"/>
      <x:c r="R97" s="47"/>
      <x:c r="S97" s="47"/>
      <x:c r="T97" s="47"/>
      <x:c r="U97" s="47"/>
      <x:c r="V97" s="47"/>
      <x:c r="W97" s="47"/>
      <x:c r="X97" s="47"/>
      <x:c r="Y97" s="47"/>
      <x:c r="Z97" s="47"/>
    </x:row>
    <x:row r="98">
      <x:c r="A98" s="430" t="str">
        <x:v>SRC-094</x:v>
      </x:c>
      <x:c r="B98" s="431" t="str">
        <x:v>Microsoft MSIX signing</x:v>
      </x:c>
      <x:c r="C98" s="431" t="str">
        <x:v>Official docs</x:v>
      </x:c>
      <x:c r="D98" s="431" t="str">
        <x:v>Windows package signing and timestamping.</x:v>
      </x:c>
      <x:c r="E98" s="431" t="str">
        <x:v>https://learn.microsoft.com/en-us/windows/msix/package/signing-package-overview</x:v>
      </x:c>
      <x:c r="F98" s="431" t="str">
        <x:v>High</x:v>
      </x:c>
      <x:c r="G98" s="432" t="str">
        <x:v>Stage 3 CI/CD.</x:v>
      </x:c>
      <x:c r="H98" s="47"/>
      <x:c r="I98" s="47"/>
      <x:c r="J98" s="47"/>
      <x:c r="K98" s="47"/>
      <x:c r="L98" s="47"/>
      <x:c r="M98" s="47"/>
      <x:c r="N98" s="47"/>
      <x:c r="O98" s="47"/>
      <x:c r="P98" s="47"/>
      <x:c r="Q98" s="47"/>
      <x:c r="R98" s="47"/>
      <x:c r="S98" s="47"/>
      <x:c r="T98" s="47"/>
      <x:c r="U98" s="47"/>
      <x:c r="V98" s="47"/>
      <x:c r="W98" s="47"/>
      <x:c r="X98" s="47"/>
      <x:c r="Y98" s="47"/>
      <x:c r="Z98" s="47"/>
    </x:row>
    <x:row r="99">
      <x:c r="A99" s="394" t="str">
        <x:v>SRC-095</x:v>
      </x:c>
      <x:c r="B99" s="200" t="str">
        <x:v>CycloneDX SBOM</x:v>
      </x:c>
      <x:c r="C99" s="200" t="str">
        <x:v>SBOM standard</x:v>
      </x:c>
      <x:c r="D99" s="200" t="str">
        <x:v>Software Bill of Materials and dependency transparency.</x:v>
      </x:c>
      <x:c r="E99" s="200" t="str">
        <x:v>https://cyclonedx.org/capabilities/sbom/</x:v>
      </x:c>
      <x:c r="F99" s="200" t="str">
        <x:v>High</x:v>
      </x:c>
      <x:c r="G99" s="395" t="str">
        <x:v>Stage 3 supply chain.</x:v>
      </x:c>
      <x:c r="H99" s="47"/>
      <x:c r="I99" s="47"/>
      <x:c r="J99" s="47"/>
      <x:c r="K99" s="47"/>
      <x:c r="L99" s="47"/>
      <x:c r="M99" s="47"/>
      <x:c r="N99" s="47"/>
      <x:c r="O99" s="47"/>
      <x:c r="P99" s="47"/>
      <x:c r="Q99" s="47"/>
      <x:c r="R99" s="47"/>
      <x:c r="S99" s="47"/>
      <x:c r="T99" s="47"/>
      <x:c r="U99" s="47"/>
      <x:c r="V99" s="47"/>
      <x:c r="W99" s="47"/>
      <x:c r="X99" s="47"/>
      <x:c r="Y99" s="47"/>
      <x:c r="Z99" s="47"/>
    </x:row>
    <x:row r="100">
      <x:c r="A100" s="437" t="str">
        <x:v>SRC-096</x:v>
      </x:c>
      <x:c r="B100" s="438" t="str">
        <x:v>SPDX</x:v>
      </x:c>
      <x:c r="C100" s="438" t="str">
        <x:v>SBOM standard</x:v>
      </x:c>
      <x:c r="D100" s="438" t="str">
        <x:v>ISO/IEC 5962:2021 SBOM and software supply chain references.</x:v>
      </x:c>
      <x:c r="E100" s="438" t="str">
        <x:v>https://spdx.dev/</x:v>
      </x:c>
      <x:c r="F100" s="438" t="str">
        <x:v>High</x:v>
      </x:c>
      <x:c r="G100" s="439" t="str">
        <x:v>Stage 3 supply chain.</x:v>
      </x:c>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G1"/>
    <x:mergeCell ref="A2:G2"/>
  </x:mergeCells>
  <x:dataValidations count="1">
    <x:dataValidation type="list" sqref="F5:F86">
      <x:formula1>"Critical,High,Medium,Low"</x:formula1>
    </x:dataValidation>
  </x:dataValidations>
  <x:pageMargins left="0.7" right="0.7" top="0.75" bottom="0.75" header="0.3" footer="0.3"/>
  <x:tableParts count="1">
    <x:tablePart xmlns:r="http://schemas.openxmlformats.org/officeDocument/2006/relationships" r:id="Rb995ab2f09484015"/>
  </x:tableParts>
</x:worksheet>
</file>

<file path=xl/worksheets/sheet15.xml><?xml version="1.0" encoding="utf-8"?>
<x:worksheet xmlns:x="http://schemas.openxmlformats.org/spreadsheetml/2006/main">
  <x:sheetFormatPr defaultRowHeight="15"/>
  <x:cols>
    <x:col min="1" max="1" width="22" hidden="0" customWidth="1"/>
    <x:col min="2" max="2" width="78" hidden="0" customWidth="1"/>
    <x:col min="3" max="3" width="34" hidden="0" customWidth="1"/>
    <x:col min="4" max="4" width="18" hidden="0" customWidth="1"/>
    <x:col min="5" max="5" width="14" hidden="0" customWidth="1"/>
    <x:col min="6" max="6" width="48" hidden="0" customWidth="1"/>
  </x:cols>
  <x:sheetData>
    <x:row r="1" ht="30" customHeight="1">
      <x:c r="A1" s="72" t="str">
        <x:v>Master Prompts — Foundation and Next-Stage Execution</x:v>
      </x:c>
      <x:c r="B1" s="72"/>
      <x:c r="C1" s="72"/>
      <x:c r="D1" s="72"/>
      <x:c r="E1" s="72"/>
      <x:c r="F1" s="72"/>
    </x:row>
    <x:row r="2" ht="34" customHeight="1">
      <x:c r="A2" s="76" t="str">
        <x:v>Research-backed prompts used to execute the combined Stage 0–1 foundation workstream, followed by reusable prompts for Stages 2 and 3.</x:v>
      </x:c>
      <x:c r="B2" s="76"/>
      <x:c r="C2" s="76"/>
      <x:c r="D2" s="76"/>
      <x:c r="E2" s="76"/>
      <x:c r="F2" s="76"/>
    </x:row>
    <x:row r="4" ht="28" customHeight="1">
      <x:c r="A4" s="88" t="str">
        <x:v>ID</x:v>
      </x:c>
      <x:c r="B4" s="89" t="str">
        <x:v>Prompt-design principle</x:v>
      </x:c>
      <x:c r="C4" s="89" t="str">
        <x:v>Why it matters</x:v>
      </x:c>
      <x:c r="D4" s="89" t="str">
        <x:v>Primary basis</x:v>
      </x:c>
      <x:c r="E4" s="89" t="str">
        <x:v>Decision</x:v>
      </x:c>
      <x:c r="F4" s="90" t="str">
        <x:v>Source URL</x:v>
      </x:c>
    </x:row>
    <x:row r="5">
      <x:c r="A5" s="110" t="str">
        <x:v>P-01</x:v>
      </x:c>
      <x:c r="B5" s="111" t="str">
        <x:v>Put critical instructions and constraints first.</x:v>
      </x:c>
      <x:c r="C5" s="111" t="str">
        <x:v>Reduces missed requirements and establishes the operating frame before context.</x:v>
      </x:c>
      <x:c r="D5" s="111" t="str">
        <x:v>OpenAI / Google</x:v>
      </x:c>
      <x:c r="E5" s="111" t="str">
        <x:v>Adopted</x:v>
      </x:c>
      <x:c r="F5" s="112" t="str">
        <x:v>https://help.openai.com/en/articles/6654000-best-practices-for-prompt-engineering-with-the-openai-api</x:v>
      </x:c>
    </x:row>
    <x:row r="6">
      <x:c r="A6" s="119" t="str">
        <x:v>P-02</x:v>
      </x:c>
      <x:c r="B6" s="120" t="str">
        <x:v>Separate role, context, task, constraints and output using consistent delimiters.</x:v>
      </x:c>
      <x:c r="C6" s="120" t="str">
        <x:v>Makes long, multi-disciplinary prompts easier to parse and audit.</x:v>
      </x:c>
      <x:c r="D6" s="120" t="str">
        <x:v>OpenAI / Google</x:v>
      </x:c>
      <x:c r="E6" s="120" t="str">
        <x:v>Adopted</x:v>
      </x:c>
      <x:c r="F6" s="121" t="str">
        <x:v>https://ai.google.dev/gemini-api/docs/prompting-strategies</x:v>
      </x:c>
    </x:row>
    <x:row r="7">
      <x:c r="A7" s="113" t="str">
        <x:v>P-03</x:v>
      </x:c>
      <x:c r="B7" s="114" t="str">
        <x:v>Define the required result, format, detail level and decision criteria explicitly.</x:v>
      </x:c>
      <x:c r="C7" s="114" t="str">
        <x:v>Prevents generic narrative output and forces decision-ready deliverables.</x:v>
      </x:c>
      <x:c r="D7" s="114" t="str">
        <x:v>OpenAI</x:v>
      </x:c>
      <x:c r="E7" s="114" t="str">
        <x:v>Adopted</x:v>
      </x:c>
      <x:c r="F7" s="115" t="str">
        <x:v>https://help.openai.com/en/articles/10032626-prompt-engineering-best-practices</x:v>
      </x:c>
    </x:row>
    <x:row r="8">
      <x:c r="A8" s="119" t="str">
        <x:v>P-04</x:v>
      </x:c>
      <x:c r="B8" s="120" t="str">
        <x:v>Break complex work into chained stages and make outputs from one stage inputs to the next.</x:v>
      </x:c>
      <x:c r="C8" s="120" t="str">
        <x:v>Improves reliability for research, architecture, governance and delivery planning.</x:v>
      </x:c>
      <x:c r="D8" s="120" t="str">
        <x:v>Google / GitHub</x:v>
      </x:c>
      <x:c r="E8" s="120" t="str">
        <x:v>Adopted</x:v>
      </x:c>
      <x:c r="F8" s="121" t="str">
        <x:v>https://docs.github.com/en/enterprise-cloud@latest/copilot/concepts/prompting/prompt-engineering</x:v>
      </x:c>
    </x:row>
    <x:row r="9">
      <x:c r="A9" s="113" t="str">
        <x:v>P-05</x:v>
      </x:c>
      <x:c r="B9" s="114" t="str">
        <x:v>Provide examples, schemas or expected output structures.</x:v>
      </x:c>
      <x:c r="C9" s="114" t="str">
        <x:v>Makes generated work easier to validate and transfer into Excel or implementation artefacts.</x:v>
      </x:c>
      <x:c r="D9" s="114" t="str">
        <x:v>OpenAI / GitHub</x:v>
      </x:c>
      <x:c r="E9" s="114" t="str">
        <x:v>Adopted</x:v>
      </x:c>
      <x:c r="F9" s="115" t="str">
        <x:v>https://docs.github.com/en/copilot/get-started/best-practices</x:v>
      </x:c>
    </x:row>
    <x:row r="10">
      <x:c r="A10" s="119" t="str">
        <x:v>P-06</x:v>
      </x:c>
      <x:c r="B10" s="120" t="str">
        <x:v>Require source grounding and distinguish fact, inference, assumption and recommendation.</x:v>
      </x:c>
      <x:c r="C10" s="120" t="str">
        <x:v>Reduces unsupported claims and creates an auditable research trail.</x:v>
      </x:c>
      <x:c r="D10" s="120" t="str">
        <x:v>Nessovo control</x:v>
      </x:c>
      <x:c r="E10" s="120" t="str">
        <x:v>Adopted</x:v>
      </x:c>
      <x:c r="F10" s="121" t="str">
        <x:v>Internal project requirement</x:v>
      </x:c>
    </x:row>
    <x:row r="11">
      <x:c r="A11" s="113" t="str">
        <x:v>P-07</x:v>
      </x:c>
      <x:c r="B11" s="114" t="str">
        <x:v>Plan, execute and validate against explicit acceptance criteria.</x:v>
      </x:c>
      <x:c r="C11" s="114" t="str">
        <x:v>Adds a completion check instead of treating first-pass generation as final.</x:v>
      </x:c>
      <x:c r="D11" s="114" t="str">
        <x:v>Google / GitHub</x:v>
      </x:c>
      <x:c r="E11" s="114" t="str">
        <x:v>Adopted</x:v>
      </x:c>
      <x:c r="F11" s="115" t="str">
        <x:v>https://ai.google.dev/gemini-api/docs/prompting-strategies</x:v>
      </x:c>
    </x:row>
    <x:row r="12">
      <x:c r="A12" s="122" t="str">
        <x:v>P-08</x:v>
      </x:c>
      <x:c r="B12" s="123" t="str">
        <x:v>State prohibited outputs and the required alternative behaviour.</x:v>
      </x:c>
      <x:c r="C12" s="123" t="str">
        <x:v>Prevents the prompt from drifting into surveillance scoring or unsupported employment conclusions.</x:v>
      </x:c>
      <x:c r="D12" s="123" t="str">
        <x:v>OpenAI / Nessovo</x:v>
      </x:c>
      <x:c r="E12" s="123" t="str">
        <x:v>Adopted</x:v>
      </x:c>
      <x:c r="F12" s="124" t="str">
        <x:v>https://help.openai.com/en/articles/6654000-best-practices-for-prompt-engineering-with-the-openai-api</x:v>
      </x:c>
    </x:row>
    <x:row r="17" ht="24" customHeight="1">
      <x:c r="A17" s="126" t="str">
        <x:v>Applied Stage 0–1 Master Prompt</x:v>
      </x:c>
      <x:c r="B17" s="126"/>
      <x:c r="C17" s="126"/>
      <x:c r="D17" s="126"/>
      <x:c r="E17" s="126"/>
      <x:c r="F17" s="126"/>
    </x:row>
    <x:row r="18" ht="28" customHeight="1">
      <x:c r="A18" s="88" t="str">
        <x:v>Prompt section</x:v>
      </x:c>
      <x:c r="B18" s="89" t="str">
        <x:v>Exact instruction</x:v>
      </x:c>
      <x:c r="C18" s="90" t="str">
        <x:v>Purpose</x:v>
      </x:c>
    </x:row>
    <x:row r="19">
      <x:c r="A19" s="110" t="str">
        <x:v>&lt;identity&gt;</x:v>
      </x:c>
      <x:c r="B19" s="111" t="str">
        <x:v>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x:v>
      </x:c>
      <x:c r="C19" s="112" t="str">
        <x:v>Defines the cross-functional decision authority.</x:v>
      </x:c>
    </x:row>
    <x:row r="20">
      <x:c r="A20" s="119" t="str">
        <x:v>&lt;mission&gt;</x:v>
      </x:c>
      <x:c r="B20" s="120" t="str">
        <x:v>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x:v>
      </x:c>
      <x:c r="C20" s="121" t="str">
        <x:v>Establishes the exact objective and the relationship between both stages.</x:v>
      </x:c>
    </x:row>
    <x:row r="21">
      <x:c r="A21" s="113" t="str">
        <x:v>&lt;authoritative_context&gt;</x:v>
      </x:c>
      <x:c r="B21" s="114" t="str">
        <x:v>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x:v>
      </x:c>
      <x:c r="C21" s="115" t="str">
        <x:v>Provides stable product and platform context.</x:v>
      </x:c>
    </x:row>
    <x:row r="22">
      <x:c r="A22" s="119" t="str">
        <x:v>&lt;definitions&gt;</x:v>
      </x:c>
      <x:c r="B22" s="120" t="str">
        <x:v>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x:v>
      </x:c>
      <x:c r="C22" s="121" t="str">
        <x:v>Prevents ambiguous terminology.</x:v>
      </x:c>
    </x:row>
    <x:row r="23">
      <x:c r="A23" s="113" t="str">
        <x:v>&lt;research_protocol&gt;</x:v>
      </x:c>
      <x:c r="B23" s="114" t="str">
        <x:v>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x:v>
      </x:c>
      <x:c r="C23" s="115" t="str">
        <x:v>Defines evidence quality and research discipline.</x:v>
      </x:c>
    </x:row>
    <x:row r="24">
      <x:c r="A24" s="119" t="str">
        <x:v>&lt;stage_0_workstream&gt;</x:v>
      </x:c>
      <x:c r="B24" s="120" t="str">
        <x:v>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x:v>
      </x:c>
      <x:c r="C24" s="121" t="str">
        <x:v>Stage 0 deliverable contract.</x:v>
      </x:c>
    </x:row>
    <x:row r="25">
      <x:c r="A25" s="113" t="str">
        <x:v>&lt;stage_1_workstream&gt;</x:v>
      </x:c>
      <x:c r="B25" s="114" t="str">
        <x:v>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x:v>
      </x:c>
      <x:c r="C25" s="115" t="str">
        <x:v>Stage 1 deliverable contract.</x:v>
      </x:c>
    </x:row>
    <x:row r="26">
      <x:c r="A26" s="119" t="str">
        <x:v>&lt;architecture_constraints&gt;</x:v>
      </x:c>
      <x:c r="B26" s="120" t="str">
        <x:v>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x:v>
      </x:c>
      <x:c r="C26" s="121" t="str">
        <x:v>Prevents architecture drift and technology novelty bias.</x:v>
      </x:c>
    </x:row>
    <x:row r="27">
      <x:c r="A27" s="113" t="str">
        <x:v>&lt;governance_constraints&gt;</x:v>
      </x:c>
      <x:c r="B27" s="114" t="str">
        <x:v>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x:v>
      </x:c>
      <x:c r="C27" s="115" t="str">
        <x:v>Non-negotiable safety and trust boundary.</x:v>
      </x:c>
    </x:row>
    <x:row r="28">
      <x:c r="A28" s="119" t="str">
        <x:v>&lt;required_deliverables&gt;</x:v>
      </x:c>
      <x:c r="B28" s="120" t="str">
        <x:v>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x:v>
      </x:c>
      <x:c r="C28" s="121" t="str">
        <x:v>Makes the output verifiable.</x:v>
      </x:c>
    </x:row>
    <x:row r="29">
      <x:c r="A29" s="113" t="str">
        <x:v>&lt;excel_output_contract&gt;</x:v>
      </x:c>
      <x:c r="B29" s="114" t="str">
        <x:v>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x:v>
      </x:c>
      <x:c r="C29" s="115" t="str">
        <x:v>Defines spreadsheet semantics and honesty requirements.</x:v>
      </x:c>
    </x:row>
    <x:row r="30">
      <x:c r="A30" s="119" t="str">
        <x:v>&lt;execution_sequence&gt;</x:v>
      </x:c>
      <x:c r="B30" s="120" t="str">
        <x:v>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x:v>
      </x:c>
      <x:c r="C30" s="121" t="str">
        <x:v>Creates a reliable sequence.</x:v>
      </x:c>
    </x:row>
    <x:row r="31">
      <x:c r="A31" s="113" t="str">
        <x:v>&lt;quality_gates&gt;</x:v>
      </x:c>
      <x:c r="B31" s="114" t="str">
        <x:v>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x:v>
      </x:c>
      <x:c r="C31" s="115" t="str">
        <x:v>Defines when the work must stop rather than continue optimistically.</x:v>
      </x:c>
    </x:row>
    <x:row r="32">
      <x:c r="A32" s="122" t="str">
        <x:v>&lt;completion_criteria&gt;</x:v>
      </x:c>
      <x:c r="B32" s="123" t="str">
        <x:v>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x:v>
      </x:c>
      <x:c r="C32" s="124" t="str">
        <x:v>Separates document completion from real approval.</x:v>
      </x:c>
    </x:row>
    <x:row r="35" ht="24" customHeight="1">
      <x:c r="A35" s="128" t="str">
        <x:v>Next Execution Prompt — Stage 2</x:v>
      </x:c>
      <x:c r="B35" s="128"/>
      <x:c r="C35" s="128"/>
      <x:c r="D35" s="128"/>
      <x:c r="E35" s="128"/>
      <x:c r="F35" s="128"/>
    </x:row>
    <x:row r="36" ht="38" customHeight="1">
      <x:c r="A36" s="132" t="str">
        <x:v>&lt;identity&gt;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x:v>
      </x:c>
      <x:c r="B36" s="132"/>
      <x:c r="C36" s="132"/>
      <x:c r="D36" s="132"/>
      <x:c r="E36" s="132"/>
      <x:c r="F36" s="132"/>
    </x:row>
    <x:row r="37" ht="38" customHeight="1">
      <x:c r="A37" s="132"/>
      <x:c r="B37" s="132"/>
      <x:c r="C37" s="132"/>
      <x:c r="D37" s="132"/>
      <x:c r="E37" s="132"/>
      <x:c r="F37" s="132"/>
    </x:row>
    <x:row r="38" ht="38" customHeight="1">
      <x:c r="A38" s="132"/>
      <x:c r="B38" s="132"/>
      <x:c r="C38" s="132"/>
      <x:c r="D38" s="132"/>
      <x:c r="E38" s="132"/>
      <x:c r="F38" s="132"/>
    </x:row>
    <x:row r="39" ht="38" customHeight="1">
      <x:c r="A39" s="132"/>
      <x:c r="B39" s="132"/>
      <x:c r="C39" s="132"/>
      <x:c r="D39" s="132"/>
      <x:c r="E39" s="132"/>
      <x:c r="F39" s="132"/>
    </x:row>
    <x:row r="40" ht="38" customHeight="1">
      <x:c r="A40" s="132"/>
      <x:c r="B40" s="132"/>
      <x:c r="C40" s="132"/>
      <x:c r="D40" s="132"/>
      <x:c r="E40" s="132"/>
      <x:c r="F40" s="132"/>
    </x:row>
    <x:row r="41" ht="38" customHeight="1">
      <x:c r="A41" s="132"/>
      <x:c r="B41" s="132"/>
      <x:c r="C41" s="132"/>
      <x:c r="D41" s="132"/>
      <x:c r="E41" s="132"/>
      <x:c r="F41" s="132"/>
    </x:row>
    <x:row r="42" ht="38" customHeight="1">
      <x:c r="A42" s="132"/>
      <x:c r="B42" s="132"/>
      <x:c r="C42" s="132"/>
      <x:c r="D42" s="132"/>
      <x:c r="E42" s="132"/>
      <x:c r="F42" s="132"/>
    </x:row>
    <x:row r="43" ht="38" customHeight="1">
      <x:c r="A43" s="132"/>
      <x:c r="B43" s="132"/>
      <x:c r="C43" s="132"/>
      <x:c r="D43" s="132"/>
      <x:c r="E43" s="132"/>
      <x:c r="F43" s="132"/>
    </x:row>
    <x:row r="44" ht="38" customHeight="1">
      <x:c r="A44" s="132"/>
      <x:c r="B44" s="132"/>
      <x:c r="C44" s="132"/>
      <x:c r="D44" s="132"/>
      <x:c r="E44" s="132"/>
      <x:c r="F44" s="132"/>
    </x:row>
    <x:row r="45" ht="38" customHeight="1">
      <x:c r="A45" s="132"/>
      <x:c r="B45" s="132"/>
      <x:c r="C45" s="132"/>
      <x:c r="D45" s="132"/>
      <x:c r="E45" s="132"/>
      <x:c r="F45" s="132"/>
    </x:row>
    <x:row r="47" ht="24" customHeight="1">
      <x:c r="A47" s="128" t="str">
        <x:v>Next Execution Prompt — Stage 3</x:v>
      </x:c>
      <x:c r="B47" s="128"/>
      <x:c r="C47" s="128"/>
      <x:c r="D47" s="128"/>
      <x:c r="E47" s="128"/>
      <x:c r="F47" s="128"/>
    </x:row>
    <x:row r="48" ht="38" customHeight="1">
      <x:c r="A48" s="132" t="str">
        <x:v>&lt;identity&gt;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x:v>
      </x:c>
      <x:c r="B48" s="132"/>
      <x:c r="C48" s="132"/>
      <x:c r="D48" s="132"/>
      <x:c r="E48" s="132"/>
      <x:c r="F48" s="132"/>
    </x:row>
    <x:row r="49" ht="38" customHeight="1">
      <x:c r="A49" s="132"/>
      <x:c r="B49" s="132"/>
      <x:c r="C49" s="132"/>
      <x:c r="D49" s="132"/>
      <x:c r="E49" s="132"/>
      <x:c r="F49" s="132"/>
    </x:row>
    <x:row r="50" ht="38" customHeight="1">
      <x:c r="A50" s="132"/>
      <x:c r="B50" s="132"/>
      <x:c r="C50" s="132"/>
      <x:c r="D50" s="132"/>
      <x:c r="E50" s="132"/>
      <x:c r="F50" s="132"/>
    </x:row>
    <x:row r="51" ht="38" customHeight="1">
      <x:c r="A51" s="132"/>
      <x:c r="B51" s="132"/>
      <x:c r="C51" s="132"/>
      <x:c r="D51" s="132"/>
      <x:c r="E51" s="132"/>
      <x:c r="F51" s="132"/>
    </x:row>
    <x:row r="52" ht="38" customHeight="1">
      <x:c r="A52" s="132"/>
      <x:c r="B52" s="132"/>
      <x:c r="C52" s="132"/>
      <x:c r="D52" s="132"/>
      <x:c r="E52" s="132"/>
      <x:c r="F52" s="132"/>
    </x:row>
    <x:row r="53" ht="38" customHeight="1">
      <x:c r="A53" s="132"/>
      <x:c r="B53" s="132"/>
      <x:c r="C53" s="132"/>
      <x:c r="D53" s="132"/>
      <x:c r="E53" s="132"/>
      <x:c r="F53" s="132"/>
    </x:row>
    <x:row r="54" ht="38" customHeight="1">
      <x:c r="A54" s="132"/>
      <x:c r="B54" s="132"/>
      <x:c r="C54" s="132"/>
      <x:c r="D54" s="132"/>
      <x:c r="E54" s="132"/>
      <x:c r="F54" s="132"/>
    </x:row>
    <x:row r="55" ht="38" customHeight="1">
      <x:c r="A55" s="132"/>
      <x:c r="B55" s="132"/>
      <x:c r="C55" s="132"/>
      <x:c r="D55" s="132"/>
      <x:c r="E55" s="132"/>
      <x:c r="F55" s="132"/>
    </x:row>
    <x:row r="56" ht="38" customHeight="1">
      <x:c r="A56" s="132"/>
      <x:c r="B56" s="132"/>
      <x:c r="C56" s="132"/>
      <x:c r="D56" s="132"/>
      <x:c r="E56" s="132"/>
      <x:c r="F56" s="132"/>
    </x:row>
    <x:row r="57" ht="38" customHeight="1">
      <x:c r="A57" s="132"/>
      <x:c r="B57" s="132"/>
      <x:c r="C57" s="132"/>
      <x:c r="D57" s="132"/>
      <x:c r="E57" s="132"/>
      <x:c r="F57" s="132"/>
    </x:row>
    <x:row r="62" ht="24" customHeight="1">
      <x:c r="A62" s="402" t="str">
        <x:v>Next Execution Prompt — Stage 4</x:v>
      </x:c>
      <x:c r="B62" s="402"/>
      <x:c r="C62" s="402"/>
      <x:c r="D62" s="402"/>
      <x:c r="E62" s="402"/>
      <x:c r="F62" s="402"/>
    </x:row>
    <x:row r="63" ht="38" customHeight="1">
      <x:c r="A63" s="406" t="str">
        <x:v>&lt;identity&gt;
You are a senior HumanOS backend, data-platform, security, SRE, privacy-engineering and evidence-systems team. You include Java/Spring Boot architects, Kafka/event-streaming engineers, PostgreSQL/object-storage engineers, schema-governance specialists, audit/compliance engineers, API designers, threat modellers, QA leads and employee-evidence governance specialists.
&lt;/identity&gt;
&lt;mission&gt;
Execute Stage 4 of Nessovo HumanOS Work Intelligence: design and implement the Telemetry Ingestion and Evidence Storage foundation that receives signed endpoint batches, validates schemas, deduplicates/replays events, stores evidence metadata and objects, links audit, and exposes replay/timeline APIs for later Task Assurance and Capability Graph processing.
Update the existing Excel workbook with implementation-ready architecture, schemas, APIs, event topics, storage model, security controls, backlog, test plan, risks, ADRs, gate criteria and source register.
&lt;/mission&gt;
&lt;authoritative_context&gt;
Nessovo HumanOS uses Java/Spring Boot for durable domain services and Python for AI/evaluation services. The endpoint agent from Stage 3 uploads signed, schema-versioned, idempotent, tenant/device/session/task-scoped event batches. Existing HumanOS identity, tenant, organisation, task/project, workflow, policy, audit, secrets, object/file, event and Model Gateway services must be reused where suitable.
Stage 4 is not an AI interpretation stage. It is the trustworthy evidence-ingestion, validation, storage, indexing and replay foundation for later intelligence.
&lt;/authoritative_context&gt;
&lt;non_negotiable_rules&gt;
- Do not store raw evidence in operational traces or generic logs.
- Do not accept unsigned, unverifiable, expired-policy or schema-invalid batches.
- Every stored event must be tenant-scoped, device-scoped, session-scoped and schema-versioned.
- Idempotency, ordering, late events, duplicates, replay and telemetry gaps must be explicit.
- Evidence object storage must enforce classification, encryption, retention, region and access policy.
- Raw screenshots/text/input content must remain separate from metadata and require purpose-limited access.
- Every evidence access must be auditable.
- Ingestion failure must not silently create false timelines.
- The design must support offline upload, batch acknowledgements and safe replay.
&lt;/non_negotiable_rules&gt;
&lt;required_workstreams&gt;
1. Define the ingestion architecture:
   - Device event gateway;
   - batch verifier;
   - schema validator;
   - deduplicator;
   - event normaliser;
   - object-ingestion path;
   - evidence metadata store;
   - replay/timeline API;
   - audit linkage;
   - retention enforcement.
2. Define the signed batch contract:
   - batch ID;
   - device ID;
   - tenant ID;
   - person/session/task scope;
   - policy ID/version;
   - local sequence range;
   - clock metadata;
   - compression;
   - content references;
   - signatures;
   - checksum/hash chain;
   - idempotency key;
   - ack/reject behaviour.
3. Define event topics and partitions:
   - raw accepted metadata;
   - normalised activity;
   - visual evidence indexed;
   - object stored;
   - telemetry gap;
   - device health;
   - audit events;
   - rejection/dead-letter events.
4. Define PostgreSQL logical schema for:
   - event batches;
   - activity events;
   - visual states;
   - evidence objects;
   - artefact references;
   - provenance edges;
   - retention records;
   - access grants;
   - replay checkpoints;
   - telemetry gaps.
5. Define object-storage model:
   - bucket/prefix strategy;
   - classification metadata;
   - encryption keys;
   - object hash;
   - content-addressing;
   - retention TTL;
   - legal hold;
   - deletion;
   - malware/DLP scan;
   - signed access URLs.
6. Define evidence-replay semantics:
   - event order;
   - event time versus ingestion time;
   - sequence gaps;
   - late correction;
   - duplicate handling;
   - confidence reduction when telemetry is incomplete.
7. Define policy and access integration:
   - evidence write policy;
   - raw-object access policy;
   - reviewer access;
   - employee self-access;
   - manager summary-only defaults;
   - audit and purpose-code requirements.
8. Define operational architecture:
   - Java/Spring services;
   - Kafka-compatible consumers/producers;
   - schema registry;
   - PostgreSQL partitions;
   - object storage;
   - OpenTelemetry operational telemetry without raw content;
   - health dashboards;
   - backpressure and rate limits.
9. Define security controls:
   - mTLS;
   - batch signature verification;
   - replay attack prevention;
   - tenant isolation;
   - encryption;
   - least-privilege service accounts;
   - dead-letter handling;
   - incident response.
10. Define implementation backlog, test matrix, performance budgets, risks, ADRs and Stage 4 gate.
&lt;/required_workstreams&gt;
&lt;output_contract&gt;
Update the workbook with dedicated sheets for:
1. Stage 4 Architecture
2. Batch Contract
3. Event Topics
4. Evidence Storage Model
5. Ingestion APIs
6. Replay and Timeline Semantics
7. Retention and Access Controls
8. Stage 4 Backlog
9. Stage 4 Risks
10. Stage 4 ADRs
11. Stage 4 Gate
12. Stage 4 Sources
Every row must include IDs, owner, status, acceptance criteria, dependencies and source where applicable. Use formulas for readiness and risk scores. Keep sensitive raw evidence out of general observability and logs.
&lt;/output_contract&gt;
&lt;validation&gt;
Validate that the Stage 4 design can:
1. Reject invalid/suspicious batches.
2. Accept valid offline batches idempotently.
3. Preserve event ordering and gaps.
4. Store evidence metadata separately from content.
5. Enforce classification, retention and access policies.
6. Support replay/timeline queries.
7. Provide complete auditability.
8. Avoid false timeline confidence when data is missing.
9. Integrate with existing HumanOS services.
10. Pass formula, source and visual-quality checks.
&lt;/validation&gt;</x:v>
      </x:c>
      <x:c r="B63" s="406"/>
      <x:c r="C63" s="406"/>
      <x:c r="D63" s="406"/>
      <x:c r="E63" s="406"/>
      <x:c r="F63" s="406"/>
    </x:row>
    <x:row r="64" ht="38" customHeight="1">
      <x:c r="A64" s="406"/>
      <x:c r="B64" s="406"/>
      <x:c r="C64" s="406"/>
      <x:c r="D64" s="406"/>
      <x:c r="E64" s="406"/>
      <x:c r="F64" s="406"/>
    </x:row>
    <x:row r="65" ht="38" customHeight="1">
      <x:c r="A65" s="406"/>
      <x:c r="B65" s="406"/>
      <x:c r="C65" s="406"/>
      <x:c r="D65" s="406"/>
      <x:c r="E65" s="406"/>
      <x:c r="F65" s="406"/>
    </x:row>
    <x:row r="66" ht="38" customHeight="1">
      <x:c r="A66" s="406"/>
      <x:c r="B66" s="406"/>
      <x:c r="C66" s="406"/>
      <x:c r="D66" s="406"/>
      <x:c r="E66" s="406"/>
      <x:c r="F66" s="406"/>
    </x:row>
    <x:row r="67" ht="38" customHeight="1">
      <x:c r="A67" s="406"/>
      <x:c r="B67" s="406"/>
      <x:c r="C67" s="406"/>
      <x:c r="D67" s="406"/>
      <x:c r="E67" s="406"/>
      <x:c r="F67" s="406"/>
    </x:row>
    <x:row r="68" ht="38" customHeight="1">
      <x:c r="A68" s="406"/>
      <x:c r="B68" s="406"/>
      <x:c r="C68" s="406"/>
      <x:c r="D68" s="406"/>
      <x:c r="E68" s="406"/>
      <x:c r="F68" s="406"/>
    </x:row>
    <x:row r="69" ht="38" customHeight="1">
      <x:c r="A69" s="406"/>
      <x:c r="B69" s="406"/>
      <x:c r="C69" s="406"/>
      <x:c r="D69" s="406"/>
      <x:c r="E69" s="406"/>
      <x:c r="F69" s="406"/>
    </x:row>
    <x:row r="70" ht="38" customHeight="1">
      <x:c r="A70" s="406"/>
      <x:c r="B70" s="406"/>
      <x:c r="C70" s="406"/>
      <x:c r="D70" s="406"/>
      <x:c r="E70" s="406"/>
      <x:c r="F70" s="406"/>
    </x:row>
    <x:row r="71" ht="38" customHeight="1">
      <x:c r="A71" s="406"/>
      <x:c r="B71" s="406"/>
      <x:c r="C71" s="406"/>
      <x:c r="D71" s="406"/>
      <x:c r="E71" s="406"/>
      <x:c r="F71" s="406"/>
    </x:row>
    <x:row r="72" ht="38" customHeight="1">
      <x:c r="A72" s="406"/>
      <x:c r="B72" s="406"/>
      <x:c r="C72" s="406"/>
      <x:c r="D72" s="406"/>
      <x:c r="E72" s="406"/>
      <x:c r="F72" s="406"/>
    </x:row>
    <x:row r="73" ht="38" customHeight="1">
      <x:c r="A73" s="406"/>
      <x:c r="B73" s="406"/>
      <x:c r="C73" s="406"/>
      <x:c r="D73" s="406"/>
      <x:c r="E73" s="406"/>
      <x:c r="F73" s="406"/>
    </x:row>
    <x:row r="74" ht="38" customHeight="1">
      <x:c r="A74" s="406"/>
      <x:c r="B74" s="406"/>
      <x:c r="C74" s="406"/>
      <x:c r="D74" s="406"/>
      <x:c r="E74" s="406"/>
      <x:c r="F74" s="406"/>
    </x:row>
    <x:row r="77" ht="24" customHeight="1">
      <x:c r="A77" s="402" t="str">
        <x:v>Next Execution Prompt — Stage 5</x:v>
      </x:c>
      <x:c r="B77" s="402"/>
      <x:c r="C77" s="402"/>
      <x:c r="D77" s="402"/>
      <x:c r="E77" s="402"/>
      <x:c r="F77" s="402"/>
    </x:row>
    <x:row r="78" ht="38" customHeight="1">
      <x:c r="A78" s="406" t="str">
        <x:v>&lt;identity&gt;
You are a senior endpoint-capture, privacy-engineering, OS-integration, UX, QA, security, data and AI-evidence team. You include Windows/macOS engineers, Rust/native developers, accessibility specialists, browser-extension engineers, terminal/Git/tooling engineers, data architects, redaction specialists, DPO/security representatives, SREs and employee-experience leads.
&lt;/identity&gt;
&lt;mission&gt;
Execute Stage 5 of Nessovo HumanOS Work Intelligence: design and implement the Universal Capture MVP on top of the Stage 3 device-agent foundation and Stage 4 ingestion/evidence storage layer.
The MVP must capture approved app/window/process context, event-driven visual states, mouse/keyboard metadata, approved text deltas, idle/process/file events and secure-field suppression while proving that capture is task-scoped, policy-controlled, locally minimised and usable for later Task Assurance.
Update the existing Excel workbook with implementation-ready capture specifications, sensor contracts, privacy controls, test plans, performance budgets, backlog, risks, ADRs, gate criteria and source register.
&lt;/mission&gt;
&lt;authoritative_context&gt;
Stage 5 depends on:
- Stage 2 Task Execution Contract and evidence ontology;
- Stage 3 device-agent foundation, policy bundle, state machine, local journal and update model;
- Stage 4 ingestion, evidence storage, replay and audit model.
Stage 5 is the first universal evidence-capture MVP. It must not become unrestricted surveillance. Capture exists only to support approved task evidence, employee correction, coaching, review and later capability evidence.
&lt;/authoritative_context&gt;
&lt;non_negotiable_rules&gt;
- No covert mode.
- No full-motion continuous recording as the default.
- No password, authentication-code or known secure-field retention.
- No raw text capture outside approved controls/surfaces.
- No capture outside approved policy, hours, session and task scope.
- Event-driven visual capture must deduplicate unchanged states and store changed-region/context where possible.
- Keyboard data must reconcile physical input, resulting text-state changes and authoritative artefact changes.
- Mouse/click events must not be used as productivity scores.
- Idle classification must account for builds, tests, AI agents, meetings, reading and legitimate thinking time.
- Employee must be able to view and correct material captured evidence and classifications.
&lt;/non_negotiable_rules&gt;
&lt;required_workstreams&gt;
1. Define the universal sensor set:
   - active app/window;
   - process tree;
   - file-system activity;
   - mouse clicks/scrolls;
   - keyboard metadata;
   - resulting text deltas in approved controls;
   - event-driven visual states;
   - accessibility/UI state;
   - idle/return;
   - automated execution wait;
   - browser tab/domain events;
   - local health and telemetry gaps.
2. Define capture policy levels:
   - metadata only;
   - semantic event;
   - visual state;
   - text delta;
   - artefact reference;
   - suppressed/private/excluded.
3. Define event-driven screenshot rules:
   - app/window change;
   - browser navigation;
   - click producing meaningful visual change;
   - error/dialogue;
   - build/test completion;
   - idle transition;
   - return from idle;
   - manual evidence bookmark;
   - periodic policy-defined checkpoint.
4. Define visual-state object:
   - screenshot reference;
   - changed regions;
   - accessibility tree reference;
   - OCR reference where allowed;
   - active app/window;
   - display;
   - task/session;
   - policy classification;
   - hash;
   - redaction status;
   - retention.
5. Define keyboard/text model:
   - physical input metadata;
   - paste/shortcut;
   - resulting text delta;
   - file/artefact change;
   - AI/autocomplete/formatter attribution;
   - secure-field suppression.
6. Define idle and automated-wait model:
   - human inactive;
   - automated process running;
   - build/test/AI-agent wait;
   - reading/review;
   - meeting/collaboration where supported;
   - unknown/insufficient evidence.
7. Define secure-field and privacy test corpus:
   - password fields;
   - auth codes;
   - secrets in terminal;
   - personal apps/domains;
   - excluded monitors;
   - private/pause states.
8. Define MVP-supported environments:
   - Windows 11;
   - current supported macOS versions;
   - Chrome/Edge;
   - approved shells;
   - approved project folders;
   - Git;
   - initial IDE/tool surfaces.
9. Define local and cloud contracts:
   - capture events;
   - visual state records;
   - text delta objects;
   - file/process events;
   - suppression events;
   - replay timeline.
10. Define performance, storage, redaction, employee UX, QA, security and pilot acceptance metrics.
11. Create implementation backlog, risks, ADRs, tests and Stage 5 gate.
&lt;/required_workstreams&gt;
&lt;output_contract&gt;
Update the workbook with dedicated sheets for:
1. Capture MVP Scope
2. Sensor Specifications
3. Visual State Model
4. Input and Text Model
5. Idle and Automation Model
6. Privacy Redaction Tests
7. Supported Environment Matrix
8. Capture Event Contracts
9. Stage 5 Backlog
10. Stage 5 Risks
11. Stage 5 ADRs
12. Stage 5 Gate
13. Stage 5 Sources
Every row must include unique ID, owner, dependency, status, acceptance criteria, privacy/security impact and source where applicable. Use formulas for readiness, risk and acceptance target tracking.
&lt;/output_contract&gt;
&lt;validation&gt;
Validate that Stage 5 can:
1. Capture app/window/process context accurately.
2. Link clicks to visual states.
3. Capture approved text deltas without secure-field leakage.
4. Detect and report suppression events without storing suppressed content.
5. Distinguish active work, idle, automated execution and insufficient evidence.
6. Respect policy/session/task scope.
7. Operate within endpoint performance budgets.
8. Upload events through Stage 4 contracts.
9. Provide employee-visible evidence and correction hooks.
10. Pass formula, source, privacy and visual-quality checks.
&lt;/validation&gt;</x:v>
      </x:c>
      <x:c r="B78" s="406"/>
      <x:c r="C78" s="406"/>
      <x:c r="D78" s="406"/>
      <x:c r="E78" s="406"/>
      <x:c r="F78" s="406"/>
    </x:row>
    <x:row r="79" ht="38" customHeight="1">
      <x:c r="A79" s="406"/>
      <x:c r="B79" s="406"/>
      <x:c r="C79" s="406"/>
      <x:c r="D79" s="406"/>
      <x:c r="E79" s="406"/>
      <x:c r="F79" s="406"/>
    </x:row>
    <x:row r="80" ht="38" customHeight="1">
      <x:c r="A80" s="406"/>
      <x:c r="B80" s="406"/>
      <x:c r="C80" s="406"/>
      <x:c r="D80" s="406"/>
      <x:c r="E80" s="406"/>
      <x:c r="F80" s="406"/>
    </x:row>
    <x:row r="81" ht="38" customHeight="1">
      <x:c r="A81" s="406"/>
      <x:c r="B81" s="406"/>
      <x:c r="C81" s="406"/>
      <x:c r="D81" s="406"/>
      <x:c r="E81" s="406"/>
      <x:c r="F81" s="406"/>
    </x:row>
    <x:row r="82" ht="38" customHeight="1">
      <x:c r="A82" s="406"/>
      <x:c r="B82" s="406"/>
      <x:c r="C82" s="406"/>
      <x:c r="D82" s="406"/>
      <x:c r="E82" s="406"/>
      <x:c r="F82" s="406"/>
    </x:row>
    <x:row r="83" ht="38" customHeight="1">
      <x:c r="A83" s="406"/>
      <x:c r="B83" s="406"/>
      <x:c r="C83" s="406"/>
      <x:c r="D83" s="406"/>
      <x:c r="E83" s="406"/>
      <x:c r="F83" s="406"/>
    </x:row>
    <x:row r="84" ht="38" customHeight="1">
      <x:c r="A84" s="406"/>
      <x:c r="B84" s="406"/>
      <x:c r="C84" s="406"/>
      <x:c r="D84" s="406"/>
      <x:c r="E84" s="406"/>
      <x:c r="F84" s="406"/>
    </x:row>
    <x:row r="85" ht="38" customHeight="1">
      <x:c r="A85" s="406"/>
      <x:c r="B85" s="406"/>
      <x:c r="C85" s="406"/>
      <x:c r="D85" s="406"/>
      <x:c r="E85" s="406"/>
      <x:c r="F85" s="406"/>
    </x:row>
    <x:row r="86" ht="38" customHeight="1">
      <x:c r="A86" s="406"/>
      <x:c r="B86" s="406"/>
      <x:c r="C86" s="406"/>
      <x:c r="D86" s="406"/>
      <x:c r="E86" s="406"/>
      <x:c r="F86" s="406"/>
    </x:row>
    <x:row r="87" ht="38" customHeight="1">
      <x:c r="A87" s="406"/>
      <x:c r="B87" s="406"/>
      <x:c r="C87" s="406"/>
      <x:c r="D87" s="406"/>
      <x:c r="E87" s="406"/>
      <x:c r="F87" s="406"/>
    </x:row>
    <x:row r="88" ht="38" customHeight="1">
      <x:c r="A88" s="406"/>
      <x:c r="B88" s="406"/>
      <x:c r="C88" s="406"/>
      <x:c r="D88" s="406"/>
      <x:c r="E88" s="406"/>
      <x:c r="F88" s="406"/>
    </x:row>
    <x:row r="89" ht="38" customHeight="1">
      <x:c r="A89" s="406"/>
      <x:c r="B89" s="406"/>
      <x:c r="C89" s="406"/>
      <x:c r="D89" s="406"/>
      <x:c r="E89" s="406"/>
      <x:c r="F89" s="406"/>
    </x:row>
  </x:sheetData>
  <x:mergeCells>
    <x:mergeCell ref="A1:F1"/>
    <x:mergeCell ref="A2:F2"/>
    <x:mergeCell ref="A17:F17"/>
    <x:mergeCell ref="A35:F35"/>
    <x:mergeCell ref="A36:F45"/>
    <x:mergeCell ref="A47:F47"/>
    <x:mergeCell ref="A48:F57"/>
    <x:mergeCell ref="A62:F62"/>
    <x:mergeCell ref="A63:F74"/>
    <x:mergeCell ref="A77:F77"/>
    <x:mergeCell ref="A78:F89"/>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20" hidden="0" customWidth="1"/>
    <x:col min="4" max="4" width="24" hidden="0" customWidth="1"/>
    <x:col min="5" max="5" width="30" hidden="0" customWidth="1"/>
    <x:col min="6" max="6" width="20" hidden="0" customWidth="1"/>
    <x:col min="7" max="7" width="18" hidden="0" customWidth="1"/>
    <x:col min="8" max="8" width="18" hidden="0" customWidth="1"/>
    <x:col min="9" max="9" width="18" hidden="0" customWidth="1"/>
    <x:col min="10" max="10" width="18" hidden="0" customWidth="1"/>
  </x:cols>
  <x:sheetData>
    <x:row r="1" ht="30" customHeight="1">
      <x:c r="A1" s="72" t="str">
        <x:v>Foundation Dashboard — Stage 0 and Stage 1</x:v>
      </x:c>
      <x:c r="B1" s="72"/>
      <x:c r="C1" s="72"/>
      <x:c r="D1" s="72"/>
      <x:c r="E1" s="72"/>
      <x:c r="F1" s="72"/>
      <x:c r="G1" s="72"/>
      <x:c r="H1" s="72"/>
      <x:c r="I1" s="72"/>
      <x:c r="J1" s="72"/>
    </x:row>
    <x:row r="2" ht="34" customHeight="1">
      <x:c r="A2" s="76" t="str">
        <x:v>Current state: research and draft artefacts are complete; formal Nessovo ownership, legal/DPO, worker, security, architecture and budget approvals remain outstanding.</x:v>
      </x:c>
      <x:c r="B2" s="76"/>
      <x:c r="C2" s="76"/>
      <x:c r="D2" s="76"/>
      <x:c r="E2" s="76"/>
      <x:c r="F2" s="76"/>
      <x:c r="G2" s="76"/>
      <x:c r="H2" s="76"/>
      <x:c r="I2" s="76"/>
      <x:c r="J2" s="76"/>
    </x:row>
    <x:row r="4" ht="28" customHeight="1">
      <x:c r="A4" s="88" t="str">
        <x:v>Foundation KPI</x:v>
      </x:c>
      <x:c r="B4" s="90" t="str">
        <x:v>Current value</x:v>
      </x:c>
    </x:row>
    <x:row r="5">
      <x:c r="A5" s="110" t="str">
        <x:v>Combined workplan maturity</x:v>
      </x:c>
      <x:c r="B5" s="139" t="n">
        <x:f>AVERAGE('Stage 0-1 Workplan'!K5:K71)</x:f>
        <x:v>0.6820895522388055</x:v>
      </x:c>
    </x:row>
    <x:row r="6">
      <x:c r="A6" s="113" t="str">
        <x:v>Stage 0 workplan maturity</x:v>
      </x:c>
      <x:c r="B6" s="140" t="n">
        <x:f>AVERAGEIF('Stage 0-1 Workplan'!B5:B71,0,'Stage 0-1 Workplan'!K5:K71)</x:f>
        <x:v>0.6529411764705886</x:v>
      </x:c>
    </x:row>
    <x:row r="7">
      <x:c r="A7" s="113" t="str">
        <x:v>Stage 1 workplan maturity</x:v>
      </x:c>
      <x:c r="B7" s="140" t="n">
        <x:f>AVERAGEIF('Stage 0-1 Workplan'!B5:B71,1,'Stage 0-1 Workplan'!K5:K71)</x:f>
        <x:v>0.7121212121212126</x:v>
      </x:c>
    </x:row>
    <x:row r="8">
      <x:c r="A8" s="113" t="str">
        <x:v>Stage 0 gate readiness</x:v>
      </x:c>
      <x:c r="B8" s="140" t="n">
        <x:f>'Stage 0-1 Gates'!O6</x:f>
        <x:v>0.5722222222222223</x:v>
      </x:c>
    </x:row>
    <x:row r="9">
      <x:c r="A9" s="113" t="str">
        <x:v>Stage 1 gate readiness</x:v>
      </x:c>
      <x:c r="B9" s="140" t="n">
        <x:f>'Stage 0-1 Gates'!O7</x:f>
        <x:v>0.5666666666666665</x:v>
      </x:c>
    </x:row>
    <x:row r="10">
      <x:c r="A10" s="113" t="str">
        <x:v>Mandatory items not started/blocked</x:v>
      </x:c>
      <x:c r="B10" s="115" t="n">
        <x:f>'Stage 0-1 Gates'!O8</x:f>
        <x:v>5</x:v>
      </x:c>
    </x:row>
    <x:row r="11">
      <x:c r="A11" s="113" t="str">
        <x:v>Critical/high tasks below draft-ready</x:v>
      </x:c>
      <x:c r="B11" s="115" t="n">
        <x:f>COUNTIFS('Stage 0-1 Workplan'!I5:I71,"Critical",'Stage 0-1 Workplan'!K5:K71,"&lt;0.8")+COUNTIFS('Stage 0-1 Workplan'!I5:I71,"High",'Stage 0-1 Workplan'!K5:K71,"&lt;0.8")</x:f>
        <x:v>16</x:v>
      </x:c>
    </x:row>
    <x:row r="12">
      <x:c r="A12" s="113" t="str">
        <x:v>Residual high/critical threats</x:v>
      </x:c>
      <x:c r="B12" s="115" t="n">
        <x:f>COUNTIF('Foundation Threats'!K5:K34,"&gt;=15")</x:f>
        <x:v>0</x:v>
      </x:c>
    </x:row>
    <x:row r="13">
      <x:c r="A13" s="113" t="str">
        <x:v>ADRs accepted in principle/accepted</x:v>
      </x:c>
      <x:c r="B13" s="115" t="n">
        <x:f>COUNTIF('Architecture Decisions'!C5:C26,"Accepted in principle")+COUNTIF('Architecture Decisions'!C5:C26,"Accepted")</x:f>
        <x:v>20</x:v>
      </x:c>
    </x:row>
    <x:row r="14">
      <x:c r="A14" s="116" t="str">
        <x:v>Registered research sources</x:v>
      </x:c>
      <x:c r="B14" s="118" t="n">
        <x:f>COUNTA('Source Register'!A5:A200)</x:f>
        <x:v>96</x:v>
      </x:c>
    </x:row>
    <x:row r="17" ht="28" customHeight="1">
      <x:c r="A17" s="88" t="str">
        <x:v>Stage</x:v>
      </x:c>
      <x:c r="B17" s="90" t="str">
        <x:v>Maturity %</x:v>
      </x:c>
    </x:row>
    <x:row r="18">
      <x:c r="A18" s="110" t="str">
        <x:v>Stage 0 workplan</x:v>
      </x:c>
      <x:c r="B18" s="269" t="n">
        <x:f>B6*100</x:f>
        <x:v>65.29411764705885</x:v>
      </x:c>
      <x:c r="D18" s="138" t="str">
        <x:v>Executive decision state</x:v>
      </x:c>
      <x:c r="E18" s="138"/>
      <x:c r="F18" s="138"/>
      <x:c r="G18" s="138"/>
      <x:c r="H18" s="138"/>
      <x:c r="I18" s="138"/>
      <x:c r="J18" s="138"/>
    </x:row>
    <x:row r="19" ht="28" customHeight="1">
      <x:c r="A19" s="113" t="str">
        <x:v>Stage 1 workplan</x:v>
      </x:c>
      <x:c r="B19" s="270" t="n">
        <x:f>B7*100</x:f>
        <x:v>71.21212121212126</x:v>
      </x:c>
      <x:c r="D19" s="88" t="str">
        <x:v>Item</x:v>
      </x:c>
      <x:c r="E19" s="90" t="str">
        <x:v>Current state</x:v>
      </x:c>
    </x:row>
    <x:row r="20">
      <x:c r="A20" s="116" t="str">
        <x:v>Combined foundation</x:v>
      </x:c>
      <x:c r="B20" s="271" t="n">
        <x:f>B5*100</x:f>
        <x:v>68.20895522388055</x:v>
      </x:c>
      <x:c r="D20" s="110" t="str">
        <x:v>Stage 0 foundation content</x:v>
      </x:c>
      <x:c r="E20" s="150" t="str">
        <x:v>Draft package complete</x:v>
      </x:c>
      <x:c r="F20" s="155"/>
      <x:c r="G20" s="155"/>
      <x:c r="H20" s="155"/>
      <x:c r="I20" s="155"/>
      <x:c r="J20" s="156"/>
    </x:row>
    <x:row r="21">
      <x:c r="D21" s="113" t="str">
        <x:v>Stage 0 organisational approval</x:v>
      </x:c>
      <x:c r="E21" s="150" t="str">
        <x:v>Pending legal/DPO/worker/security/leadership review</x:v>
      </x:c>
      <x:c r="F21" s="155"/>
      <x:c r="G21" s="155"/>
      <x:c r="H21" s="155"/>
      <x:c r="I21" s="155"/>
      <x:c r="J21" s="156"/>
    </x:row>
    <x:row r="22">
      <x:c r="D22" s="113" t="str">
        <x:v>Stage 1 research and architecture content</x:v>
      </x:c>
      <x:c r="E22" s="150" t="str">
        <x:v>Draft package complete</x:v>
      </x:c>
      <x:c r="F22" s="155"/>
      <x:c r="G22" s="155"/>
      <x:c r="H22" s="155"/>
      <x:c r="I22" s="155"/>
      <x:c r="J22" s="156"/>
    </x:row>
    <x:row r="23">
      <x:c r="D23" s="113" t="str">
        <x:v>Stage 1 organisational approval</x:v>
      </x:c>
      <x:c r="E23" s="150" t="str">
        <x:v>Pending architecture/licence/cost/resource review</x:v>
      </x:c>
      <x:c r="F23" s="155"/>
      <x:c r="G23" s="155"/>
      <x:c r="H23" s="155"/>
      <x:c r="I23" s="155"/>
      <x:c r="J23" s="156"/>
    </x:row>
    <x:row r="24">
      <x:c r="D24" s="116" t="str">
        <x:v>Entry to Stages 2 and 3</x:v>
      </x:c>
      <x:c r="E24" s="150" t="str">
        <x:v>Prompt-ready; gate approval still required</x:v>
      </x:c>
      <x:c r="F24" s="155"/>
      <x:c r="G24" s="155"/>
      <x:c r="H24" s="155"/>
      <x:c r="I24" s="155"/>
      <x:c r="J24" s="156"/>
    </x:row>
    <x:row r="27" ht="24" customHeight="1">
      <x:c r="A27" s="157" t="str">
        <x:v>Immediate Nessovo decisions required before formal gate approval</x:v>
      </x:c>
      <x:c r="B27" s="157"/>
      <x:c r="C27" s="157"/>
      <x:c r="D27" s="157"/>
      <x:c r="E27" s="157"/>
      <x:c r="F27" s="157"/>
      <x:c r="G27" s="157"/>
      <x:c r="H27" s="157"/>
      <x:c r="I27" s="157"/>
      <x:c r="J27" s="157"/>
    </x:row>
    <x:row r="28" ht="28" customHeight="1">
      <x:c r="A28" s="88" t="str">
        <x:v>Priority</x:v>
      </x:c>
      <x:c r="B28" s="89" t="str">
        <x:v>Decision</x:v>
      </x:c>
      <x:c r="C28" s="89" t="str">
        <x:v>Decision authority</x:v>
      </x:c>
      <x:c r="D28" s="89" t="str">
        <x:v>Why now</x:v>
      </x:c>
      <x:c r="E28" s="89" t="str">
        <x:v>Required evidence</x:v>
      </x:c>
      <x:c r="F28" s="90" t="str">
        <x:v>Current status</x:v>
      </x:c>
    </x:row>
    <x:row r="29">
      <x:c r="A29" s="110" t="str">
        <x:v>1</x:v>
      </x:c>
      <x:c r="B29" s="111" t="str">
        <x:v>Name executive sponsor, product owner and programme lead.</x:v>
      </x:c>
      <x:c r="C29" s="111" t="str">
        <x:v>CEO/CTO</x:v>
      </x:c>
      <x:c r="D29" s="111" t="str">
        <x:v>No foundation gate can be accountable without named owners.</x:v>
      </x:c>
      <x:c r="E29" s="111" t="str">
        <x:v>Named RACI.</x:v>
      </x:c>
      <x:c r="F29" s="112" t="str">
        <x:v>Owner Input</x:v>
      </x:c>
    </x:row>
    <x:row r="30">
      <x:c r="A30" s="119" t="str">
        <x:v>2</x:v>
      </x:c>
      <x:c r="B30" s="120" t="str">
        <x:v>Commission UK and Pakistan/Lahore legal reviews and independent DPO advice.</x:v>
      </x:c>
      <x:c r="C30" s="120" t="str">
        <x:v>CEO/Legal/DPO</x:v>
      </x:c>
      <x:c r="D30" s="120" t="str">
        <x:v>Keystroke/screenshot/performance monitoring is high risk and jurisdiction-specific.</x:v>
      </x:c>
      <x:c r="E30" s="120" t="str">
        <x:v>Legal memoranda and DPIA.</x:v>
      </x:c>
      <x:c r="F30" s="121" t="str">
        <x:v>Owner Input</x:v>
      </x:c>
    </x:row>
    <x:row r="31">
      <x:c r="A31" s="113" t="str">
        <x:v>3</x:v>
      </x:c>
      <x:c r="B31" s="114" t="str">
        <x:v>Approve worker consultation approach and participant-protection rules.</x:v>
      </x:c>
      <x:c r="C31" s="114" t="str">
        <x:v>HR/DPO/Executive Sponsor</x:v>
      </x:c>
      <x:c r="D31" s="114" t="str">
        <x:v>Worker voice is required before the pilot design is frozen.</x:v>
      </x:c>
      <x:c r="E31" s="114" t="str">
        <x:v>Consultation plan and record.</x:v>
      </x:c>
      <x:c r="F31" s="115" t="str">
        <x:v>Draft Ready</x:v>
      </x:c>
    </x:row>
    <x:row r="32">
      <x:c r="A32" s="119" t="str">
        <x:v>4</x:v>
      </x:c>
      <x:c r="B32" s="120" t="str">
        <x:v>Confirm current HumanOS Java/Spring and foundation-service inventory.</x:v>
      </x:c>
      <x:c r="C32" s="120" t="str">
        <x:v>CTO/Enterprise Architect</x:v>
      </x:c>
      <x:c r="D32" s="120" t="str">
        <x:v>Technology and service boundaries depend on actual platform capability.</x:v>
      </x:c>
      <x:c r="E32" s="120" t="str">
        <x:v>Platform inventory.</x:v>
      </x:c>
      <x:c r="F32" s="121" t="str">
        <x:v>Open</x:v>
      </x:c>
    </x:row>
    <x:row r="33">
      <x:c r="A33" s="113" t="str">
        <x:v>5</x:v>
      </x:c>
      <x:c r="B33" s="114" t="str">
        <x:v>Approve proprietary-core versus commodity build/buy strategy.</x:v>
      </x:c>
      <x:c r="C33" s="114" t="str">
        <x:v>CTO/Product/Legal</x:v>
      </x:c>
      <x:c r="D33" s="114" t="str">
        <x:v>Stage 3 implementation and licences depend on this boundary.</x:v>
      </x:c>
      <x:c r="E33" s="114" t="str">
        <x:v>Build/Buy matrix and licence review.</x:v>
      </x:c>
      <x:c r="F33" s="115" t="str">
        <x:v>Draft Ready</x:v>
      </x:c>
    </x:row>
    <x:row r="34">
      <x:c r="A34" s="119" t="str">
        <x:v>6</x:v>
      </x:c>
      <x:c r="B34" s="120" t="str">
        <x:v>Approve reference architecture and initial deployment boundaries.</x:v>
      </x:c>
      <x:c r="C34" s="120" t="str">
        <x:v>Architecture Board</x:v>
      </x:c>
      <x:c r="D34" s="120" t="str">
        <x:v>Avoid duplicated HumanOS services and premature nano-services.</x:v>
      </x:c>
      <x:c r="E34" s="120" t="str">
        <x:v>ADRs and architecture map.</x:v>
      </x:c>
      <x:c r="F34" s="121" t="str">
        <x:v>In Review</x:v>
      </x:c>
    </x:row>
    <x:row r="35">
      <x:c r="A35" s="113" t="str">
        <x:v>7</x:v>
      </x:c>
      <x:c r="B35" s="114" t="str">
        <x:v>Provide pilot sizing, device, location, tool and retention assumptions.</x:v>
      </x:c>
      <x:c r="C35" s="114" t="str">
        <x:v>Product/HR/IT/DPO</x:v>
      </x:c>
      <x:c r="D35" s="114" t="str">
        <x:v>Cost, architecture and test planning require realistic inputs.</x:v>
      </x:c>
      <x:c r="E35" s="114" t="str">
        <x:v>Resolved assumptions register.</x:v>
      </x:c>
      <x:c r="F35" s="115" t="str">
        <x:v>Open</x:v>
      </x:c>
    </x:row>
    <x:row r="36">
      <x:c r="A36" s="122" t="str">
        <x:v>8</x:v>
      </x:c>
      <x:c r="B36" s="123" t="str">
        <x:v>Commit Stage 2–3 team, devices, security review and budget.</x:v>
      </x:c>
      <x:c r="C36" s="123" t="str">
        <x:v>CEO/CTO/CFO</x:v>
      </x:c>
      <x:c r="D36" s="123" t="str">
        <x:v>The next stages require cross-functional capacity, not engineering alone.</x:v>
      </x:c>
      <x:c r="E36" s="123" t="str">
        <x:v>Resource plan.</x:v>
      </x:c>
      <x:c r="F36" s="124" t="str">
        <x:v>Owner Input</x:v>
      </x:c>
    </x:row>
    <x:row r="40" ht="24" customHeight="1">
      <x:c r="A40" s="158" t="str">
        <x:v>Foundation package delivered in this workbook</x:v>
      </x:c>
      <x:c r="B40" s="158"/>
      <x:c r="C40" s="158"/>
      <x:c r="D40" s="158"/>
      <x:c r="E40" s="158"/>
      <x:c r="F40" s="158"/>
      <x:c r="G40" s="158"/>
      <x:c r="H40" s="158"/>
      <x:c r="I40" s="158"/>
      <x:c r="J40" s="158"/>
    </x:row>
    <x:row r="41" ht="28" customHeight="1">
      <x:c r="A41" s="88" t="str">
        <x:v>Deliverable</x:v>
      </x:c>
      <x:c r="B41" s="89" t="str">
        <x:v>Sheet</x:v>
      </x:c>
      <x:c r="C41" s="90" t="str">
        <x:v>State</x:v>
      </x:c>
    </x:row>
    <x:row r="42">
      <x:c r="A42" s="110" t="str">
        <x:v>Master prompt and next-stage prompts</x:v>
      </x:c>
      <x:c r="B42" s="111" t="str">
        <x:v>Master Prompts</x:v>
      </x:c>
      <x:c r="C42" s="112" t="str">
        <x:v>Complete</x:v>
      </x:c>
    </x:row>
    <x:row r="43">
      <x:c r="A43" s="119" t="str">
        <x:v>Detailed action plan</x:v>
      </x:c>
      <x:c r="B43" s="120" t="str">
        <x:v>Stage 0-1 Workplan</x:v>
      </x:c>
      <x:c r="C43" s="121" t="str">
        <x:v>Complete</x:v>
      </x:c>
    </x:row>
    <x:row r="44">
      <x:c r="A44" s="113" t="str">
        <x:v>Product charter</x:v>
      </x:c>
      <x:c r="B44" s="114" t="str">
        <x:v>Product Charter v1</x:v>
      </x:c>
      <x:c r="C44" s="115" t="str">
        <x:v>Draft complete</x:v>
      </x:c>
    </x:row>
    <x:row r="45">
      <x:c r="A45" s="119" t="str">
        <x:v>Purpose and data policy</x:v>
      </x:c>
      <x:c r="B45" s="120" t="str">
        <x:v>Purpose Policy Matrix</x:v>
      </x:c>
      <x:c r="C45" s="121" t="str">
        <x:v>Draft complete</x:v>
      </x:c>
    </x:row>
    <x:row r="46">
      <x:c r="A46" s="113" t="str">
        <x:v>Stakeholder accountability</x:v>
      </x:c>
      <x:c r="B46" s="114" t="str">
        <x:v>Stakeholder RACI</x:v>
      </x:c>
      <x:c r="C46" s="115" t="str">
        <x:v>Role-level draft</x:v>
      </x:c>
    </x:row>
    <x:row r="47">
      <x:c r="A47" s="119" t="str">
        <x:v>Market and OSS evidence</x:v>
      </x:c>
      <x:c r="B47" s="120" t="str">
        <x:v>Market Landscape / GitHub OSS Scan</x:v>
      </x:c>
      <x:c r="C47" s="121" t="str">
        <x:v>Research complete</x:v>
      </x:c>
    </x:row>
    <x:row r="48">
      <x:c r="A48" s="113" t="str">
        <x:v>Build/buy decisions</x:v>
      </x:c>
      <x:c r="B48" s="114" t="str">
        <x:v>Build Buy Decisions</x:v>
      </x:c>
      <x:c r="C48" s="115" t="str">
        <x:v>Draft complete</x:v>
      </x:c>
    </x:row>
    <x:row r="49">
      <x:c r="A49" s="119" t="str">
        <x:v>HumanOS architecture</x:v>
      </x:c>
      <x:c r="B49" s="120" t="str">
        <x:v>Reference Architecture / Architecture Decisions</x:v>
      </x:c>
      <x:c r="C49" s="121" t="str">
        <x:v>Draft complete</x:v>
      </x:c>
    </x:row>
    <x:row r="50">
      <x:c r="A50" s="113" t="str">
        <x:v>Approval gates</x:v>
      </x:c>
      <x:c r="B50" s="114" t="str">
        <x:v>Stage 0-1 Gates</x:v>
      </x:c>
      <x:c r="C50" s="115" t="str">
        <x:v>Criteria complete; approvals pending</x:v>
      </x:c>
    </x:row>
    <x:row r="51">
      <x:c r="A51" s="122" t="str">
        <x:v>Assumptions, threats and pilot</x:v>
      </x:c>
      <x:c r="B51" s="123" t="str">
        <x:v>Assumptions Questions / Foundation Threats / Pilot Definition</x:v>
      </x:c>
      <x:c r="C51" s="124" t="str">
        <x:v>Draft complete</x:v>
      </x:c>
    </x:row>
  </x:sheetData>
  <x:mergeCells>
    <x:mergeCell ref="A1:J1"/>
    <x:mergeCell ref="A2:J2"/>
    <x:mergeCell ref="D18:J18"/>
    <x:mergeCell ref="E20:J20"/>
    <x:mergeCell ref="E21:J21"/>
    <x:mergeCell ref="E22:J22"/>
    <x:mergeCell ref="E23:J23"/>
    <x:mergeCell ref="E24:J24"/>
    <x:mergeCell ref="A27:J27"/>
    <x:mergeCell ref="A40:J40"/>
  </x:mergeCells>
  <x:conditionalFormatting sqref="B5:B9">
    <x:cfRule type="dataBar" priority="1">
      <x:dataBar>
        <x:cfvo type="min"/>
        <x:cfvo type="max"/>
        <x:color rgb="FFA02B93"/>
      </x:dataBar>
      <x:extLst>
        <x:ext xmlns:x14="http://schemas.microsoft.com/office/spreadsheetml/2009/9/main" uri="{B025F937-C7B1-47D3-B67F-A62EFF666E3E}">
          <x14:id>{8997E5FE-71CA-2D2D-8632-A7A794562CE0}</x14:id>
        </x:ext>
      </x:extLst>
    </x:cfRule>
  </x:conditionalFormatting>
  <x:pageMargins left="0.7" right="0.7" top="0.75" bottom="0.75" header="0.3" footer="0.3"/>
  <x:drawing xmlns:r="http://schemas.openxmlformats.org/officeDocument/2006/relationships" r:id="R57e8ae2278a54a22"/>
  <x:extLst>
    <x:ext xmlns:x14="http://schemas.microsoft.com/office/spreadsheetml/2009/9/main" xmlns:xm="http://schemas.microsoft.com/office/excel/2006/main" uri="{78C0D931-6437-407d-A8EE-F0AAD7539E65}">
      <x14:conditionalFormattings>
        <x14:conditionalFormatting>
          <x14:cfRule type="dataBar" priority="1" id="{8997E5FE-71CA-2D2D-8632-A7A794562CE0}">
            <x14:dataBar gradient="1">
              <x14:cfvo type="min"/>
              <x14:cfvo type="max"/>
              <x14:fillColor rgb="FFA02B93"/>
            </x14:dataBar>
          </x14:cfRule>
          <xm:sqref>B5:B9</xm:sqref>
        </x14:conditionalFormatting>
      </x14:conditionalFormattings>
    </x:ext>
  </x:extLst>
</x:worksheet>
</file>

<file path=xl/worksheets/sheet17.xml><?xml version="1.0" encoding="utf-8"?>
<x:worksheet xmlns:x="http://schemas.openxmlformats.org/spreadsheetml/2006/main">
  <x:sheetFormatPr defaultRowHeight="15"/>
  <x:cols>
    <x:col min="1" max="1" width="12" hidden="0" customWidth="1"/>
    <x:col min="2" max="2" width="7" hidden="0" customWidth="1"/>
    <x:col min="3" max="3" width="20" hidden="0" customWidth="1"/>
    <x:col min="4" max="4" width="30" hidden="0" customWidth="1"/>
    <x:col min="5" max="5" width="42" hidden="0" customWidth="1"/>
    <x:col min="6" max="6" width="22" hidden="0" customWidth="1"/>
    <x:col min="7" max="7" width="25" hidden="0" customWidth="1"/>
    <x:col min="8" max="8" width="18" hidden="0" customWidth="1"/>
    <x:col min="9" max="9" width="10" hidden="0" customWidth="1"/>
    <x:col min="10" max="10" width="20" hidden="0" customWidth="1"/>
    <x:col min="11" max="11" width="12" hidden="0" customWidth="1"/>
    <x:col min="12" max="12" width="10" hidden="0" customWidth="1"/>
    <x:col min="13" max="13" width="28" hidden="0" customWidth="1"/>
    <x:col min="14" max="14" width="42" hidden="0" customWidth="1"/>
    <x:col min="15" max="15" width="32" hidden="0" customWidth="1"/>
    <x:col min="16" max="16" width="14" hidden="0" customWidth="1"/>
    <x:col min="17" max="17" width="12" hidden="0" customWidth="1"/>
    <x:col min="18" max="18" width="28" hidden="0" customWidth="1"/>
  </x:cols>
  <x:sheetData>
    <x:row r="1" ht="30" customHeight="1">
      <x:c r="A1" s="72" t="str">
        <x:v>Stage 0–1 Foundation Workplan</x:v>
      </x:c>
      <x:c r="B1" s="72"/>
      <x:c r="C1" s="72"/>
      <x:c r="D1" s="72"/>
      <x:c r="E1" s="72"/>
      <x:c r="F1" s="72"/>
      <x:c r="G1" s="72"/>
      <x:c r="H1" s="72"/>
      <x:c r="I1" s="72"/>
      <x:c r="J1" s="72"/>
      <x:c r="K1" s="72"/>
      <x:c r="L1" s="72"/>
      <x:c r="M1" s="72"/>
      <x:c r="N1" s="72"/>
      <x:c r="O1" s="72"/>
      <x:c r="P1" s="72"/>
      <x:c r="Q1" s="72"/>
      <x:c r="R1" s="72"/>
    </x:row>
    <x:row r="2" ht="34" customHeight="1">
      <x:c r="A2" s="76" t="str">
        <x:v>Combined Foundation &amp; Validation workstream. Draft deliverables are complete where marked; real legal, worker, security and leadership approvals remain pending until Nessovo records them.</x:v>
      </x:c>
      <x:c r="B2" s="76"/>
      <x:c r="C2" s="76"/>
      <x:c r="D2" s="76"/>
      <x:c r="E2" s="76"/>
      <x:c r="F2" s="76"/>
      <x:c r="G2" s="76"/>
      <x:c r="H2" s="76"/>
      <x:c r="I2" s="76"/>
      <x:c r="J2" s="76"/>
      <x:c r="K2" s="76"/>
      <x:c r="L2" s="76"/>
      <x:c r="M2" s="76"/>
      <x:c r="N2" s="76"/>
      <x:c r="O2" s="76"/>
      <x:c r="P2" s="76"/>
      <x:c r="Q2" s="76"/>
      <x:c r="R2" s="76"/>
    </x:row>
    <x:row r="4" ht="28" customHeight="1">
      <x:c r="A4" s="88" t="str">
        <x:v>ID</x:v>
      </x:c>
      <x:c r="B4" s="89" t="str">
        <x:v>Stage</x:v>
      </x:c>
      <x:c r="C4" s="89" t="str">
        <x:v>Workstream</x:v>
      </x:c>
      <x:c r="D4" s="89" t="str">
        <x:v>Task / Decision</x:v>
      </x:c>
      <x:c r="E4" s="89" t="str">
        <x:v>Description</x:v>
      </x:c>
      <x:c r="F4" s="89" t="str">
        <x:v>Accountable owner</x:v>
      </x:c>
      <x:c r="G4" s="89" t="str">
        <x:v>Contributors</x:v>
      </x:c>
      <x:c r="H4" s="89" t="str">
        <x:v>Dependencies</x:v>
      </x:c>
      <x:c r="I4" s="89" t="str">
        <x:v>Priority</x:v>
      </x:c>
      <x:c r="J4" s="89" t="str">
        <x:v>Status</x:v>
      </x:c>
      <x:c r="K4" s="89" t="str">
        <x:v>Completion weight</x:v>
      </x:c>
      <x:c r="L4" s="89" t="str">
        <x:v>Effort days</x:v>
      </x:c>
      <x:c r="M4" s="89" t="str">
        <x:v>Deliverable</x:v>
      </x:c>
      <x:c r="N4" s="89" t="str">
        <x:v>Acceptance criteria</x:v>
      </x:c>
      <x:c r="O4" s="89" t="str">
        <x:v>Evidence / source</x:v>
      </x:c>
      <x:c r="P4" s="89" t="str">
        <x:v>Gate</x:v>
      </x:c>
      <x:c r="Q4" s="89" t="str">
        <x:v>Target week</x:v>
      </x:c>
      <x:c r="R4" s="90" t="str">
        <x:v>Notes</x:v>
      </x:c>
    </x:row>
    <x:row r="5">
      <x:c r="A5" s="110" t="str">
        <x:v>FND-001</x:v>
      </x:c>
      <x:c r="B5" s="111" t="n">
        <x:v>0</x:v>
      </x:c>
      <x:c r="C5" s="111" t="str">
        <x:v>Programme governance</x:v>
      </x:c>
      <x:c r="D5" s="111" t="str">
        <x:v>Confirm naming and product identity</x:v>
      </x:c>
      <x:c r="E5" s="111" t="str">
        <x:v>Use Nessovo as the company name and HumanOS Work Intelligence as the working module name.</x:v>
      </x:c>
      <x:c r="F5" s="111" t="str">
        <x:v>CEO/CTO</x:v>
      </x:c>
      <x:c r="G5" s="111" t="str">
        <x:v>Product</x:v>
      </x:c>
      <x:c r="H5" s="111" t="str">
        <x:v>None</x:v>
      </x:c>
      <x:c r="I5" s="111" t="str">
        <x:v>Critical</x:v>
      </x:c>
      <x:c r="J5" s="111" t="str">
        <x:v>Completed</x:v>
      </x:c>
      <x:c r="K5" s="133" t="n">
        <x:f>IF(J5="Completed",1,IF(J5="Draft Complete",0.8,IF(J5="In Review",0.6,IF(J5="Requires Owner Input",0.3,IF(J5="Blocked",0.1,IF(J5="Deferred",0.2,0))))))</x:f>
        <x:v>1</x:v>
      </x:c>
      <x:c r="L5" s="111" t="n">
        <x:v>0.5</x:v>
      </x:c>
      <x:c r="M5" s="111" t="str">
        <x:v>Canonical naming decision</x:v>
      </x:c>
      <x:c r="N5" s="111" t="str">
        <x:v>All foundation artefacts use Nessovo and no obsolete company name.</x:v>
      </x:c>
      <x:c r="O5" s="111" t="str">
        <x:v>User instruction</x:v>
      </x:c>
      <x:c r="P5" s="111" t="str">
        <x:v>Stage 0 Gate</x:v>
      </x:c>
      <x:c r="Q5" s="111" t="str">
        <x:v>W1</x:v>
      </x:c>
      <x:c r="R5" s="112" t="str">
        <x:v>Completed in workbook.</x:v>
      </x:c>
    </x:row>
    <x:row r="6">
      <x:c r="A6" s="119" t="str">
        <x:v>FND-002</x:v>
      </x:c>
      <x:c r="B6" s="120" t="n">
        <x:v>0</x:v>
      </x:c>
      <x:c r="C6" s="120" t="str">
        <x:v>Programme governance</x:v>
      </x:c>
      <x:c r="D6" s="120" t="str">
        <x:v>Appoint executive sponsor</x:v>
      </x:c>
      <x:c r="E6" s="120" t="str">
        <x:v>Name the executive accountable for purpose, risk appetite and final foundation approvals.</x:v>
      </x:c>
      <x:c r="F6" s="120" t="str">
        <x:v>CEO</x:v>
      </x:c>
      <x:c r="G6" s="120" t="str">
        <x:v>Board/CTO</x:v>
      </x:c>
      <x:c r="H6" s="120" t="str">
        <x:v>FND-001</x:v>
      </x:c>
      <x:c r="I6" s="120" t="str">
        <x:v>Critical</x:v>
      </x:c>
      <x:c r="J6" s="120" t="str">
        <x:v>Requires Owner Input</x:v>
      </x:c>
      <x:c r="K6" s="134" t="n">
        <x:f>IF(J6="Completed",1,IF(J6="Draft Complete",0.8,IF(J6="In Review",0.6,IF(J6="Requires Owner Input",0.3,IF(J6="Blocked",0.1,IF(J6="Deferred",0.2,0))))))</x:f>
        <x:v>0.3</x:v>
      </x:c>
      <x:c r="L6" s="120" t="n">
        <x:v>0.5</x:v>
      </x:c>
      <x:c r="M6" s="120" t="str">
        <x:v>Sponsor appointment</x:v>
      </x:c>
      <x:c r="N6" s="120" t="str">
        <x:v>Named individual and authority recorded.</x:v>
      </x:c>
      <x:c r="O6" s="120" t="str">
        <x:v>Internal decision</x:v>
      </x:c>
      <x:c r="P6" s="120" t="str">
        <x:v>Stage 0 Gate</x:v>
      </x:c>
      <x:c r="Q6" s="120" t="str">
        <x:v>W1</x:v>
      </x:c>
      <x:c r="R6" s="121" t="str"/>
    </x:row>
    <x:row r="7">
      <x:c r="A7" s="113" t="str">
        <x:v>FND-003</x:v>
      </x:c>
      <x:c r="B7" s="114" t="n">
        <x:v>0</x:v>
      </x:c>
      <x:c r="C7" s="114" t="str">
        <x:v>Programme governance</x:v>
      </x:c>
      <x:c r="D7" s="114" t="str">
        <x:v>Appoint product owner and programme lead</x:v>
      </x:c>
      <x:c r="E7" s="114" t="str">
        <x:v>Assign accountable owners for product decisions and integrated delivery.</x:v>
      </x:c>
      <x:c r="F7" s="114" t="str">
        <x:v>CEO/CTO</x:v>
      </x:c>
      <x:c r="G7" s="114" t="str">
        <x:v>Product/PMO</x:v>
      </x:c>
      <x:c r="H7" s="114" t="str">
        <x:v>FND-002</x:v>
      </x:c>
      <x:c r="I7" s="114" t="str">
        <x:v>Critical</x:v>
      </x:c>
      <x:c r="J7" s="114" t="str">
        <x:v>Requires Owner Input</x:v>
      </x:c>
      <x:c r="K7" s="135" t="n">
        <x:f>IF(J7="Completed",1,IF(J7="Draft Complete",0.8,IF(J7="In Review",0.6,IF(J7="Requires Owner Input",0.3,IF(J7="Blocked",0.1,IF(J7="Deferred",0.2,0))))))</x:f>
        <x:v>0.3</x:v>
      </x:c>
      <x:c r="L7" s="114" t="n">
        <x:v>1</x:v>
      </x:c>
      <x:c r="M7" s="114" t="str">
        <x:v>Named ownership</x:v>
      </x:c>
      <x:c r="N7" s="114" t="str">
        <x:v>Product owner, programme lead and deputies recorded.</x:v>
      </x:c>
      <x:c r="O7" s="114" t="str">
        <x:v>Internal decision</x:v>
      </x:c>
      <x:c r="P7" s="114" t="str">
        <x:v>Stage 0 Gate</x:v>
      </x:c>
      <x:c r="Q7" s="114" t="str">
        <x:v>W1</x:v>
      </x:c>
      <x:c r="R7" s="115" t="str"/>
    </x:row>
    <x:row r="8">
      <x:c r="A8" s="119" t="str">
        <x:v>FND-004</x:v>
      </x:c>
      <x:c r="B8" s="120" t="n">
        <x:v>0</x:v>
      </x:c>
      <x:c r="C8" s="120" t="str">
        <x:v>Product strategy</x:v>
      </x:c>
      <x:c r="D8" s="120" t="str">
        <x:v>Approve Product Charter v1 draft</x:v>
      </x:c>
      <x:c r="E8" s="120" t="str">
        <x:v>Define the problem, vision, mission, value, scope, non-scope and strategic fit within HumanOS.</x:v>
      </x:c>
      <x:c r="F8" s="120" t="str">
        <x:v>Product Owner</x:v>
      </x:c>
      <x:c r="G8" s="120" t="str">
        <x:v>CEO/CTO/Architecture/HR</x:v>
      </x:c>
      <x:c r="H8" s="120" t="str">
        <x:v>FND-001</x:v>
      </x:c>
      <x:c r="I8" s="120" t="str">
        <x:v>Critical</x:v>
      </x:c>
      <x:c r="J8" s="120" t="str">
        <x:v>Draft Complete</x:v>
      </x:c>
      <x:c r="K8" s="134" t="n">
        <x:f>IF(J8="Completed",1,IF(J8="Draft Complete",0.8,IF(J8="In Review",0.6,IF(J8="Requires Owner Input",0.3,IF(J8="Blocked",0.1,IF(J8="Deferred",0.2,0))))))</x:f>
        <x:v>0.8</x:v>
      </x:c>
      <x:c r="L8" s="120" t="n">
        <x:v>2</x:v>
      </x:c>
      <x:c r="M8" s="120" t="str">
        <x:v>Product Charter v1</x:v>
      </x:c>
      <x:c r="N8" s="120" t="str">
        <x:v>Charter contains purpose, beneficiaries, differentiation, principles, scope and kill criteria.</x:v>
      </x:c>
      <x:c r="O8" s="120" t="str">
        <x:v>Product Charter v1 sheet</x:v>
      </x:c>
      <x:c r="P8" s="120" t="str">
        <x:v>Stage 0 Gate</x:v>
      </x:c>
      <x:c r="Q8" s="120" t="str">
        <x:v>W1</x:v>
      </x:c>
      <x:c r="R8" s="121" t="str">
        <x:v>Leadership approval pending.</x:v>
      </x:c>
    </x:row>
    <x:row r="9">
      <x:c r="A9" s="113" t="str">
        <x:v>FND-005</x:v>
      </x:c>
      <x:c r="B9" s="114" t="n">
        <x:v>0</x:v>
      </x:c>
      <x:c r="C9" s="114" t="str">
        <x:v>Product strategy</x:v>
      </x:c>
      <x:c r="D9" s="114" t="str">
        <x:v>Confirm market positioning</x:v>
      </x:c>
      <x:c r="E9" s="114" t="str">
        <x:v>Position as task execution assurance, capability development and human–AI work intelligence rather than surveillance software.</x:v>
      </x:c>
      <x:c r="F9" s="114" t="str">
        <x:v>CEO/Product</x:v>
      </x:c>
      <x:c r="G9" s="114" t="str">
        <x:v>Marketing/Legal/Employee Rep</x:v>
      </x:c>
      <x:c r="H9" s="114" t="str">
        <x:v>FND-004</x:v>
      </x:c>
      <x:c r="I9" s="114" t="str">
        <x:v>Critical</x:v>
      </x:c>
      <x:c r="J9" s="114" t="str">
        <x:v>Draft Complete</x:v>
      </x:c>
      <x:c r="K9" s="135" t="n">
        <x:f>IF(J9="Completed",1,IF(J9="Draft Complete",0.8,IF(J9="In Review",0.6,IF(J9="Requires Owner Input",0.3,IF(J9="Blocked",0.1,IF(J9="Deferred",0.2,0))))))</x:f>
        <x:v>0.8</x:v>
      </x:c>
      <x:c r="L9" s="114" t="n">
        <x:v>1</x:v>
      </x:c>
      <x:c r="M9" s="114" t="str">
        <x:v>Positioning statement</x:v>
      </x:c>
      <x:c r="N9" s="114" t="str">
        <x:v>Positioning clearly states employee and employer value and avoids activity-volume scoring.</x:v>
      </x:c>
      <x:c r="O9" s="114" t="str">
        <x:v>Product Charter v1 / market research</x:v>
      </x:c>
      <x:c r="P9" s="114" t="str">
        <x:v>Stage 0 Gate</x:v>
      </x:c>
      <x:c r="Q9" s="114" t="str">
        <x:v>W1</x:v>
      </x:c>
      <x:c r="R9" s="115" t="str"/>
    </x:row>
    <x:row r="10">
      <x:c r="A10" s="119" t="str">
        <x:v>FND-006</x:v>
      </x:c>
      <x:c r="B10" s="120" t="n">
        <x:v>0</x:v>
      </x:c>
      <x:c r="C10" s="120" t="str">
        <x:v>Employee value</x:v>
      </x:c>
      <x:c r="D10" s="120" t="str">
        <x:v>Define employee value proposition</x:v>
      </x:c>
      <x:c r="E10" s="120" t="str">
        <x:v>Specify how the product protects legitimate work, explains blockers, improves AI use, supports learning and allows correction.</x:v>
      </x:c>
      <x:c r="F10" s="120" t="str">
        <x:v>Product/HR</x:v>
      </x:c>
      <x:c r="G10" s="120" t="str">
        <x:v>L&amp;D/Employee Rep</x:v>
      </x:c>
      <x:c r="H10" s="120" t="str">
        <x:v>FND-004</x:v>
      </x:c>
      <x:c r="I10" s="120" t="str">
        <x:v>High</x:v>
      </x:c>
      <x:c r="J10" s="120" t="str">
        <x:v>Draft Complete</x:v>
      </x:c>
      <x:c r="K10" s="134" t="n">
        <x:f>IF(J10="Completed",1,IF(J10="Draft Complete",0.8,IF(J10="In Review",0.6,IF(J10="Requires Owner Input",0.3,IF(J10="Blocked",0.1,IF(J10="Deferred",0.2,0))))))</x:f>
        <x:v>0.8</x:v>
      </x:c>
      <x:c r="L10" s="120" t="n">
        <x:v>1.5</x:v>
      </x:c>
      <x:c r="M10" s="120" t="str">
        <x:v>Employee value proposition</x:v>
      </x:c>
      <x:c r="N10" s="120" t="str">
        <x:v>At least five measurable employee benefits are defined.</x:v>
      </x:c>
      <x:c r="O10" s="120" t="str">
        <x:v>Product Charter v1</x:v>
      </x:c>
      <x:c r="P10" s="120" t="str">
        <x:v>Stage 0 Gate</x:v>
      </x:c>
      <x:c r="Q10" s="120" t="str">
        <x:v>W1</x:v>
      </x:c>
      <x:c r="R10" s="121" t="str"/>
    </x:row>
    <x:row r="11">
      <x:c r="A11" s="113" t="str">
        <x:v>FND-007</x:v>
      </x:c>
      <x:c r="B11" s="114" t="n">
        <x:v>0</x:v>
      </x:c>
      <x:c r="C11" s="114" t="str">
        <x:v>Employer value</x:v>
      </x:c>
      <x:c r="D11" s="114" t="str">
        <x:v>Define employer and team-lead value</x:v>
      </x:c>
      <x:c r="E11" s="114" t="str">
        <x:v>Specify task assurance, quality, blocker, capability, coaching and organisational-learning outcomes.</x:v>
      </x:c>
      <x:c r="F11" s="114" t="str">
        <x:v>Product</x:v>
      </x:c>
      <x:c r="G11" s="114" t="str">
        <x:v>Operations/Engineering Leads</x:v>
      </x:c>
      <x:c r="H11" s="114" t="str">
        <x:v>FND-004</x:v>
      </x:c>
      <x:c r="I11" s="114" t="str">
        <x:v>High</x:v>
      </x:c>
      <x:c r="J11" s="114" t="str">
        <x:v>Draft Complete</x:v>
      </x:c>
      <x:c r="K11" s="135" t="n">
        <x:f>IF(J11="Completed",1,IF(J11="Draft Complete",0.8,IF(J11="In Review",0.6,IF(J11="Requires Owner Input",0.3,IF(J11="Blocked",0.1,IF(J11="Deferred",0.2,0))))))</x:f>
        <x:v>0.8</x:v>
      </x:c>
      <x:c r="L11" s="114" t="n">
        <x:v>1</x:v>
      </x:c>
      <x:c r="M11" s="114" t="str">
        <x:v>Employer value proposition</x:v>
      </x:c>
      <x:c r="N11" s="114" t="str">
        <x:v>Outcomes are evidence-based and separated from raw monitoring.</x:v>
      </x:c>
      <x:c r="O11" s="114" t="str">
        <x:v>Product Charter v1</x:v>
      </x:c>
      <x:c r="P11" s="114" t="str">
        <x:v>Stage 0 Gate</x:v>
      </x:c>
      <x:c r="Q11" s="114" t="str">
        <x:v>W1</x:v>
      </x:c>
      <x:c r="R11" s="115" t="str"/>
    </x:row>
    <x:row r="12">
      <x:c r="A12" s="119" t="str">
        <x:v>FND-008</x:v>
      </x:c>
      <x:c r="B12" s="120" t="n">
        <x:v>0</x:v>
      </x:c>
      <x:c r="C12" s="120" t="str">
        <x:v>Product boundaries</x:v>
      </x:c>
      <x:c r="D12" s="120" t="str">
        <x:v>Approve prohibited uses and non-goals</x:v>
      </x:c>
      <x:c r="E12" s="120" t="str">
        <x:v>Exclude covert general monitoring, emotion/personality inference, automated employment decisions and activity-volume productivity scores.</x:v>
      </x:c>
      <x:c r="F12" s="120" t="str">
        <x:v>Legal/DPO/Product</x:v>
      </x:c>
      <x:c r="G12" s="120" t="str">
        <x:v>HR/Security/Employee Rep</x:v>
      </x:c>
      <x:c r="H12" s="120" t="str">
        <x:v>FND-004</x:v>
      </x:c>
      <x:c r="I12" s="120" t="str">
        <x:v>Critical</x:v>
      </x:c>
      <x:c r="J12" s="120" t="str">
        <x:v>Draft Complete</x:v>
      </x:c>
      <x:c r="K12" s="134" t="n">
        <x:f>IF(J12="Completed",1,IF(J12="Draft Complete",0.8,IF(J12="In Review",0.6,IF(J12="Requires Owner Input",0.3,IF(J12="Blocked",0.1,IF(J12="Deferred",0.2,0))))))</x:f>
        <x:v>0.8</x:v>
      </x:c>
      <x:c r="L12" s="120" t="n">
        <x:v>1.5</x:v>
      </x:c>
      <x:c r="M12" s="120" t="str">
        <x:v>Prohibited-use register</x:v>
      </x:c>
      <x:c r="N12" s="120" t="str">
        <x:v>All prohibited uses are explicit, testable and enforceable by policy.</x:v>
      </x:c>
      <x:c r="O12" s="120" t="str">
        <x:v>Product Charter v1 / Purpose Policy Matrix</x:v>
      </x:c>
      <x:c r="P12" s="120" t="str">
        <x:v>Stage 0 Gate</x:v>
      </x:c>
      <x:c r="Q12" s="120" t="str">
        <x:v>W1</x:v>
      </x:c>
      <x:c r="R12" s="121" t="str">
        <x:v>Formal legal approval pending.</x:v>
      </x:c>
    </x:row>
    <x:row r="13">
      <x:c r="A13" s="113" t="str">
        <x:v>FND-009</x:v>
      </x:c>
      <x:c r="B13" s="114" t="n">
        <x:v>0</x:v>
      </x:c>
      <x:c r="C13" s="114" t="str">
        <x:v>Pilot scope</x:v>
      </x:c>
      <x:c r="D13" s="114" t="str">
        <x:v>Define initial vertical and pilot cohort</x:v>
      </x:c>
      <x:c r="E13" s="114" t="str">
        <x:v>Limit initial pilot to AI-assisted software development on company-managed devices.</x:v>
      </x:c>
      <x:c r="F13" s="114" t="str">
        <x:v>Product/CTO</x:v>
      </x:c>
      <x:c r="G13" s="114" t="str">
        <x:v>Engineering/HR</x:v>
      </x:c>
      <x:c r="H13" s="114" t="str">
        <x:v>FND-004</x:v>
      </x:c>
      <x:c r="I13" s="114" t="str">
        <x:v>Critical</x:v>
      </x:c>
      <x:c r="J13" s="114" t="str">
        <x:v>Draft Complete</x:v>
      </x:c>
      <x:c r="K13" s="135" t="n">
        <x:f>IF(J13="Completed",1,IF(J13="Draft Complete",0.8,IF(J13="In Review",0.6,IF(J13="Requires Owner Input",0.3,IF(J13="Blocked",0.1,IF(J13="Deferred",0.2,0))))))</x:f>
        <x:v>0.8</x:v>
      </x:c>
      <x:c r="L13" s="114" t="n">
        <x:v>1</x:v>
      </x:c>
      <x:c r="M13" s="114" t="str">
        <x:v>Pilot scope statement</x:v>
      </x:c>
      <x:c r="N13" s="114" t="str">
        <x:v>Roles, device types, task classes, exclusions and participant count assumptions are stated.</x:v>
      </x:c>
      <x:c r="O13" s="114" t="str">
        <x:v>Pilot Definition sheet</x:v>
      </x:c>
      <x:c r="P13" s="114" t="str">
        <x:v>Stage 0 Gate</x:v>
      </x:c>
      <x:c r="Q13" s="114" t="str">
        <x:v>W1</x:v>
      </x:c>
      <x:c r="R13" s="115" t="str"/>
    </x:row>
    <x:row r="14">
      <x:c r="A14" s="119" t="str">
        <x:v>FND-010</x:v>
      </x:c>
      <x:c r="B14" s="120" t="n">
        <x:v>0</x:v>
      </x:c>
      <x:c r="C14" s="120" t="str">
        <x:v>Ontology foundation</x:v>
      </x:c>
      <x:c r="D14" s="120" t="str">
        <x:v>Approve foundation terminology</x:v>
      </x:c>
      <x:c r="E14" s="120" t="str">
        <x:v>Define fact, inference, recommendation, assumption, task assurance, capability evidence and consequential decision.</x:v>
      </x:c>
      <x:c r="F14" s="120" t="str">
        <x:v>Product/Architecture</x:v>
      </x:c>
      <x:c r="G14" s="120" t="str">
        <x:v>Legal/AI/HR</x:v>
      </x:c>
      <x:c r="H14" s="120" t="str">
        <x:v>FND-004</x:v>
      </x:c>
      <x:c r="I14" s="120" t="str">
        <x:v>High</x:v>
      </x:c>
      <x:c r="J14" s="120" t="str">
        <x:v>Draft Complete</x:v>
      </x:c>
      <x:c r="K14" s="134" t="n">
        <x:f>IF(J14="Completed",1,IF(J14="Draft Complete",0.8,IF(J14="In Review",0.6,IF(J14="Requires Owner Input",0.3,IF(J14="Blocked",0.1,IF(J14="Deferred",0.2,0))))))</x:f>
        <x:v>0.8</x:v>
      </x:c>
      <x:c r="L14" s="120" t="n">
        <x:v>1</x:v>
      </x:c>
      <x:c r="M14" s="120" t="str">
        <x:v>Canonical glossary</x:v>
      </x:c>
      <x:c r="N14" s="120" t="str">
        <x:v>Terms are unambiguous and reused across artefacts.</x:v>
      </x:c>
      <x:c r="O14" s="120" t="str">
        <x:v>Master Prompts / Product Charter v1</x:v>
      </x:c>
      <x:c r="P14" s="120" t="str">
        <x:v>Stage 0 Gate</x:v>
      </x:c>
      <x:c r="Q14" s="120" t="str">
        <x:v>W1</x:v>
      </x:c>
      <x:c r="R14" s="121" t="str"/>
    </x:row>
    <x:row r="15">
      <x:c r="A15" s="113" t="str">
        <x:v>FND-011</x:v>
      </x:c>
      <x:c r="B15" s="114" t="n">
        <x:v>0</x:v>
      </x:c>
      <x:c r="C15" s="114" t="str">
        <x:v>Privacy governance</x:v>
      </x:c>
      <x:c r="D15" s="114" t="str">
        <x:v>Complete purpose-by-data matrix</x:v>
      </x:c>
      <x:c r="E15" s="114" t="str">
        <x:v>Map every proposed data category to purpose, necessity, minimisation, access, retention and prohibited use.</x:v>
      </x:c>
      <x:c r="F15" s="114" t="str">
        <x:v>DPO/Product</x:v>
      </x:c>
      <x:c r="G15" s="114" t="str">
        <x:v>Security/Architecture/HR</x:v>
      </x:c>
      <x:c r="H15" s="114" t="str">
        <x:v>FND-008</x:v>
      </x:c>
      <x:c r="I15" s="114" t="str">
        <x:v>Critical</x:v>
      </x:c>
      <x:c r="J15" s="114" t="str">
        <x:v>Draft Complete</x:v>
      </x:c>
      <x:c r="K15" s="135" t="n">
        <x:f>IF(J15="Completed",1,IF(J15="Draft Complete",0.8,IF(J15="In Review",0.6,IF(J15="Requires Owner Input",0.3,IF(J15="Blocked",0.1,IF(J15="Deferred",0.2,0))))))</x:f>
        <x:v>0.8</x:v>
      </x:c>
      <x:c r="L15" s="114" t="n">
        <x:v>3</x:v>
      </x:c>
      <x:c r="M15" s="114" t="str">
        <x:v>Purpose Policy Matrix</x:v>
      </x:c>
      <x:c r="N15" s="114" t="str">
        <x:v>No data category exists without a defined purpose and minimisation rationale.</x:v>
      </x:c>
      <x:c r="O15" s="114" t="str">
        <x:v>Purpose Policy Matrix sheet</x:v>
      </x:c>
      <x:c r="P15" s="114" t="str">
        <x:v>Stage 0 Gate</x:v>
      </x:c>
      <x:c r="Q15" s="114" t="str">
        <x:v>W1</x:v>
      </x:c>
      <x:c r="R15" s="115" t="str">
        <x:v>DPO validation pending.</x:v>
      </x:c>
    </x:row>
    <x:row r="16">
      <x:c r="A16" s="119" t="str">
        <x:v>FND-012</x:v>
      </x:c>
      <x:c r="B16" s="120" t="n">
        <x:v>0</x:v>
      </x:c>
      <x:c r="C16" s="120" t="str">
        <x:v>Privacy governance</x:v>
      </x:c>
      <x:c r="D16" s="120" t="str">
        <x:v>Assess less intrusive alternatives</x:v>
      </x:c>
      <x:c r="E16" s="120" t="str">
        <x:v>For every intrusive capture method, assess whether task artefacts or metadata can achieve the purpose first.</x:v>
      </x:c>
      <x:c r="F16" s="120" t="str">
        <x:v>DPO/Product</x:v>
      </x:c>
      <x:c r="G16" s="120" t="str">
        <x:v>Architecture/Employee Rep</x:v>
      </x:c>
      <x:c r="H16" s="120" t="str">
        <x:v>FND-011</x:v>
      </x:c>
      <x:c r="I16" s="120" t="str">
        <x:v>Critical</x:v>
      </x:c>
      <x:c r="J16" s="120" t="str">
        <x:v>Draft Complete</x:v>
      </x:c>
      <x:c r="K16" s="134" t="n">
        <x:f>IF(J16="Completed",1,IF(J16="Draft Complete",0.8,IF(J16="In Review",0.6,IF(J16="Requires Owner Input",0.3,IF(J16="Blocked",0.1,IF(J16="Deferred",0.2,0))))))</x:f>
        <x:v>0.8</x:v>
      </x:c>
      <x:c r="L16" s="120" t="n">
        <x:v>2</x:v>
      </x:c>
      <x:c r="M16" s="120" t="str">
        <x:v>Alternatives assessment</x:v>
      </x:c>
      <x:c r="N16" s="120" t="str">
        <x:v>Alternatives and residual necessity are documented per data type.</x:v>
      </x:c>
      <x:c r="O16" s="120" t="str">
        <x:v>Purpose Policy Matrix sheet</x:v>
      </x:c>
      <x:c r="P16" s="120" t="str">
        <x:v>Stage 0 Gate</x:v>
      </x:c>
      <x:c r="Q16" s="120" t="str">
        <x:v>W1</x:v>
      </x:c>
      <x:c r="R16" s="121" t="str"/>
    </x:row>
    <x:row r="17">
      <x:c r="A17" s="113" t="str">
        <x:v>FND-013</x:v>
      </x:c>
      <x:c r="B17" s="114" t="n">
        <x:v>0</x:v>
      </x:c>
      <x:c r="C17" s="114" t="str">
        <x:v>Privacy governance</x:v>
      </x:c>
      <x:c r="D17" s="114" t="str">
        <x:v>Complete DPIA screening draft</x:v>
      </x:c>
      <x:c r="E17" s="114" t="str">
        <x:v>Document why the intended keystroke/screenshot/performance use is high-risk and requires a full DPIA.</x:v>
      </x:c>
      <x:c r="F17" s="114" t="str">
        <x:v>DPO</x:v>
      </x:c>
      <x:c r="G17" s="114" t="str">
        <x:v>Legal/Product/Security</x:v>
      </x:c>
      <x:c r="H17" s="114" t="str">
        <x:v>FND-011</x:v>
      </x:c>
      <x:c r="I17" s="114" t="str">
        <x:v>Critical</x:v>
      </x:c>
      <x:c r="J17" s="114" t="str">
        <x:v>Draft Complete</x:v>
      </x:c>
      <x:c r="K17" s="135" t="n">
        <x:f>IF(J17="Completed",1,IF(J17="Draft Complete",0.8,IF(J17="In Review",0.6,IF(J17="Requires Owner Input",0.3,IF(J17="Blocked",0.1,IF(J17="Deferred",0.2,0))))))</x:f>
        <x:v>0.8</x:v>
      </x:c>
      <x:c r="L17" s="114" t="n">
        <x:v>1</x:v>
      </x:c>
      <x:c r="M17" s="114" t="str">
        <x:v>DPIA screening record</x:v>
      </x:c>
      <x:c r="N17" s="114" t="str">
        <x:v>High-risk triggers, affected people and initial risks are recorded.</x:v>
      </x:c>
      <x:c r="O17" s="114" t="str">
        <x:v>ICO monitoring guidance</x:v>
      </x:c>
      <x:c r="P17" s="114" t="str">
        <x:v>Stage 0 Gate</x:v>
      </x:c>
      <x:c r="Q17" s="114" t="str">
        <x:v>W1</x:v>
      </x:c>
      <x:c r="R17" s="115" t="str">
        <x:v>Formal DPO advice not yet recorded.</x:v>
      </x:c>
    </x:row>
    <x:row r="18">
      <x:c r="A18" s="119" t="str">
        <x:v>FND-014</x:v>
      </x:c>
      <x:c r="B18" s="120" t="n">
        <x:v>0</x:v>
      </x:c>
      <x:c r="C18" s="120" t="str">
        <x:v>Privacy governance</x:v>
      </x:c>
      <x:c r="D18" s="120" t="str">
        <x:v>Prepare full DPIA input pack</x:v>
      </x:c>
      <x:c r="E18" s="120" t="str">
        <x:v>Provide processing description, necessity, risks, safeguards, consultation and residual-risk questions.</x:v>
      </x:c>
      <x:c r="F18" s="120" t="str">
        <x:v>DPO</x:v>
      </x:c>
      <x:c r="G18" s="120" t="str">
        <x:v>Legal/Security/Product</x:v>
      </x:c>
      <x:c r="H18" s="120" t="str">
        <x:v>FND-013</x:v>
      </x:c>
      <x:c r="I18" s="120" t="str">
        <x:v>Critical</x:v>
      </x:c>
      <x:c r="J18" s="120" t="str">
        <x:v>Draft Complete</x:v>
      </x:c>
      <x:c r="K18" s="134" t="n">
        <x:f>IF(J18="Completed",1,IF(J18="Draft Complete",0.8,IF(J18="In Review",0.6,IF(J18="Requires Owner Input",0.3,IF(J18="Blocked",0.1,IF(J18="Deferred",0.2,0))))))</x:f>
        <x:v>0.8</x:v>
      </x:c>
      <x:c r="L18" s="120" t="n">
        <x:v>3</x:v>
      </x:c>
      <x:c r="M18" s="120" t="str">
        <x:v>DPIA working pack</x:v>
      </x:c>
      <x:c r="N18" s="120" t="str">
        <x:v>Pack contains all information needed for an independent DPO/legal assessment.</x:v>
      </x:c>
      <x:c r="O18" s="120" t="str">
        <x:v>Governance / Foundation Threats / Purpose Policy Matrix</x:v>
      </x:c>
      <x:c r="P18" s="120" t="str">
        <x:v>Stage 0 Gate</x:v>
      </x:c>
      <x:c r="Q18" s="120" t="str">
        <x:v>W2</x:v>
      </x:c>
      <x:c r="R18" s="121" t="str"/>
    </x:row>
    <x:row r="19">
      <x:c r="A19" s="113" t="str">
        <x:v>FND-015</x:v>
      </x:c>
      <x:c r="B19" s="114" t="n">
        <x:v>0</x:v>
      </x:c>
      <x:c r="C19" s="114" t="str">
        <x:v>Privacy governance</x:v>
      </x:c>
      <x:c r="D19" s="114" t="str">
        <x:v>Obtain and record DPO advice</x:v>
      </x:c>
      <x:c r="E19" s="114" t="str">
        <x:v>Independent DPO reviews the DPIA, safeguards and whether the pilot may proceed.</x:v>
      </x:c>
      <x:c r="F19" s="114" t="str">
        <x:v>DPO</x:v>
      </x:c>
      <x:c r="G19" s="114" t="str">
        <x:v>Legal/Executive Sponsor</x:v>
      </x:c>
      <x:c r="H19" s="114" t="str">
        <x:v>FND-014</x:v>
      </x:c>
      <x:c r="I19" s="114" t="str">
        <x:v>Critical</x:v>
      </x:c>
      <x:c r="J19" s="114" t="str">
        <x:v>Not Started</x:v>
      </x:c>
      <x:c r="K19" s="135" t="n">
        <x:f>IF(J19="Completed",1,IF(J19="Draft Complete",0.8,IF(J19="In Review",0.6,IF(J19="Requires Owner Input",0.3,IF(J19="Blocked",0.1,IF(J19="Deferred",0.2,0))))))</x:f>
        <x:v>0</x:v>
      </x:c>
      <x:c r="L19" s="114" t="n">
        <x:v>2</x:v>
      </x:c>
      <x:c r="M19" s="114" t="str">
        <x:v>DPO advice record</x:v>
      </x:c>
      <x:c r="N19" s="114" t="str">
        <x:v>Advice, conditions, dissent and residual risks are signed and stored.</x:v>
      </x:c>
      <x:c r="O19" s="114" t="str">
        <x:v>Independent review required</x:v>
      </x:c>
      <x:c r="P19" s="114" t="str">
        <x:v>Stage 0 Gate</x:v>
      </x:c>
      <x:c r="Q19" s="114" t="str">
        <x:v>W2</x:v>
      </x:c>
      <x:c r="R19" s="115" t="str"/>
    </x:row>
    <x:row r="20">
      <x:c r="A20" s="119" t="str">
        <x:v>FND-016</x:v>
      </x:c>
      <x:c r="B20" s="120" t="n">
        <x:v>0</x:v>
      </x:c>
      <x:c r="C20" s="120" t="str">
        <x:v>Legal</x:v>
      </x:c>
      <x:c r="D20" s="120" t="str">
        <x:v>UK legal basis and employment-law review</x:v>
      </x:c>
      <x:c r="E20" s="120" t="str">
        <x:v>Confirm lawful basis, special-category conditions, interception rules, employment documentation and automated-decision safeguards.</x:v>
      </x:c>
      <x:c r="F20" s="120" t="str">
        <x:v>UK Legal Counsel</x:v>
      </x:c>
      <x:c r="G20" s="120" t="str">
        <x:v>DPO/HR</x:v>
      </x:c>
      <x:c r="H20" s="120" t="str">
        <x:v>FND-014</x:v>
      </x:c>
      <x:c r="I20" s="120" t="str">
        <x:v>Critical</x:v>
      </x:c>
      <x:c r="J20" s="120" t="str">
        <x:v>Requires Owner Input</x:v>
      </x:c>
      <x:c r="K20" s="134" t="n">
        <x:f>IF(J20="Completed",1,IF(J20="Draft Complete",0.8,IF(J20="In Review",0.6,IF(J20="Requires Owner Input",0.3,IF(J20="Blocked",0.1,IF(J20="Deferred",0.2,0))))))</x:f>
        <x:v>0.3</x:v>
      </x:c>
      <x:c r="L20" s="120" t="n">
        <x:v>3</x:v>
      </x:c>
      <x:c r="M20" s="120" t="str">
        <x:v>UK legal memorandum</x:v>
      </x:c>
      <x:c r="N20" s="120" t="str">
        <x:v>Legal counsel identifies permitted pilot scope, conditions and prohibited uses.</x:v>
      </x:c>
      <x:c r="O20" s="120" t="str">
        <x:v>UK counsel / ICO / GOV.UK</x:v>
      </x:c>
      <x:c r="P20" s="120" t="str">
        <x:v>Stage 0 Gate</x:v>
      </x:c>
      <x:c r="Q20" s="120" t="str">
        <x:v>W2</x:v>
      </x:c>
      <x:c r="R20" s="121" t="str">
        <x:v>Not legal advice in this workbook.</x:v>
      </x:c>
    </x:row>
    <x:row r="21">
      <x:c r="A21" s="113" t="str">
        <x:v>FND-017</x:v>
      </x:c>
      <x:c r="B21" s="114" t="n">
        <x:v>0</x:v>
      </x:c>
      <x:c r="C21" s="114" t="str">
        <x:v>Legal</x:v>
      </x:c>
      <x:c r="D21" s="114" t="str">
        <x:v>Pakistan/Lahore legal review scope</x:v>
      </x:c>
      <x:c r="E21" s="114" t="str">
        <x:v>Commission a separate employment, privacy, interception and cross-border data review for Lahore operations.</x:v>
      </x:c>
      <x:c r="F21" s="114" t="str">
        <x:v>Pakistan Legal Counsel</x:v>
      </x:c>
      <x:c r="G21" s="114" t="str">
        <x:v>HR/DPO/Security</x:v>
      </x:c>
      <x:c r="H21" s="114" t="str">
        <x:v>FND-014</x:v>
      </x:c>
      <x:c r="I21" s="114" t="str">
        <x:v>Critical</x:v>
      </x:c>
      <x:c r="J21" s="114" t="str">
        <x:v>Requires Owner Input</x:v>
      </x:c>
      <x:c r="K21" s="135" t="n">
        <x:f>IF(J21="Completed",1,IF(J21="Draft Complete",0.8,IF(J21="In Review",0.6,IF(J21="Requires Owner Input",0.3,IF(J21="Blocked",0.1,IF(J21="Deferred",0.2,0))))))</x:f>
        <x:v>0.3</x:v>
      </x:c>
      <x:c r="L21" s="114" t="n">
        <x:v>3</x:v>
      </x:c>
      <x:c r="M21" s="114" t="str">
        <x:v>Pakistan legal memorandum</x:v>
      </x:c>
      <x:c r="N21" s="114" t="str">
        <x:v>Applicable laws, notices, consent/consultation, localisation and transfer requirements are documented.</x:v>
      </x:c>
      <x:c r="O21" s="114" t="str">
        <x:v>Local counsel required</x:v>
      </x:c>
      <x:c r="P21" s="114" t="str">
        <x:v>Stage 0 Gate</x:v>
      </x:c>
      <x:c r="Q21" s="114" t="str">
        <x:v>W2</x:v>
      </x:c>
      <x:c r="R21" s="115" t="str"/>
    </x:row>
    <x:row r="22">
      <x:c r="A22" s="119" t="str">
        <x:v>FND-018</x:v>
      </x:c>
      <x:c r="B22" s="120" t="n">
        <x:v>0</x:v>
      </x:c>
      <x:c r="C22" s="120" t="str">
        <x:v>Worker voice</x:v>
      </x:c>
      <x:c r="D22" s="120" t="str">
        <x:v>Approve worker consultation plan</x:v>
      </x:c>
      <x:c r="E22" s="120" t="str">
        <x:v>Define early consultation, representative participation, feedback capture and response commitments.</x:v>
      </x:c>
      <x:c r="F22" s="120" t="str">
        <x:v>HR/DPO</x:v>
      </x:c>
      <x:c r="G22" s="120" t="str">
        <x:v>Employee Rep/Product</x:v>
      </x:c>
      <x:c r="H22" s="120" t="str">
        <x:v>FND-011</x:v>
      </x:c>
      <x:c r="I22" s="120" t="str">
        <x:v>Critical</x:v>
      </x:c>
      <x:c r="J22" s="120" t="str">
        <x:v>Draft Complete</x:v>
      </x:c>
      <x:c r="K22" s="134" t="n">
        <x:f>IF(J22="Completed",1,IF(J22="Draft Complete",0.8,IF(J22="In Review",0.6,IF(J22="Requires Owner Input",0.3,IF(J22="Blocked",0.1,IF(J22="Deferred",0.2,0))))))</x:f>
        <x:v>0.8</x:v>
      </x:c>
      <x:c r="L22" s="120" t="n">
        <x:v>1.5</x:v>
      </x:c>
      <x:c r="M22" s="120" t="str">
        <x:v>Consultation plan</x:v>
      </x:c>
      <x:c r="N22" s="120" t="str">
        <x:v>Participants, timing, topics, confidentiality and decision-response process are defined.</x:v>
      </x:c>
      <x:c r="O22" s="120" t="str">
        <x:v>ICO guidance / Pilot Definition</x:v>
      </x:c>
      <x:c r="P22" s="120" t="str">
        <x:v>Stage 0 Gate</x:v>
      </x:c>
      <x:c r="Q22" s="120" t="str">
        <x:v>W1</x:v>
      </x:c>
      <x:c r="R22" s="121" t="str"/>
    </x:row>
    <x:row r="23">
      <x:c r="A23" s="113" t="str">
        <x:v>FND-019</x:v>
      </x:c>
      <x:c r="B23" s="114" t="n">
        <x:v>0</x:v>
      </x:c>
      <x:c r="C23" s="114" t="str">
        <x:v>Worker voice</x:v>
      </x:c>
      <x:c r="D23" s="114" t="str">
        <x:v>Run and document worker consultation</x:v>
      </x:c>
      <x:c r="E23" s="114" t="str">
        <x:v>Consult affected employees or representatives before pilot approval.</x:v>
      </x:c>
      <x:c r="F23" s="114" t="str">
        <x:v>HR</x:v>
      </x:c>
      <x:c r="G23" s="114" t="str">
        <x:v>DPO/Product/Employee Rep</x:v>
      </x:c>
      <x:c r="H23" s="114" t="str">
        <x:v>FND-018</x:v>
      </x:c>
      <x:c r="I23" s="114" t="str">
        <x:v>Critical</x:v>
      </x:c>
      <x:c r="J23" s="114" t="str">
        <x:v>Not Started</x:v>
      </x:c>
      <x:c r="K23" s="135" t="n">
        <x:f>IF(J23="Completed",1,IF(J23="Draft Complete",0.8,IF(J23="In Review",0.6,IF(J23="Requires Owner Input",0.3,IF(J23="Blocked",0.1,IF(J23="Deferred",0.2,0))))))</x:f>
        <x:v>0</x:v>
      </x:c>
      <x:c r="L23" s="114" t="n">
        <x:v>3</x:v>
      </x:c>
      <x:c r="M23" s="114" t="str">
        <x:v>Consultation record</x:v>
      </x:c>
      <x:c r="N23" s="114" t="str">
        <x:v>Views, objections, changes accepted/rejected and reasons are documented.</x:v>
      </x:c>
      <x:c r="O23" s="114" t="str">
        <x:v>Consultation evidence</x:v>
      </x:c>
      <x:c r="P23" s="114" t="str">
        <x:v>Stage 0 Gate</x:v>
      </x:c>
      <x:c r="Q23" s="114" t="str">
        <x:v>W2</x:v>
      </x:c>
      <x:c r="R23" s="115" t="str"/>
    </x:row>
    <x:row r="24">
      <x:c r="A24" s="119" t="str">
        <x:v>FND-020</x:v>
      </x:c>
      <x:c r="B24" s="120" t="n">
        <x:v>0</x:v>
      </x:c>
      <x:c r="C24" s="120" t="str">
        <x:v>Transparency</x:v>
      </x:c>
      <x:c r="D24" s="120" t="str">
        <x:v>Draft worker privacy notice</x:v>
      </x:c>
      <x:c r="E24" s="120" t="str">
        <x:v>Explain what is captured, why, when, who sees it, retention, rights, dispute and contact routes.</x:v>
      </x:c>
      <x:c r="F24" s="120" t="str">
        <x:v>DPO/Legal</x:v>
      </x:c>
      <x:c r="G24" s="120" t="str">
        <x:v>HR/Product</x:v>
      </x:c>
      <x:c r="H24" s="120" t="str">
        <x:v>FND-011</x:v>
      </x:c>
      <x:c r="I24" s="120" t="str">
        <x:v>Critical</x:v>
      </x:c>
      <x:c r="J24" s="120" t="str">
        <x:v>Draft Complete</x:v>
      </x:c>
      <x:c r="K24" s="134" t="n">
        <x:f>IF(J24="Completed",1,IF(J24="Draft Complete",0.8,IF(J24="In Review",0.6,IF(J24="Requires Owner Input",0.3,IF(J24="Blocked",0.1,IF(J24="Deferred",0.2,0))))))</x:f>
        <x:v>0.8</x:v>
      </x:c>
      <x:c r="L24" s="120" t="n">
        <x:v>2</x:v>
      </x:c>
      <x:c r="M24" s="120" t="str">
        <x:v>Privacy notice outline</x:v>
      </x:c>
      <x:c r="N24" s="120" t="str">
        <x:v>Notice is clear, accessible, task-specific and consistent with policy.</x:v>
      </x:c>
      <x:c r="O24" s="120" t="str">
        <x:v>Governance sheet</x:v>
      </x:c>
      <x:c r="P24" s="120" t="str">
        <x:v>Stage 0 Gate</x:v>
      </x:c>
      <x:c r="Q24" s="120" t="str">
        <x:v>W2</x:v>
      </x:c>
      <x:c r="R24" s="121" t="str">
        <x:v>Legal review pending.</x:v>
      </x:c>
    </x:row>
    <x:row r="25">
      <x:c r="A25" s="113" t="str">
        <x:v>FND-021</x:v>
      </x:c>
      <x:c r="B25" s="114" t="n">
        <x:v>0</x:v>
      </x:c>
      <x:c r="C25" s="114" t="str">
        <x:v>Transparency</x:v>
      </x:c>
      <x:c r="D25" s="114" t="str">
        <x:v>Draft workplace monitoring policy</x:v>
      </x:c>
      <x:c r="E25" s="114" t="str">
        <x:v>Define scope, working hours, personal use, exclusions, manager access, prohibited uses and consequences of misuse.</x:v>
      </x:c>
      <x:c r="F25" s="114" t="str">
        <x:v>HR/Legal</x:v>
      </x:c>
      <x:c r="G25" s="114" t="str">
        <x:v>DPO/Security/Product</x:v>
      </x:c>
      <x:c r="H25" s="114" t="str">
        <x:v>FND-020</x:v>
      </x:c>
      <x:c r="I25" s="114" t="str">
        <x:v>Critical</x:v>
      </x:c>
      <x:c r="J25" s="114" t="str">
        <x:v>Draft Complete</x:v>
      </x:c>
      <x:c r="K25" s="135" t="n">
        <x:f>IF(J25="Completed",1,IF(J25="Draft Complete",0.8,IF(J25="In Review",0.6,IF(J25="Requires Owner Input",0.3,IF(J25="Blocked",0.1,IF(J25="Deferred",0.2,0))))))</x:f>
        <x:v>0.8</x:v>
      </x:c>
      <x:c r="L25" s="114" t="n">
        <x:v>2</x:v>
      </x:c>
      <x:c r="M25" s="114" t="str">
        <x:v>Monitoring policy outline</x:v>
      </x:c>
      <x:c r="N25" s="114" t="str">
        <x:v>Policy is consistent with charter, purpose matrix and employee notice.</x:v>
      </x:c>
      <x:c r="O25" s="114" t="str">
        <x:v>Governance sheet</x:v>
      </x:c>
      <x:c r="P25" s="114" t="str">
        <x:v>Stage 0 Gate</x:v>
      </x:c>
      <x:c r="Q25" s="114" t="str">
        <x:v>W2</x:v>
      </x:c>
      <x:c r="R25" s="115" t="str"/>
    </x:row>
    <x:row r="26">
      <x:c r="A26" s="119" t="str">
        <x:v>FND-022</x:v>
      </x:c>
      <x:c r="B26" s="120" t="n">
        <x:v>0</x:v>
      </x:c>
      <x:c r="C26" s="120" t="str">
        <x:v>Employee rights</x:v>
      </x:c>
      <x:c r="D26" s="120" t="str">
        <x:v>Define access, correction and dispute workflow</x:v>
      </x:c>
      <x:c r="E26" s="120" t="str">
        <x:v>Employees can view evidence, correct task attribution, explain context and request human review.</x:v>
      </x:c>
      <x:c r="F26" s="120" t="str">
        <x:v>Governance Product Owner</x:v>
      </x:c>
      <x:c r="G26" s="120" t="str">
        <x:v>DPO/HR/Workflow Team</x:v>
      </x:c>
      <x:c r="H26" s="120" t="str">
        <x:v>FND-011</x:v>
      </x:c>
      <x:c r="I26" s="120" t="str">
        <x:v>Critical</x:v>
      </x:c>
      <x:c r="J26" s="120" t="str">
        <x:v>Draft Complete</x:v>
      </x:c>
      <x:c r="K26" s="134" t="n">
        <x:f>IF(J26="Completed",1,IF(J26="Draft Complete",0.8,IF(J26="In Review",0.6,IF(J26="Requires Owner Input",0.3,IF(J26="Blocked",0.1,IF(J26="Deferred",0.2,0))))))</x:f>
        <x:v>0.8</x:v>
      </x:c>
      <x:c r="L26" s="120" t="n">
        <x:v>2</x:v>
      </x:c>
      <x:c r="M26" s="120" t="str">
        <x:v>Rights workflow</x:v>
      </x:c>
      <x:c r="N26" s="120" t="str">
        <x:v>States, deadlines, evidence preservation and reviewer authority are defined.</x:v>
      </x:c>
      <x:c r="O26" s="120" t="str">
        <x:v>Governance / Reference Architecture</x:v>
      </x:c>
      <x:c r="P26" s="120" t="str">
        <x:v>Stage 0 Gate</x:v>
      </x:c>
      <x:c r="Q26" s="120" t="str">
        <x:v>W2</x:v>
      </x:c>
      <x:c r="R26" s="121" t="str"/>
    </x:row>
    <x:row r="27">
      <x:c r="A27" s="113" t="str">
        <x:v>FND-023</x:v>
      </x:c>
      <x:c r="B27" s="114" t="n">
        <x:v>0</x:v>
      </x:c>
      <x:c r="C27" s="114" t="str">
        <x:v>Human review</x:v>
      </x:c>
      <x:c r="D27" s="114" t="str">
        <x:v>Define meaningful human-review standard</x:v>
      </x:c>
      <x:c r="E27" s="114" t="str">
        <x:v>Reviewers must understand evidence, consider context and have authority to reject AI recommendations.</x:v>
      </x:c>
      <x:c r="F27" s="114" t="str">
        <x:v>HR/Legal/DPO</x:v>
      </x:c>
      <x:c r="G27" s="114" t="str">
        <x:v>Domain Experts/Product</x:v>
      </x:c>
      <x:c r="H27" s="114" t="str">
        <x:v>FND-022</x:v>
      </x:c>
      <x:c r="I27" s="114" t="str">
        <x:v>Critical</x:v>
      </x:c>
      <x:c r="J27" s="114" t="str">
        <x:v>Draft Complete</x:v>
      </x:c>
      <x:c r="K27" s="135" t="n">
        <x:f>IF(J27="Completed",1,IF(J27="Draft Complete",0.8,IF(J27="In Review",0.6,IF(J27="Requires Owner Input",0.3,IF(J27="Blocked",0.1,IF(J27="Deferred",0.2,0))))))</x:f>
        <x:v>0.8</x:v>
      </x:c>
      <x:c r="L27" s="114" t="n">
        <x:v>1.5</x:v>
      </x:c>
      <x:c r="M27" s="114" t="str">
        <x:v>Human-review standard</x:v>
      </x:c>
      <x:c r="N27" s="114" t="str">
        <x:v>Reviewer qualifications, independence, reasoned decisions and override logging are defined.</x:v>
      </x:c>
      <x:c r="O27" s="114" t="str">
        <x:v>ICO human-review guidance</x:v>
      </x:c>
      <x:c r="P27" s="114" t="str">
        <x:v>Stage 0 Gate</x:v>
      </x:c>
      <x:c r="Q27" s="114" t="str">
        <x:v>W2</x:v>
      </x:c>
      <x:c r="R27" s="115" t="str"/>
    </x:row>
    <x:row r="28">
      <x:c r="A28" s="119" t="str">
        <x:v>FND-024</x:v>
      </x:c>
      <x:c r="B28" s="120" t="n">
        <x:v>0</x:v>
      </x:c>
      <x:c r="C28" s="120" t="str">
        <x:v>Access governance</x:v>
      </x:c>
      <x:c r="D28" s="120" t="str">
        <x:v>Define raw evidence access model</x:v>
      </x:c>
      <x:c r="E28" s="120" t="str">
        <x:v>Restrict screenshots/text/keystrokes by role, purpose code, task scope, time and audit.</x:v>
      </x:c>
      <x:c r="F28" s="120" t="str">
        <x:v>Security/DPO</x:v>
      </x:c>
      <x:c r="G28" s="120" t="str">
        <x:v>IAM/Audit/Product</x:v>
      </x:c>
      <x:c r="H28" s="120" t="str">
        <x:v>FND-011</x:v>
      </x:c>
      <x:c r="I28" s="120" t="str">
        <x:v>Critical</x:v>
      </x:c>
      <x:c r="J28" s="120" t="str">
        <x:v>Draft Complete</x:v>
      </x:c>
      <x:c r="K28" s="134" t="n">
        <x:f>IF(J28="Completed",1,IF(J28="Draft Complete",0.8,IF(J28="In Review",0.6,IF(J28="Requires Owner Input",0.3,IF(J28="Blocked",0.1,IF(J28="Deferred",0.2,0))))))</x:f>
        <x:v>0.8</x:v>
      </x:c>
      <x:c r="L28" s="120" t="n">
        <x:v>2</x:v>
      </x:c>
      <x:c r="M28" s="120" t="str">
        <x:v>Evidence access policy</x:v>
      </x:c>
      <x:c r="N28" s="120" t="str">
        <x:v>No default raw-content access; all access is purpose-limited and logged.</x:v>
      </x:c>
      <x:c r="O28" s="120" t="str">
        <x:v>Purpose Policy Matrix / Reference Architecture</x:v>
      </x:c>
      <x:c r="P28" s="120" t="str">
        <x:v>Stage 0 Gate</x:v>
      </x:c>
      <x:c r="Q28" s="120" t="str">
        <x:v>W2</x:v>
      </x:c>
      <x:c r="R28" s="121" t="str"/>
    </x:row>
    <x:row r="29">
      <x:c r="A29" s="113" t="str">
        <x:v>FND-025</x:v>
      </x:c>
      <x:c r="B29" s="114" t="n">
        <x:v>0</x:v>
      </x:c>
      <x:c r="C29" s="114" t="str">
        <x:v>Data governance</x:v>
      </x:c>
      <x:c r="D29" s="114" t="str">
        <x:v>Define retention and deletion principles</x:v>
      </x:c>
      <x:c r="E29" s="114" t="str">
        <x:v>Set short raw-evidence retention, longer derived-evidence retention and legal-hold controls.</x:v>
      </x:c>
      <x:c r="F29" s="114" t="str">
        <x:v>DPO/Data Governance</x:v>
      </x:c>
      <x:c r="G29" s="114" t="str">
        <x:v>Security/Product</x:v>
      </x:c>
      <x:c r="H29" s="114" t="str">
        <x:v>FND-011</x:v>
      </x:c>
      <x:c r="I29" s="114" t="str">
        <x:v>Critical</x:v>
      </x:c>
      <x:c r="J29" s="114" t="str">
        <x:v>Draft Complete</x:v>
      </x:c>
      <x:c r="K29" s="135" t="n">
        <x:f>IF(J29="Completed",1,IF(J29="Draft Complete",0.8,IF(J29="In Review",0.6,IF(J29="Requires Owner Input",0.3,IF(J29="Blocked",0.1,IF(J29="Deferred",0.2,0))))))</x:f>
        <x:v>0.8</x:v>
      </x:c>
      <x:c r="L29" s="114" t="n">
        <x:v>1.5</x:v>
      </x:c>
      <x:c r="M29" s="114" t="str">
        <x:v>Retention schedule draft</x:v>
      </x:c>
      <x:c r="N29" s="114" t="str">
        <x:v>Retention is purpose-based, configurable, auditable and supports deletion.</x:v>
      </x:c>
      <x:c r="O29" s="114" t="str">
        <x:v>Purpose Policy Matrix</x:v>
      </x:c>
      <x:c r="P29" s="114" t="str">
        <x:v>Stage 0 Gate</x:v>
      </x:c>
      <x:c r="Q29" s="114" t="str">
        <x:v>W2</x:v>
      </x:c>
      <x:c r="R29" s="115" t="str"/>
    </x:row>
    <x:row r="30">
      <x:c r="A30" s="119" t="str">
        <x:v>FND-026</x:v>
      </x:c>
      <x:c r="B30" s="120" t="n">
        <x:v>0</x:v>
      </x:c>
      <x:c r="C30" s="120" t="str">
        <x:v>Privacy engineering</x:v>
      </x:c>
      <x:c r="D30" s="120" t="str">
        <x:v>Define secure-field and exclusion requirements</x:v>
      </x:c>
      <x:c r="E30" s="120" t="str">
        <x:v>Block passwords, authentication codes, known secure controls, private apps/domains and out-of-hours capture.</x:v>
      </x:c>
      <x:c r="F30" s="120" t="str">
        <x:v>Security/Desktop Lead</x:v>
      </x:c>
      <x:c r="G30" s="120" t="str">
        <x:v>DPO/Product/QA</x:v>
      </x:c>
      <x:c r="H30" s="120" t="str">
        <x:v>FND-011</x:v>
      </x:c>
      <x:c r="I30" s="120" t="str">
        <x:v>Critical</x:v>
      </x:c>
      <x:c r="J30" s="120" t="str">
        <x:v>Draft Complete</x:v>
      </x:c>
      <x:c r="K30" s="134" t="n">
        <x:f>IF(J30="Completed",1,IF(J30="Draft Complete",0.8,IF(J30="In Review",0.6,IF(J30="Requires Owner Input",0.3,IF(J30="Blocked",0.1,IF(J30="Deferred",0.2,0))))))</x:f>
        <x:v>0.8</x:v>
      </x:c>
      <x:c r="L30" s="120" t="n">
        <x:v>2</x:v>
      </x:c>
      <x:c r="M30" s="120" t="str">
        <x:v>Capture exclusion specification</x:v>
      </x:c>
      <x:c r="N30" s="120" t="str">
        <x:v>Requirements are testable and designated as pilot blocking controls.</x:v>
      </x:c>
      <x:c r="O30" s="120" t="str">
        <x:v>Purpose Policy Matrix / Foundation Threats</x:v>
      </x:c>
      <x:c r="P30" s="120" t="str">
        <x:v>Stage 0 Gate</x:v>
      </x:c>
      <x:c r="Q30" s="120" t="str">
        <x:v>W2</x:v>
      </x:c>
      <x:c r="R30" s="121" t="str"/>
    </x:row>
    <x:row r="31">
      <x:c r="A31" s="113" t="str">
        <x:v>FND-027</x:v>
      </x:c>
      <x:c r="B31" s="114" t="n">
        <x:v>0</x:v>
      </x:c>
      <x:c r="C31" s="114" t="str">
        <x:v>Audit</x:v>
      </x:c>
      <x:c r="D31" s="114" t="str">
        <x:v>Define purpose codes and immutable access audit</x:v>
      </x:c>
      <x:c r="E31" s="114" t="str">
        <x:v>Every evidence access, AI assessment, review, policy change and skill change must record who, why and what.</x:v>
      </x:c>
      <x:c r="F31" s="114" t="str">
        <x:v>Audit/Security</x:v>
      </x:c>
      <x:c r="G31" s="114" t="str">
        <x:v>DPO/Platform</x:v>
      </x:c>
      <x:c r="H31" s="114" t="str">
        <x:v>FND-024</x:v>
      </x:c>
      <x:c r="I31" s="114" t="str">
        <x:v>High</x:v>
      </x:c>
      <x:c r="J31" s="114" t="str">
        <x:v>Draft Complete</x:v>
      </x:c>
      <x:c r="K31" s="135" t="n">
        <x:f>IF(J31="Completed",1,IF(J31="Draft Complete",0.8,IF(J31="In Review",0.6,IF(J31="Requires Owner Input",0.3,IF(J31="Blocked",0.1,IF(J31="Deferred",0.2,0))))))</x:f>
        <x:v>0.8</x:v>
      </x:c>
      <x:c r="L31" s="114" t="n">
        <x:v>1.5</x:v>
      </x:c>
      <x:c r="M31" s="114" t="str">
        <x:v>Audit event specification</x:v>
      </x:c>
      <x:c r="N31" s="114" t="str">
        <x:v>Required audit events and retention are enumerated.</x:v>
      </x:c>
      <x:c r="O31" s="114" t="str">
        <x:v>Reference Architecture</x:v>
      </x:c>
      <x:c r="P31" s="114" t="str">
        <x:v>Stage 0 Gate</x:v>
      </x:c>
      <x:c r="Q31" s="114" t="str">
        <x:v>W2</x:v>
      </x:c>
      <x:c r="R31" s="115" t="str"/>
    </x:row>
    <x:row r="32">
      <x:c r="A32" s="119" t="str">
        <x:v>FND-028</x:v>
      </x:c>
      <x:c r="B32" s="120" t="n">
        <x:v>0</x:v>
      </x:c>
      <x:c r="C32" s="120" t="str">
        <x:v>Incident response</x:v>
      </x:c>
      <x:c r="D32" s="120" t="str">
        <x:v>Define privacy/security incident path</x:v>
      </x:c>
      <x:c r="E32" s="120" t="str">
        <x:v>Specify containment, evidence preservation, employee notification, breach assessment and agent-disable path.</x:v>
      </x:c>
      <x:c r="F32" s="120" t="str">
        <x:v>CISO/DPO</x:v>
      </x:c>
      <x:c r="G32" s="120" t="str">
        <x:v>Platform/HR/Legal</x:v>
      </x:c>
      <x:c r="H32" s="120" t="str">
        <x:v>FND-026</x:v>
      </x:c>
      <x:c r="I32" s="120" t="str">
        <x:v>Critical</x:v>
      </x:c>
      <x:c r="J32" s="120" t="str">
        <x:v>Draft Complete</x:v>
      </x:c>
      <x:c r="K32" s="134" t="n">
        <x:f>IF(J32="Completed",1,IF(J32="Draft Complete",0.8,IF(J32="In Review",0.6,IF(J32="Requires Owner Input",0.3,IF(J32="Blocked",0.1,IF(J32="Deferred",0.2,0))))))</x:f>
        <x:v>0.8</x:v>
      </x:c>
      <x:c r="L32" s="120" t="n">
        <x:v>2</x:v>
      </x:c>
      <x:c r="M32" s="120" t="str">
        <x:v>Incident playbook outline</x:v>
      </x:c>
      <x:c r="N32" s="120" t="str">
        <x:v>Named escalation, stop switch and notification responsibilities are defined.</x:v>
      </x:c>
      <x:c r="O32" s="120" t="str">
        <x:v>Foundation Threats</x:v>
      </x:c>
      <x:c r="P32" s="120" t="str">
        <x:v>Stage 0 Gate</x:v>
      </x:c>
      <x:c r="Q32" s="120" t="str">
        <x:v>W2</x:v>
      </x:c>
      <x:c r="R32" s="121" t="str"/>
    </x:row>
    <x:row r="33">
      <x:c r="A33" s="113" t="str">
        <x:v>FND-029</x:v>
      </x:c>
      <x:c r="B33" s="114" t="n">
        <x:v>0</x:v>
      </x:c>
      <x:c r="C33" s="114" t="str">
        <x:v>Programme governance</x:v>
      </x:c>
      <x:c r="D33" s="114" t="str">
        <x:v>Approve stop/hold criteria</x:v>
      </x:c>
      <x:c r="E33" s="114" t="str">
        <x:v>Define conditions that automatically hold the pilot, including secret capture, high false-classification, excessive overhead or legal uncertainty.</x:v>
      </x:c>
      <x:c r="F33" s="114" t="str">
        <x:v>Executive Sponsor</x:v>
      </x:c>
      <x:c r="G33" s="114" t="str">
        <x:v>DPO/CISO/Product/Employee Rep</x:v>
      </x:c>
      <x:c r="H33" s="114" t="str">
        <x:v>FND-014</x:v>
      </x:c>
      <x:c r="I33" s="114" t="str">
        <x:v>Critical</x:v>
      </x:c>
      <x:c r="J33" s="114" t="str">
        <x:v>Draft Complete</x:v>
      </x:c>
      <x:c r="K33" s="135" t="n">
        <x:f>IF(J33="Completed",1,IF(J33="Draft Complete",0.8,IF(J33="In Review",0.6,IF(J33="Requires Owner Input",0.3,IF(J33="Blocked",0.1,IF(J33="Deferred",0.2,0))))))</x:f>
        <x:v>0.8</x:v>
      </x:c>
      <x:c r="L33" s="114" t="n">
        <x:v>1</x:v>
      </x:c>
      <x:c r="M33" s="114" t="str">
        <x:v>Stop criteria</x:v>
      </x:c>
      <x:c r="N33" s="114" t="str">
        <x:v>Criteria are measurable and linked to decision authority.</x:v>
      </x:c>
      <x:c r="O33" s="114" t="str">
        <x:v>Pilot Definition / Stage 0-1 Gates</x:v>
      </x:c>
      <x:c r="P33" s="114" t="str">
        <x:v>Stage 0 Gate</x:v>
      </x:c>
      <x:c r="Q33" s="114" t="str">
        <x:v>W2</x:v>
      </x:c>
      <x:c r="R33" s="115" t="str"/>
    </x:row>
    <x:row r="34">
      <x:c r="A34" s="119" t="str">
        <x:v>FND-030</x:v>
      </x:c>
      <x:c r="B34" s="120" t="n">
        <x:v>0</x:v>
      </x:c>
      <x:c r="C34" s="120" t="str">
        <x:v>Stakeholders</x:v>
      </x:c>
      <x:c r="D34" s="120" t="str">
        <x:v>Complete stakeholder map and RACI</x:v>
      </x:c>
      <x:c r="E34" s="120" t="str">
        <x:v>Assign accountability for charter, legal, architecture, security, worker consultation, pilot and review.</x:v>
      </x:c>
      <x:c r="F34" s="120" t="str">
        <x:v>Programme Lead</x:v>
      </x:c>
      <x:c r="G34" s="120" t="str">
        <x:v>All leads</x:v>
      </x:c>
      <x:c r="H34" s="120" t="str">
        <x:v>FND-002,FND-003</x:v>
      </x:c>
      <x:c r="I34" s="120" t="str">
        <x:v>High</x:v>
      </x:c>
      <x:c r="J34" s="120" t="str">
        <x:v>Draft Complete</x:v>
      </x:c>
      <x:c r="K34" s="134" t="n">
        <x:f>IF(J34="Completed",1,IF(J34="Draft Complete",0.8,IF(J34="In Review",0.6,IF(J34="Requires Owner Input",0.3,IF(J34="Blocked",0.1,IF(J34="Deferred",0.2,0))))))</x:f>
        <x:v>0.8</x:v>
      </x:c>
      <x:c r="L34" s="120" t="n">
        <x:v>1.5</x:v>
      </x:c>
      <x:c r="M34" s="120" t="str">
        <x:v>RACI matrix</x:v>
      </x:c>
      <x:c r="N34" s="120" t="str">
        <x:v>Every mandatory foundation deliverable has one accountable role.</x:v>
      </x:c>
      <x:c r="O34" s="120" t="str">
        <x:v>Stakeholder RACI sheet</x:v>
      </x:c>
      <x:c r="P34" s="120" t="str">
        <x:v>Stage 0 Gate</x:v>
      </x:c>
      <x:c r="Q34" s="120" t="str">
        <x:v>W1</x:v>
      </x:c>
      <x:c r="R34" s="121" t="str">
        <x:v>Names pending.</x:v>
      </x:c>
    </x:row>
    <x:row r="35">
      <x:c r="A35" s="113" t="str">
        <x:v>FND-031</x:v>
      </x:c>
      <x:c r="B35" s="114" t="n">
        <x:v>0</x:v>
      </x:c>
      <x:c r="C35" s="114" t="str">
        <x:v>Security</x:v>
      </x:c>
      <x:c r="D35" s="114" t="str">
        <x:v>Complete foundation threat model</x:v>
      </x:c>
      <x:c r="E35" s="114" t="str">
        <x:v>Identify system, privacy, employment, endpoint, insider and AI-specific threats before design is approved.</x:v>
      </x:c>
      <x:c r="F35" s="114" t="str">
        <x:v>CISO/Security Architect</x:v>
      </x:c>
      <x:c r="G35" s="114" t="str">
        <x:v>DPO/Desktop/AI</x:v>
      </x:c>
      <x:c r="H35" s="114" t="str">
        <x:v>FND-011</x:v>
      </x:c>
      <x:c r="I35" s="114" t="str">
        <x:v>Critical</x:v>
      </x:c>
      <x:c r="J35" s="114" t="str">
        <x:v>Draft Complete</x:v>
      </x:c>
      <x:c r="K35" s="135" t="n">
        <x:f>IF(J35="Completed",1,IF(J35="Draft Complete",0.8,IF(J35="In Review",0.6,IF(J35="Requires Owner Input",0.3,IF(J35="Blocked",0.1,IF(J35="Deferred",0.2,0))))))</x:f>
        <x:v>0.8</x:v>
      </x:c>
      <x:c r="L35" s="114" t="n">
        <x:v>3</x:v>
      </x:c>
      <x:c r="M35" s="114" t="str">
        <x:v>Foundation threat register</x:v>
      </x:c>
      <x:c r="N35" s="114" t="str">
        <x:v>Threats have likelihood, impact, control, owner and validation plan.</x:v>
      </x:c>
      <x:c r="O35" s="114" t="str">
        <x:v>Foundation Threats sheet</x:v>
      </x:c>
      <x:c r="P35" s="114" t="str">
        <x:v>Stage 0 Gate</x:v>
      </x:c>
      <x:c r="Q35" s="114" t="str">
        <x:v>W2</x:v>
      </x:c>
      <x:c r="R35" s="115" t="str">
        <x:v>Security review pending.</x:v>
      </x:c>
    </x:row>
    <x:row r="36">
      <x:c r="A36" s="119" t="str">
        <x:v>FND-032</x:v>
      </x:c>
      <x:c r="B36" s="120" t="n">
        <x:v>0</x:v>
      </x:c>
      <x:c r="C36" s="120" t="str">
        <x:v>Pilot ethics</x:v>
      </x:c>
      <x:c r="D36" s="120" t="str">
        <x:v>Define participant protection</x:v>
      </x:c>
      <x:c r="E36" s="120" t="str">
        <x:v>Specify voluntary/appropriate participation model, no adverse action from pilot output, employee access and direct support.</x:v>
      </x:c>
      <x:c r="F36" s="120" t="str">
        <x:v>HR/DPO</x:v>
      </x:c>
      <x:c r="G36" s="120" t="str">
        <x:v>Executive Sponsor/Product</x:v>
      </x:c>
      <x:c r="H36" s="120" t="str">
        <x:v>FND-009,FND-018</x:v>
      </x:c>
      <x:c r="I36" s="120" t="str">
        <x:v>Critical</x:v>
      </x:c>
      <x:c r="J36" s="120" t="str">
        <x:v>Draft Complete</x:v>
      </x:c>
      <x:c r="K36" s="134" t="n">
        <x:f>IF(J36="Completed",1,IF(J36="Draft Complete",0.8,IF(J36="In Review",0.6,IF(J36="Requires Owner Input",0.3,IF(J36="Blocked",0.1,IF(J36="Deferred",0.2,0))))))</x:f>
        <x:v>0.8</x:v>
      </x:c>
      <x:c r="L36" s="120" t="n">
        <x:v>1.5</x:v>
      </x:c>
      <x:c r="M36" s="120" t="str">
        <x:v>Participant protection rules</x:v>
      </x:c>
      <x:c r="N36" s="120" t="str">
        <x:v>Pilot participants receive notice, support, challenge rights and no automated adverse decisions.</x:v>
      </x:c>
      <x:c r="O36" s="120" t="str">
        <x:v>Pilot Definition sheet</x:v>
      </x:c>
      <x:c r="P36" s="120" t="str">
        <x:v>Stage 0 Gate</x:v>
      </x:c>
      <x:c r="Q36" s="120" t="str">
        <x:v>W2</x:v>
      </x:c>
      <x:c r="R36" s="121" t="str"/>
    </x:row>
    <x:row r="37">
      <x:c r="A37" s="113" t="str">
        <x:v>FND-033</x:v>
      </x:c>
      <x:c r="B37" s="114" t="n">
        <x:v>0</x:v>
      </x:c>
      <x:c r="C37" s="114" t="str">
        <x:v>Review</x:v>
      </x:c>
      <x:c r="D37" s="114" t="str">
        <x:v>Run Stage 0 cross-functional review</x:v>
      </x:c>
      <x:c r="E37" s="114" t="str">
        <x:v>Review charter, purpose matrix, DPIA pack, legal questions, threat model, consultation and pilot.</x:v>
      </x:c>
      <x:c r="F37" s="114" t="str">
        <x:v>Programme Lead</x:v>
      </x:c>
      <x:c r="G37" s="114" t="str">
        <x:v>CEO/CTO/DPO/Legal/CISO/HR/Employee Rep</x:v>
      </x:c>
      <x:c r="H37" s="114" t="str">
        <x:v>FND-004:FND-032</x:v>
      </x:c>
      <x:c r="I37" s="114" t="str">
        <x:v>Critical</x:v>
      </x:c>
      <x:c r="J37" s="114" t="str">
        <x:v>Not Started</x:v>
      </x:c>
      <x:c r="K37" s="135" t="n">
        <x:f>IF(J37="Completed",1,IF(J37="Draft Complete",0.8,IF(J37="In Review",0.6,IF(J37="Requires Owner Input",0.3,IF(J37="Blocked",0.1,IF(J37="Deferred",0.2,0))))))</x:f>
        <x:v>0</x:v>
      </x:c>
      <x:c r="L37" s="114" t="n">
        <x:v>2</x:v>
      </x:c>
      <x:c r="M37" s="114" t="str">
        <x:v>Review minutes and actions</x:v>
      </x:c>
      <x:c r="N37" s="114" t="str">
        <x:v>All mandatory objections and conditions are recorded.</x:v>
      </x:c>
      <x:c r="O37" s="114" t="str">
        <x:v>Stage 0-1 Gates</x:v>
      </x:c>
      <x:c r="P37" s="114" t="str">
        <x:v>Stage 0 Gate</x:v>
      </x:c>
      <x:c r="Q37" s="114" t="str">
        <x:v>W2</x:v>
      </x:c>
      <x:c r="R37" s="115" t="str"/>
    </x:row>
    <x:row r="38">
      <x:c r="A38" s="119" t="str">
        <x:v>FND-034</x:v>
      </x:c>
      <x:c r="B38" s="120" t="n">
        <x:v>0</x:v>
      </x:c>
      <x:c r="C38" s="120" t="str">
        <x:v>Gate</x:v>
      </x:c>
      <x:c r="D38" s="120" t="str">
        <x:v>Record Stage 0 decision</x:v>
      </x:c>
      <x:c r="E38" s="120" t="str">
        <x:v>Approve, conditionally approve, hold or reject entry into implementation planning.</x:v>
      </x:c>
      <x:c r="F38" s="120" t="str">
        <x:v>Executive Sponsor</x:v>
      </x:c>
      <x:c r="G38" s="120" t="str">
        <x:v>DPO/Legal/CISO/CTO/HR</x:v>
      </x:c>
      <x:c r="H38" s="120" t="str">
        <x:v>FND-033</x:v>
      </x:c>
      <x:c r="I38" s="120" t="str">
        <x:v>Critical</x:v>
      </x:c>
      <x:c r="J38" s="120" t="str">
        <x:v>Not Started</x:v>
      </x:c>
      <x:c r="K38" s="134" t="n">
        <x:f>IF(J38="Completed",1,IF(J38="Draft Complete",0.8,IF(J38="In Review",0.6,IF(J38="Requires Owner Input",0.3,IF(J38="Blocked",0.1,IF(J38="Deferred",0.2,0))))))</x:f>
        <x:v>0</x:v>
      </x:c>
      <x:c r="L38" s="120" t="n">
        <x:v>0.5</x:v>
      </x:c>
      <x:c r="M38" s="120" t="str">
        <x:v>Stage 0 gate decision</x:v>
      </x:c>
      <x:c r="N38" s="120" t="str">
        <x:v>Decision authority, conditions, dates and evidence are recorded.</x:v>
      </x:c>
      <x:c r="O38" s="120" t="str">
        <x:v>Stage 0-1 Gates</x:v>
      </x:c>
      <x:c r="P38" s="120" t="str">
        <x:v>Stage 0 Gate</x:v>
      </x:c>
      <x:c r="Q38" s="120" t="str">
        <x:v>W2</x:v>
      </x:c>
      <x:c r="R38" s="121" t="str"/>
    </x:row>
    <x:row r="39">
      <x:c r="A39" s="113" t="str">
        <x:v>FND-035</x:v>
      </x:c>
      <x:c r="B39" s="114" t="n">
        <x:v>1</x:v>
      </x:c>
      <x:c r="C39" s="114" t="str">
        <x:v>Market validation</x:v>
      </x:c>
      <x:c r="D39" s="114" t="str">
        <x:v>Define market-category taxonomy</x:v>
      </x:c>
      <x:c r="E39" s="114" t="str">
        <x:v>Separate employee monitoring, task mining, process intelligence, skills intelligence, developer intelligence, record/replay and AI observability.</x:v>
      </x:c>
      <x:c r="F39" s="114" t="str">
        <x:v>Product Strategy</x:v>
      </x:c>
      <x:c r="G39" s="114" t="str">
        <x:v>Research/Architecture</x:v>
      </x:c>
      <x:c r="H39" s="114" t="str">
        <x:v>FND-004</x:v>
      </x:c>
      <x:c r="I39" s="114" t="str">
        <x:v>High</x:v>
      </x:c>
      <x:c r="J39" s="114" t="str">
        <x:v>Completed</x:v>
      </x:c>
      <x:c r="K39" s="135" t="n">
        <x:f>IF(J39="Completed",1,IF(J39="Draft Complete",0.8,IF(J39="In Review",0.6,IF(J39="Requires Owner Input",0.3,IF(J39="Blocked",0.1,IF(J39="Deferred",0.2,0))))))</x:f>
        <x:v>1</x:v>
      </x:c>
      <x:c r="L39" s="114" t="n">
        <x:v>1</x:v>
      </x:c>
      <x:c r="M39" s="114" t="str">
        <x:v>Category taxonomy</x:v>
      </x:c>
      <x:c r="N39" s="114" t="str">
        <x:v>Competitors are compared within the correct category.</x:v>
      </x:c>
      <x:c r="O39" s="114" t="str">
        <x:v>Market Landscape sheet</x:v>
      </x:c>
      <x:c r="P39" s="114" t="str">
        <x:v>Stage 1 Gate</x:v>
      </x:c>
      <x:c r="Q39" s="114" t="str">
        <x:v>W1</x:v>
      </x:c>
      <x:c r="R39" s="115" t="str"/>
    </x:row>
    <x:row r="40">
      <x:c r="A40" s="119" t="str">
        <x:v>FND-036</x:v>
      </x:c>
      <x:c r="B40" s="120" t="n">
        <x:v>1</x:v>
      </x:c>
      <x:c r="C40" s="120" t="str">
        <x:v>Market validation</x:v>
      </x:c>
      <x:c r="D40" s="120" t="str">
        <x:v>Research employee monitoring category</x:v>
      </x:c>
      <x:c r="E40" s="120" t="str">
        <x:v>Document market baseline for screen, keystrokes, app/web, idle, privacy controls and reporting.</x:v>
      </x:c>
      <x:c r="F40" s="120" t="str">
        <x:v>Product Strategy</x:v>
      </x:c>
      <x:c r="G40" s="120" t="str">
        <x:v>Legal/Security</x:v>
      </x:c>
      <x:c r="H40" s="120" t="str">
        <x:v>FND-035</x:v>
      </x:c>
      <x:c r="I40" s="120" t="str">
        <x:v>High</x:v>
      </x:c>
      <x:c r="J40" s="120" t="str">
        <x:v>Completed</x:v>
      </x:c>
      <x:c r="K40" s="134" t="n">
        <x:f>IF(J40="Completed",1,IF(J40="Draft Complete",0.8,IF(J40="In Review",0.6,IF(J40="Requires Owner Input",0.3,IF(J40="Blocked",0.1,IF(J40="Deferred",0.2,0))))))</x:f>
        <x:v>1</x:v>
      </x:c>
      <x:c r="L40" s="120" t="n">
        <x:v>1.5</x:v>
      </x:c>
      <x:c r="M40" s="120" t="str">
        <x:v>Monitoring competitor analysis</x:v>
      </x:c>
      <x:c r="N40" s="120" t="str">
        <x:v>Capabilities, positioning and limits are source-backed.</x:v>
      </x:c>
      <x:c r="O40" s="120" t="str">
        <x:v>Teramind / ActivTrak sources</x:v>
      </x:c>
      <x:c r="P40" s="120" t="str">
        <x:v>Stage 1 Gate</x:v>
      </x:c>
      <x:c r="Q40" s="120" t="str">
        <x:v>W1</x:v>
      </x:c>
      <x:c r="R40" s="121" t="str"/>
    </x:row>
    <x:row r="41">
      <x:c r="A41" s="113" t="str">
        <x:v>FND-037</x:v>
      </x:c>
      <x:c r="B41" s="114" t="n">
        <x:v>1</x:v>
      </x:c>
      <x:c r="C41" s="114" t="str">
        <x:v>Market validation</x:v>
      </x:c>
      <x:c r="D41" s="114" t="str">
        <x:v>Research task/process mining</x:v>
      </x:c>
      <x:c r="E41" s="114" t="str">
        <x:v>Document action capture, workflow discovery, process variants and automation positioning.</x:v>
      </x:c>
      <x:c r="F41" s="114" t="str">
        <x:v>Product Strategy</x:v>
      </x:c>
      <x:c r="G41" s="114" t="str">
        <x:v>Operations/AI</x:v>
      </x:c>
      <x:c r="H41" s="114" t="str">
        <x:v>FND-035</x:v>
      </x:c>
      <x:c r="I41" s="114" t="str">
        <x:v>High</x:v>
      </x:c>
      <x:c r="J41" s="114" t="str">
        <x:v>Completed</x:v>
      </x:c>
      <x:c r="K41" s="135" t="n">
        <x:f>IF(J41="Completed",1,IF(J41="Draft Complete",0.8,IF(J41="In Review",0.6,IF(J41="Requires Owner Input",0.3,IF(J41="Blocked",0.1,IF(J41="Deferred",0.2,0))))))</x:f>
        <x:v>1</x:v>
      </x:c>
      <x:c r="L41" s="114" t="n">
        <x:v>1.5</x:v>
      </x:c>
      <x:c r="M41" s="114" t="str">
        <x:v>Task-mining analysis</x:v>
      </x:c>
      <x:c r="N41" s="114" t="str">
        <x:v>UiPath, ABBYY, Soroco and Workfellow are compared.</x:v>
      </x:c>
      <x:c r="O41" s="114" t="str">
        <x:v>Market Landscape / Source Register</x:v>
      </x:c>
      <x:c r="P41" s="114" t="str">
        <x:v>Stage 1 Gate</x:v>
      </x:c>
      <x:c r="Q41" s="114" t="str">
        <x:v>W1</x:v>
      </x:c>
      <x:c r="R41" s="115" t="str"/>
    </x:row>
    <x:row r="42">
      <x:c r="A42" s="119" t="str">
        <x:v>FND-038</x:v>
      </x:c>
      <x:c r="B42" s="120" t="n">
        <x:v>1</x:v>
      </x:c>
      <x:c r="C42" s="120" t="str">
        <x:v>Market validation</x:v>
      </x:c>
      <x:c r="D42" s="120" t="str">
        <x:v>Research skills intelligence and learning</x:v>
      </x:c>
      <x:c r="E42" s="120" t="str">
        <x:v>Compare inferred skills, evidence, employee review, learning plans and role readiness.</x:v>
      </x:c>
      <x:c r="F42" s="120" t="str">
        <x:v>Product/HR/L&amp;D</x:v>
      </x:c>
      <x:c r="G42" s="120" t="str">
        <x:v>AI/Data</x:v>
      </x:c>
      <x:c r="H42" s="120" t="str">
        <x:v>FND-035</x:v>
      </x:c>
      <x:c r="I42" s="120" t="str">
        <x:v>High</x:v>
      </x:c>
      <x:c r="J42" s="120" t="str">
        <x:v>Completed</x:v>
      </x:c>
      <x:c r="K42" s="134" t="n">
        <x:f>IF(J42="Completed",1,IF(J42="Draft Complete",0.8,IF(J42="In Review",0.6,IF(J42="Requires Owner Input",0.3,IF(J42="Blocked",0.1,IF(J42="Deferred",0.2,0))))))</x:f>
        <x:v>1</x:v>
      </x:c>
      <x:c r="L42" s="120" t="n">
        <x:v>1.5</x:v>
      </x:c>
      <x:c r="M42" s="120" t="str">
        <x:v>Skills-intelligence analysis</x:v>
      </x:c>
      <x:c r="N42" s="120" t="str">
        <x:v>Skills platforms and Nessovo differentiation are recorded.</x:v>
      </x:c>
      <x:c r="O42" s="120" t="str">
        <x:v>Market Landscape / Source Register</x:v>
      </x:c>
      <x:c r="P42" s="120" t="str">
        <x:v>Stage 1 Gate</x:v>
      </x:c>
      <x:c r="Q42" s="120" t="str">
        <x:v>W1</x:v>
      </x:c>
      <x:c r="R42" s="121" t="str"/>
    </x:row>
    <x:row r="43">
      <x:c r="A43" s="113" t="str">
        <x:v>FND-039</x:v>
      </x:c>
      <x:c r="B43" s="114" t="n">
        <x:v>1</x:v>
      </x:c>
      <x:c r="C43" s="114" t="str">
        <x:v>Market validation</x:v>
      </x:c>
      <x:c r="D43" s="114" t="str">
        <x:v>Research developer and AI-work intelligence</x:v>
      </x:c>
      <x:c r="E43" s="114" t="str">
        <x:v>Compare engineering metrics, AI usage, code attribution, review, delivery and coaching.</x:v>
      </x:c>
      <x:c r="F43" s="114" t="str">
        <x:v>Product/CTO</x:v>
      </x:c>
      <x:c r="G43" s="114" t="str">
        <x:v>Engineering/AI</x:v>
      </x:c>
      <x:c r="H43" s="114" t="str">
        <x:v>FND-035</x:v>
      </x:c>
      <x:c r="I43" s="114" t="str">
        <x:v>High</x:v>
      </x:c>
      <x:c r="J43" s="114" t="str">
        <x:v>Completed</x:v>
      </x:c>
      <x:c r="K43" s="135" t="n">
        <x:f>IF(J43="Completed",1,IF(J43="Draft Complete",0.8,IF(J43="In Review",0.6,IF(J43="Requires Owner Input",0.3,IF(J43="Blocked",0.1,IF(J43="Deferred",0.2,0))))))</x:f>
        <x:v>1</x:v>
      </x:c>
      <x:c r="L43" s="114" t="n">
        <x:v>1.5</x:v>
      </x:c>
      <x:c r="M43" s="114" t="str">
        <x:v>Developer-intelligence analysis</x:v>
      </x:c>
      <x:c r="N43" s="114" t="str">
        <x:v>Relevant tools and limitations are recorded.</x:v>
      </x:c>
      <x:c r="O43" s="114" t="str">
        <x:v>Market Landscape / Source Register</x:v>
      </x:c>
      <x:c r="P43" s="114" t="str">
        <x:v>Stage 1 Gate</x:v>
      </x:c>
      <x:c r="Q43" s="114" t="str">
        <x:v>W1</x:v>
      </x:c>
      <x:c r="R43" s="115" t="str"/>
    </x:row>
    <x:row r="44">
      <x:c r="A44" s="119" t="str">
        <x:v>FND-040</x:v>
      </x:c>
      <x:c r="B44" s="120" t="n">
        <x:v>1</x:v>
      </x:c>
      <x:c r="C44" s="120" t="str">
        <x:v>Open-source due diligence</x:v>
      </x:c>
      <x:c r="D44" s="120" t="str">
        <x:v>Complete GitHub reference scan</x:v>
      </x:c>
      <x:c r="E44" s="120" t="str">
        <x:v>Inspect Screenpipe, ActivityWatch, OpenAdapt, Claude-Mem, Task Observer, WakaTime and standards projects.</x:v>
      </x:c>
      <x:c r="F44" s="120" t="str">
        <x:v>Architecture/Engineering</x:v>
      </x:c>
      <x:c r="G44" s="120" t="str">
        <x:v>Legal/Security</x:v>
      </x:c>
      <x:c r="H44" s="120" t="str">
        <x:v>FND-035</x:v>
      </x:c>
      <x:c r="I44" s="120" t="str">
        <x:v>Critical</x:v>
      </x:c>
      <x:c r="J44" s="120" t="str">
        <x:v>Completed</x:v>
      </x:c>
      <x:c r="K44" s="134" t="n">
        <x:f>IF(J44="Completed",1,IF(J44="Draft Complete",0.8,IF(J44="In Review",0.6,IF(J44="Requires Owner Input",0.3,IF(J44="Blocked",0.1,IF(J44="Deferred",0.2,0))))))</x:f>
        <x:v>1</x:v>
      </x:c>
      <x:c r="L44" s="120" t="n">
        <x:v>3</x:v>
      </x:c>
      <x:c r="M44" s="120" t="str">
        <x:v>GitHub OSS scan</x:v>
      </x:c>
      <x:c r="N44" s="120" t="str">
        <x:v>Each project has maturity, relevance, licence and reuse recommendation.</x:v>
      </x:c>
      <x:c r="O44" s="120" t="str">
        <x:v>GitHub OSS Scan sheet</x:v>
      </x:c>
      <x:c r="P44" s="120" t="str">
        <x:v>Stage 1 Gate</x:v>
      </x:c>
      <x:c r="Q44" s="120" t="str">
        <x:v>W1</x:v>
      </x:c>
      <x:c r="R44" s="121" t="str"/>
    </x:row>
    <x:row r="45">
      <x:c r="A45" s="113" t="str">
        <x:v>FND-041</x:v>
      </x:c>
      <x:c r="B45" s="114" t="n">
        <x:v>1</x:v>
      </x:c>
      <x:c r="C45" s="114" t="str">
        <x:v>Open-source due diligence</x:v>
      </x:c>
      <x:c r="D45" s="114" t="str">
        <x:v>Verify initial licence posture</x:v>
      </x:c>
      <x:c r="E45" s="114" t="str">
        <x:v>Record commercial-use constraints and identify items needing legal licence review.</x:v>
      </x:c>
      <x:c r="F45" s="114" t="str">
        <x:v>Legal/Architecture</x:v>
      </x:c>
      <x:c r="G45" s="114" t="str">
        <x:v>Procurement/Product</x:v>
      </x:c>
      <x:c r="H45" s="114" t="str">
        <x:v>FND-040</x:v>
      </x:c>
      <x:c r="I45" s="114" t="str">
        <x:v>Critical</x:v>
      </x:c>
      <x:c r="J45" s="114" t="str">
        <x:v>Draft Complete</x:v>
      </x:c>
      <x:c r="K45" s="135" t="n">
        <x:f>IF(J45="Completed",1,IF(J45="Draft Complete",0.8,IF(J45="In Review",0.6,IF(J45="Requires Owner Input",0.3,IF(J45="Blocked",0.1,IF(J45="Deferred",0.2,0))))))</x:f>
        <x:v>0.8</x:v>
      </x:c>
      <x:c r="L45" s="114" t="n">
        <x:v>2</x:v>
      </x:c>
      <x:c r="M45" s="114" t="str">
        <x:v>Licence register draft</x:v>
      </x:c>
      <x:c r="N45" s="114" t="str">
        <x:v>No project is recommended for incorporation without a recorded licence decision.</x:v>
      </x:c>
      <x:c r="O45" s="114" t="str">
        <x:v>GitHub OSS Scan / repository licences</x:v>
      </x:c>
      <x:c r="P45" s="114" t="str">
        <x:v>Stage 1 Gate</x:v>
      </x:c>
      <x:c r="Q45" s="114" t="str">
        <x:v>W1</x:v>
      </x:c>
      <x:c r="R45" s="115" t="str">
        <x:v>Formal legal opinion pending.</x:v>
      </x:c>
    </x:row>
    <x:row r="46">
      <x:c r="A46" s="119" t="str">
        <x:v>FND-042</x:v>
      </x:c>
      <x:c r="B46" s="120" t="n">
        <x:v>1</x:v>
      </x:c>
      <x:c r="C46" s="120" t="str">
        <x:v>Strategy</x:v>
      </x:c>
      <x:c r="D46" s="120" t="str">
        <x:v>Complete market gap matrix</x:v>
      </x:c>
      <x:c r="E46" s="120" t="str">
        <x:v>Compare capture, task assurance, provenance, capability, coaching, training, self-improvement and governance.</x:v>
      </x:c>
      <x:c r="F46" s="120" t="str">
        <x:v>Product Strategy</x:v>
      </x:c>
      <x:c r="G46" s="120" t="str">
        <x:v>Architecture/HR/AI</x:v>
      </x:c>
      <x:c r="H46" s="120" t="str">
        <x:v>FND-036:FND-041</x:v>
      </x:c>
      <x:c r="I46" s="120" t="str">
        <x:v>Critical</x:v>
      </x:c>
      <x:c r="J46" s="120" t="str">
        <x:v>Draft Complete</x:v>
      </x:c>
      <x:c r="K46" s="134" t="n">
        <x:f>IF(J46="Completed",1,IF(J46="Draft Complete",0.8,IF(J46="In Review",0.6,IF(J46="Requires Owner Input",0.3,IF(J46="Blocked",0.1,IF(J46="Deferred",0.2,0))))))</x:f>
        <x:v>0.8</x:v>
      </x:c>
      <x:c r="L46" s="120" t="n">
        <x:v>2</x:v>
      </x:c>
      <x:c r="M46" s="120" t="str">
        <x:v>Gap matrix</x:v>
      </x:c>
      <x:c r="N46" s="120" t="str">
        <x:v>Differentiation is stated as a capability combination, not unsupported novelty.</x:v>
      </x:c>
      <x:c r="O46" s="120" t="str">
        <x:v>Gap Matrix sheet</x:v>
      </x:c>
      <x:c r="P46" s="120" t="str">
        <x:v>Stage 1 Gate</x:v>
      </x:c>
      <x:c r="Q46" s="120" t="str">
        <x:v>W1</x:v>
      </x:c>
      <x:c r="R46" s="121" t="str"/>
    </x:row>
    <x:row r="47">
      <x:c r="A47" s="113" t="str">
        <x:v>FND-043</x:v>
      </x:c>
      <x:c r="B47" s="114" t="n">
        <x:v>1</x:v>
      </x:c>
      <x:c r="C47" s="114" t="str">
        <x:v>Strategy</x:v>
      </x:c>
      <x:c r="D47" s="114" t="str">
        <x:v>Approve strategic differentiation</x:v>
      </x:c>
      <x:c r="E47" s="114" t="str">
        <x:v>Define the proprietary core: evidence graph, task assurance, capability evidence, Growth Coach and Skill Forge.</x:v>
      </x:c>
      <x:c r="F47" s="114" t="str">
        <x:v>CEO/Product/CTO</x:v>
      </x:c>
      <x:c r="G47" s="114" t="str">
        <x:v>Architecture/HR</x:v>
      </x:c>
      <x:c r="H47" s="114" t="str">
        <x:v>FND-042</x:v>
      </x:c>
      <x:c r="I47" s="114" t="str">
        <x:v>Critical</x:v>
      </x:c>
      <x:c r="J47" s="114" t="str">
        <x:v>Draft Complete</x:v>
      </x:c>
      <x:c r="K47" s="135" t="n">
        <x:f>IF(J47="Completed",1,IF(J47="Draft Complete",0.8,IF(J47="In Review",0.6,IF(J47="Requires Owner Input",0.3,IF(J47="Blocked",0.1,IF(J47="Deferred",0.2,0))))))</x:f>
        <x:v>0.8</x:v>
      </x:c>
      <x:c r="L47" s="114" t="n">
        <x:v>1</x:v>
      </x:c>
      <x:c r="M47" s="114" t="str">
        <x:v>Differentiation decision</x:v>
      </x:c>
      <x:c r="N47" s="114" t="str">
        <x:v>Build focus and commodity capabilities are separated.</x:v>
      </x:c>
      <x:c r="O47" s="114" t="str">
        <x:v>Product Charter v1 / Build Buy Decisions</x:v>
      </x:c>
      <x:c r="P47" s="114" t="str">
        <x:v>Stage 1 Gate</x:v>
      </x:c>
      <x:c r="Q47" s="114" t="str">
        <x:v>W1</x:v>
      </x:c>
      <x:c r="R47" s="115" t="str">
        <x:v>Leadership review pending.</x:v>
      </x:c>
    </x:row>
    <x:row r="48">
      <x:c r="A48" s="119" t="str">
        <x:v>FND-044</x:v>
      </x:c>
      <x:c r="B48" s="120" t="n">
        <x:v>1</x:v>
      </x:c>
      <x:c r="C48" s="120" t="str">
        <x:v>Architecture</x:v>
      </x:c>
      <x:c r="D48" s="120" t="str">
        <x:v>Create capability-domain map</x:v>
      </x:c>
      <x:c r="E48" s="120" t="str">
        <x:v>Map product capabilities to HumanOS services and new bounded contexts.</x:v>
      </x:c>
      <x:c r="F48" s="120" t="str">
        <x:v>Enterprise Architect</x:v>
      </x:c>
      <x:c r="G48" s="120" t="str">
        <x:v>Product/Platform/AI</x:v>
      </x:c>
      <x:c r="H48" s="120" t="str">
        <x:v>FND-043</x:v>
      </x:c>
      <x:c r="I48" s="120" t="str">
        <x:v>Critical</x:v>
      </x:c>
      <x:c r="J48" s="120" t="str">
        <x:v>Draft Complete</x:v>
      </x:c>
      <x:c r="K48" s="134" t="n">
        <x:f>IF(J48="Completed",1,IF(J48="Draft Complete",0.8,IF(J48="In Review",0.6,IF(J48="Requires Owner Input",0.3,IF(J48="Blocked",0.1,IF(J48="Deferred",0.2,0))))))</x:f>
        <x:v>0.8</x:v>
      </x:c>
      <x:c r="L48" s="120" t="n">
        <x:v>2</x:v>
      </x:c>
      <x:c r="M48" s="120" t="str">
        <x:v>Capability-to-service map</x:v>
      </x:c>
      <x:c r="N48" s="120" t="str">
        <x:v>Every capability has a system of record and integration boundary.</x:v>
      </x:c>
      <x:c r="O48" s="120" t="str">
        <x:v>Reference Architecture / Microservices Map</x:v>
      </x:c>
      <x:c r="P48" s="120" t="str">
        <x:v>Stage 1 Gate</x:v>
      </x:c>
      <x:c r="Q48" s="120" t="str">
        <x:v>W1</x:v>
      </x:c>
      <x:c r="R48" s="121" t="str"/>
    </x:row>
    <x:row r="49">
      <x:c r="A49" s="113" t="str">
        <x:v>FND-045</x:v>
      </x:c>
      <x:c r="B49" s="114" t="n">
        <x:v>1</x:v>
      </x:c>
      <x:c r="C49" s="114" t="str">
        <x:v>Architecture</x:v>
      </x:c>
      <x:c r="D49" s="114" t="str">
        <x:v>Complete build/buy/integrate/defer matrix</x:v>
      </x:c>
      <x:c r="E49" s="114" t="str">
        <x:v>Make component-level decisions based on differentiation, risk, maturity and licence.</x:v>
      </x:c>
      <x:c r="F49" s="114" t="str">
        <x:v>CTO/Architecture</x:v>
      </x:c>
      <x:c r="G49" s="114" t="str">
        <x:v>Product/Legal/Procurement</x:v>
      </x:c>
      <x:c r="H49" s="114" t="str">
        <x:v>FND-040,FND-043</x:v>
      </x:c>
      <x:c r="I49" s="114" t="str">
        <x:v>Critical</x:v>
      </x:c>
      <x:c r="J49" s="114" t="str">
        <x:v>Draft Complete</x:v>
      </x:c>
      <x:c r="K49" s="135" t="n">
        <x:f>IF(J49="Completed",1,IF(J49="Draft Complete",0.8,IF(J49="In Review",0.6,IF(J49="Requires Owner Input",0.3,IF(J49="Blocked",0.1,IF(J49="Deferred",0.2,0))))))</x:f>
        <x:v>0.8</x:v>
      </x:c>
      <x:c r="L49" s="114" t="n">
        <x:v>2.5</x:v>
      </x:c>
      <x:c r="M49" s="114" t="str">
        <x:v>Build Buy Decisions</x:v>
      </x:c>
      <x:c r="N49" s="114" t="str">
        <x:v>Each component has a recommendation, rationale, risk and revisit trigger.</x:v>
      </x:c>
      <x:c r="O49" s="114" t="str">
        <x:v>Build Buy Decisions sheet</x:v>
      </x:c>
      <x:c r="P49" s="114" t="str">
        <x:v>Stage 1 Gate</x:v>
      </x:c>
      <x:c r="Q49" s="114" t="str">
        <x:v>W1</x:v>
      </x:c>
      <x:c r="R49" s="115" t="str">
        <x:v>Final procurement/legal review pending.</x:v>
      </x:c>
    </x:row>
    <x:row r="50">
      <x:c r="A50" s="119" t="str">
        <x:v>FND-046</x:v>
      </x:c>
      <x:c r="B50" s="120" t="n">
        <x:v>1</x:v>
      </x:c>
      <x:c r="C50" s="120" t="str">
        <x:v>Architecture</x:v>
      </x:c>
      <x:c r="D50" s="120" t="str">
        <x:v>Define reference architecture layers</x:v>
      </x:c>
      <x:c r="E50" s="120" t="str">
        <x:v>Define device edge, ingestion, evidence, intelligence, capability, coaching, governance and reporting.</x:v>
      </x:c>
      <x:c r="F50" s="120" t="str">
        <x:v>Enterprise Architect</x:v>
      </x:c>
      <x:c r="G50" s="120" t="str">
        <x:v>Security/Data/AI/Desktop</x:v>
      </x:c>
      <x:c r="H50" s="120" t="str">
        <x:v>FND-044</x:v>
      </x:c>
      <x:c r="I50" s="120" t="str">
        <x:v>Critical</x:v>
      </x:c>
      <x:c r="J50" s="120" t="str">
        <x:v>Draft Complete</x:v>
      </x:c>
      <x:c r="K50" s="134" t="n">
        <x:f>IF(J50="Completed",1,IF(J50="Draft Complete",0.8,IF(J50="In Review",0.6,IF(J50="Requires Owner Input",0.3,IF(J50="Blocked",0.1,IF(J50="Deferred",0.2,0))))))</x:f>
        <x:v>0.8</x:v>
      </x:c>
      <x:c r="L50" s="120" t="n">
        <x:v>3</x:v>
      </x:c>
      <x:c r="M50" s="120" t="str">
        <x:v>Reference architecture</x:v>
      </x:c>
      <x:c r="N50" s="120" t="str">
        <x:v>Components, runtimes, data, events and HumanOS reuse are explicit.</x:v>
      </x:c>
      <x:c r="O50" s="120" t="str">
        <x:v>Reference Architecture sheet</x:v>
      </x:c>
      <x:c r="P50" s="120" t="str">
        <x:v>Stage 1 Gate</x:v>
      </x:c>
      <x:c r="Q50" s="120" t="str">
        <x:v>W1</x:v>
      </x:c>
      <x:c r="R50" s="121" t="str"/>
    </x:row>
    <x:row r="51">
      <x:c r="A51" s="113" t="str">
        <x:v>FND-047</x:v>
      </x:c>
      <x:c r="B51" s="114" t="n">
        <x:v>1</x:v>
      </x:c>
      <x:c r="C51" s="114" t="str">
        <x:v>Architecture</x:v>
      </x:c>
      <x:c r="D51" s="114" t="str">
        <x:v>Set bounded contexts and deployment granularity</x:v>
      </x:c>
      <x:c r="E51" s="114" t="str">
        <x:v>Avoid premature splitting; identify initial deployables and future split triggers.</x:v>
      </x:c>
      <x:c r="F51" s="114" t="str">
        <x:v>Enterprise Architect</x:v>
      </x:c>
      <x:c r="G51" s="114" t="str">
        <x:v>Backend/Platform/SRE</x:v>
      </x:c>
      <x:c r="H51" s="114" t="str">
        <x:v>FND-046</x:v>
      </x:c>
      <x:c r="I51" s="114" t="str">
        <x:v>Critical</x:v>
      </x:c>
      <x:c r="J51" s="114" t="str">
        <x:v>Draft Complete</x:v>
      </x:c>
      <x:c r="K51" s="135" t="n">
        <x:f>IF(J51="Completed",1,IF(J51="Draft Complete",0.8,IF(J51="In Review",0.6,IF(J51="Requires Owner Input",0.3,IF(J51="Blocked",0.1,IF(J51="Deferred",0.2,0))))))</x:f>
        <x:v>0.8</x:v>
      </x:c>
      <x:c r="L51" s="114" t="n">
        <x:v>2</x:v>
      </x:c>
      <x:c r="M51" s="114" t="str">
        <x:v>Service-boundary decision</x:v>
      </x:c>
      <x:c r="N51" s="114" t="str">
        <x:v>Each boundary has ownership, scale, security or transactional justification.</x:v>
      </x:c>
      <x:c r="O51" s="114" t="str">
        <x:v>Reference Architecture / ADR-012</x:v>
      </x:c>
      <x:c r="P51" s="114" t="str">
        <x:v>Stage 1 Gate</x:v>
      </x:c>
      <x:c r="Q51" s="114" t="str">
        <x:v>W1</x:v>
      </x:c>
      <x:c r="R51" s="115" t="str"/>
    </x:row>
    <x:row r="52">
      <x:c r="A52" s="119" t="str">
        <x:v>FND-048</x:v>
      </x:c>
      <x:c r="B52" s="120" t="n">
        <x:v>1</x:v>
      </x:c>
      <x:c r="C52" s="120" t="str">
        <x:v>Technology</x:v>
      </x:c>
      <x:c r="D52" s="120" t="str">
        <x:v>Approve Java/Python/native responsibility split</x:v>
      </x:c>
      <x:c r="E52" s="120" t="str">
        <x:v>Use Java for durable domain services, Python for AI/evals and native code for endpoint capture.</x:v>
      </x:c>
      <x:c r="F52" s="120" t="str">
        <x:v>CTO/Architecture</x:v>
      </x:c>
      <x:c r="G52" s="120" t="str">
        <x:v>Java/Python/Desktop Leads</x:v>
      </x:c>
      <x:c r="H52" s="120" t="str">
        <x:v>FND-046</x:v>
      </x:c>
      <x:c r="I52" s="120" t="str">
        <x:v>Critical</x:v>
      </x:c>
      <x:c r="J52" s="120" t="str">
        <x:v>Draft Complete</x:v>
      </x:c>
      <x:c r="K52" s="134" t="n">
        <x:f>IF(J52="Completed",1,IF(J52="Draft Complete",0.8,IF(J52="In Review",0.6,IF(J52="Requires Owner Input",0.3,IF(J52="Blocked",0.1,IF(J52="Deferred",0.2,0))))))</x:f>
        <x:v>0.8</x:v>
      </x:c>
      <x:c r="L52" s="120" t="n">
        <x:v>1.5</x:v>
      </x:c>
      <x:c r="M52" s="120" t="str">
        <x:v>Runtime decision</x:v>
      </x:c>
      <x:c r="N52" s="120" t="str">
        <x:v>Responsibility boundaries and interface contracts are stated.</x:v>
      </x:c>
      <x:c r="O52" s="120" t="str">
        <x:v>Reference Architecture / ADRs</x:v>
      </x:c>
      <x:c r="P52" s="120" t="str">
        <x:v>Stage 1 Gate</x:v>
      </x:c>
      <x:c r="Q52" s="120" t="str">
        <x:v>W1</x:v>
      </x:c>
      <x:c r="R52" s="121" t="str"/>
    </x:row>
    <x:row r="53">
      <x:c r="A53" s="113" t="str">
        <x:v>FND-049</x:v>
      </x:c>
      <x:c r="B53" s="114" t="n">
        <x:v>1</x:v>
      </x:c>
      <x:c r="C53" s="114" t="str">
        <x:v>Technology</x:v>
      </x:c>
      <x:c r="D53" s="114" t="str">
        <x:v>Assess Java and Spring baseline</x:v>
      </x:c>
      <x:c r="E53" s="114" t="str">
        <x:v>Retain current supported HumanOS baseline unless migration is justified; benchmark Java 25/Spring Boot 4.1 for greenfield-compatible services.</x:v>
      </x:c>
      <x:c r="F53" s="114" t="str">
        <x:v>Java Platform Lead</x:v>
      </x:c>
      <x:c r="G53" s="114" t="str">
        <x:v>Architecture/SRE/Security</x:v>
      </x:c>
      <x:c r="H53" s="114" t="str">
        <x:v>FND-048</x:v>
      </x:c>
      <x:c r="I53" s="114" t="str">
        <x:v>High</x:v>
      </x:c>
      <x:c r="J53" s="114" t="str">
        <x:v>Draft Complete</x:v>
      </x:c>
      <x:c r="K53" s="135" t="n">
        <x:f>IF(J53="Completed",1,IF(J53="Draft Complete",0.8,IF(J53="In Review",0.6,IF(J53="Requires Owner Input",0.3,IF(J53="Blocked",0.1,IF(J53="Deferred",0.2,0))))))</x:f>
        <x:v>0.8</x:v>
      </x:c>
      <x:c r="L53" s="114" t="n">
        <x:v>1.5</x:v>
      </x:c>
      <x:c r="M53" s="114" t="str">
        <x:v>Java baseline recommendation</x:v>
      </x:c>
      <x:c r="N53" s="114" t="str">
        <x:v>Compatibility, support, security and migration criteria are recorded.</x:v>
      </x:c>
      <x:c r="O53" s="114" t="str">
        <x:v>Spring/OpenJDK sources</x:v>
      </x:c>
      <x:c r="P53" s="114" t="str">
        <x:v>Stage 1 Gate</x:v>
      </x:c>
      <x:c r="Q53" s="114" t="str">
        <x:v>W1</x:v>
      </x:c>
      <x:c r="R53" s="115" t="str"/>
    </x:row>
    <x:row r="54">
      <x:c r="A54" s="119" t="str">
        <x:v>FND-050</x:v>
      </x:c>
      <x:c r="B54" s="120" t="n">
        <x:v>1</x:v>
      </x:c>
      <x:c r="C54" s="120" t="str">
        <x:v>Event architecture</x:v>
      </x:c>
      <x:c r="D54" s="120" t="str">
        <x:v>Define event streaming and schema strategy</x:v>
      </x:c>
      <x:c r="E54" s="120" t="str">
        <x:v>Use Kafka-compatible streaming, versioned contracts, idempotency and CloudEvents-style envelope.</x:v>
      </x:c>
      <x:c r="F54" s="120" t="str">
        <x:v>Data/Platform Architect</x:v>
      </x:c>
      <x:c r="G54" s="120" t="str">
        <x:v>Backend/SRE</x:v>
      </x:c>
      <x:c r="H54" s="120" t="str">
        <x:v>FND-046</x:v>
      </x:c>
      <x:c r="I54" s="120" t="str">
        <x:v>Critical</x:v>
      </x:c>
      <x:c r="J54" s="120" t="str">
        <x:v>Draft Complete</x:v>
      </x:c>
      <x:c r="K54" s="134" t="n">
        <x:f>IF(J54="Completed",1,IF(J54="Draft Complete",0.8,IF(J54="In Review",0.6,IF(J54="Requires Owner Input",0.3,IF(J54="Blocked",0.1,IF(J54="Deferred",0.2,0))))))</x:f>
        <x:v>0.8</x:v>
      </x:c>
      <x:c r="L54" s="120" t="n">
        <x:v>2</x:v>
      </x:c>
      <x:c r="M54" s="120" t="str">
        <x:v>Event architecture decision</x:v>
      </x:c>
      <x:c r="N54" s="120" t="str">
        <x:v>Partitioning, ordering, retry, schema and replay principles are defined.</x:v>
      </x:c>
      <x:c r="O54" s="120" t="str">
        <x:v>Apache Kafka / CloudEvents</x:v>
      </x:c>
      <x:c r="P54" s="120" t="str">
        <x:v>Stage 1 Gate</x:v>
      </x:c>
      <x:c r="Q54" s="120" t="str">
        <x:v>W1</x:v>
      </x:c>
      <x:c r="R54" s="121" t="str"/>
    </x:row>
    <x:row r="55">
      <x:c r="A55" s="113" t="str">
        <x:v>FND-051</x:v>
      </x:c>
      <x:c r="B55" s="114" t="n">
        <x:v>1</x:v>
      </x:c>
      <x:c r="C55" s="114" t="str">
        <x:v>Policy and observability</x:v>
      </x:c>
      <x:c r="D55" s="114" t="str">
        <x:v>Define OPA and OpenTelemetry usage</x:v>
      </x:c>
      <x:c r="E55" s="114" t="str">
        <x:v>Use policy-as-code where it adds value; keep evidence content out of operational traces by default.</x:v>
      </x:c>
      <x:c r="F55" s="114" t="str">
        <x:v>Security/Platform Architect</x:v>
      </x:c>
      <x:c r="G55" s="114" t="str">
        <x:v>SRE/AI/DPO</x:v>
      </x:c>
      <x:c r="H55" s="114" t="str">
        <x:v>FND-046</x:v>
      </x:c>
      <x:c r="I55" s="114" t="str">
        <x:v>High</x:v>
      </x:c>
      <x:c r="J55" s="114" t="str">
        <x:v>Draft Complete</x:v>
      </x:c>
      <x:c r="K55" s="135" t="n">
        <x:f>IF(J55="Completed",1,IF(J55="Draft Complete",0.8,IF(J55="In Review",0.6,IF(J55="Requires Owner Input",0.3,IF(J55="Blocked",0.1,IF(J55="Deferred",0.2,0))))))</x:f>
        <x:v>0.8</x:v>
      </x:c>
      <x:c r="L55" s="114" t="n">
        <x:v>2</x:v>
      </x:c>
      <x:c r="M55" s="114" t="str">
        <x:v>Policy/observability design</x:v>
      </x:c>
      <x:c r="N55" s="114" t="str">
        <x:v>Decision and data boundaries are explicit and sensitive content is opt-in only.</x:v>
      </x:c>
      <x:c r="O55" s="114" t="str">
        <x:v>OPA / OpenTelemetry sources</x:v>
      </x:c>
      <x:c r="P55" s="114" t="str">
        <x:v>Stage 1 Gate</x:v>
      </x:c>
      <x:c r="Q55" s="114" t="str">
        <x:v>W1</x:v>
      </x:c>
      <x:c r="R55" s="115" t="str"/>
    </x:row>
    <x:row r="56">
      <x:c r="A56" s="119" t="str">
        <x:v>FND-052</x:v>
      </x:c>
      <x:c r="B56" s="120" t="n">
        <x:v>1</x:v>
      </x:c>
      <x:c r="C56" s="120" t="str">
        <x:v>Data architecture</x:v>
      </x:c>
      <x:c r="D56" s="120" t="str">
        <x:v>Select initial data stores</x:v>
      </x:c>
      <x:c r="E56" s="120" t="str">
        <x:v>Use PostgreSQL and object storage first; add vector/search capability as justified; defer graph database until query evidence.</x:v>
      </x:c>
      <x:c r="F56" s="120" t="str">
        <x:v>Data Architect</x:v>
      </x:c>
      <x:c r="G56" s="120" t="str">
        <x:v>Backend/AI/SRE</x:v>
      </x:c>
      <x:c r="H56" s="120" t="str">
        <x:v>FND-046</x:v>
      </x:c>
      <x:c r="I56" s="120" t="str">
        <x:v>Critical</x:v>
      </x:c>
      <x:c r="J56" s="120" t="str">
        <x:v>Draft Complete</x:v>
      </x:c>
      <x:c r="K56" s="134" t="n">
        <x:f>IF(J56="Completed",1,IF(J56="Draft Complete",0.8,IF(J56="In Review",0.6,IF(J56="Requires Owner Input",0.3,IF(J56="Blocked",0.1,IF(J56="Deferred",0.2,0))))))</x:f>
        <x:v>0.8</x:v>
      </x:c>
      <x:c r="L56" s="120" t="n">
        <x:v>2</x:v>
      </x:c>
      <x:c r="M56" s="120" t="str">
        <x:v>Data-store decision</x:v>
      </x:c>
      <x:c r="N56" s="120" t="str">
        <x:v>System-of-record, retention, indexing and future split triggers are stated.</x:v>
      </x:c>
      <x:c r="O56" s="120" t="str">
        <x:v>Reference Architecture / ADR-009</x:v>
      </x:c>
      <x:c r="P56" s="120" t="str">
        <x:v>Stage 1 Gate</x:v>
      </x:c>
      <x:c r="Q56" s="120" t="str">
        <x:v>W1</x:v>
      </x:c>
      <x:c r="R56" s="121" t="str"/>
    </x:row>
    <x:row r="57">
      <x:c r="A57" s="113" t="str">
        <x:v>FND-053</x:v>
      </x:c>
      <x:c r="B57" s="114" t="n">
        <x:v>1</x:v>
      </x:c>
      <x:c r="C57" s="114" t="str">
        <x:v>Workflow architecture</x:v>
      </x:c>
      <x:c r="D57" s="114" t="str">
        <x:v>Confirm HumanOS workflow-runtime reuse</x:v>
      </x:c>
      <x:c r="E57" s="114" t="str">
        <x:v>Use existing workflow capabilities for review, coaching, gates and skill lifecycle before adding another orchestrator.</x:v>
      </x:c>
      <x:c r="F57" s="114" t="str">
        <x:v>Platform Architect</x:v>
      </x:c>
      <x:c r="G57" s="114" t="str">
        <x:v>Workflow Team/Product</x:v>
      </x:c>
      <x:c r="H57" s="114" t="str">
        <x:v>FND-046</x:v>
      </x:c>
      <x:c r="I57" s="114" t="str">
        <x:v>High</x:v>
      </x:c>
      <x:c r="J57" s="114" t="str">
        <x:v>Draft Complete</x:v>
      </x:c>
      <x:c r="K57" s="135" t="n">
        <x:f>IF(J57="Completed",1,IF(J57="Draft Complete",0.8,IF(J57="In Review",0.6,IF(J57="Requires Owner Input",0.3,IF(J57="Blocked",0.1,IF(J57="Deferred",0.2,0))))))</x:f>
        <x:v>0.8</x:v>
      </x:c>
      <x:c r="L57" s="114" t="n">
        <x:v>1</x:v>
      </x:c>
      <x:c r="M57" s="114" t="str">
        <x:v>Orchestration decision</x:v>
      </x:c>
      <x:c r="N57" s="114" t="str">
        <x:v>Known runtime gaps and trigger for alternative evaluation are documented.</x:v>
      </x:c>
      <x:c r="O57" s="114" t="str">
        <x:v>HumanOS architecture assumption</x:v>
      </x:c>
      <x:c r="P57" s="114" t="str">
        <x:v>Stage 1 Gate</x:v>
      </x:c>
      <x:c r="Q57" s="114" t="str">
        <x:v>W1</x:v>
      </x:c>
      <x:c r="R57" s="115" t="str"/>
    </x:row>
    <x:row r="58">
      <x:c r="A58" s="119" t="str">
        <x:v>FND-054</x:v>
      </x:c>
      <x:c r="B58" s="120" t="n">
        <x:v>1</x:v>
      </x:c>
      <x:c r="C58" s="120" t="str">
        <x:v>AI architecture</x:v>
      </x:c>
      <x:c r="D58" s="120" t="str">
        <x:v>Define evaluator and provenance architecture</x:v>
      </x:c>
      <x:c r="E58" s="120" t="str">
        <x:v>Separate deterministic evidence processing from model inference; version prompts, skills, models and confidence.</x:v>
      </x:c>
      <x:c r="F58" s="120" t="str">
        <x:v>AI Architect</x:v>
      </x:c>
      <x:c r="G58" s="120" t="str">
        <x:v>Data/Product/Governance</x:v>
      </x:c>
      <x:c r="H58" s="120" t="str">
        <x:v>FND-046</x:v>
      </x:c>
      <x:c r="I58" s="120" t="str">
        <x:v>Critical</x:v>
      </x:c>
      <x:c r="J58" s="120" t="str">
        <x:v>Draft Complete</x:v>
      </x:c>
      <x:c r="K58" s="134" t="n">
        <x:f>IF(J58="Completed",1,IF(J58="Draft Complete",0.8,IF(J58="In Review",0.6,IF(J58="Requires Owner Input",0.3,IF(J58="Blocked",0.1,IF(J58="Deferred",0.2,0))))))</x:f>
        <x:v>0.8</x:v>
      </x:c>
      <x:c r="L58" s="120" t="n">
        <x:v>2.5</x:v>
      </x:c>
      <x:c r="M58" s="120" t="str">
        <x:v>AI evaluation architecture</x:v>
      </x:c>
      <x:c r="N58" s="120" t="str">
        <x:v>All material findings link to evidence, model/skill version and human-review state.</x:v>
      </x:c>
      <x:c r="O58" s="120" t="str">
        <x:v>Reference Architecture / NIST AI RMF</x:v>
      </x:c>
      <x:c r="P58" s="120" t="str">
        <x:v>Stage 1 Gate</x:v>
      </x:c>
      <x:c r="Q58" s="120" t="str">
        <x:v>W2</x:v>
      </x:c>
      <x:c r="R58" s="121" t="str"/>
    </x:row>
    <x:row r="59">
      <x:c r="A59" s="113" t="str">
        <x:v>FND-055</x:v>
      </x:c>
      <x:c r="B59" s="114" t="n">
        <x:v>1</x:v>
      </x:c>
      <x:c r="C59" s="114" t="str">
        <x:v>Device architecture</x:v>
      </x:c>
      <x:c r="D59" s="114" t="str">
        <x:v>Define device-agent foundation principles</x:v>
      </x:c>
      <x:c r="E59" s="114" t="str">
        <x:v>Separate edge agent, local policy, encrypted journal, signed batches, health, update and user-visible controls.</x:v>
      </x:c>
      <x:c r="F59" s="114" t="str">
        <x:v>Desktop Architect</x:v>
      </x:c>
      <x:c r="G59" s="114" t="str">
        <x:v>Security/Platform/DPO</x:v>
      </x:c>
      <x:c r="H59" s="114" t="str">
        <x:v>FND-046</x:v>
      </x:c>
      <x:c r="I59" s="114" t="str">
        <x:v>Critical</x:v>
      </x:c>
      <x:c r="J59" s="114" t="str">
        <x:v>Draft Complete</x:v>
      </x:c>
      <x:c r="K59" s="135" t="n">
        <x:f>IF(J59="Completed",1,IF(J59="Draft Complete",0.8,IF(J59="In Review",0.6,IF(J59="Requires Owner Input",0.3,IF(J59="Blocked",0.1,IF(J59="Deferred",0.2,0))))))</x:f>
        <x:v>0.8</x:v>
      </x:c>
      <x:c r="L59" s="114" t="n">
        <x:v>2.5</x:v>
      </x:c>
      <x:c r="M59" s="114" t="str">
        <x:v>Device-agent architecture principles</x:v>
      </x:c>
      <x:c r="N59" s="114" t="str">
        <x:v>Foundation is sufficient to scope Stage 3 without implementing unsafe capture.</x:v>
      </x:c>
      <x:c r="O59" s="114" t="str">
        <x:v>Reference Architecture / Foundation Threats</x:v>
      </x:c>
      <x:c r="P59" s="114" t="str">
        <x:v>Stage 1 Gate</x:v>
      </x:c>
      <x:c r="Q59" s="114" t="str">
        <x:v>W2</x:v>
      </x:c>
      <x:c r="R59" s="115" t="str"/>
    </x:row>
    <x:row r="60">
      <x:c r="A60" s="119" t="str">
        <x:v>FND-056</x:v>
      </x:c>
      <x:c r="B60" s="120" t="n">
        <x:v>1</x:v>
      </x:c>
      <x:c r="C60" s="120" t="str">
        <x:v>Economics</x:v>
      </x:c>
      <x:c r="D60" s="120" t="str">
        <x:v>Collect data-volume and usage assumptions</x:v>
      </x:c>
      <x:c r="E60" s="120" t="str">
        <x:v>Obtain employee count, active hours, screenshot frequency, retention, regions and AI-analysis volume.</x:v>
      </x:c>
      <x:c r="F60" s="120" t="str">
        <x:v>Product Finance</x:v>
      </x:c>
      <x:c r="G60" s="120" t="str">
        <x:v>SRE/Data/Product</x:v>
      </x:c>
      <x:c r="H60" s="120" t="str">
        <x:v>FND-009,FND-046</x:v>
      </x:c>
      <x:c r="I60" s="120" t="str">
        <x:v>High</x:v>
      </x:c>
      <x:c r="J60" s="120" t="str">
        <x:v>Requires Owner Input</x:v>
      </x:c>
      <x:c r="K60" s="134" t="n">
        <x:f>IF(J60="Completed",1,IF(J60="Draft Complete",0.8,IF(J60="In Review",0.6,IF(J60="Requires Owner Input",0.3,IF(J60="Blocked",0.1,IF(J60="Deferred",0.2,0))))))</x:f>
        <x:v>0.3</x:v>
      </x:c>
      <x:c r="L60" s="120" t="n">
        <x:v>1.5</x:v>
      </x:c>
      <x:c r="M60" s="120" t="str">
        <x:v>Cost-model inputs</x:v>
      </x:c>
      <x:c r="N60" s="120" t="str">
        <x:v>Assumptions are approved and sensitivity ranges are provided.</x:v>
      </x:c>
      <x:c r="O60" s="120" t="str">
        <x:v>Assumptions Questions sheet</x:v>
      </x:c>
      <x:c r="P60" s="120" t="str">
        <x:v>Stage 1 Gate</x:v>
      </x:c>
      <x:c r="Q60" s="120" t="str">
        <x:v>W2</x:v>
      </x:c>
      <x:c r="R60" s="121" t="str"/>
    </x:row>
    <x:row r="61">
      <x:c r="A61" s="113" t="str">
        <x:v>FND-057</x:v>
      </x:c>
      <x:c r="B61" s="114" t="n">
        <x:v>1</x:v>
      </x:c>
      <x:c r="C61" s="114" t="str">
        <x:v>Economics</x:v>
      </x:c>
      <x:c r="D61" s="114" t="str">
        <x:v>Produce preliminary cost model</x:v>
      </x:c>
      <x:c r="E61" s="114" t="str">
        <x:v>Estimate endpoint, ingestion, storage, AI inference, observability and support costs.</x:v>
      </x:c>
      <x:c r="F61" s="114" t="str">
        <x:v>FinOps/SRE</x:v>
      </x:c>
      <x:c r="G61" s="114" t="str">
        <x:v>Data/AI/Product</x:v>
      </x:c>
      <x:c r="H61" s="114" t="str">
        <x:v>FND-056</x:v>
      </x:c>
      <x:c r="I61" s="114" t="str">
        <x:v>High</x:v>
      </x:c>
      <x:c r="J61" s="114" t="str">
        <x:v>Not Started</x:v>
      </x:c>
      <x:c r="K61" s="135" t="n">
        <x:f>IF(J61="Completed",1,IF(J61="Draft Complete",0.8,IF(J61="In Review",0.6,IF(J61="Requires Owner Input",0.3,IF(J61="Blocked",0.1,IF(J61="Deferred",0.2,0))))))</x:f>
        <x:v>0</x:v>
      </x:c>
      <x:c r="L61" s="114" t="n">
        <x:v>2.5</x:v>
      </x:c>
      <x:c r="M61" s="114" t="str">
        <x:v>Cost and sensitivity model</x:v>
      </x:c>
      <x:c r="N61" s="114" t="str">
        <x:v>Low/base/high pilot and scale cases are calculated.</x:v>
      </x:c>
      <x:c r="O61" s="114" t="str">
        <x:v>Requires usage assumptions</x:v>
      </x:c>
      <x:c r="P61" s="114" t="str">
        <x:v>Stage 1 Gate</x:v>
      </x:c>
      <x:c r="Q61" s="114" t="str">
        <x:v>W2</x:v>
      </x:c>
      <x:c r="R61" s="115" t="str"/>
    </x:row>
    <x:row r="62">
      <x:c r="A62" s="119" t="str">
        <x:v>FND-058</x:v>
      </x:c>
      <x:c r="B62" s="120" t="n">
        <x:v>1</x:v>
      </x:c>
      <x:c r="C62" s="120" t="str">
        <x:v>Legal/procurement</x:v>
      </x:c>
      <x:c r="D62" s="120" t="str">
        <x:v>Complete formal OSS/commercial licence review</x:v>
      </x:c>
      <x:c r="E62" s="120" t="str">
        <x:v>Counsel reviews source-available and OSS dependencies before reuse, modification or distribution.</x:v>
      </x:c>
      <x:c r="F62" s="120" t="str">
        <x:v>Legal/Procurement</x:v>
      </x:c>
      <x:c r="G62" s="120" t="str">
        <x:v>Architecture/Security</x:v>
      </x:c>
      <x:c r="H62" s="120" t="str">
        <x:v>FND-041,FND-045</x:v>
      </x:c>
      <x:c r="I62" s="120" t="str">
        <x:v>Critical</x:v>
      </x:c>
      <x:c r="J62" s="120" t="str">
        <x:v>Requires Owner Input</x:v>
      </x:c>
      <x:c r="K62" s="134" t="n">
        <x:f>IF(J62="Completed",1,IF(J62="Draft Complete",0.8,IF(J62="In Review",0.6,IF(J62="Requires Owner Input",0.3,IF(J62="Blocked",0.1,IF(J62="Deferred",0.2,0))))))</x:f>
        <x:v>0.3</x:v>
      </x:c>
      <x:c r="L62" s="120" t="n">
        <x:v>3</x:v>
      </x:c>
      <x:c r="M62" s="120" t="str">
        <x:v>Licence approval register</x:v>
      </x:c>
      <x:c r="N62" s="120" t="str">
        <x:v>Each dependency has approved use conditions or is excluded.</x:v>
      </x:c>
      <x:c r="O62" s="120" t="str">
        <x:v>Repository licence files / counsel</x:v>
      </x:c>
      <x:c r="P62" s="120" t="str">
        <x:v>Stage 1 Gate</x:v>
      </x:c>
      <x:c r="Q62" s="120" t="str">
        <x:v>W2</x:v>
      </x:c>
      <x:c r="R62" s="121" t="str"/>
    </x:row>
    <x:row r="63">
      <x:c r="A63" s="113" t="str">
        <x:v>FND-059</x:v>
      </x:c>
      <x:c r="B63" s="114" t="n">
        <x:v>1</x:v>
      </x:c>
      <x:c r="C63" s="114" t="str">
        <x:v>Technical validation</x:v>
      </x:c>
      <x:c r="D63" s="114" t="str">
        <x:v>Plan screen-capture benchmark</x:v>
      </x:c>
      <x:c r="E63" s="114" t="str">
        <x:v>Benchmark native prototype against Screenpipe/OpenAdapt patterns without assuming code reuse.</x:v>
      </x:c>
      <x:c r="F63" s="114" t="str">
        <x:v>Desktop Lead</x:v>
      </x:c>
      <x:c r="G63" s="114" t="str">
        <x:v>Architecture/Legal/QA</x:v>
      </x:c>
      <x:c r="H63" s="114" t="str">
        <x:v>FND-045,FND-055</x:v>
      </x:c>
      <x:c r="I63" s="114" t="str">
        <x:v>High</x:v>
      </x:c>
      <x:c r="J63" s="114" t="str">
        <x:v>Draft Complete</x:v>
      </x:c>
      <x:c r="K63" s="135" t="n">
        <x:f>IF(J63="Completed",1,IF(J63="Draft Complete",0.8,IF(J63="In Review",0.6,IF(J63="Requires Owner Input",0.3,IF(J63="Blocked",0.1,IF(J63="Deferred",0.2,0))))))</x:f>
        <x:v>0.8</x:v>
      </x:c>
      <x:c r="L63" s="114" t="n">
        <x:v>1.5</x:v>
      </x:c>
      <x:c r="M63" s="114" t="str">
        <x:v>Benchmark plan</x:v>
      </x:c>
      <x:c r="N63" s="114" t="str">
        <x:v>Metrics, datasets, legal constraints and decision thresholds are defined.</x:v>
      </x:c>
      <x:c r="O63" s="114" t="str">
        <x:v>Build Buy Decisions / Pilot Definition</x:v>
      </x:c>
      <x:c r="P63" s="114" t="str">
        <x:v>Stage 1 Gate</x:v>
      </x:c>
      <x:c r="Q63" s="114" t="str">
        <x:v>W2</x:v>
      </x:c>
      <x:c r="R63" s="115" t="str"/>
    </x:row>
    <x:row r="64">
      <x:c r="A64" s="119" t="str">
        <x:v>FND-060</x:v>
      </x:c>
      <x:c r="B64" s="120" t="n">
        <x:v>1</x:v>
      </x:c>
      <x:c r="C64" s="120" t="str">
        <x:v>Technical validation</x:v>
      </x:c>
      <x:c r="D64" s="120" t="str">
        <x:v>Define Stage 2–3 spike backlog</x:v>
      </x:c>
      <x:c r="E64" s="120" t="str">
        <x:v>Specify ontology and device-agent spikes that reduce the highest uncertainty first.</x:v>
      </x:c>
      <x:c r="F64" s="120" t="str">
        <x:v>Programme/Architecture</x:v>
      </x:c>
      <x:c r="G64" s="120" t="str">
        <x:v>Product/Desktop/AI</x:v>
      </x:c>
      <x:c r="H64" s="120" t="str">
        <x:v>FND-046:FND-055</x:v>
      </x:c>
      <x:c r="I64" s="120" t="str">
        <x:v>Critical</x:v>
      </x:c>
      <x:c r="J64" s="120" t="str">
        <x:v>Draft Complete</x:v>
      </x:c>
      <x:c r="K64" s="134" t="n">
        <x:f>IF(J64="Completed",1,IF(J64="Draft Complete",0.8,IF(J64="In Review",0.6,IF(J64="Requires Owner Input",0.3,IF(J64="Blocked",0.1,IF(J64="Deferred",0.2,0))))))</x:f>
        <x:v>0.8</x:v>
      </x:c>
      <x:c r="L64" s="120" t="n">
        <x:v>2</x:v>
      </x:c>
      <x:c r="M64" s="120" t="str">
        <x:v>Next-stage spike backlog</x:v>
      </x:c>
      <x:c r="N64" s="120" t="str">
        <x:v>Each spike has hypothesis, method, metric, owner and decision rule.</x:v>
      </x:c>
      <x:c r="O64" s="120" t="str">
        <x:v>Master Prompts / Architecture Decisions</x:v>
      </x:c>
      <x:c r="P64" s="120" t="str">
        <x:v>Stage 1 Gate</x:v>
      </x:c>
      <x:c r="Q64" s="120" t="str">
        <x:v>W2</x:v>
      </x:c>
      <x:c r="R64" s="121" t="str"/>
    </x:row>
    <x:row r="65">
      <x:c r="A65" s="113" t="str">
        <x:v>FND-061</x:v>
      </x:c>
      <x:c r="B65" s="114" t="n">
        <x:v>1</x:v>
      </x:c>
      <x:c r="C65" s="114" t="str">
        <x:v>Security review</x:v>
      </x:c>
      <x:c r="D65" s="114" t="str">
        <x:v>Run architecture threat review</x:v>
      </x:c>
      <x:c r="E65" s="114" t="str">
        <x:v>Review endpoint, event, evidence, identity, model, manager-access and supply-chain risks.</x:v>
      </x:c>
      <x:c r="F65" s="114" t="str">
        <x:v>CISO/Security Architect</x:v>
      </x:c>
      <x:c r="G65" s="114" t="str">
        <x:v>DPO/Architecture/Desktop/AI</x:v>
      </x:c>
      <x:c r="H65" s="114" t="str">
        <x:v>FND-031,FND-046</x:v>
      </x:c>
      <x:c r="I65" s="114" t="str">
        <x:v>Critical</x:v>
      </x:c>
      <x:c r="J65" s="114" t="str">
        <x:v>In Review</x:v>
      </x:c>
      <x:c r="K65" s="135" t="n">
        <x:f>IF(J65="Completed",1,IF(J65="Draft Complete",0.8,IF(J65="In Review",0.6,IF(J65="Requires Owner Input",0.3,IF(J65="Blocked",0.1,IF(J65="Deferred",0.2,0))))))</x:f>
        <x:v>0.6</x:v>
      </x:c>
      <x:c r="L65" s="114" t="n">
        <x:v>2</x:v>
      </x:c>
      <x:c r="M65" s="114" t="str">
        <x:v>Security review record</x:v>
      </x:c>
      <x:c r="N65" s="114" t="str">
        <x:v>Critical threats have blocking controls and verification plans.</x:v>
      </x:c>
      <x:c r="O65" s="114" t="str">
        <x:v>Foundation Threats</x:v>
      </x:c>
      <x:c r="P65" s="114" t="str">
        <x:v>Stage 1 Gate</x:v>
      </x:c>
      <x:c r="Q65" s="114" t="str">
        <x:v>W2</x:v>
      </x:c>
      <x:c r="R65" s="115" t="str">
        <x:v>Named reviewers pending.</x:v>
      </x:c>
    </x:row>
    <x:row r="66">
      <x:c r="A66" s="119" t="str">
        <x:v>FND-062</x:v>
      </x:c>
      <x:c r="B66" s="120" t="n">
        <x:v>1</x:v>
      </x:c>
      <x:c r="C66" s="120" t="str">
        <x:v>Architecture governance</x:v>
      </x:c>
      <x:c r="D66" s="120" t="str">
        <x:v>Review and accept ADR set</x:v>
      </x:c>
      <x:c r="E66" s="120" t="str">
        <x:v>Architecture board reviews core decisions and unresolved alternatives.</x:v>
      </x:c>
      <x:c r="F66" s="120" t="str">
        <x:v>Architecture Board</x:v>
      </x:c>
      <x:c r="G66" s="120" t="str">
        <x:v>CTO/Platform/Data/AI/Security</x:v>
      </x:c>
      <x:c r="H66" s="120" t="str">
        <x:v>FND-046:FND-055</x:v>
      </x:c>
      <x:c r="I66" s="120" t="str">
        <x:v>Critical</x:v>
      </x:c>
      <x:c r="J66" s="120" t="str">
        <x:v>In Review</x:v>
      </x:c>
      <x:c r="K66" s="134" t="n">
        <x:f>IF(J66="Completed",1,IF(J66="Draft Complete",0.8,IF(J66="In Review",0.6,IF(J66="Requires Owner Input",0.3,IF(J66="Blocked",0.1,IF(J66="Deferred",0.2,0))))))</x:f>
        <x:v>0.6</x:v>
      </x:c>
      <x:c r="L66" s="120" t="n">
        <x:v>2</x:v>
      </x:c>
      <x:c r="M66" s="120" t="str">
        <x:v>Accepted ADR register</x:v>
      </x:c>
      <x:c r="N66" s="120" t="str">
        <x:v>Each ADR is accepted, rejected or returned with actions.</x:v>
      </x:c>
      <x:c r="O66" s="120" t="str">
        <x:v>Architecture Decisions sheet</x:v>
      </x:c>
      <x:c r="P66" s="120" t="str">
        <x:v>Stage 1 Gate</x:v>
      </x:c>
      <x:c r="Q66" s="120" t="str">
        <x:v>W2</x:v>
      </x:c>
      <x:c r="R66" s="121" t="str"/>
    </x:row>
    <x:row r="67">
      <x:c r="A67" s="113" t="str">
        <x:v>FND-063</x:v>
      </x:c>
      <x:c r="B67" s="114" t="n">
        <x:v>1</x:v>
      </x:c>
      <x:c r="C67" s="114" t="str">
        <x:v>Research traceability</x:v>
      </x:c>
      <x:c r="D67" s="114" t="str">
        <x:v>Complete source register</x:v>
      </x:c>
      <x:c r="E67" s="114" t="str">
        <x:v>Record official product, repository, standard, legal and prompt-engineering sources.</x:v>
      </x:c>
      <x:c r="F67" s="114" t="str">
        <x:v>Research Lead</x:v>
      </x:c>
      <x:c r="G67" s="114" t="str">
        <x:v>Product/Architecture/Legal</x:v>
      </x:c>
      <x:c r="H67" s="114" t="str">
        <x:v>FND-035:FND-055</x:v>
      </x:c>
      <x:c r="I67" s="114" t="str">
        <x:v>High</x:v>
      </x:c>
      <x:c r="J67" s="114" t="str">
        <x:v>Completed</x:v>
      </x:c>
      <x:c r="K67" s="135" t="n">
        <x:f>IF(J67="Completed",1,IF(J67="Draft Complete",0.8,IF(J67="In Review",0.6,IF(J67="Requires Owner Input",0.3,IF(J67="Blocked",0.1,IF(J67="Deferred",0.2,0))))))</x:f>
        <x:v>1</x:v>
      </x:c>
      <x:c r="L67" s="114" t="n">
        <x:v>1.5</x:v>
      </x:c>
      <x:c r="M67" s="114" t="str">
        <x:v>Source register</x:v>
      </x:c>
      <x:c r="N67" s="114" t="str">
        <x:v>Every material researched claim can be traced to a URL.</x:v>
      </x:c>
      <x:c r="O67" s="114" t="str">
        <x:v>Source Register sheet</x:v>
      </x:c>
      <x:c r="P67" s="114" t="str">
        <x:v>Stage 1 Gate</x:v>
      </x:c>
      <x:c r="Q67" s="114" t="str">
        <x:v>W2</x:v>
      </x:c>
      <x:c r="R67" s="115" t="str"/>
    </x:row>
    <x:row r="68">
      <x:c r="A68" s="119" t="str">
        <x:v>FND-064</x:v>
      </x:c>
      <x:c r="B68" s="120" t="n">
        <x:v>1</x:v>
      </x:c>
      <x:c r="C68" s="120" t="str">
        <x:v>Resourcing</x:v>
      </x:c>
      <x:c r="D68" s="120" t="str">
        <x:v>Approve team and budget envelope</x:v>
      </x:c>
      <x:c r="E68" s="120" t="str">
        <x:v>Confirm Stage 2–3 staffing, environment, devices, security review and pilot budget.</x:v>
      </x:c>
      <x:c r="F68" s="120" t="str">
        <x:v>CEO/CTO/CFO</x:v>
      </x:c>
      <x:c r="G68" s="120" t="str">
        <x:v>Programme/HR/Procurement</x:v>
      </x:c>
      <x:c r="H68" s="120" t="str">
        <x:v>FND-056,FND-060</x:v>
      </x:c>
      <x:c r="I68" s="120" t="str">
        <x:v>Critical</x:v>
      </x:c>
      <x:c r="J68" s="120" t="str">
        <x:v>Requires Owner Input</x:v>
      </x:c>
      <x:c r="K68" s="134" t="n">
        <x:f>IF(J68="Completed",1,IF(J68="Draft Complete",0.8,IF(J68="In Review",0.6,IF(J68="Requires Owner Input",0.3,IF(J68="Blocked",0.1,IF(J68="Deferred",0.2,0))))))</x:f>
        <x:v>0.3</x:v>
      </x:c>
      <x:c r="L68" s="120" t="n">
        <x:v>2</x:v>
      </x:c>
      <x:c r="M68" s="120" t="str">
        <x:v>Approved resource envelope</x:v>
      </x:c>
      <x:c r="N68" s="120" t="str">
        <x:v>Named team, availability, procurement and funding are recorded.</x:v>
      </x:c>
      <x:c r="O68" s="120" t="str">
        <x:v>Internal decision</x:v>
      </x:c>
      <x:c r="P68" s="120" t="str">
        <x:v>Stage 1 Gate</x:v>
      </x:c>
      <x:c r="Q68" s="120" t="str">
        <x:v>W2</x:v>
      </x:c>
      <x:c r="R68" s="121" t="str"/>
    </x:row>
    <x:row r="69">
      <x:c r="A69" s="113" t="str">
        <x:v>FND-065</x:v>
      </x:c>
      <x:c r="B69" s="114" t="n">
        <x:v>1</x:v>
      </x:c>
      <x:c r="C69" s="114" t="str">
        <x:v>Review</x:v>
      </x:c>
      <x:c r="D69" s="114" t="str">
        <x:v>Run Stage 1 architecture and build/buy review</x:v>
      </x:c>
      <x:c r="E69" s="114" t="str">
        <x:v>Review research, licences, architecture, threats, spikes, costs and ownership.</x:v>
      </x:c>
      <x:c r="F69" s="114" t="str">
        <x:v>CTO/Architecture Board</x:v>
      </x:c>
      <x:c r="G69" s="114" t="str">
        <x:v>Product/Legal/CISO/DPO/Engineering</x:v>
      </x:c>
      <x:c r="H69" s="114" t="str">
        <x:v>FND-045:FND-064</x:v>
      </x:c>
      <x:c r="I69" s="114" t="str">
        <x:v>Critical</x:v>
      </x:c>
      <x:c r="J69" s="114" t="str">
        <x:v>Not Started</x:v>
      </x:c>
      <x:c r="K69" s="135" t="n">
        <x:f>IF(J69="Completed",1,IF(J69="Draft Complete",0.8,IF(J69="In Review",0.6,IF(J69="Requires Owner Input",0.3,IF(J69="Blocked",0.1,IF(J69="Deferred",0.2,0))))))</x:f>
        <x:v>0</x:v>
      </x:c>
      <x:c r="L69" s="114" t="n">
        <x:v>2</x:v>
      </x:c>
      <x:c r="M69" s="114" t="str">
        <x:v>Review minutes and actions</x:v>
      </x:c>
      <x:c r="N69" s="114" t="str">
        <x:v>All mandatory objections and conditions are recorded.</x:v>
      </x:c>
      <x:c r="O69" s="114" t="str">
        <x:v>Stage 0-1 Gates</x:v>
      </x:c>
      <x:c r="P69" s="114" t="str">
        <x:v>Stage 1 Gate</x:v>
      </x:c>
      <x:c r="Q69" s="114" t="str">
        <x:v>W2</x:v>
      </x:c>
      <x:c r="R69" s="115" t="str"/>
    </x:row>
    <x:row r="70">
      <x:c r="A70" s="119" t="str">
        <x:v>FND-066</x:v>
      </x:c>
      <x:c r="B70" s="120" t="n">
        <x:v>1</x:v>
      </x:c>
      <x:c r="C70" s="120" t="str">
        <x:v>Gate</x:v>
      </x:c>
      <x:c r="D70" s="120" t="str">
        <x:v>Record Stage 1 decision</x:v>
      </x:c>
      <x:c r="E70" s="120" t="str">
        <x:v>Approve, conditionally approve, hold or reject entry into Stage 2 and Stage 3.</x:v>
      </x:c>
      <x:c r="F70" s="120" t="str">
        <x:v>CTO/Executive Sponsor</x:v>
      </x:c>
      <x:c r="G70" s="120" t="str">
        <x:v>Architecture Board/DPO/CISO/Legal/Product</x:v>
      </x:c>
      <x:c r="H70" s="120" t="str">
        <x:v>FND-065</x:v>
      </x:c>
      <x:c r="I70" s="120" t="str">
        <x:v>Critical</x:v>
      </x:c>
      <x:c r="J70" s="120" t="str">
        <x:v>Not Started</x:v>
      </x:c>
      <x:c r="K70" s="134" t="n">
        <x:f>IF(J70="Completed",1,IF(J70="Draft Complete",0.8,IF(J70="In Review",0.6,IF(J70="Requires Owner Input",0.3,IF(J70="Blocked",0.1,IF(J70="Deferred",0.2,0))))))</x:f>
        <x:v>0</x:v>
      </x:c>
      <x:c r="L70" s="120" t="n">
        <x:v>0.5</x:v>
      </x:c>
      <x:c r="M70" s="120" t="str">
        <x:v>Stage 1 gate decision</x:v>
      </x:c>
      <x:c r="N70" s="120" t="str">
        <x:v>Decision, conditions, owners and due dates are recorded.</x:v>
      </x:c>
      <x:c r="O70" s="120" t="str">
        <x:v>Stage 0-1 Gates</x:v>
      </x:c>
      <x:c r="P70" s="120" t="str">
        <x:v>Stage 1 Gate</x:v>
      </x:c>
      <x:c r="Q70" s="120" t="str">
        <x:v>W2</x:v>
      </x:c>
      <x:c r="R70" s="121" t="str"/>
    </x:row>
    <x:row r="71">
      <x:c r="A71" s="116" t="str">
        <x:v>FND-067</x:v>
      </x:c>
      <x:c r="B71" s="117" t="n">
        <x:v>1</x:v>
      </x:c>
      <x:c r="C71" s="117" t="str">
        <x:v>Handoff</x:v>
      </x:c>
      <x:c r="D71" s="117" t="str">
        <x:v>Issue Stage 2 and Stage 3 execution prompts</x:v>
      </x:c>
      <x:c r="E71" s="117" t="str">
        <x:v>Provide exact prompts and workbook output contracts for ontology and device-agent foundation.</x:v>
      </x:c>
      <x:c r="F71" s="117" t="str">
        <x:v>Programme Lead</x:v>
      </x:c>
      <x:c r="G71" s="117" t="str">
        <x:v>Product/Architecture</x:v>
      </x:c>
      <x:c r="H71" s="117" t="str">
        <x:v>FND-060</x:v>
      </x:c>
      <x:c r="I71" s="117" t="str">
        <x:v>High</x:v>
      </x:c>
      <x:c r="J71" s="117" t="str">
        <x:v>Draft Complete</x:v>
      </x:c>
      <x:c r="K71" s="136" t="n">
        <x:f>IF(J71="Completed",1,IF(J71="Draft Complete",0.8,IF(J71="In Review",0.6,IF(J71="Requires Owner Input",0.3,IF(J71="Blocked",0.1,IF(J71="Deferred",0.2,0))))))</x:f>
        <x:v>0.8</x:v>
      </x:c>
      <x:c r="L71" s="117" t="n">
        <x:v>1</x:v>
      </x:c>
      <x:c r="M71" s="117" t="str">
        <x:v>Stage 2 and 3 prompts</x:v>
      </x:c>
      <x:c r="N71" s="117" t="str">
        <x:v>Prompts contain context, constraints, deliverables, validation and Excel contract.</x:v>
      </x:c>
      <x:c r="O71" s="117" t="str">
        <x:v>Master Prompts sheet</x:v>
      </x:c>
      <x:c r="P71" s="117" t="str">
        <x:v>Stage 1 Gate</x:v>
      </x:c>
      <x:c r="Q71" s="117" t="str">
        <x:v>W2</x:v>
      </x:c>
      <x:c r="R71" s="118" t="str">
        <x:v>Included in this workbook.</x:v>
      </x:c>
    </x:row>
  </x:sheetData>
  <x:mergeCells>
    <x:mergeCell ref="A1:R1"/>
    <x:mergeCell ref="A2:R2"/>
  </x:mergeCells>
  <x:conditionalFormatting sqref="J5:J71">
    <x:cfRule type="expression" dxfId="3" priority="1">
      <x:formula>J5="Completed"</x:formula>
    </x:cfRule>
    <x:cfRule type="expression" dxfId="4" priority="2">
      <x:formula>J5="Draft Complete"</x:formula>
    </x:cfRule>
    <x:cfRule type="expression" dxfId="5" priority="3">
      <x:formula>J5="In Review"</x:formula>
    </x:cfRule>
    <x:cfRule type="expression" dxfId="6" priority="4">
      <x:formula>J5="Requires Owner Input"</x:formula>
    </x:cfRule>
    <x:cfRule type="expression" dxfId="7" priority="5">
      <x:formula>J5="Not Started"</x:formula>
    </x:cfRule>
    <x:cfRule type="expression" dxfId="8" priority="6">
      <x:formula>J5="Blocked"</x:formula>
    </x:cfRule>
  </x:conditionalFormatting>
  <x:dataValidations count="2">
    <x:dataValidation type="list" sqref="I5:I71">
      <x:formula1>"Critical,High,Medium,Low"</x:formula1>
    </x:dataValidation>
    <x:dataValidation type="list" sqref="J5:J71">
      <x:formula1>"Completed,Draft Complete,In Review,Requires Owner Input,Not Started,Blocked,Deferred"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48" hidden="0" customWidth="1"/>
    <x:col min="5" max="5" width="22" hidden="0" customWidth="1"/>
    <x:col min="6" max="6" width="18" hidden="0" customWidth="1"/>
    <x:col min="7" max="7" width="28" hidden="0" customWidth="1"/>
    <x:col min="8" max="8" width="30" hidden="0" customWidth="1"/>
  </x:cols>
  <x:sheetData>
    <x:row r="1" ht="30" customHeight="1">
      <x:c r="A1" s="72" t="str">
        <x:v>Product Charter v1 — HumanOS Work Intelligence</x:v>
      </x:c>
      <x:c r="B1" s="72"/>
      <x:c r="C1" s="72"/>
      <x:c r="D1" s="72"/>
      <x:c r="E1" s="72"/>
      <x:c r="F1" s="72"/>
      <x:c r="G1" s="72"/>
      <x:c r="H1" s="72"/>
    </x:row>
    <x:row r="2" ht="34" customHeight="1">
      <x:c r="A2" s="76" t="str">
        <x:v>Decision-ready Stage 0 charter draft. This defines the strategic intent and mandatory product boundaries; it is not an employment-policy or legal approval.</x:v>
      </x:c>
      <x:c r="B2" s="76"/>
      <x:c r="C2" s="76"/>
      <x:c r="D2" s="76"/>
      <x:c r="E2" s="76"/>
      <x:c r="F2" s="76"/>
      <x:c r="G2" s="76"/>
      <x:c r="H2" s="76"/>
    </x:row>
    <x:row r="4" ht="28" customHeight="1">
      <x:c r="A4" s="88" t="str">
        <x:v>ID</x:v>
      </x:c>
      <x:c r="B4" s="89" t="str">
        <x:v>Charter section</x:v>
      </x:c>
      <x:c r="C4" s="89" t="str">
        <x:v>Draft decision</x:v>
      </x:c>
      <x:c r="D4" s="89" t="str">
        <x:v>Rationale</x:v>
      </x:c>
      <x:c r="E4" s="89" t="str">
        <x:v>Accountable owner</x:v>
      </x:c>
      <x:c r="F4" s="89" t="str">
        <x:v>Status</x:v>
      </x:c>
      <x:c r="G4" s="89" t="str">
        <x:v>Approval evidence</x:v>
      </x:c>
      <x:c r="H4" s="90" t="str">
        <x:v>Metric / note</x:v>
      </x:c>
    </x:row>
    <x:row r="5">
      <x:c r="A5" s="110" t="str">
        <x:v>CHR-001</x:v>
      </x:c>
      <x:c r="B5" s="111" t="str">
        <x:v>Company</x:v>
      </x:c>
      <x:c r="C5" s="111" t="str">
        <x:v>Nessovo</x:v>
      </x:c>
      <x:c r="D5" s="111" t="str">
        <x:v>Canonical company name supplied by the founder.</x:v>
      </x:c>
      <x:c r="E5" s="111" t="str">
        <x:v>CEO</x:v>
      </x:c>
      <x:c r="F5" s="111" t="str">
        <x:v>Confirmed</x:v>
      </x:c>
      <x:c r="G5" s="111" t="str">
        <x:v>User instruction</x:v>
      </x:c>
      <x:c r="H5" s="112" t="str"/>
    </x:row>
    <x:row r="6">
      <x:c r="A6" s="119" t="str">
        <x:v>CHR-002</x:v>
      </x:c>
      <x:c r="B6" s="120" t="str">
        <x:v>Platform</x:v>
      </x:c>
      <x:c r="C6" s="120" t="str">
        <x:v>HumanOS</x:v>
      </x:c>
      <x:c r="D6" s="120" t="str">
        <x:v>Work Intelligence is a HumanOS module, not an isolated workforce-surveillance product.</x:v>
      </x:c>
      <x:c r="E6" s="120" t="str">
        <x:v>CEO/CTO</x:v>
      </x:c>
      <x:c r="F6" s="120" t="str">
        <x:v>Draft Complete</x:v>
      </x:c>
      <x:c r="G6" s="120" t="str">
        <x:v>Leadership approval pending</x:v>
      </x:c>
      <x:c r="H6" s="121" t="str">
        <x:v>Reuse foundation services.</x:v>
      </x:c>
    </x:row>
    <x:row r="7">
      <x:c r="A7" s="113" t="str">
        <x:v>CHR-003</x:v>
      </x:c>
      <x:c r="B7" s="114" t="str">
        <x:v>Working module name</x:v>
      </x:c>
      <x:c r="C7" s="114" t="str">
        <x:v>HumanOS Work Intelligence</x:v>
      </x:c>
      <x:c r="D7" s="114" t="str">
        <x:v>Conveys execution understanding, assurance, development and organisational learning.</x:v>
      </x:c>
      <x:c r="E7" s="114" t="str">
        <x:v>Product</x:v>
      </x:c>
      <x:c r="F7" s="114" t="str">
        <x:v>Draft Complete</x:v>
      </x:c>
      <x:c r="G7" s="114" t="str">
        <x:v>Brand review pending</x:v>
      </x:c>
      <x:c r="H7" s="115" t="str">
        <x:v>Working name only.</x:v>
      </x:c>
    </x:row>
    <x:row r="8">
      <x:c r="A8" s="119" t="str">
        <x:v>CHR-004</x:v>
      </x:c>
      <x:c r="B8" s="120" t="str">
        <x:v>One-sentence definition</x:v>
      </x:c>
      <x:c r="C8" s="120" t="str">
        <x:v>A task-aware human-and-AI work intelligence system that reconstructs material work evidence, assures task outcomes, develops employee capability and improves HumanOS operating skills.</x:v>
      </x:c>
      <x:c r="D8" s="120" t="str">
        <x:v>Product</x:v>
      </x:c>
      <x:c r="E8" s="120" t="str">
        <x:v>Draft Complete</x:v>
      </x:c>
      <x:c r="F8" s="120" t="str">
        <x:v>Charter approval</x:v>
      </x:c>
      <x:c r="G8" s="120" t="str">
        <x:v>Must remain valid across business verticals.</x:v>
      </x:c>
      <x:c r="H8" s="121"/>
    </x:row>
    <x:row r="9">
      <x:c r="A9" s="113" t="str">
        <x:v>CHR-005</x:v>
      </x:c>
      <x:c r="B9" s="114" t="str">
        <x:v>Problem</x:v>
      </x:c>
      <x:c r="C9" s="114" t="str">
        <x:v>Organisations can see outputs and time records but often cannot reliably explain how work was performed, whether required outcomes were met, where blockers occurred, or what capability development is needed.</x:v>
      </x:c>
      <x:c r="D9" s="114" t="str">
        <x:v>Product Strategy</x:v>
      </x:c>
      <x:c r="E9" s="114" t="str">
        <x:v>Draft Complete</x:v>
      </x:c>
      <x:c r="F9" s="114" t="str">
        <x:v>Market validation</x:v>
      </x:c>
      <x:c r="G9" s="114" t="str">
        <x:v>Avoid equating activity with performance.</x:v>
      </x:c>
      <x:c r="H9" s="115"/>
    </x:row>
    <x:row r="10">
      <x:c r="A10" s="119" t="str">
        <x:v>CHR-006</x:v>
      </x:c>
      <x:c r="B10" s="120" t="str">
        <x:v>Vision</x:v>
      </x:c>
      <x:c r="C10" s="120" t="str">
        <x:v>Create an evidence-backed operating layer through which HumanOS helps people and AI perform work more correctly, transparently and progressively.</x:v>
      </x:c>
      <x:c r="D10" s="120" t="str">
        <x:v>CEO</x:v>
      </x:c>
      <x:c r="E10" s="120" t="str">
        <x:v>Draft Complete</x:v>
      </x:c>
      <x:c r="F10" s="120" t="str">
        <x:v>Leadership approval</x:v>
      </x:c>
      <x:c r="G10" s="120" t="str">
        <x:v>Long-term HumanOS fit.</x:v>
      </x:c>
      <x:c r="H10" s="121"/>
    </x:row>
    <x:row r="11">
      <x:c r="A11" s="113" t="str">
        <x:v>CHR-007</x:v>
      </x:c>
      <x:c r="B11" s="114" t="str">
        <x:v>Mission</x:v>
      </x:c>
      <x:c r="C11" s="114" t="str">
        <x:v>Observe approved work, connect it to tasks and outcomes, explain provenance, coach people, verify capability and convert validated learning into reusable HumanOS skills.</x:v>
      </x:c>
      <x:c r="D11" s="114" t="str">
        <x:v>Product</x:v>
      </x:c>
      <x:c r="E11" s="114" t="str">
        <x:v>Draft Complete</x:v>
      </x:c>
      <x:c r="F11" s="114" t="str">
        <x:v>Charter approval</x:v>
      </x:c>
      <x:c r="G11" s="114" t="str"/>
      <x:c r="H11" s="115"/>
    </x:row>
    <x:row r="12">
      <x:c r="A12" s="119" t="str">
        <x:v>CHR-008</x:v>
      </x:c>
      <x:c r="B12" s="120" t="str">
        <x:v>Primary initial user</x:v>
      </x:c>
      <x:c r="C12" s="120" t="str">
        <x:v>AI-assisted software-development employee using company-managed Windows or macOS device.</x:v>
      </x:c>
      <x:c r="D12" s="120" t="str">
        <x:v>Product/CTO</x:v>
      </x:c>
      <x:c r="E12" s="120" t="str">
        <x:v>Draft Complete</x:v>
      </x:c>
      <x:c r="F12" s="120" t="str">
        <x:v>Pilot approval</x:v>
      </x:c>
      <x:c r="G12" s="120" t="str">
        <x:v>Initial vertical only.</x:v>
      </x:c>
      <x:c r="H12" s="121"/>
    </x:row>
    <x:row r="13">
      <x:c r="A13" s="113" t="str">
        <x:v>CHR-009</x:v>
      </x:c>
      <x:c r="B13" s="114" t="str">
        <x:v>Secondary users</x:v>
      </x:c>
      <x:c r="C13" s="114" t="str">
        <x:v>Team leads, technical reviewers, HR/L&amp;D, security/governance, product and architecture teams.</x:v>
      </x:c>
      <x:c r="D13" s="114" t="str">
        <x:v>Product</x:v>
      </x:c>
      <x:c r="E13" s="114" t="str">
        <x:v>Draft Complete</x:v>
      </x:c>
      <x:c r="F13" s="114" t="str">
        <x:v>RACI and access policy</x:v>
      </x:c>
      <x:c r="G13" s="114" t="str">
        <x:v>Each role receives minimum necessary data.</x:v>
      </x:c>
      <x:c r="H13" s="115"/>
    </x:row>
    <x:row r="14">
      <x:c r="A14" s="119" t="str">
        <x:v>CHR-010</x:v>
      </x:c>
      <x:c r="B14" s="120" t="str">
        <x:v>Employee value</x:v>
      </x:c>
      <x:c r="C14" s="120" t="str">
        <x:v>Fair attribution of work and automated waits; faster blocker resolution; transparent evidence; contextual coaching; skill progression; correction and challenge rights.</x:v>
      </x:c>
      <x:c r="D14" s="120" t="str">
        <x:v>HR/Product</x:v>
      </x:c>
      <x:c r="E14" s="120" t="str">
        <x:v>Draft Complete</x:v>
      </x:c>
      <x:c r="F14" s="120" t="str">
        <x:v>Worker consultation</x:v>
      </x:c>
      <x:c r="G14" s="120" t="str">
        <x:v>Pilot must measure employee benefit.</x:v>
      </x:c>
      <x:c r="H14" s="121"/>
    </x:row>
    <x:row r="15">
      <x:c r="A15" s="113" t="str">
        <x:v>CHR-011</x:v>
      </x:c>
      <x:c r="B15" s="114" t="str">
        <x:v>Employer value</x:v>
      </x:c>
      <x:c r="C15" s="114" t="str">
        <x:v>Task completion assurance, quality evidence, blocker analysis, capability visibility, targeted training, safer AI-agent use and reusable organisational knowledge.</x:v>
      </x:c>
      <x:c r="D15" s="114" t="str">
        <x:v>Product/Operations</x:v>
      </x:c>
      <x:c r="E15" s="114" t="str">
        <x:v>Draft Complete</x:v>
      </x:c>
      <x:c r="F15" s="114" t="str">
        <x:v>Leadership review</x:v>
      </x:c>
      <x:c r="G15" s="114" t="str">
        <x:v>Exception-led reporting, not raw firehose.</x:v>
      </x:c>
      <x:c r="H15" s="115"/>
    </x:row>
    <x:row r="16">
      <x:c r="A16" s="119" t="str">
        <x:v>CHR-012</x:v>
      </x:c>
      <x:c r="B16" s="120" t="str">
        <x:v>Strategic differentiator</x:v>
      </x:c>
      <x:c r="C16" s="120" t="str">
        <x:v>Combine universal work evidence, task acceptance criteria, human/AI provenance, capability evidence, adaptive learning and governed self-improvement in one HumanOS operating model.</x:v>
      </x:c>
      <x:c r="D16" s="120" t="str">
        <x:v>CEO/CTO/Product</x:v>
      </x:c>
      <x:c r="E16" s="120" t="str">
        <x:v>Draft Complete</x:v>
      </x:c>
      <x:c r="F16" s="120" t="str">
        <x:v>Market gap review</x:v>
      </x:c>
      <x:c r="G16" s="120" t="str">
        <x:v>Individual components already exist elsewhere.</x:v>
      </x:c>
      <x:c r="H16" s="121"/>
    </x:row>
    <x:row r="17">
      <x:c r="A17" s="113" t="str">
        <x:v>CHR-013</x:v>
      </x:c>
      <x:c r="B17" s="114" t="str">
        <x:v>North-star outcome</x:v>
      </x:c>
      <x:c r="C17" s="114" t="str">
        <x:v>Increase verified, independently completed, high-quality task outcomes while improving employee capability and reducing repeated errors and rework.</x:v>
      </x:c>
      <x:c r="D17" s="114" t="str">
        <x:v>Product</x:v>
      </x:c>
      <x:c r="E17" s="114" t="str">
        <x:v>Draft Complete</x:v>
      </x:c>
      <x:c r="F17" s="114" t="str">
        <x:v>KPI approval</x:v>
      </x:c>
      <x:c r="G17" s="114" t="str">
        <x:v>No single productivity score.</x:v>
      </x:c>
      <x:c r="H17" s="115"/>
    </x:row>
    <x:row r="18">
      <x:c r="A18" s="119" t="str">
        <x:v>CHR-014</x:v>
      </x:c>
      <x:c r="B18" s="120" t="str">
        <x:v>Initial commercial position</x:v>
      </x:c>
      <x:c r="C18" s="120" t="str">
        <x:v>Task execution assurance and capability development; monitoring is an underlying evidence mechanism rather than the headline value.</x:v>
      </x:c>
      <x:c r="D18" s="120" t="str">
        <x:v>CEO/Product</x:v>
      </x:c>
      <x:c r="E18" s="120" t="str">
        <x:v>Draft Complete</x:v>
      </x:c>
      <x:c r="F18" s="120" t="str">
        <x:v>Go-to-market review</x:v>
      </x:c>
      <x:c r="G18" s="120" t="str">
        <x:v>Avoid bossware positioning.</x:v>
      </x:c>
      <x:c r="H18" s="121"/>
    </x:row>
    <x:row r="19">
      <x:c r="A19" s="113" t="str">
        <x:v>CHR-015</x:v>
      </x:c>
      <x:c r="B19" s="114" t="str">
        <x:v>Initial vertical</x:v>
      </x:c>
      <x:c r="C19" s="114" t="str">
        <x:v>Software engineering, QA, DevOps/platform and related AI-assisted technical work.</x:v>
      </x:c>
      <x:c r="D19" s="114" t="str">
        <x:v>CTO/Product</x:v>
      </x:c>
      <x:c r="E19" s="114" t="str">
        <x:v>Draft Complete</x:v>
      </x:c>
      <x:c r="F19" s="114" t="str">
        <x:v>Pilot approval</x:v>
      </x:c>
      <x:c r="G19" s="114" t="str">
        <x:v>Best objective evidence: Git, tests, builds, reviews.</x:v>
      </x:c>
      <x:c r="H19" s="115"/>
    </x:row>
    <x:row r="20">
      <x:c r="A20" s="119" t="str">
        <x:v>CHR-016</x:v>
      </x:c>
      <x:c r="B20" s="120" t="str">
        <x:v>Future vertical model</x:v>
      </x:c>
      <x:c r="C20" s="120" t="str">
        <x:v>Domain-neutral core ontology plus vertical-specific evidence adapters, task templates, evaluators and coaching skills.</x:v>
      </x:c>
      <x:c r="D20" s="120" t="str">
        <x:v>Enterprise Architecture</x:v>
      </x:c>
      <x:c r="E20" s="120" t="str">
        <x:v>Draft Complete</x:v>
      </x:c>
      <x:c r="F20" s="120" t="str">
        <x:v>Architecture board</x:v>
      </x:c>
      <x:c r="G20" s="120" t="str">
        <x:v>Finance, support, design and operations can be added later.</x:v>
      </x:c>
      <x:c r="H20" s="121"/>
    </x:row>
    <x:row r="21">
      <x:c r="A21" s="113" t="str">
        <x:v>CHR-017</x:v>
      </x:c>
      <x:c r="B21" s="114" t="str">
        <x:v>In scope v1</x:v>
      </x:c>
      <x:c r="C21" s="114" t="str">
        <x:v>Task sessions, application/window/process evidence, event-driven visual states, approved text changes, files/Git/terminal, AI-agent hooks, task assurance, employee review and pilot capability evidence.</x:v>
      </x:c>
      <x:c r="D21" s="114" t="str">
        <x:v>Product/CTO</x:v>
      </x:c>
      <x:c r="E21" s="114" t="str">
        <x:v>Draft Complete</x:v>
      </x:c>
      <x:c r="F21" s="114" t="str">
        <x:v>Pilot scope</x:v>
      </x:c>
      <x:c r="G21" s="114" t="str">
        <x:v>Controlled internal pilot.</x:v>
      </x:c>
      <x:c r="H21" s="115"/>
    </x:row>
    <x:row r="22">
      <x:c r="A22" s="119" t="str">
        <x:v>CHR-018</x:v>
      </x:c>
      <x:c r="B22" s="120" t="str">
        <x:v>Out of scope v1</x:v>
      </x:c>
      <x:c r="C22" s="120" t="str">
        <x:v>Audio recording, personal devices, covert mode, global Linux parity, continuous full-motion video, automatic discipline/pay/promotion, broad network payload capture and emotion/personality inference.</x:v>
      </x:c>
      <x:c r="D22" s="120" t="str">
        <x:v>Product/DPO/CISO</x:v>
      </x:c>
      <x:c r="E22" s="120" t="str">
        <x:v>Draft Complete</x:v>
      </x:c>
      <x:c r="F22" s="120" t="str">
        <x:v>Stage 0 approval</x:v>
      </x:c>
      <x:c r="G22" s="120" t="str">
        <x:v>Any future inclusion needs new assessment.</x:v>
      </x:c>
      <x:c r="H22" s="121"/>
    </x:row>
    <x:row r="23">
      <x:c r="A23" s="113" t="str">
        <x:v>CHR-019</x:v>
      </x:c>
      <x:c r="B23" s="114" t="str">
        <x:v>Principle</x:v>
      </x:c>
      <x:c r="C23" s="114" t="str">
        <x:v>Outcome over activity</x:v>
      </x:c>
      <x:c r="D23" s="114" t="str">
        <x:v>Clicks, keystrokes and hours cannot substitute for quality and acceptance-criteria evidence.</x:v>
      </x:c>
      <x:c r="E23" s="114" t="str">
        <x:v>Product</x:v>
      </x:c>
      <x:c r="F23" s="114" t="str">
        <x:v>Draft Complete</x:v>
      </x:c>
      <x:c r="G23" s="114" t="str">
        <x:v>Policy acceptance</x:v>
      </x:c>
      <x:c r="H23" s="115" t="str"/>
    </x:row>
    <x:row r="24">
      <x:c r="A24" s="119" t="str">
        <x:v>CHR-020</x:v>
      </x:c>
      <x:c r="B24" s="120" t="str">
        <x:v>Principle</x:v>
      </x:c>
      <x:c r="C24" s="120" t="str">
        <x:v>Evidence before inference</x:v>
      </x:c>
      <x:c r="D24" s="120" t="str">
        <x:v>Authoritative artefacts and system results outrank screenshots and AI interpretations.</x:v>
      </x:c>
      <x:c r="E24" s="120" t="str">
        <x:v>AI/Data</x:v>
      </x:c>
      <x:c r="F24" s="120" t="str">
        <x:v>Draft Complete</x:v>
      </x:c>
      <x:c r="G24" s="120" t="str">
        <x:v>Evidence hierarchy</x:v>
      </x:c>
      <x:c r="H24" s="121" t="str"/>
    </x:row>
    <x:row r="25">
      <x:c r="A25" s="113" t="str">
        <x:v>CHR-021</x:v>
      </x:c>
      <x:c r="B25" s="114" t="str">
        <x:v>Principle</x:v>
      </x:c>
      <x:c r="C25" s="114" t="str">
        <x:v>Human, AI and automation provenance</x:v>
      </x:c>
      <x:c r="D25" s="114" t="str">
        <x:v>Modern work must distinguish directing, generating, reviewing, rejecting and verifying.</x:v>
      </x:c>
      <x:c r="E25" s="114" t="str">
        <x:v>AI/Architecture</x:v>
      </x:c>
      <x:c r="F25" s="114" t="str">
        <x:v>Draft Complete</x:v>
      </x:c>
      <x:c r="G25" s="114" t="str">
        <x:v>ADR acceptance</x:v>
      </x:c>
      <x:c r="H25" s="115" t="str"/>
    </x:row>
    <x:row r="26">
      <x:c r="A26" s="119" t="str">
        <x:v>CHR-022</x:v>
      </x:c>
      <x:c r="B26" s="120" t="str">
        <x:v>Principle</x:v>
      </x:c>
      <x:c r="C26" s="120" t="str">
        <x:v>Employee visibility and agency</x:v>
      </x:c>
      <x:c r="D26" s="120" t="str">
        <x:v>Employees must know when capture is active, see their evidence and correct context.</x:v>
      </x:c>
      <x:c r="E26" s="120" t="str">
        <x:v>DPO/HR</x:v>
      </x:c>
      <x:c r="F26" s="120" t="str">
        <x:v>Draft Complete</x:v>
      </x:c>
      <x:c r="G26" s="120" t="str">
        <x:v>Worker consultation</x:v>
      </x:c>
      <x:c r="H26" s="121" t="str"/>
    </x:row>
    <x:row r="27">
      <x:c r="A27" s="113" t="str">
        <x:v>CHR-023</x:v>
      </x:c>
      <x:c r="B27" s="114" t="str">
        <x:v>Principle</x:v>
      </x:c>
      <x:c r="C27" s="114" t="str">
        <x:v>Minimum necessary evidence</x:v>
      </x:c>
      <x:c r="D27" s="114" t="str">
        <x:v>Prefer semantic artefacts and event-driven capture over unrestricted content collection.</x:v>
      </x:c>
      <x:c r="E27" s="114" t="str">
        <x:v>DPO/Security</x:v>
      </x:c>
      <x:c r="F27" s="114" t="str">
        <x:v>Draft Complete</x:v>
      </x:c>
      <x:c r="G27" s="114" t="str">
        <x:v>Purpose matrix</x:v>
      </x:c>
      <x:c r="H27" s="115" t="str"/>
    </x:row>
    <x:row r="28">
      <x:c r="A28" s="119" t="str">
        <x:v>CHR-024</x:v>
      </x:c>
      <x:c r="B28" s="120" t="str">
        <x:v>Principle</x:v>
      </x:c>
      <x:c r="C28" s="120" t="str">
        <x:v>Meaningful human review</x:v>
      </x:c>
      <x:c r="D28" s="120" t="str">
        <x:v>AI findings inform but do not make consequential employment decisions.</x:v>
      </x:c>
      <x:c r="E28" s="120" t="str">
        <x:v>HR/Legal</x:v>
      </x:c>
      <x:c r="F28" s="120" t="str">
        <x:v>Draft Complete</x:v>
      </x:c>
      <x:c r="G28" s="120" t="str">
        <x:v>Review policy</x:v>
      </x:c>
      <x:c r="H28" s="121" t="str"/>
    </x:row>
    <x:row r="29">
      <x:c r="A29" s="113" t="str">
        <x:v>CHR-025</x:v>
      </x:c>
      <x:c r="B29" s="114" t="str">
        <x:v>Principle</x:v>
      </x:c>
      <x:c r="C29" s="114" t="str">
        <x:v>Learning, not punishment</x:v>
      </x:c>
      <x:c r="D29" s="114" t="str">
        <x:v>Capability gaps should first lead to explanation, support, training and reassessment unless separate misconduct evidence exists.</x:v>
      </x:c>
      <x:c r="E29" s="114" t="str">
        <x:v>HR/L&amp;D</x:v>
      </x:c>
      <x:c r="F29" s="114" t="str">
        <x:v>Draft Complete</x:v>
      </x:c>
      <x:c r="G29" s="114" t="str">
        <x:v>HR policy</x:v>
      </x:c>
      <x:c r="H29" s="115" t="str"/>
    </x:row>
    <x:row r="30">
      <x:c r="A30" s="119" t="str">
        <x:v>CHR-026</x:v>
      </x:c>
      <x:c r="B30" s="120" t="str">
        <x:v>Principle</x:v>
      </x:c>
      <x:c r="C30" s="120" t="str">
        <x:v>Self-improvement under governance</x:v>
      </x:c>
      <x:c r="D30" s="120" t="str">
        <x:v>HumanOS skills may improve only through evidence, evaluation, approval, canary deployment and rollback.</x:v>
      </x:c>
      <x:c r="E30" s="120" t="str">
        <x:v>AI Platform</x:v>
      </x:c>
      <x:c r="F30" s="120" t="str">
        <x:v>Draft Complete</x:v>
      </x:c>
      <x:c r="G30" s="120" t="str">
        <x:v>Skill lifecycle policy</x:v>
      </x:c>
      <x:c r="H30" s="121" t="str"/>
    </x:row>
    <x:row r="31">
      <x:c r="A31" s="113" t="str">
        <x:v>CHR-027</x:v>
      </x:c>
      <x:c r="B31" s="114" t="str">
        <x:v>Pilot success</x:v>
      </x:c>
      <x:c r="C31" s="114" t="str">
        <x:v>Demonstrate accurate task attribution and provenance, useful coaching, manager usefulness, employee trust, secure capture and acceptable endpoint overhead.</x:v>
      </x:c>
      <x:c r="D31" s="114" t="str">
        <x:v>Programme Lead</x:v>
      </x:c>
      <x:c r="E31" s="114" t="str">
        <x:v>Draft Complete</x:v>
      </x:c>
      <x:c r="F31" s="114" t="str">
        <x:v>Pilot Definition</x:v>
      </x:c>
      <x:c r="G31" s="114" t="str">
        <x:v>Measured through pilot KPIs.</x:v>
      </x:c>
      <x:c r="H31" s="115"/>
    </x:row>
    <x:row r="32">
      <x:c r="A32" s="119" t="str">
        <x:v>CHR-028</x:v>
      </x:c>
      <x:c r="B32" s="120" t="str">
        <x:v>Pilot failure/hold</x:v>
      </x:c>
      <x:c r="C32" s="120" t="str">
        <x:v>Hold when secrets are captured, legal basis is unresolved, false conclusions are excessive, employee rights are not operational, endpoint impact is unacceptable or coaching has no measurable value.</x:v>
      </x:c>
      <x:c r="D32" s="120" t="str">
        <x:v>Executive Sponsor</x:v>
      </x:c>
      <x:c r="E32" s="120" t="str">
        <x:v>Draft Complete</x:v>
      </x:c>
      <x:c r="F32" s="120" t="str">
        <x:v>Stage 0 gate</x:v>
      </x:c>
      <x:c r="G32" s="120" t="str">
        <x:v>Immediate stop authority required.</x:v>
      </x:c>
      <x:c r="H32" s="121"/>
    </x:row>
    <x:row r="33">
      <x:c r="A33" s="113" t="str">
        <x:v>CHR-029</x:v>
      </x:c>
      <x:c r="B33" s="114" t="str">
        <x:v>Consequential-decision boundary</x:v>
      </x:c>
      <x:c r="C33" s="114" t="str">
        <x:v>No pilot output may independently determine dismissal, discipline, promotion, pay or probation.</x:v>
      </x:c>
      <x:c r="D33" s="114" t="str">
        <x:v>HR/Legal</x:v>
      </x:c>
      <x:c r="E33" s="114" t="str">
        <x:v>Draft Complete</x:v>
      </x:c>
      <x:c r="F33" s="114" t="str">
        <x:v>Stage 0 approval</x:v>
      </x:c>
      <x:c r="G33" s="114" t="str">
        <x:v>Human review plus other evidence required.</x:v>
      </x:c>
      <x:c r="H33" s="115"/>
    </x:row>
    <x:row r="34">
      <x:c r="A34" s="119" t="str">
        <x:v>CHR-030</x:v>
      </x:c>
      <x:c r="B34" s="120" t="str">
        <x:v>Ownership of evidence</x:v>
      </x:c>
      <x:c r="C34" s="120" t="str">
        <x:v>Nessovo is controller for approved workplace processing; access is purpose-limited, employee-visible and audited. Exact legal roles require counsel confirmation.</x:v>
      </x:c>
      <x:c r="D34" s="120" t="str">
        <x:v>DPO/Legal</x:v>
      </x:c>
      <x:c r="E34" s="120" t="str">
        <x:v>Draft Complete</x:v>
      </x:c>
      <x:c r="F34" s="120" t="str">
        <x:v>Legal review pending</x:v>
      </x:c>
      <x:c r="G34" s="120" t="str">
        <x:v>Do not treat acknowledgement alone as lawful basis.</x:v>
      </x:c>
      <x:c r="H34" s="121"/>
    </x:row>
    <x:row r="35">
      <x:c r="A35" s="113" t="str">
        <x:v>CHR-031</x:v>
      </x:c>
      <x:c r="B35" s="114" t="str">
        <x:v>Data location</x:v>
      </x:c>
      <x:c r="C35" s="114" t="str">
        <x:v>Prefer edge processing and regional storage; cross-border flows require explicit mapping and legal assessment.</x:v>
      </x:c>
      <x:c r="D35" s="114" t="str">
        <x:v>DPO/Security</x:v>
      </x:c>
      <x:c r="E35" s="114" t="str">
        <x:v>Draft Complete</x:v>
      </x:c>
      <x:c r="F35" s="114" t="str">
        <x:v>Architecture/legal approval</x:v>
      </x:c>
      <x:c r="G35" s="114" t="str"/>
      <x:c r="H35" s="115"/>
    </x:row>
    <x:row r="36">
      <x:c r="A36" s="119" t="str">
        <x:v>CHR-032</x:v>
      </x:c>
      <x:c r="B36" s="120" t="str">
        <x:v>Release model</x:v>
      </x:c>
      <x:c r="C36" s="120" t="str">
        <x:v>Internal controlled pilot → limited production → vertical expansion only after evidence and governance gates.</x:v>
      </x:c>
      <x:c r="D36" s="120" t="str">
        <x:v>CEO/CTO</x:v>
      </x:c>
      <x:c r="E36" s="120" t="str">
        <x:v>Draft Complete</x:v>
      </x:c>
      <x:c r="F36" s="120" t="str">
        <x:v>Programme governance</x:v>
      </x:c>
      <x:c r="G36" s="120" t="str">
        <x:v>No broad rollout from prototype.</x:v>
      </x:c>
      <x:c r="H36" s="121"/>
    </x:row>
    <x:row r="37">
      <x:c r="A37" s="116" t="str">
        <x:v>CHR-033</x:v>
      </x:c>
      <x:c r="B37" s="117" t="str">
        <x:v>Decision status</x:v>
      </x:c>
      <x:c r="C37" s="117" t="str">
        <x:v>Foundation package is drafted; Stage 0 and Stage 1 remain formally unapproved until recorded in the gate register.</x:v>
      </x:c>
      <x:c r="D37" s="117" t="str">
        <x:v>Programme Lead</x:v>
      </x:c>
      <x:c r="E37" s="117" t="str">
        <x:v>Confirmed</x:v>
      </x:c>
      <x:c r="F37" s="117" t="str">
        <x:v>Stage 0-1 Gates</x:v>
      </x:c>
      <x:c r="G37" s="117" t="str">
        <x:v>Honesty control.</x:v>
      </x:c>
      <x:c r="H37" s="118"/>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38" hidden="0" customWidth="1"/>
    <x:col min="4" max="4" width="24" hidden="0" customWidth="1"/>
    <x:col min="5" max="5" width="38" hidden="0" customWidth="1"/>
    <x:col min="6" max="6" width="32" hidden="0" customWidth="1"/>
    <x:col min="7" max="7" width="42" hidden="0" customWidth="1"/>
    <x:col min="8" max="8" width="36" hidden="0" customWidth="1"/>
    <x:col min="9" max="9" width="38" hidden="0" customWidth="1"/>
    <x:col min="10" max="10" width="24" hidden="0" customWidth="1"/>
    <x:col min="11" max="11" width="28" hidden="0" customWidth="1"/>
    <x:col min="12" max="12" width="30" hidden="0" customWidth="1"/>
    <x:col min="13" max="13" width="20" hidden="0" customWidth="1"/>
    <x:col min="14" max="14" width="34" hidden="0" customWidth="1"/>
  </x:cols>
  <x:sheetData>
    <x:row r="1" ht="30" customHeight="1">
      <x:c r="A1" s="72" t="str">
        <x:v>Purpose Policy Matrix</x:v>
      </x:c>
      <x:c r="B1" s="72"/>
      <x:c r="C1" s="72"/>
      <x:c r="D1" s="72"/>
      <x:c r="E1" s="72"/>
      <x:c r="F1" s="72"/>
      <x:c r="G1" s="72"/>
      <x:c r="H1" s="72"/>
      <x:c r="I1" s="72"/>
      <x:c r="J1" s="72"/>
      <x:c r="K1" s="72"/>
      <x:c r="L1" s="72"/>
      <x:c r="M1" s="72"/>
      <x:c r="N1" s="72"/>
    </x:row>
    <x:row r="2" ht="34" customHeight="1">
      <x:c r="A2" s="76" t="str">
        <x:v>Stage 0 data-governance draft. Each category must have a specific approved purpose, necessity test, minimisation rule, access boundary and retention decision before collection begins.</x:v>
      </x:c>
      <x:c r="B2" s="76"/>
      <x:c r="C2" s="76"/>
      <x:c r="D2" s="76"/>
      <x:c r="E2" s="76"/>
      <x:c r="F2" s="76"/>
      <x:c r="G2" s="76"/>
      <x:c r="H2" s="76"/>
      <x:c r="I2" s="76"/>
      <x:c r="J2" s="76"/>
      <x:c r="K2" s="76"/>
      <x:c r="L2" s="76"/>
      <x:c r="M2" s="76"/>
      <x:c r="N2" s="76"/>
    </x:row>
    <x:row r="4" ht="28" customHeight="1">
      <x:c r="A4" s="88" t="str">
        <x:v>ID</x:v>
      </x:c>
      <x:c r="B4" s="89" t="str">
        <x:v>Data / activity category</x:v>
      </x:c>
      <x:c r="C4" s="89" t="str">
        <x:v>Approved purpose</x:v>
      </x:c>
      <x:c r="D4" s="89" t="str">
        <x:v>Task scope</x:v>
      </x:c>
      <x:c r="E4" s="89" t="str">
        <x:v>Necessity rationale</x:v>
      </x:c>
      <x:c r="F4" s="89" t="str">
        <x:v>Less-intrusive alternative</x:v>
      </x:c>
      <x:c r="G4" s="89" t="str">
        <x:v>Minimisation / edge control</x:v>
      </x:c>
      <x:c r="H4" s="89" t="str">
        <x:v>Allowed uses</x:v>
      </x:c>
      <x:c r="I4" s="89" t="str">
        <x:v>Prohibited uses</x:v>
      </x:c>
      <x:c r="J4" s="89" t="str">
        <x:v>Default retention proposal</x:v>
      </x:c>
      <x:c r="K4" s="89" t="str">
        <x:v>Employee visibility</x:v>
      </x:c>
      <x:c r="L4" s="89" t="str">
        <x:v>Permitted access roles</x:v>
      </x:c>
      <x:c r="M4" s="89" t="str">
        <x:v>Pilot decision</x:v>
      </x:c>
      <x:c r="N4" s="90" t="str">
        <x:v>Source / approval need</x:v>
      </x:c>
    </x:row>
    <x:row r="5">
      <x:c r="A5" s="110" t="str">
        <x:v>PPM-001</x:v>
      </x:c>
      <x:c r="B5" s="111" t="str">
        <x:v>Device and session identity</x:v>
      </x:c>
      <x:c r="C5" s="111" t="str">
        <x:v>Authenticate managed device, person and approved work session.</x:v>
      </x:c>
      <x:c r="D5" s="111" t="str">
        <x:v>Working day / selected task</x:v>
      </x:c>
      <x:c r="E5" s="111" t="str">
        <x:v>Required to bind evidence to a legitimate session and policy.</x:v>
      </x:c>
      <x:c r="F5" s="111" t="str">
        <x:v>Manual timesheet alone cannot establish trusted device or policy state.</x:v>
      </x:c>
      <x:c r="G5" s="111" t="str">
        <x:v>Pseudonymous internal IDs in event payload; direct identity resolved through HumanOS IAM.</x:v>
      </x:c>
      <x:c r="H5" s="111" t="str">
        <x:v>Session control, evidence integrity, audit.</x:v>
      </x:c>
      <x:c r="I5" s="111" t="str">
        <x:v>Tracking personal devices or out-of-scope hours.</x:v>
      </x:c>
      <x:c r="J5" s="111" t="str">
        <x:v>Session metadata: 24 months; review during DPIA.</x:v>
      </x:c>
      <x:c r="K5" s="111" t="str">
        <x:v>Always visible in employee timeline.</x:v>
      </x:c>
      <x:c r="L5" s="111" t="str">
        <x:v>Employee, direct manager summary, governance, security.</x:v>
      </x:c>
      <x:c r="M5" s="111" t="str">
        <x:v>Include</x:v>
      </x:c>
      <x:c r="N5" s="112" t="str">
        <x:v>HumanOS IAM / DPO approval</x:v>
      </x:c>
    </x:row>
    <x:row r="6">
      <x:c r="A6" s="119" t="str">
        <x:v>PPM-002</x:v>
      </x:c>
      <x:c r="B6" s="120" t="str">
        <x:v>Application and window metadata</x:v>
      </x:c>
      <x:c r="C6" s="120" t="str">
        <x:v>Understand work context, task switching and relevant tool use.</x:v>
      </x:c>
      <x:c r="D6" s="120" t="str">
        <x:v>Active approved session</x:v>
      </x:c>
      <x:c r="E6" s="120" t="str">
        <x:v>Lower-intrusion context signal that reduces dependence on screenshots.</x:v>
      </x:c>
      <x:c r="F6" s="120" t="str">
        <x:v>Self-declared task switching; file/Git evidence only.</x:v>
      </x:c>
      <x:c r="G6" s="120" t="str">
        <x:v>Capture process/app ID and approved title fields; redact titles by policy.</x:v>
      </x:c>
      <x:c r="H6" s="120" t="str">
        <x:v>Task alignment, blocker explanation, tool support.</x:v>
      </x:c>
      <x:c r="I6" s="120" t="str">
        <x:v>Productivity ranking by app name alone; personal-app profiling.</x:v>
      </x:c>
      <x:c r="J6" s="120" t="str">
        <x:v>Derived episodes 12 months; raw events 30–90 days pilot.</x:v>
      </x:c>
      <x:c r="K6" s="120" t="str">
        <x:v>Visible to employee; manager sees episodes by default.</x:v>
      </x:c>
      <x:c r="L6" s="120" t="str">
        <x:v>Employee, task reviewer, governance; raw title access restricted.</x:v>
      </x:c>
      <x:c r="M6" s="120" t="str">
        <x:v>Include</x:v>
      </x:c>
      <x:c r="N6" s="121" t="str">
        <x:v>ActivityWatch pattern / DPIA</x:v>
      </x:c>
    </x:row>
    <x:row r="7">
      <x:c r="A7" s="113" t="str">
        <x:v>PPM-003</x:v>
      </x:c>
      <x:c r="B7" s="114" t="str">
        <x:v>Browser tab, title, domain and approved URL</x:v>
      </x:c>
      <x:c r="C7" s="114" t="str">
        <x:v>Classify documentation, testing, project tools and task-related research.</x:v>
      </x:c>
      <x:c r="D7" s="114" t="str">
        <x:v>Approved browser profiles during session</x:v>
      </x:c>
      <x:c r="E7" s="114" t="str">
        <x:v>Browser context can explain research and web-based work.</x:v>
      </x:c>
      <x:c r="F7" s="114" t="str">
        <x:v>Domain only; browser extension task bookmarks.</x:v>
      </x:c>
      <x:c r="G7" s="114" t="str">
        <x:v>Default domain/title; URL path/query captured only for allowlisted systems.</x:v>
      </x:c>
      <x:c r="H7" s="114" t="str">
        <x:v>Task support classification, evidence links, browser workflow coaching.</x:v>
      </x:c>
      <x:c r="I7" s="114" t="str">
        <x:v>Personal browsing content, health/financial/political profiling.</x:v>
      </x:c>
      <x:c r="J7" s="114" t="str">
        <x:v>Raw 30 days; derived classification 12 months.</x:v>
      </x:c>
      <x:c r="K7" s="114" t="str">
        <x:v>Full own timeline; managers receive domain/category unless investigation approved.</x:v>
      </x:c>
      <x:c r="L7" s="114" t="str">
        <x:v>Employee, task reviewer, governance.</x:v>
      </x:c>
      <x:c r="M7" s="114" t="str">
        <x:v>Conditional include</x:v>
      </x:c>
      <x:c r="N7" s="115" t="str">
        <x:v>Chrome extension permissions / DPO review</x:v>
      </x:c>
    </x:row>
    <x:row r="8">
      <x:c r="A8" s="119" t="str">
        <x:v>PPM-004</x:v>
      </x:c>
      <x:c r="B8" s="120" t="str">
        <x:v>Event-driven screenshots / visual states</x:v>
      </x:c>
      <x:c r="C8" s="120" t="str">
        <x:v>Reconstruct material screen transitions, errors and context where semantic events are insufficient.</x:v>
      </x:c>
      <x:c r="D8" s="120" t="str">
        <x:v>Approved apps and monitors during task session</x:v>
      </x:c>
      <x:c r="E8" s="120" t="str">
        <x:v>Provides evidence for otherwise opaque desktop tools, but is highly intrusive.</x:v>
      </x:c>
      <x:c r="F8" s="120" t="str">
        <x:v>Accessibility tree, structured app/terminal/file events.</x:v>
      </x:c>
      <x:c r="G8" s="120" t="str">
        <x:v>Capture only on material change; deduplicate; changed regions; exclude apps/monitors; local redaction.</x:v>
      </x:c>
      <x:c r="H8" s="120" t="str">
        <x:v>Evidence replay, error diagnosis, dispute resolution, coaching with confidence.</x:v>
      </x:c>
      <x:c r="I8" s="120" t="str">
        <x:v>Continuous manager live viewing; personal-content browsing; facial/emotion analysis.</x:v>
      </x:c>
      <x:c r="J8" s="120" t="str">
        <x:v>Raw pilot default 7–30 days; derived thumbnails/links longer only when justified.</x:v>
      </x:c>
      <x:c r="K8" s="120" t="str">
        <x:v>Employee can view all retained screenshots.</x:v>
      </x:c>
      <x:c r="L8" s="120" t="str">
        <x:v>Employee; authorised reviewer on task; governance/security by purpose code.</x:v>
      </x:c>
      <x:c r="M8" s="120" t="str">
        <x:v>Conditional include</x:v>
      </x:c>
      <x:c r="N8" s="121" t="str">
        <x:v>Screenpipe/OpenAdapt patterns; DPIA mandatory</x:v>
      </x:c>
    </x:row>
    <x:row r="9">
      <x:c r="A9" s="113" t="str">
        <x:v>PPM-005</x:v>
      </x:c>
      <x:c r="B9" s="114" t="str">
        <x:v>Mouse clicks, scrolls and coordinates</x:v>
      </x:c>
      <x:c r="C9" s="114" t="str">
        <x:v>Connect action edges between visual/UI states and identify user-initiated transitions.</x:v>
      </x:c>
      <x:c r="D9" s="114" t="str">
        <x:v>Approved session</x:v>
      </x:c>
      <x:c r="E9" s="114" t="str">
        <x:v>Useful for reconstructing action sequence; volume is not evidence of productivity.</x:v>
      </x:c>
      <x:c r="F9" s="114" t="str">
        <x:v>Accessibility/control events and app semantic events.</x:v>
      </x:c>
      <x:c r="G9" s="114" t="str">
        <x:v>Event type, coordinates/control only; no raw movement path unless needed for UX research.</x:v>
      </x:c>
      <x:c r="H9" s="114" t="str">
        <x:v>Causal timeline, workflow reconstruction, accessibility debugging.</x:v>
      </x:c>
      <x:c r="I9" s="114" t="str">
        <x:v>Click-rate scoring, behavioural/personality inference.</x:v>
      </x:c>
      <x:c r="J9" s="114" t="str">
        <x:v>Raw 30 days; aggregated episode facts 12 months.</x:v>
      </x:c>
      <x:c r="K9" s="114" t="str">
        <x:v>Visible in own event detail.</x:v>
      </x:c>
      <x:c r="L9" s="114" t="str">
        <x:v>Employee, authorised technical reviewer.</x:v>
      </x:c>
      <x:c r="M9" s="114" t="str">
        <x:v>Include metadata</x:v>
      </x:c>
      <x:c r="N9" s="115" t="str">
        <x:v>UiPath/OpenAdapt patterns / policy approval</x:v>
      </x:c>
    </x:row>
    <x:row r="10">
      <x:c r="A10" s="119" t="str">
        <x:v>PPM-006</x:v>
      </x:c>
      <x:c r="B10" s="120" t="str">
        <x:v>Keyboard event metadata</x:v>
      </x:c>
      <x:c r="C10" s="120" t="str">
        <x:v>Distinguish active human input, shortcuts, paste, automation and idle states.</x:v>
      </x:c>
      <x:c r="D10" s="120" t="str">
        <x:v>Approved non-secure controls</x:v>
      </x:c>
      <x:c r="E10" s="120" t="str">
        <x:v>Required for provenance, but raw keys are highly intrusive.</x:v>
      </x:c>
      <x:c r="F10" s="120" t="str">
        <x:v>Resulting text deltas, IDE/file events, command history.</x:v>
      </x:c>
      <x:c r="G10" s="120" t="str">
        <x:v>Block secure fields; collect categories and timing by default; raw key values only for specifically approved controls.</x:v>
      </x:c>
      <x:c r="H10" s="120" t="str">
        <x:v>Human/automation attribution, shortcut/paste classification, task reconstruction.</x:v>
      </x:c>
      <x:c r="I10" s="120" t="str">
        <x:v>Key-volume productivity scoring; password/authentication-code capture; personal message capture.</x:v>
      </x:c>
      <x:c r="J10" s="120" t="str">
        <x:v>Raw values shortest possible, proposed 7 days or less; metadata 30 days.</x:v>
      </x:c>
      <x:c r="K10" s="120" t="str">
        <x:v>Employee access; explicit indicator and policy.</x:v>
      </x:c>
      <x:c r="L10" s="120" t="str">
        <x:v>Employee; restricted reviewer under purpose code.</x:v>
      </x:c>
      <x:c r="M10" s="120" t="str">
        <x:v>Conditional, narrow</x:v>
      </x:c>
      <x:c r="N10" s="121" t="str">
        <x:v>ICO identifies keystroke monitoring as high risk</x:v>
      </x:c>
    </x:row>
    <x:row r="11">
      <x:c r="A11" s="113" t="str">
        <x:v>PPM-007</x:v>
      </x:c>
      <x:c r="B11" s="114" t="str">
        <x:v>Resulting text changes</x:v>
      </x:c>
      <x:c r="C11" s="114" t="str">
        <x:v>Understand what text/code was actually inserted, deleted, pasted or generated.</x:v>
      </x:c>
      <x:c r="D11" s="114" t="str">
        <x:v>Allowlisted work controls/files</x:v>
      </x:c>
      <x:c r="E11" s="114" t="str">
        <x:v>More accurate than raw keylogging and necessary for task/quality evaluation in supported tools.</x:v>
      </x:c>
      <x:c r="F11" s="114" t="str">
        <x:v>Git/file diffs; app-level change APIs.</x:v>
      </x:c>
      <x:c r="G11" s="114" t="str">
        <x:v>Capture text deltas only in allowlisted work surfaces; encrypt separately; redact secrets locally.</x:v>
      </x:c>
      <x:c r="H11" s="114" t="str">
        <x:v>Task evidence, quality checks, AI/human attribution, coaching.</x:v>
      </x:c>
      <x:c r="I11" s="114" t="str">
        <x:v>Personal communications; unrestricted cross-application text archive.</x:v>
      </x:c>
      <x:c r="J11" s="114" t="str">
        <x:v>Raw content 7–30 days pilot; authoritative artefact governed by source system.</x:v>
      </x:c>
      <x:c r="K11" s="114" t="str">
        <x:v>Employee sees captured deltas and source.</x:v>
      </x:c>
      <x:c r="L11" s="114" t="str">
        <x:v>Employee, authorised domain reviewer; manager gets summary by default.</x:v>
      </x:c>
      <x:c r="M11" s="114" t="str">
        <x:v>Conditional include</x:v>
      </x:c>
      <x:c r="N11" s="115" t="str">
        <x:v>Secure-field and DLP validation required</x:v>
      </x:c>
    </x:row>
    <x:row r="12">
      <x:c r="A12" s="119" t="str">
        <x:v>PPM-008</x:v>
      </x:c>
      <x:c r="B12" s="120" t="str">
        <x:v>Clipboard events/content</x:v>
      </x:c>
      <x:c r="C12" s="120" t="str">
        <x:v>Distinguish paste from typing and identify transfer of task material.</x:v>
      </x:c>
      <x:c r="D12" s="120" t="str">
        <x:v>Allowlisted work apps</x:v>
      </x:c>
      <x:c r="E12" s="120" t="str">
        <x:v>Event metadata supports provenance; content is rarely necessary.</x:v>
      </x:c>
      <x:c r="F12" s="120" t="str">
        <x:v>Paste shortcut plus resulting text delta.</x:v>
      </x:c>
      <x:c r="G12" s="120" t="str">
        <x:v>Capture paste event, source/target app category; content off by default.</x:v>
      </x:c>
      <x:c r="H12" s="120" t="str">
        <x:v>Provenance and data-loss controls when separately authorised.</x:v>
      </x:c>
      <x:c r="I12" s="120" t="str">
        <x:v>Routine clipboard-content collection; secrets or personal content.</x:v>
      </x:c>
      <x:c r="J12" s="120" t="str">
        <x:v>Event metadata 30 days; content none by default.</x:v>
      </x:c>
      <x:c r="K12" s="120" t="str">
        <x:v>Visible in event timeline.</x:v>
      </x:c>
      <x:c r="L12" s="120" t="str">
        <x:v>Employee; security only under separate policy.</x:v>
      </x:c>
      <x:c r="M12" s="120" t="str">
        <x:v>Metadata only</x:v>
      </x:c>
      <x:c r="N12" s="121" t="str">
        <x:v>DPO/CISO approval required for content</x:v>
      </x:c>
    </x:row>
    <x:row r="13">
      <x:c r="A13" s="113" t="str">
        <x:v>PPM-009</x:v>
      </x:c>
      <x:c r="B13" s="114" t="str">
        <x:v>Files, repository and Git changes</x:v>
      </x:c>
      <x:c r="C13" s="114" t="str">
        <x:v>Establish authoritative work artefacts and code-change provenance.</x:v>
      </x:c>
      <x:c r="D13" s="114" t="str">
        <x:v>Approved project folders/repos</x:v>
      </x:c>
      <x:c r="E13" s="114" t="str">
        <x:v>High-value, relatively targeted evidence for technical tasks.</x:v>
      </x:c>
      <x:c r="F13" s="114" t="str">
        <x:v>Manual employee evidence submission.</x:v>
      </x:c>
      <x:c r="G13" s="114" t="str">
        <x:v>Approved roots only; store hashes/diffs/metadata according to project classification.</x:v>
      </x:c>
      <x:c r="H13" s="114" t="str">
        <x:v>Task completion, quality, review, capability evidence.</x:v>
      </x:c>
      <x:c r="I13" s="114" t="str">
        <x:v>Accessing unrelated personal folders; treating line count as productivity.</x:v>
      </x:c>
      <x:c r="J13" s="114" t="str">
        <x:v>Follow project retention; event metadata 24 months.</x:v>
      </x:c>
      <x:c r="K13" s="114" t="str">
        <x:v>Employee sees all linked artefacts.</x:v>
      </x:c>
      <x:c r="L13" s="114" t="str">
        <x:v>Employee, project reviewers, authorised managers.</x:v>
      </x:c>
      <x:c r="M13" s="114" t="str">
        <x:v>Include</x:v>
      </x:c>
      <x:c r="N13" s="115" t="str">
        <x:v>Git/source systems are preferred evidence</x:v>
      </x:c>
    </x:row>
    <x:row r="14">
      <x:c r="A14" s="119" t="str">
        <x:v>PPM-010</x:v>
      </x:c>
      <x:c r="B14" s="120" t="str">
        <x:v>Terminal commands, process tree and outputs</x:v>
      </x:c>
      <x:c r="C14" s="120" t="str">
        <x:v>Explain builds, tests, scripts, AI-agent actions, failures and automated waits.</x:v>
      </x:c>
      <x:c r="D14" s="120" t="str">
        <x:v>Approved shells/workspaces</x:v>
      </x:c>
      <x:c r="E14" s="120" t="str">
        <x:v>Necessary to distinguish user work from computer execution and verify results.</x:v>
      </x:c>
      <x:c r="F14" s="120" t="str">
        <x:v>Process start/exit metadata only; test/CI results.</x:v>
      </x:c>
      <x:c r="G14" s="120" t="str">
        <x:v>Capture command and selected output in approved work contexts; redact environment variables/secrets.</x:v>
      </x:c>
      <x:c r="H14" s="120" t="str">
        <x:v>Task evidence, debugging, automated-wait classification, coaching.</x:v>
      </x:c>
      <x:c r="I14" s="120" t="str">
        <x:v>Capturing unrelated shell history or secrets; command-count scoring.</x:v>
      </x:c>
      <x:c r="J14" s="120" t="str">
        <x:v>Raw output 30 days; verified result 12–24 months.</x:v>
      </x:c>
      <x:c r="K14" s="120" t="str">
        <x:v>Employee access to command timeline.</x:v>
      </x:c>
      <x:c r="L14" s="120" t="str">
        <x:v>Employee, technical reviewer, security under purpose.</x:v>
      </x:c>
      <x:c r="M14" s="120" t="str">
        <x:v>Include with redaction</x:v>
      </x:c>
      <x:c r="N14" s="121" t="str">
        <x:v>Shell integration / DLP testing</x:v>
      </x:c>
    </x:row>
    <x:row r="15">
      <x:c r="A15" s="113" t="str">
        <x:v>PPM-011</x:v>
      </x:c>
      <x:c r="B15" s="114" t="str">
        <x:v>AI-agent prompts, tool calls and generated changes</x:v>
      </x:c>
      <x:c r="C15" s="114" t="str">
        <x:v>Attribute human direction, agent actions, tool execution and review decisions.</x:v>
      </x:c>
      <x:c r="D15" s="114" t="str">
        <x:v>Approved AI tools and task sessions</x:v>
      </x:c>
      <x:c r="E15" s="114" t="str">
        <x:v>Core differentiator for human–AI work understanding.</x:v>
      </x:c>
      <x:c r="F15" s="114" t="str">
        <x:v>File/process changes alone, which lose intent and agent causality.</x:v>
      </x:c>
      <x:c r="G15" s="114" t="str">
        <x:v>Use official hooks; content policy and secret scanning; separate operational traces from evidence.</x:v>
      </x:c>
      <x:c r="H15" s="114" t="str">
        <x:v>AI supervision coaching, provenance, task assurance, prompt improvement.</x:v>
      </x:c>
      <x:c r="I15" s="114" t="str">
        <x:v>Ranking employees by prompt count; unrestricted model-content logging.</x:v>
      </x:c>
      <x:c r="J15" s="114" t="str">
        <x:v>Prompt/tool evidence 30–90 days; derived skill observations 12 months.</x:v>
      </x:c>
      <x:c r="K15" s="114" t="str">
        <x:v>Employee sees own agent sessions and assessments.</x:v>
      </x:c>
      <x:c r="L15" s="114" t="str">
        <x:v>Employee, technical reviewer, AI governance.</x:v>
      </x:c>
      <x:c r="M15" s="114" t="str">
        <x:v>Include</x:v>
      </x:c>
      <x:c r="N15" s="115" t="str">
        <x:v>Codex hooks / Claude hooks / OTel GenAI sensitivity warning</x:v>
      </x:c>
    </x:row>
    <x:row r="16">
      <x:c r="A16" s="119" t="str">
        <x:v>PPM-012</x:v>
      </x:c>
      <x:c r="B16" s="120" t="str">
        <x:v>Idle and return events</x:v>
      </x:c>
      <x:c r="C16" s="120" t="str">
        <x:v>Distinguish absence from active work and automated execution wait.</x:v>
      </x:c>
      <x:c r="D16" s="120" t="str">
        <x:v>Approved working session</x:v>
      </x:c>
      <x:c r="E16" s="120" t="str">
        <x:v>Needed for time allocation, but must be contextual.</x:v>
      </x:c>
      <x:c r="F16" s="120" t="str">
        <x:v>Self-reported breaks; app/process state only.</x:v>
      </x:c>
      <x:c r="G16" s="120" t="str">
        <x:v>Threshold-based metadata; no assumption of poor performance; check builds/agents/meetings first.</x:v>
      </x:c>
      <x:c r="H16" s="120" t="str">
        <x:v>Session integrity, break reminders, automated-wait classification.</x:v>
      </x:c>
      <x:c r="I16" s="120" t="str">
        <x:v>Automatic misconduct conclusion; disability/accommodation inference.</x:v>
      </x:c>
      <x:c r="J16" s="120" t="str">
        <x:v>Raw 90 days; derived time allocation 12 months.</x:v>
      </x:c>
      <x:c r="K16" s="120" t="str">
        <x:v>Employee sees and can correct classification.</x:v>
      </x:c>
      <x:c r="L16" s="120" t="str">
        <x:v>Employee, manager summary, governance.</x:v>
      </x:c>
      <x:c r="M16" s="120" t="str">
        <x:v>Include</x:v>
      </x:c>
      <x:c r="N16" s="121" t="str">
        <x:v>ActivityWatch pattern / fairness requirement</x:v>
      </x:c>
    </x:row>
    <x:row r="17">
      <x:c r="A17" s="113" t="str">
        <x:v>PPM-013</x:v>
      </x:c>
      <x:c r="B17" s="114" t="str">
        <x:v>Network metadata</x:v>
      </x:c>
      <x:c r="C17" s="114" t="str">
        <x:v>Diagnose application/service failures and confirm approved system interactions.</x:v>
      </x:c>
      <x:c r="D17" s="114" t="str">
        <x:v>Approved applications; no payload</x:v>
      </x:c>
      <x:c r="E17" s="114" t="str">
        <x:v>Limited metadata may explain blockers; payload capture is excessive for v1.</x:v>
      </x:c>
      <x:c r="F17" s="114" t="str">
        <x:v>Application logs and browser events.</x:v>
      </x:c>
      <x:c r="G17" s="114" t="str">
        <x:v>Domain/endpoint category and status only; no packet payload/content by default.</x:v>
      </x:c>
      <x:c r="H17" s="114" t="str">
        <x:v>Technical diagnostics, security alerts under separate controls.</x:v>
      </x:c>
      <x:c r="I17" s="114" t="str">
        <x:v>General browsing surveillance; content interception.</x:v>
      </x:c>
      <x:c r="J17" s="114" t="str">
        <x:v>30 days diagnostic metadata.</x:v>
      </x:c>
      <x:c r="K17" s="114" t="str">
        <x:v>Visible when used in task report.</x:v>
      </x:c>
      <x:c r="L17" s="114" t="str">
        <x:v>Technical support/security by purpose.</x:v>
      </x:c>
      <x:c r="M17" s="114" t="str">
        <x:v>Defer except diagnostics</x:v>
      </x:c>
      <x:c r="N17" s="115" t="str">
        <x:v>Separate interception/legal assessment</x:v>
      </x:c>
    </x:row>
    <x:row r="18">
      <x:c r="A18" s="119" t="str">
        <x:v>PPM-014</x:v>
      </x:c>
      <x:c r="B18" s="120" t="str">
        <x:v>Audio, microphone and meeting content</x:v>
      </x:c>
      <x:c r="C18" s="120" t="str">
        <x:v>Potential future meeting/task context.</x:v>
      </x:c>
      <x:c r="D18" s="120" t="str">
        <x:v>Not in v1</x:v>
      </x:c>
      <x:c r="E18" s="120" t="str">
        <x:v>Highly intrusive and not necessary for initial software-development pilot.</x:v>
      </x:c>
      <x:c r="F18" s="120" t="str">
        <x:v>Calendar, meeting metadata, user notes.</x:v>
      </x:c>
      <x:c r="G18" s="120" t="str">
        <x:v>No collection in v1.</x:v>
      </x:c>
      <x:c r="H18" s="120" t="str">
        <x:v>None in v1.</x:v>
      </x:c>
      <x:c r="I18" s="120" t="str">
        <x:v>Any audio capture.</x:v>
      </x:c>
      <x:c r="J18" s="120" t="str">
        <x:v>None.</x:v>
      </x:c>
      <x:c r="K18" s="120" t="str">
        <x:v>Not applicable.</x:v>
      </x:c>
      <x:c r="L18" s="120" t="str">
        <x:v>None.</x:v>
      </x:c>
      <x:c r="M18" s="120" t="str">
        <x:v>Exclude v1</x:v>
      </x:c>
      <x:c r="N18" s="121" t="str">
        <x:v>New DPIA and policy required for future use</x:v>
      </x:c>
    </x:row>
    <x:row r="19">
      <x:c r="A19" s="113" t="str">
        <x:v>PPM-015</x:v>
      </x:c>
      <x:c r="B19" s="114" t="str">
        <x:v>Work episodes and task-alignment classifications</x:v>
      </x:c>
      <x:c r="C19" s="114" t="str">
        <x:v>Convert raw events into understandable task activity with confidence.</x:v>
      </x:c>
      <x:c r="D19" s="114" t="str">
        <x:v>Approved session/tasks</x:v>
      </x:c>
      <x:c r="E19" s="114" t="str">
        <x:v>Required for usable reporting; derived inference must remain challengeable.</x:v>
      </x:c>
      <x:c r="F19" s="114" t="str">
        <x:v>Manual task diary.</x:v>
      </x:c>
      <x:c r="G19" s="114" t="str">
        <x:v>Store evidence links, confidence, alternatives and model/skill version.</x:v>
      </x:c>
      <x:c r="H19" s="114" t="str">
        <x:v>Employee coaching, task report, blocker analysis.</x:v>
      </x:c>
      <x:c r="I19" s="114" t="str">
        <x:v>Presenting low-confidence classification as fact; automatic discipline.</x:v>
      </x:c>
      <x:c r="J19" s="114" t="str">
        <x:v>12–24 months subject to employment policy.</x:v>
      </x:c>
      <x:c r="K19" s="114" t="str">
        <x:v>Employee sees and can correct.</x:v>
      </x:c>
      <x:c r="L19" s="114" t="str">
        <x:v>Employee, manager, reviewer, governance.</x:v>
      </x:c>
      <x:c r="M19" s="114" t="str">
        <x:v>Include</x:v>
      </x:c>
      <x:c r="N19" s="115" t="str">
        <x:v>NIST AI RMF / human-review policy</x:v>
      </x:c>
    </x:row>
    <x:row r="20">
      <x:c r="A20" s="119" t="str">
        <x:v>PPM-016</x:v>
      </x:c>
      <x:c r="B20" s="120" t="str">
        <x:v>Task-quality and acceptance-criteria assessments</x:v>
      </x:c>
      <x:c r="C20" s="120" t="str">
        <x:v>Determine whether required outcomes were evidenced and verified.</x:v>
      </x:c>
      <x:c r="D20" s="120" t="str">
        <x:v>Approved task contract</x:v>
      </x:c>
      <x:c r="E20" s="120" t="str">
        <x:v>Core product purpose and more meaningful than activity metrics.</x:v>
      </x:c>
      <x:c r="F20" s="120" t="str">
        <x:v>Manual reviewer only.</x:v>
      </x:c>
      <x:c r="G20" s="120" t="str">
        <x:v>Combine deterministic checks with AI inference; preserve evidence and missing-data flags.</x:v>
      </x:c>
      <x:c r="H20" s="120" t="str">
        <x:v>Task assurance, quality coaching, reviewer support.</x:v>
      </x:c>
      <x:c r="I20" s="120" t="str">
        <x:v>Automatic employment action; claims beyond task contract.</x:v>
      </x:c>
      <x:c r="J20" s="120" t="str">
        <x:v>Task/project retention; assessment history 24 months proposed.</x:v>
      </x:c>
      <x:c r="K20" s="120" t="str">
        <x:v>Employee sees evidence and can respond.</x:v>
      </x:c>
      <x:c r="L20" s="120" t="str">
        <x:v>Employee, task reviewer, manager, governance.</x:v>
      </x:c>
      <x:c r="M20" s="120" t="str">
        <x:v>Include</x:v>
      </x:c>
      <x:c r="N20" s="121" t="str">
        <x:v>Human review mandatory</x:v>
      </x:c>
    </x:row>
    <x:row r="21">
      <x:c r="A21" s="113" t="str">
        <x:v>PPM-017</x:v>
      </x:c>
      <x:c r="B21" s="114" t="str">
        <x:v>Capability evidence and role-readiness state</x:v>
      </x:c>
      <x:c r="C21" s="114" t="str">
        <x:v>Track demonstrated capability, gaps, learning needs and progression.</x:v>
      </x:c>
      <x:c r="D21" s="114" t="str">
        <x:v>Repeated tasks and assessments</x:v>
      </x:c>
      <x:c r="E21" s="114" t="str">
        <x:v>Core employee-development purpose but high impact; requires cautious longitudinal model.</x:v>
      </x:c>
      <x:c r="F21" s="114" t="str">
        <x:v>Manager judgement and formal assessment only.</x:v>
      </x:c>
      <x:c r="G21" s="114" t="str">
        <x:v>Use multiple evidence items, context, confidence, recency and contradictions; no protected-trait inference.</x:v>
      </x:c>
      <x:c r="H21" s="114" t="str">
        <x:v>Learning plans, role development, supported workforce planning.</x:v>
      </x:c>
      <x:c r="I21" s="114" t="str">
        <x:v>Single-task permanent labels; deception claims; solely automated hiring/firing/promotion.</x:v>
      </x:c>
      <x:c r="J21" s="114" t="str">
        <x:v>Capability state while employed plus defined post-employment retention; legal review.</x:v>
      </x:c>
      <x:c r="K21" s="114" t="str">
        <x:v>Employee sees claims, evidence, level and can challenge.</x:v>
      </x:c>
      <x:c r="L21" s="114" t="str">
        <x:v>Employee, HR/L&amp;D, authorised manager, human reviewer.</x:v>
      </x:c>
      <x:c r="M21" s="114" t="str">
        <x:v>Conditional include</x:v>
      </x:c>
      <x:c r="N21" s="115" t="str">
        <x:v>Stage 2 ontology and legal/fairness review</x:v>
      </x:c>
    </x:row>
    <x:row r="22">
      <x:c r="A22" s="119" t="str">
        <x:v>PPM-018</x:v>
      </x:c>
      <x:c r="B22" s="120" t="str">
        <x:v>Coaching interventions and responses</x:v>
      </x:c>
      <x:c r="C22" s="120" t="str">
        <x:v>Help employees recover from errors, use AI safely and apply effective methods.</x:v>
      </x:c>
      <x:c r="D22" s="120" t="str">
        <x:v>Current task and learning plan</x:v>
      </x:c>
      <x:c r="E22" s="120" t="str">
        <x:v>Direct employee benefit and product differentiation.</x:v>
      </x:c>
      <x:c r="F22" s="120" t="str">
        <x:v>On-demand assistant only.</x:v>
      </x:c>
      <x:c r="G22" s="120" t="str">
        <x:v>Confidence thresholds, cooldowns, user controls, no sensitive employment labels in prompt context.</x:v>
      </x:c>
      <x:c r="H22" s="120" t="str">
        <x:v>Nudge, assist, teach, mentor escalation; training effectiveness.</x:v>
      </x:c>
      <x:c r="I22" s="120" t="str">
        <x:v>Harassment, constant interruption, punitive nudges, covert behavioural manipulation.</x:v>
      </x:c>
      <x:c r="J22" s="120" t="str">
        <x:v>12 months for effectiveness; content minimised.</x:v>
      </x:c>
      <x:c r="K22" s="120" t="str">
        <x:v>Employee sees and controls coaching history.</x:v>
      </x:c>
      <x:c r="L22" s="120" t="str">
        <x:v>Employee, L&amp;D; manager sees agreed summary.</x:v>
      </x:c>
      <x:c r="M22" s="120" t="str">
        <x:v>Include later</x:v>
      </x:c>
      <x:c r="N22" s="121" t="str">
        <x:v>Stage 9; employee UX testing</x:v>
      </x:c>
    </x:row>
    <x:row r="23">
      <x:c r="A23" s="113" t="str">
        <x:v>PPM-019</x:v>
      </x:c>
      <x:c r="B23" s="114" t="str">
        <x:v>Manager reports and exceptions</x:v>
      </x:c>
      <x:c r="C23" s="114" t="str">
        <x:v>Provide evidence-linked outcome, blocker, quality and support information.</x:v>
      </x:c>
      <x:c r="D23" s="114" t="str">
        <x:v>Direct reports and assigned tasks</x:v>
      </x:c>
      <x:c r="E23" s="114" t="str">
        <x:v>Needed for operational management, but raw evidence is not the default.</x:v>
      </x:c>
      <x:c r="F23" s="114" t="str">
        <x:v>Existing task status reports.</x:v>
      </x:c>
      <x:c r="G23" s="114" t="str">
        <x:v>Summaries first; raw drill-down restricted; show confidence and employee response.</x:v>
      </x:c>
      <x:c r="H23" s="114" t="str">
        <x:v>Task support, workload, review and training decisions with human judgement.</x:v>
      </x:c>
      <x:c r="I23" s="114" t="str">
        <x:v>Continuous live surveillance; public leaderboards; unsupported allegations.</x:v>
      </x:c>
      <x:c r="J23" s="114" t="str">
        <x:v>Report retention aligned to employment/project policy.</x:v>
      </x:c>
      <x:c r="K23" s="114" t="str">
        <x:v>Employee can view material reports about them.</x:v>
      </x:c>
      <x:c r="L23" s="114" t="str">
        <x:v>Direct manager, authorised reviewer, HR where necessary.</x:v>
      </x:c>
      <x:c r="M23" s="114" t="str">
        <x:v>Include</x:v>
      </x:c>
      <x:c r="N23" s="115" t="str">
        <x:v>Human-review/access policy</x:v>
      </x:c>
    </x:row>
    <x:row r="24">
      <x:c r="A24" s="122" t="str">
        <x:v>PPM-020</x:v>
      </x:c>
      <x:c r="B24" s="123" t="str">
        <x:v>Skill and system-improvement observations</x:v>
      </x:c>
      <x:c r="C24" s="123" t="str">
        <x:v>Improve HumanOS prompts, skills, evaluators and workflows from validated patterns and corrections.</x:v>
      </x:c>
      <x:c r="D24" s="123" t="str">
        <x:v>De-identified/generalised where possible</x:v>
      </x:c>
      <x:c r="E24" s="123" t="str">
        <x:v>Core organisational-learning purpose; must not leak confidential or personal data.</x:v>
      </x:c>
      <x:c r="F24" s="123" t="str">
        <x:v>Manual retrospective process.</x:v>
      </x:c>
      <x:c r="G24" s="123" t="str">
        <x:v>Generalise before reuse; separate internal/open-source; evaluate, approve, canary and rollback.</x:v>
      </x:c>
      <x:c r="H24" s="123" t="str">
        <x:v>Propose skill updates, standards and training content.</x:v>
      </x:c>
      <x:c r="I24" s="123" t="str">
        <x:v>Automatic production changes; publishing confidential employee/project data.</x:v>
      </x:c>
      <x:c r="J24" s="123" t="str">
        <x:v>Observation and version history according to platform policy.</x:v>
      </x:c>
      <x:c r="K24" s="123" t="str">
        <x:v>Employees see use of their feedback and attribution policy.</x:v>
      </x:c>
      <x:c r="L24" s="123" t="str">
        <x:v>Skill reviewers, AI platform, governance.</x:v>
      </x:c>
      <x:c r="M24" s="123" t="str">
        <x:v>Include later</x:v>
      </x:c>
      <x:c r="N24" s="124" t="str">
        <x:v>Claude-Mem / Task Observer patterns</x:v>
      </x:c>
    </x:row>
  </x:sheetData>
  <x:mergeCells>
    <x:mergeCell ref="A1:N1"/>
    <x:mergeCell ref="A2:N2"/>
  </x:mergeCells>
  <x:dataValidations count="1">
    <x:dataValidation type="list" sqref="M5:M24">
      <x:formula1>"Include,Include metadata,Include with redaction,Conditional include,Conditional, narrow,Metadata only,Defer except diagnostics,Include later,Exclude v1"</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4" hidden="0" customWidth="1"/>
    <x:col min="3" max="3" width="15" hidden="0" customWidth="1"/>
    <x:col min="4" max="4" width="15" hidden="0" customWidth="1"/>
    <x:col min="5" max="5" width="15" hidden="0" customWidth="1"/>
    <x:col min="6" max="6" width="19" hidden="0" customWidth="1"/>
    <x:col min="7" max="7" width="15" hidden="0" customWidth="1"/>
    <x:col min="8" max="8" width="15" hidden="0" customWidth="1"/>
    <x:col min="9" max="9" width="15" hidden="0" customWidth="1"/>
    <x:col min="10" max="10" width="18" hidden="0" customWidth="1"/>
    <x:col min="11" max="11" width="18" hidden="0" customWidth="1"/>
    <x:col min="12" max="12" width="18" hidden="0" customWidth="1"/>
    <x:col min="13" max="13" width="20" hidden="0" customWidth="1"/>
    <x:col min="14" max="14" width="34" hidden="0" customWidth="1"/>
  </x:cols>
  <x:sheetData>
    <x:row r="1" ht="30" customHeight="1">
      <x:c r="A1" s="72" t="str">
        <x:v>Stakeholder RACI — Stage 0 and Stage 1</x:v>
      </x:c>
      <x:c r="B1" s="72"/>
      <x:c r="C1" s="72"/>
      <x:c r="D1" s="72"/>
      <x:c r="E1" s="72"/>
      <x:c r="F1" s="72"/>
      <x:c r="G1" s="72"/>
      <x:c r="H1" s="72"/>
      <x:c r="I1" s="72"/>
      <x:c r="J1" s="72"/>
      <x:c r="K1" s="72"/>
      <x:c r="L1" s="72"/>
      <x:c r="M1" s="72"/>
      <x:c r="N1" s="72"/>
    </x:row>
    <x:row r="2" ht="34" customHeight="1">
      <x:c r="A2" s="76" t="str">
        <x:v>R = responsible, A = accountable, C = consulted, I = informed. Named individuals must replace role placeholders before either foundation gate can be approved.</x:v>
      </x:c>
      <x:c r="B2" s="76"/>
      <x:c r="C2" s="76"/>
      <x:c r="D2" s="76"/>
      <x:c r="E2" s="76"/>
      <x:c r="F2" s="76"/>
      <x:c r="G2" s="76"/>
      <x:c r="H2" s="76"/>
      <x:c r="I2" s="76"/>
      <x:c r="J2" s="76"/>
      <x:c r="K2" s="76"/>
      <x:c r="L2" s="76"/>
      <x:c r="M2" s="76"/>
      <x:c r="N2" s="76"/>
    </x:row>
    <x:row r="4" ht="28" customHeight="1">
      <x:c r="A4" s="88" t="str">
        <x:v>ID</x:v>
      </x:c>
      <x:c r="B4" s="89" t="str">
        <x:v>Deliverable / decision</x:v>
      </x:c>
      <x:c r="C4" s="89" t="str">
        <x:v>Executive sponsor</x:v>
      </x:c>
      <x:c r="D4" s="89" t="str">
        <x:v>Product owner</x:v>
      </x:c>
      <x:c r="E4" s="89" t="str">
        <x:v>Programme lead</x:v>
      </x:c>
      <x:c r="F4" s="89" t="str">
        <x:v>CTO / Architecture Board</x:v>
      </x:c>
      <x:c r="G4" s="89" t="str">
        <x:v>DPO / Legal</x:v>
      </x:c>
      <x:c r="H4" s="89" t="str">
        <x:v>CISO / Security</x:v>
      </x:c>
      <x:c r="I4" s="89" t="str">
        <x:v>HR / L&amp;D</x:v>
      </x:c>
      <x:c r="J4" s="89" t="str">
        <x:v>Employee representative</x:v>
      </x:c>
      <x:c r="K4" s="89" t="str">
        <x:v>Engineering leads</x:v>
      </x:c>
      <x:c r="L4" s="89" t="str">
        <x:v>Finance / Procurement</x:v>
      </x:c>
      <x:c r="M4" s="89" t="str">
        <x:v>Domain / manager reviewers</x:v>
      </x:c>
      <x:c r="N4" s="90" t="str">
        <x:v>Notes</x:v>
      </x:c>
    </x:row>
    <x:row r="5">
      <x:c r="A5" s="110" t="str">
        <x:v>RACI-001</x:v>
      </x:c>
      <x:c r="B5" s="111" t="str">
        <x:v>Product Charter v1</x:v>
      </x:c>
      <x:c r="C5" s="111" t="str">
        <x:v>A</x:v>
      </x:c>
      <x:c r="D5" s="111" t="str">
        <x:v>R</x:v>
      </x:c>
      <x:c r="E5" s="111" t="str">
        <x:v>C</x:v>
      </x:c>
      <x:c r="F5" s="111" t="str">
        <x:v>C</x:v>
      </x:c>
      <x:c r="G5" s="111" t="str">
        <x:v>C</x:v>
      </x:c>
      <x:c r="H5" s="111" t="str">
        <x:v>C</x:v>
      </x:c>
      <x:c r="I5" s="111" t="str">
        <x:v>C</x:v>
      </x:c>
      <x:c r="J5" s="111" t="str">
        <x:v>C</x:v>
      </x:c>
      <x:c r="K5" s="111" t="str">
        <x:v>I</x:v>
      </x:c>
      <x:c r="L5" s="111" t="str">
        <x:v>I</x:v>
      </x:c>
      <x:c r="M5" s="111" t="str">
        <x:v>C</x:v>
      </x:c>
      <x:c r="N5" s="112" t="str">
        <x:v>Executive purpose and risk appetite.</x:v>
      </x:c>
    </x:row>
    <x:row r="6">
      <x:c r="A6" s="119" t="str">
        <x:v>RACI-002</x:v>
      </x:c>
      <x:c r="B6" s="120" t="str">
        <x:v>Strategic positioning</x:v>
      </x:c>
      <x:c r="C6" s="120" t="str">
        <x:v>A</x:v>
      </x:c>
      <x:c r="D6" s="120" t="str">
        <x:v>R</x:v>
      </x:c>
      <x:c r="E6" s="120" t="str">
        <x:v>C</x:v>
      </x:c>
      <x:c r="F6" s="120" t="str">
        <x:v>C</x:v>
      </x:c>
      <x:c r="G6" s="120" t="str">
        <x:v>C</x:v>
      </x:c>
      <x:c r="H6" s="120" t="str">
        <x:v>I</x:v>
      </x:c>
      <x:c r="I6" s="120" t="str">
        <x:v>C</x:v>
      </x:c>
      <x:c r="J6" s="120" t="str">
        <x:v>C</x:v>
      </x:c>
      <x:c r="K6" s="120" t="str">
        <x:v>I</x:v>
      </x:c>
      <x:c r="L6" s="120" t="str">
        <x:v>I</x:v>
      </x:c>
      <x:c r="M6" s="120" t="str">
        <x:v>C</x:v>
      </x:c>
      <x:c r="N6" s="121" t="str">
        <x:v>Must preserve employee value and avoid bossware framing.</x:v>
      </x:c>
    </x:row>
    <x:row r="7">
      <x:c r="A7" s="113" t="str">
        <x:v>RACI-003</x:v>
      </x:c>
      <x:c r="B7" s="114" t="str">
        <x:v>Purpose Policy Matrix</x:v>
      </x:c>
      <x:c r="C7" s="114" t="str">
        <x:v>I</x:v>
      </x:c>
      <x:c r="D7" s="114" t="str">
        <x:v>C</x:v>
      </x:c>
      <x:c r="E7" s="114" t="str">
        <x:v>C</x:v>
      </x:c>
      <x:c r="F7" s="114" t="str">
        <x:v>C</x:v>
      </x:c>
      <x:c r="G7" s="114" t="str">
        <x:v>A/R</x:v>
      </x:c>
      <x:c r="H7" s="114" t="str">
        <x:v>C</x:v>
      </x:c>
      <x:c r="I7" s="114" t="str">
        <x:v>C</x:v>
      </x:c>
      <x:c r="J7" s="114" t="str">
        <x:v>C</x:v>
      </x:c>
      <x:c r="K7" s="114" t="str">
        <x:v>C</x:v>
      </x:c>
      <x:c r="L7" s="114" t="str">
        <x:v>I</x:v>
      </x:c>
      <x:c r="M7" s="114" t="str">
        <x:v>I</x:v>
      </x:c>
      <x:c r="N7" s="115" t="str">
        <x:v>DPO accountability.</x:v>
      </x:c>
    </x:row>
    <x:row r="8">
      <x:c r="A8" s="119" t="str">
        <x:v>RACI-004</x:v>
      </x:c>
      <x:c r="B8" s="120" t="str">
        <x:v>DPIA and lawful-basis review</x:v>
      </x:c>
      <x:c r="C8" s="120" t="str">
        <x:v>I</x:v>
      </x:c>
      <x:c r="D8" s="120" t="str">
        <x:v>C</x:v>
      </x:c>
      <x:c r="E8" s="120" t="str">
        <x:v>C</x:v>
      </x:c>
      <x:c r="F8" s="120" t="str">
        <x:v>I</x:v>
      </x:c>
      <x:c r="G8" s="120" t="str">
        <x:v>A/R</x:v>
      </x:c>
      <x:c r="H8" s="120" t="str">
        <x:v>C</x:v>
      </x:c>
      <x:c r="I8" s="120" t="str">
        <x:v>C</x:v>
      </x:c>
      <x:c r="J8" s="120" t="str">
        <x:v>C</x:v>
      </x:c>
      <x:c r="K8" s="120" t="str">
        <x:v>I</x:v>
      </x:c>
      <x:c r="L8" s="120" t="str">
        <x:v>I</x:v>
      </x:c>
      <x:c r="M8" s="120" t="str">
        <x:v>I</x:v>
      </x:c>
      <x:c r="N8" s="121" t="str">
        <x:v>Independent DPO/legal review.</x:v>
      </x:c>
    </x:row>
    <x:row r="9">
      <x:c r="A9" s="113" t="str">
        <x:v>RACI-005</x:v>
      </x:c>
      <x:c r="B9" s="114" t="str">
        <x:v>Worker consultation</x:v>
      </x:c>
      <x:c r="C9" s="114" t="str">
        <x:v>I</x:v>
      </x:c>
      <x:c r="D9" s="114" t="str">
        <x:v>C</x:v>
      </x:c>
      <x:c r="E9" s="114" t="str">
        <x:v>C</x:v>
      </x:c>
      <x:c r="F9" s="114" t="str">
        <x:v>I</x:v>
      </x:c>
      <x:c r="G9" s="114" t="str">
        <x:v>C</x:v>
      </x:c>
      <x:c r="H9" s="114" t="str">
        <x:v>I</x:v>
      </x:c>
      <x:c r="I9" s="114" t="str">
        <x:v>A/R</x:v>
      </x:c>
      <x:c r="J9" s="114" t="str">
        <x:v>R</x:v>
      </x:c>
      <x:c r="K9" s="114" t="str">
        <x:v>I</x:v>
      </x:c>
      <x:c r="L9" s="114" t="str">
        <x:v>I</x:v>
      </x:c>
      <x:c r="M9" s="114" t="str">
        <x:v>I</x:v>
      </x:c>
      <x:c r="N9" s="115" t="str">
        <x:v>Views and organisational response documented.</x:v>
      </x:c>
    </x:row>
    <x:row r="10">
      <x:c r="A10" s="119" t="str">
        <x:v>RACI-006</x:v>
      </x:c>
      <x:c r="B10" s="120" t="str">
        <x:v>Monitoring/privacy policy</x:v>
      </x:c>
      <x:c r="C10" s="120" t="str">
        <x:v>I</x:v>
      </x:c>
      <x:c r="D10" s="120" t="str">
        <x:v>C</x:v>
      </x:c>
      <x:c r="E10" s="120" t="str">
        <x:v>C</x:v>
      </x:c>
      <x:c r="F10" s="120" t="str">
        <x:v>I</x:v>
      </x:c>
      <x:c r="G10" s="120" t="str">
        <x:v>A</x:v>
      </x:c>
      <x:c r="H10" s="120" t="str">
        <x:v>C</x:v>
      </x:c>
      <x:c r="I10" s="120" t="str">
        <x:v>R</x:v>
      </x:c>
      <x:c r="J10" s="120" t="str">
        <x:v>C</x:v>
      </x:c>
      <x:c r="K10" s="120" t="str">
        <x:v>I</x:v>
      </x:c>
      <x:c r="L10" s="120" t="str">
        <x:v>I</x:v>
      </x:c>
      <x:c r="M10" s="120" t="str">
        <x:v>I</x:v>
      </x:c>
      <x:c r="N10" s="121" t="str">
        <x:v>Legal and HR approval.</x:v>
      </x:c>
    </x:row>
    <x:row r="11">
      <x:c r="A11" s="113" t="str">
        <x:v>RACI-007</x:v>
      </x:c>
      <x:c r="B11" s="114" t="str">
        <x:v>Employee access and dispute workflow</x:v>
      </x:c>
      <x:c r="C11" s="114" t="str">
        <x:v>I</x:v>
      </x:c>
      <x:c r="D11" s="114" t="str">
        <x:v>R</x:v>
      </x:c>
      <x:c r="E11" s="114" t="str">
        <x:v>C</x:v>
      </x:c>
      <x:c r="F11" s="114" t="str">
        <x:v>C</x:v>
      </x:c>
      <x:c r="G11" s="114" t="str">
        <x:v>A</x:v>
      </x:c>
      <x:c r="H11" s="114" t="str">
        <x:v>C</x:v>
      </x:c>
      <x:c r="I11" s="114" t="str">
        <x:v>R</x:v>
      </x:c>
      <x:c r="J11" s="114" t="str">
        <x:v>C</x:v>
      </x:c>
      <x:c r="K11" s="114" t="str">
        <x:v>C</x:v>
      </x:c>
      <x:c r="L11" s="114" t="str">
        <x:v>I</x:v>
      </x:c>
      <x:c r="M11" s="114" t="str">
        <x:v>I</x:v>
      </x:c>
      <x:c r="N11" s="115" t="str">
        <x:v>HumanOS workflow implementation later.</x:v>
      </x:c>
    </x:row>
    <x:row r="12">
      <x:c r="A12" s="119" t="str">
        <x:v>RACI-008</x:v>
      </x:c>
      <x:c r="B12" s="120" t="str">
        <x:v>Meaningful human-review standard</x:v>
      </x:c>
      <x:c r="C12" s="120" t="str">
        <x:v>I</x:v>
      </x:c>
      <x:c r="D12" s="120" t="str">
        <x:v>C</x:v>
      </x:c>
      <x:c r="E12" s="120" t="str">
        <x:v>C</x:v>
      </x:c>
      <x:c r="F12" s="120" t="str">
        <x:v>I</x:v>
      </x:c>
      <x:c r="G12" s="120" t="str">
        <x:v>A</x:v>
      </x:c>
      <x:c r="H12" s="120" t="str">
        <x:v>C</x:v>
      </x:c>
      <x:c r="I12" s="120" t="str">
        <x:v>R</x:v>
      </x:c>
      <x:c r="J12" s="120" t="str">
        <x:v>C</x:v>
      </x:c>
      <x:c r="K12" s="120" t="str">
        <x:v>I</x:v>
      </x:c>
      <x:c r="L12" s="120" t="str">
        <x:v>I</x:v>
      </x:c>
      <x:c r="M12" s="120" t="str">
        <x:v>R</x:v>
      </x:c>
      <x:c r="N12" s="121" t="str">
        <x:v>Reviewers require authority and domain competence.</x:v>
      </x:c>
    </x:row>
    <x:row r="13">
      <x:c r="A13" s="113" t="str">
        <x:v>RACI-009</x:v>
      </x:c>
      <x:c r="B13" s="114" t="str">
        <x:v>Threat model and security controls</x:v>
      </x:c>
      <x:c r="C13" s="114" t="str">
        <x:v>I</x:v>
      </x:c>
      <x:c r="D13" s="114" t="str">
        <x:v>C</x:v>
      </x:c>
      <x:c r="E13" s="114" t="str">
        <x:v>C</x:v>
      </x:c>
      <x:c r="F13" s="114" t="str">
        <x:v>C</x:v>
      </x:c>
      <x:c r="G13" s="114" t="str">
        <x:v>C</x:v>
      </x:c>
      <x:c r="H13" s="114" t="str">
        <x:v>A/R</x:v>
      </x:c>
      <x:c r="I13" s="114" t="str">
        <x:v>I</x:v>
      </x:c>
      <x:c r="J13" s="114" t="str">
        <x:v>C</x:v>
      </x:c>
      <x:c r="K13" s="114" t="str">
        <x:v>R</x:v>
      </x:c>
      <x:c r="L13" s="114" t="str">
        <x:v>I</x:v>
      </x:c>
      <x:c r="M13" s="114" t="str">
        <x:v>I</x:v>
      </x:c>
      <x:c r="N13" s="115" t="str">
        <x:v>Security gate.</x:v>
      </x:c>
    </x:row>
    <x:row r="14">
      <x:c r="A14" s="119" t="str">
        <x:v>RACI-010</x:v>
      </x:c>
      <x:c r="B14" s="120" t="str">
        <x:v>Pilot definition and participant protection</x:v>
      </x:c>
      <x:c r="C14" s="120" t="str">
        <x:v>A</x:v>
      </x:c>
      <x:c r="D14" s="120" t="str">
        <x:v>R</x:v>
      </x:c>
      <x:c r="E14" s="120" t="str">
        <x:v>C</x:v>
      </x:c>
      <x:c r="F14" s="120" t="str">
        <x:v>C</x:v>
      </x:c>
      <x:c r="G14" s="120" t="str">
        <x:v>C</x:v>
      </x:c>
      <x:c r="H14" s="120" t="str">
        <x:v>C</x:v>
      </x:c>
      <x:c r="I14" s="120" t="str">
        <x:v>R</x:v>
      </x:c>
      <x:c r="J14" s="120" t="str">
        <x:v>C</x:v>
      </x:c>
      <x:c r="K14" s="120" t="str">
        <x:v>C</x:v>
      </x:c>
      <x:c r="L14" s="120" t="str">
        <x:v>C</x:v>
      </x:c>
      <x:c r="M14" s="120" t="str">
        <x:v>C</x:v>
      </x:c>
      <x:c r="N14" s="121" t="str">
        <x:v>No adverse action from pilot-only output.</x:v>
      </x:c>
    </x:row>
    <x:row r="15">
      <x:c r="A15" s="113" t="str">
        <x:v>RACI-011</x:v>
      </x:c>
      <x:c r="B15" s="114" t="str">
        <x:v>Stage 0 cross-functional review</x:v>
      </x:c>
      <x:c r="C15" s="114" t="str">
        <x:v>A</x:v>
      </x:c>
      <x:c r="D15" s="114" t="str">
        <x:v>R</x:v>
      </x:c>
      <x:c r="E15" s="114" t="str">
        <x:v>R</x:v>
      </x:c>
      <x:c r="F15" s="114" t="str">
        <x:v>C</x:v>
      </x:c>
      <x:c r="G15" s="114" t="str">
        <x:v>C</x:v>
      </x:c>
      <x:c r="H15" s="114" t="str">
        <x:v>C</x:v>
      </x:c>
      <x:c r="I15" s="114" t="str">
        <x:v>C</x:v>
      </x:c>
      <x:c r="J15" s="114" t="str">
        <x:v>C</x:v>
      </x:c>
      <x:c r="K15" s="114" t="str">
        <x:v>I</x:v>
      </x:c>
      <x:c r="L15" s="114" t="str">
        <x:v>I</x:v>
      </x:c>
      <x:c r="M15" s="114" t="str">
        <x:v>I</x:v>
      </x:c>
      <x:c r="N15" s="115" t="str">
        <x:v>Programme lead coordinates.</x:v>
      </x:c>
    </x:row>
    <x:row r="16">
      <x:c r="A16" s="119" t="str">
        <x:v>RACI-012</x:v>
      </x:c>
      <x:c r="B16" s="120" t="str">
        <x:v>Stage 0 gate decision</x:v>
      </x:c>
      <x:c r="C16" s="120" t="str">
        <x:v>A/R</x:v>
      </x:c>
      <x:c r="D16" s="120" t="str">
        <x:v>C</x:v>
      </x:c>
      <x:c r="E16" s="120" t="str">
        <x:v>C</x:v>
      </x:c>
      <x:c r="F16" s="120" t="str">
        <x:v>C</x:v>
      </x:c>
      <x:c r="G16" s="120" t="str">
        <x:v>C</x:v>
      </x:c>
      <x:c r="H16" s="120" t="str">
        <x:v>C</x:v>
      </x:c>
      <x:c r="I16" s="120" t="str">
        <x:v>C</x:v>
      </x:c>
      <x:c r="J16" s="120" t="str">
        <x:v>I</x:v>
      </x:c>
      <x:c r="K16" s="120" t="str">
        <x:v>I</x:v>
      </x:c>
      <x:c r="L16" s="120" t="str">
        <x:v>I</x:v>
      </x:c>
      <x:c r="M16" s="120" t="str">
        <x:v>I</x:v>
      </x:c>
      <x:c r="N16" s="121" t="str">
        <x:v>Conditions recorded.</x:v>
      </x:c>
    </x:row>
    <x:row r="17">
      <x:c r="A17" s="113" t="str">
        <x:v>RACI-013</x:v>
      </x:c>
      <x:c r="B17" s="114" t="str">
        <x:v>Market and category research</x:v>
      </x:c>
      <x:c r="C17" s="114" t="str">
        <x:v>I</x:v>
      </x:c>
      <x:c r="D17" s="114" t="str">
        <x:v>A/R</x:v>
      </x:c>
      <x:c r="E17" s="114" t="str">
        <x:v>R</x:v>
      </x:c>
      <x:c r="F17" s="114" t="str">
        <x:v>C</x:v>
      </x:c>
      <x:c r="G17" s="114" t="str">
        <x:v>C</x:v>
      </x:c>
      <x:c r="H17" s="114" t="str">
        <x:v>I</x:v>
      </x:c>
      <x:c r="I17" s="114" t="str">
        <x:v>C</x:v>
      </x:c>
      <x:c r="J17" s="114" t="str">
        <x:v>I</x:v>
      </x:c>
      <x:c r="K17" s="114" t="str">
        <x:v>C</x:v>
      </x:c>
      <x:c r="L17" s="114" t="str">
        <x:v>I</x:v>
      </x:c>
      <x:c r="M17" s="114" t="str">
        <x:v>C</x:v>
      </x:c>
      <x:c r="N17" s="115" t="str">
        <x:v>Source-backed.</x:v>
      </x:c>
    </x:row>
    <x:row r="18">
      <x:c r="A18" s="119" t="str">
        <x:v>RACI-014</x:v>
      </x:c>
      <x:c r="B18" s="120" t="str">
        <x:v>GitHub and licence scan</x:v>
      </x:c>
      <x:c r="C18" s="120" t="str">
        <x:v>I</x:v>
      </x:c>
      <x:c r="D18" s="120" t="str">
        <x:v>C</x:v>
      </x:c>
      <x:c r="E18" s="120" t="str">
        <x:v>C</x:v>
      </x:c>
      <x:c r="F18" s="120" t="str">
        <x:v>A/R</x:v>
      </x:c>
      <x:c r="G18" s="120" t="str">
        <x:v>C</x:v>
      </x:c>
      <x:c r="H18" s="120" t="str">
        <x:v>C</x:v>
      </x:c>
      <x:c r="I18" s="120" t="str">
        <x:v>I</x:v>
      </x:c>
      <x:c r="J18" s="120" t="str">
        <x:v>I</x:v>
      </x:c>
      <x:c r="K18" s="120" t="str">
        <x:v>R</x:v>
      </x:c>
      <x:c r="L18" s="120" t="str">
        <x:v>C</x:v>
      </x:c>
      <x:c r="M18" s="120" t="str">
        <x:v>I</x:v>
      </x:c>
      <x:c r="N18" s="121" t="str">
        <x:v>Formal legal licence approval remains separate.</x:v>
      </x:c>
    </x:row>
    <x:row r="19">
      <x:c r="A19" s="113" t="str">
        <x:v>RACI-015</x:v>
      </x:c>
      <x:c r="B19" s="114" t="str">
        <x:v>Build/buy/integrate decisions</x:v>
      </x:c>
      <x:c r="C19" s="114" t="str">
        <x:v>I</x:v>
      </x:c>
      <x:c r="D19" s="114" t="str">
        <x:v>R</x:v>
      </x:c>
      <x:c r="E19" s="114" t="str">
        <x:v>C</x:v>
      </x:c>
      <x:c r="F19" s="114" t="str">
        <x:v>A</x:v>
      </x:c>
      <x:c r="G19" s="114" t="str">
        <x:v>C</x:v>
      </x:c>
      <x:c r="H19" s="114" t="str">
        <x:v>C</x:v>
      </x:c>
      <x:c r="I19" s="114" t="str">
        <x:v>I</x:v>
      </x:c>
      <x:c r="J19" s="114" t="str">
        <x:v>I</x:v>
      </x:c>
      <x:c r="K19" s="114" t="str">
        <x:v>C</x:v>
      </x:c>
      <x:c r="L19" s="114" t="str">
        <x:v>R</x:v>
      </x:c>
      <x:c r="M19" s="114" t="str">
        <x:v>C</x:v>
      </x:c>
      <x:c r="N19" s="115" t="str">
        <x:v>Commercial and technical decision.</x:v>
      </x:c>
    </x:row>
    <x:row r="20">
      <x:c r="A20" s="119" t="str">
        <x:v>RACI-016</x:v>
      </x:c>
      <x:c r="B20" s="120" t="str">
        <x:v>Reference architecture</x:v>
      </x:c>
      <x:c r="C20" s="120" t="str">
        <x:v>I</x:v>
      </x:c>
      <x:c r="D20" s="120" t="str">
        <x:v>C</x:v>
      </x:c>
      <x:c r="E20" s="120" t="str">
        <x:v>C</x:v>
      </x:c>
      <x:c r="F20" s="120" t="str">
        <x:v>A/R</x:v>
      </x:c>
      <x:c r="G20" s="120" t="str">
        <x:v>C</x:v>
      </x:c>
      <x:c r="H20" s="120" t="str">
        <x:v>C</x:v>
      </x:c>
      <x:c r="I20" s="120" t="str">
        <x:v>I</x:v>
      </x:c>
      <x:c r="J20" s="120" t="str">
        <x:v>I</x:v>
      </x:c>
      <x:c r="K20" s="120" t="str">
        <x:v>R</x:v>
      </x:c>
      <x:c r="L20" s="120" t="str">
        <x:v>I</x:v>
      </x:c>
      <x:c r="M20" s="120" t="str">
        <x:v>C</x:v>
      </x:c>
      <x:c r="N20" s="121" t="str">
        <x:v>Must reuse HumanOS foundation.</x:v>
      </x:c>
    </x:row>
    <x:row r="21">
      <x:c r="A21" s="113" t="str">
        <x:v>RACI-017</x:v>
      </x:c>
      <x:c r="B21" s="114" t="str">
        <x:v>Architecture Decision Records</x:v>
      </x:c>
      <x:c r="C21" s="114" t="str">
        <x:v>I</x:v>
      </x:c>
      <x:c r="D21" s="114" t="str">
        <x:v>C</x:v>
      </x:c>
      <x:c r="E21" s="114" t="str">
        <x:v>C</x:v>
      </x:c>
      <x:c r="F21" s="114" t="str">
        <x:v>A/R</x:v>
      </x:c>
      <x:c r="G21" s="114" t="str">
        <x:v>C</x:v>
      </x:c>
      <x:c r="H21" s="114" t="str">
        <x:v>C</x:v>
      </x:c>
      <x:c r="I21" s="114" t="str">
        <x:v>I</x:v>
      </x:c>
      <x:c r="J21" s="114" t="str">
        <x:v>I</x:v>
      </x:c>
      <x:c r="K21" s="114" t="str">
        <x:v>R</x:v>
      </x:c>
      <x:c r="L21" s="114" t="str">
        <x:v>I</x:v>
      </x:c>
      <x:c r="M21" s="114" t="str">
        <x:v>I</x:v>
      </x:c>
      <x:c r="N21" s="115" t="str">
        <x:v>Architecture Board approval.</x:v>
      </x:c>
    </x:row>
    <x:row r="22">
      <x:c r="A22" s="119" t="str">
        <x:v>RACI-018</x:v>
      </x:c>
      <x:c r="B22" s="120" t="str">
        <x:v>Data-volume and cost model</x:v>
      </x:c>
      <x:c r="C22" s="120" t="str">
        <x:v>I</x:v>
      </x:c>
      <x:c r="D22" s="120" t="str">
        <x:v>C</x:v>
      </x:c>
      <x:c r="E22" s="120" t="str">
        <x:v>C</x:v>
      </x:c>
      <x:c r="F22" s="120" t="str">
        <x:v>C</x:v>
      </x:c>
      <x:c r="G22" s="120" t="str">
        <x:v>I</x:v>
      </x:c>
      <x:c r="H22" s="120" t="str">
        <x:v>I</x:v>
      </x:c>
      <x:c r="I22" s="120" t="str">
        <x:v>I</x:v>
      </x:c>
      <x:c r="J22" s="120" t="str">
        <x:v>I</x:v>
      </x:c>
      <x:c r="K22" s="120" t="str">
        <x:v>C</x:v>
      </x:c>
      <x:c r="L22" s="120" t="str">
        <x:v>A/R</x:v>
      </x:c>
      <x:c r="M22" s="120" t="str">
        <x:v>C</x:v>
      </x:c>
      <x:c r="N22" s="121" t="str">
        <x:v>Input assumptions required.</x:v>
      </x:c>
    </x:row>
    <x:row r="23">
      <x:c r="A23" s="113" t="str">
        <x:v>RACI-019</x:v>
      </x:c>
      <x:c r="B23" s="114" t="str">
        <x:v>Stage 2–3 team and budget</x:v>
      </x:c>
      <x:c r="C23" s="114" t="str">
        <x:v>A</x:v>
      </x:c>
      <x:c r="D23" s="114" t="str">
        <x:v>C</x:v>
      </x:c>
      <x:c r="E23" s="114" t="str">
        <x:v>R</x:v>
      </x:c>
      <x:c r="F23" s="114" t="str">
        <x:v>C</x:v>
      </x:c>
      <x:c r="G23" s="114" t="str">
        <x:v>I</x:v>
      </x:c>
      <x:c r="H23" s="114" t="str">
        <x:v>I</x:v>
      </x:c>
      <x:c r="I23" s="114" t="str">
        <x:v>C</x:v>
      </x:c>
      <x:c r="J23" s="114" t="str">
        <x:v>I</x:v>
      </x:c>
      <x:c r="K23" s="114" t="str">
        <x:v>C</x:v>
      </x:c>
      <x:c r="L23" s="114" t="str">
        <x:v>R</x:v>
      </x:c>
      <x:c r="M23" s="114" t="str">
        <x:v>I</x:v>
      </x:c>
      <x:c r="N23" s="115" t="str">
        <x:v>Leadership allocation.</x:v>
      </x:c>
    </x:row>
    <x:row r="24">
      <x:c r="A24" s="119" t="str">
        <x:v>RACI-020</x:v>
      </x:c>
      <x:c r="B24" s="120" t="str">
        <x:v>Stage 1 architecture review</x:v>
      </x:c>
      <x:c r="C24" s="120" t="str">
        <x:v>I</x:v>
      </x:c>
      <x:c r="D24" s="120" t="str">
        <x:v>C</x:v>
      </x:c>
      <x:c r="E24" s="120" t="str">
        <x:v>R</x:v>
      </x:c>
      <x:c r="F24" s="120" t="str">
        <x:v>A/R</x:v>
      </x:c>
      <x:c r="G24" s="120" t="str">
        <x:v>C</x:v>
      </x:c>
      <x:c r="H24" s="120" t="str">
        <x:v>C</x:v>
      </x:c>
      <x:c r="I24" s="120" t="str">
        <x:v>I</x:v>
      </x:c>
      <x:c r="J24" s="120" t="str">
        <x:v>I</x:v>
      </x:c>
      <x:c r="K24" s="120" t="str">
        <x:v>C</x:v>
      </x:c>
      <x:c r="L24" s="120" t="str">
        <x:v>C</x:v>
      </x:c>
      <x:c r="M24" s="120" t="str">
        <x:v>C</x:v>
      </x:c>
      <x:c r="N24" s="121" t="str">
        <x:v>All major risks and alternatives reviewed.</x:v>
      </x:c>
    </x:row>
    <x:row r="25">
      <x:c r="A25" s="113" t="str">
        <x:v>RACI-021</x:v>
      </x:c>
      <x:c r="B25" s="114" t="str">
        <x:v>Stage 1 gate decision</x:v>
      </x:c>
      <x:c r="C25" s="114" t="str">
        <x:v>A</x:v>
      </x:c>
      <x:c r="D25" s="114" t="str">
        <x:v>C</x:v>
      </x:c>
      <x:c r="E25" s="114" t="str">
        <x:v>C</x:v>
      </x:c>
      <x:c r="F25" s="114" t="str">
        <x:v>R</x:v>
      </x:c>
      <x:c r="G25" s="114" t="str">
        <x:v>C</x:v>
      </x:c>
      <x:c r="H25" s="114" t="str">
        <x:v>C</x:v>
      </x:c>
      <x:c r="I25" s="114" t="str">
        <x:v>I</x:v>
      </x:c>
      <x:c r="J25" s="114" t="str">
        <x:v>I</x:v>
      </x:c>
      <x:c r="K25" s="114" t="str">
        <x:v>I</x:v>
      </x:c>
      <x:c r="L25" s="114" t="str">
        <x:v>C</x:v>
      </x:c>
      <x:c r="M25" s="114" t="str">
        <x:v>I</x:v>
      </x:c>
      <x:c r="N25" s="115" t="str">
        <x:v>Entry to Stage 2 and 3.</x:v>
      </x:c>
    </x:row>
    <x:row r="26">
      <x:c r="A26" s="122" t="str">
        <x:v>RACI-022</x:v>
      </x:c>
      <x:c r="B26" s="123" t="str">
        <x:v>Stage 2 and 3 prompt handoff</x:v>
      </x:c>
      <x:c r="C26" s="123" t="str">
        <x:v>I</x:v>
      </x:c>
      <x:c r="D26" s="123" t="str">
        <x:v>A</x:v>
      </x:c>
      <x:c r="E26" s="123" t="str">
        <x:v>R</x:v>
      </x:c>
      <x:c r="F26" s="123" t="str">
        <x:v>C</x:v>
      </x:c>
      <x:c r="G26" s="123" t="str">
        <x:v>C</x:v>
      </x:c>
      <x:c r="H26" s="123" t="str">
        <x:v>C</x:v>
      </x:c>
      <x:c r="I26" s="123" t="str">
        <x:v>C</x:v>
      </x:c>
      <x:c r="J26" s="123" t="str">
        <x:v>I</x:v>
      </x:c>
      <x:c r="K26" s="123" t="str">
        <x:v>C</x:v>
      </x:c>
      <x:c r="L26" s="123" t="str">
        <x:v>I</x:v>
      </x:c>
      <x:c r="M26" s="123" t="str">
        <x:v>C</x:v>
      </x:c>
      <x:c r="N26" s="124" t="str">
        <x:v>Prompts stored in Master Prompts.</x:v>
      </x:c>
    </x:row>
  </x:sheetData>
  <x:mergeCells>
    <x:mergeCell ref="A1:N1"/>
    <x:mergeCell ref="A2:N2"/>
  </x:mergeCells>
  <x:dataValidations count="1">
    <x:dataValidation type="list" sqref="C5:M26">
      <x:formula1>"R,A,C,I,A/R,"</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0" hidden="0" customWidth="1"/>
    <x:col min="5" max="5" width="32" hidden="0" customWidth="1"/>
    <x:col min="6" max="6" width="42" hidden="0" customWidth="1"/>
    <x:col min="7" max="7" width="16" hidden="0" customWidth="1"/>
    <x:col min="8" max="8" width="46" hidden="0" customWidth="1"/>
    <x:col min="9" max="9" width="38" hidden="0" customWidth="1"/>
    <x:col min="10" max="10" width="14" hidden="0" customWidth="1"/>
    <x:col min="11" max="11" width="34" hidden="0" customWidth="1"/>
    <x:col min="12" max="12" width="22" hidden="0" customWidth="1"/>
    <x:col min="13" max="13" width="44" hidden="0" customWidth="1"/>
  </x:cols>
  <x:sheetData>
    <x:row r="1" ht="30" customHeight="1">
      <x:c r="A1" s="72" t="str">
        <x:v>Build / Buy / Integrate Decisions</x:v>
      </x:c>
      <x:c r="B1" s="72"/>
      <x:c r="C1" s="72"/>
      <x:c r="D1" s="72"/>
      <x:c r="E1" s="72"/>
      <x:c r="F1" s="72"/>
      <x:c r="G1" s="72"/>
      <x:c r="H1" s="72"/>
      <x:c r="I1" s="72"/>
      <x:c r="J1" s="72"/>
      <x:c r="K1" s="72"/>
      <x:c r="L1" s="72"/>
      <x:c r="M1" s="72"/>
    </x:row>
    <x:row r="2" ht="34" customHeight="1">
      <x:c r="A2" s="76" t="str">
        <x:v>Stage 1 recommendations. Legal licence review, procurement and technical spikes remain mandatory before incorporating third-party code or signing commercial agreements.</x:v>
      </x:c>
      <x:c r="B2" s="76"/>
      <x:c r="C2" s="76"/>
      <x:c r="D2" s="76"/>
      <x:c r="E2" s="76"/>
      <x:c r="F2" s="76"/>
      <x:c r="G2" s="76"/>
      <x:c r="H2" s="76"/>
      <x:c r="I2" s="76"/>
      <x:c r="J2" s="76"/>
      <x:c r="K2" s="76"/>
      <x:c r="L2" s="76"/>
      <x:c r="M2" s="76"/>
    </x:row>
    <x:row r="4" ht="28" customHeight="1">
      <x:c r="A4" s="88" t="str">
        <x:v>ID</x:v>
      </x:c>
      <x:c r="B4" s="89" t="str">
        <x:v>Component / capability</x:v>
      </x:c>
      <x:c r="C4" s="89" t="str">
        <x:v>Need</x:v>
      </x:c>
      <x:c r="D4" s="89" t="str">
        <x:v>Relevant reference</x:v>
      </x:c>
      <x:c r="E4" s="89" t="str">
        <x:v>Options considered</x:v>
      </x:c>
      <x:c r="F4" s="89" t="str">
        <x:v>Recommendation</x:v>
      </x:c>
      <x:c r="G4" s="89" t="str">
        <x:v>Nessovo differentiation</x:v>
      </x:c>
      <x:c r="H4" s="89" t="str">
        <x:v>Rationale</x:v>
      </x:c>
      <x:c r="I4" s="89" t="str">
        <x:v>Licence / security note</x:v>
      </x:c>
      <x:c r="J4" s="89" t="str">
        <x:v>Delivery stage</x:v>
      </x:c>
      <x:c r="K4" s="89" t="str">
        <x:v>Revisit trigger</x:v>
      </x:c>
      <x:c r="L4" s="89" t="str">
        <x:v>Accountable owner</x:v>
      </x:c>
      <x:c r="M4" s="90" t="str">
        <x:v>Source URL</x:v>
      </x:c>
    </x:row>
    <x:row r="5">
      <x:c r="A5" s="110" t="str">
        <x:v>BBD-001</x:v>
      </x:c>
      <x:c r="B5" s="111" t="str">
        <x:v>Universal desktop observation engine</x:v>
      </x:c>
      <x:c r="C5" s="111" t="str">
        <x:v>Capture app/window, visual states, input provenance and endpoint context.</x:v>
      </x:c>
      <x:c r="D5" s="111" t="str">
        <x:v>Screenpipe, OpenAdapt, ActivityWatch, commercial monitoring tools</x:v>
      </x:c>
      <x:c r="E5" s="111" t="str">
        <x:v>Build; license; fork; combine native APIs</x:v>
      </x:c>
      <x:c r="F5" s="111" t="str">
        <x:v>Build proprietary core; benchmark references</x:v>
      </x:c>
      <x:c r="G5" s="111" t="str">
        <x:v>Medium</x:v>
      </x:c>
      <x:c r="H5" s="111" t="str">
        <x:v>Capture is foundational, security-sensitive and tightly coupled to Nessovo policy/provenance. Reference implementations reduce discovery risk but do not satisfy full requirements.</x:v>
      </x:c>
      <x:c r="I5" s="111" t="str">
        <x:v>Screenpipe commercial-use licence; OpenAdapt experimental; OS permissions and signing are critical.</x:v>
      </x:c>
      <x:c r="J5" s="111" t="str">
        <x:v>3–5</x:v>
      </x:c>
      <x:c r="K5" s="111" t="str">
        <x:v>A commercial component proves safer, lower-overhead and contractually suitable.</x:v>
      </x:c>
      <x:c r="L5" s="111" t="str">
        <x:v>Desktop Architect</x:v>
      </x:c>
      <x:c r="M5" s="112" t="str">
        <x:v>https://github.com/screenpipe/screenpipe</x:v>
      </x:c>
    </x:row>
    <x:row r="6">
      <x:c r="A6" s="119" t="str">
        <x:v>BBD-002</x:v>
      </x:c>
      <x:c r="B6" s="120" t="str">
        <x:v>Application/window/AFK watcher</x:v>
      </x:c>
      <x:c r="C6" s="120" t="str">
        <x:v>Low-intrusion context and session state.</x:v>
      </x:c>
      <x:c r="D6" s="120" t="str">
        <x:v>ActivityWatch</x:v>
      </x:c>
      <x:c r="E6" s="120" t="str">
        <x:v>Reuse protocol/pattern; incorporate code; build</x:v>
      </x:c>
      <x:c r="F6" s="120" t="str">
        <x:v>Build compatible pattern; inspect MPL obligations</x:v>
      </x:c>
      <x:c r="G6" s="120" t="str">
        <x:v>Low</x:v>
      </x:c>
      <x:c r="H6" s="120" t="str">
        <x:v>Commodity capability; architecture and watcher pattern are useful.</x:v>
      </x:c>
      <x:c r="I6" s="120" t="str">
        <x:v>MPL-2.0 obligations require legal review if code is reused.</x:v>
      </x:c>
      <x:c r="J6" s="120" t="str">
        <x:v>3–5</x:v>
      </x:c>
      <x:c r="K6" s="120" t="str">
        <x:v>ActivityWatch component is adopted under approved licence and security review.</x:v>
      </x:c>
      <x:c r="L6" s="120" t="str">
        <x:v>Desktop Lead</x:v>
      </x:c>
      <x:c r="M6" s="121" t="str">
        <x:v>https://github.com/ActivityWatch/activitywatch</x:v>
      </x:c>
    </x:row>
    <x:row r="7">
      <x:c r="A7" s="113" t="str">
        <x:v>BBD-003</x:v>
      </x:c>
      <x:c r="B7" s="114" t="str">
        <x:v>Accessibility tree and OCR fallback</x:v>
      </x:c>
      <x:c r="C7" s="114" t="str">
        <x:v>Extract structured visible state across applications.</x:v>
      </x:c>
      <x:c r="D7" s="114" t="str">
        <x:v>Screenpipe; OS accessibility APIs; OCR libraries</x:v>
      </x:c>
      <x:c r="E7" s="114" t="str">
        <x:v>Build wrappers; license SDK; use open libraries</x:v>
      </x:c>
      <x:c r="F7" s="114" t="str">
        <x:v>Build OS-native adapters; benchmark OCR libraries</x:v>
      </x:c>
      <x:c r="G7" s="114" t="str">
        <x:v>Medium</x:v>
      </x:c>
      <x:c r="H7" s="114" t="str">
        <x:v>Policy-aware collection, secure-field handling and provenance are differentiators; OCR itself is commodity.</x:v>
      </x:c>
      <x:c r="I7" s="114" t="str">
        <x:v>Models/libraries require licence, model-origin and data-flow review.</x:v>
      </x:c>
      <x:c r="J7" s="114" t="str">
        <x:v>3–5</x:v>
      </x:c>
      <x:c r="K7" s="114" t="str">
        <x:v>Native accessibility coverage is inadequate for target applications.</x:v>
      </x:c>
      <x:c r="L7" s="114" t="str">
        <x:v>Desktop/AI Leads</x:v>
      </x:c>
      <x:c r="M7" s="115" t="str">
        <x:v>https://github.com/screenpipe/screenpipe</x:v>
      </x:c>
    </x:row>
    <x:row r="8">
      <x:c r="A8" s="119" t="str">
        <x:v>BBD-004</x:v>
      </x:c>
      <x:c r="B8" s="120" t="str">
        <x:v>Screen capture and changed-region deduplication</x:v>
      </x:c>
      <x:c r="C8" s="120" t="str">
        <x:v>Capture meaningful visual evidence efficiently.</x:v>
      </x:c>
      <x:c r="D8" s="120" t="str">
        <x:v>Screenpipe; Windows Graphics Capture; ScreenCaptureKit</x:v>
      </x:c>
      <x:c r="E8" s="120" t="str">
        <x:v>Native build; commercial SDK; screenpipe licence</x:v>
      </x:c>
      <x:c r="F8" s="120" t="str">
        <x:v>Build native capture; benchmark Screenpipe performance</x:v>
      </x:c>
      <x:c r="G8" s="120" t="str">
        <x:v>Medium</x:v>
      </x:c>
      <x:c r="H8" s="120" t="str">
        <x:v>Evidence policy, state graph and secure exclusions are proprietary; OS capture primitives are standard.</x:v>
      </x:c>
      <x:c r="I8" s="120" t="str">
        <x:v>Commercial licence needed for Screenpipe use; platform permissions and privacy indicators mandatory.</x:v>
      </x:c>
      <x:c r="J8" s="120" t="str">
        <x:v>3–5</x:v>
      </x:c>
      <x:c r="K8" s="120" t="str">
        <x:v>Benchmark shows unacceptable endpoint overhead or missing platform features.</x:v>
      </x:c>
      <x:c r="L8" s="120" t="str">
        <x:v>Desktop Architect</x:v>
      </x:c>
      <x:c r="M8" s="121" t="str">
        <x:v>https://developer.apple.com/documentation/screencapturekit</x:v>
      </x:c>
    </x:row>
    <x:row r="9">
      <x:c r="A9" s="113" t="str">
        <x:v>BBD-005</x:v>
      </x:c>
      <x:c r="B9" s="114" t="str">
        <x:v>GUI workflow record/replay</x:v>
      </x:c>
      <x:c r="C9" s="114" t="str">
        <x:v>Turn successful workflows into reusable procedural skills.</x:v>
      </x:c>
      <x:c r="D9" s="114" t="str">
        <x:v>OpenAdapt / OpenAdapt Flow; Power Automate</x:v>
      </x:c>
      <x:c r="E9" s="114" t="str">
        <x:v>Integrate; adapt concepts; build later</x:v>
      </x:c>
      <x:c r="F9" s="114" t="str">
        <x:v>Defer runtime replay; adopt evidence and governed-teaching concepts</x:v>
      </x:c>
      <x:c r="G9" s="114" t="str">
        <x:v>Medium</x:v>
      </x:c>
      <x:c r="H9" s="114" t="str">
        <x:v>Nessovo Skill Forge is broader than desktop automation and must support human review.</x:v>
      </x:c>
      <x:c r="I9" s="114" t="str">
        <x:v>OpenAdapt desktop is experimental; automation carries safety and permission risks.</x:v>
      </x:c>
      <x:c r="J9" s="114" t="str">
        <x:v>11+</x:v>
      </x:c>
      <x:c r="K9" s="114" t="str">
        <x:v>A validated HumanOS use case needs deterministic GUI replay.</x:v>
      </x:c>
      <x:c r="L9" s="114" t="str">
        <x:v>Skill Forge Lead</x:v>
      </x:c>
      <x:c r="M9" s="115" t="str">
        <x:v>https://github.com/OpenAdaptAI/openadapt-desktop</x:v>
      </x:c>
    </x:row>
    <x:row r="10">
      <x:c r="A10" s="119" t="str">
        <x:v>BBD-006</x:v>
      </x:c>
      <x:c r="B10" s="120" t="str">
        <x:v>Browser activity adapter</x:v>
      </x:c>
      <x:c r="C10" s="120" t="str">
        <x:v>Tab/domain/navigation context and approved page evidence.</x:v>
      </x:c>
      <x:c r="D10" s="120" t="str">
        <x:v>Chrome/Edge extension APIs; ActivityWatch web watcher</x:v>
      </x:c>
      <x:c r="E10" s="120" t="str">
        <x:v>Build extension; reuse watcher; buy monitoring SDK</x:v>
      </x:c>
      <x:c r="F10" s="120" t="str">
        <x:v>Build minimal HumanOS browser extension</x:v>
      </x:c>
      <x:c r="G10" s="120" t="str">
        <x:v>Low/Medium</x:v>
      </x:c>
      <x:c r="H10" s="120" t="str">
        <x:v>Task-aware policy, allowlists and evidence linking matter more than tab capture itself.</x:v>
      </x:c>
      <x:c r="I10" s="120" t="str">
        <x:v>Browser permissions and store-review requirements; avoid broad page-content capture.</x:v>
      </x:c>
      <x:c r="J10" s="120" t="str">
        <x:v>6</x:v>
      </x:c>
      <x:c r="K10" s="120" t="str">
        <x:v>Browser vendors add a suitable enterprise API or HumanOS adopts a browser-management platform.</x:v>
      </x:c>
      <x:c r="L10" s="120" t="str">
        <x:v>Integrations Lead</x:v>
      </x:c>
      <x:c r="M10" s="121" t="str">
        <x:v>https://developer.chrome.com/docs/extensions/reference/api/tabs</x:v>
      </x:c>
    </x:row>
    <x:row r="11">
      <x:c r="A11" s="113" t="str">
        <x:v>BBD-007</x:v>
      </x:c>
      <x:c r="B11" s="114" t="str">
        <x:v>Shell/terminal instrumentation</x:v>
      </x:c>
      <x:c r="C11" s="114" t="str">
        <x:v>Capture commands, process trees, output and automated waits.</x:v>
      </x:c>
      <x:c r="D11" s="114" t="str">
        <x:v>Shell integration, PTY libraries, developer tools</x:v>
      </x:c>
      <x:c r="E11" s="114" t="str">
        <x:v>Build shell hooks; infer from screen; buy endpoint telemetry</x:v>
      </x:c>
      <x:c r="F11" s="114" t="str">
        <x:v>Build shell/PTY adapter SDK</x:v>
      </x:c>
      <x:c r="G11" s="114" t="str">
        <x:v>Medium</x:v>
      </x:c>
      <x:c r="H11" s="114" t="str">
        <x:v>Direct command/result semantics materially improve provenance and task assurance.</x:v>
      </x:c>
      <x:c r="I11" s="114" t="str">
        <x:v>Secret/environment redaction and shell compatibility required.</x:v>
      </x:c>
      <x:c r="J11" s="114" t="str">
        <x:v>6</x:v>
      </x:c>
      <x:c r="K11" s="114" t="str">
        <x:v>OS process telemetry plus CI APIs provide sufficient fidelity.</x:v>
      </x:c>
      <x:c r="L11" s="114" t="str">
        <x:v>Integrations Lead</x:v>
      </x:c>
      <x:c r="M11" s="115" t="str">
        <x:v>https://opentelemetry.io/docs/specs/semconv/</x:v>
      </x:c>
    </x:row>
    <x:row r="12">
      <x:c r="A12" s="119" t="str">
        <x:v>BBD-008</x:v>
      </x:c>
      <x:c r="B12" s="120" t="str">
        <x:v>AI-agent lifecycle instrumentation</x:v>
      </x:c>
      <x:c r="C12" s="120" t="str">
        <x:v>Prompts, tool calls, file changes, permissions and reviews.</x:v>
      </x:c>
      <x:c r="D12" s="120" t="str">
        <x:v>Codex hooks, Claude hooks, Claude-Mem</x:v>
      </x:c>
      <x:c r="E12" s="120" t="str">
        <x:v>Official hooks; desktop inference; proxy all model traffic</x:v>
      </x:c>
      <x:c r="F12" s="120" t="str">
        <x:v>Integrate official hooks first; provide normalising adapter hub</x:v>
      </x:c>
      <x:c r="G12" s="120" t="str">
        <x:v>High</x:v>
      </x:c>
      <x:c r="H12" s="120" t="str">
        <x:v>Cross-agent provenance, review behaviour and task/capability linkage are core differentiation.</x:v>
      </x:c>
      <x:c r="I12" s="120" t="str">
        <x:v>Prompt/tool content is sensitive; hooks vary by provider/version.</x:v>
      </x:c>
      <x:c r="J12" s="120" t="str">
        <x:v>6</x:v>
      </x:c>
      <x:c r="K12" s="120" t="str">
        <x:v>Provider APIs converge on a stable common standard.</x:v>
      </x:c>
      <x:c r="L12" s="120" t="str">
        <x:v>AI Integrations Lead</x:v>
      </x:c>
      <x:c r="M12" s="121" t="str">
        <x:v>https://developers.openai.com/codex/hooks</x:v>
      </x:c>
    </x:row>
    <x:row r="13">
      <x:c r="A13" s="113" t="str">
        <x:v>BBD-009</x:v>
      </x:c>
      <x:c r="B13" s="114" t="str">
        <x:v>AI session memory</x:v>
      </x:c>
      <x:c r="C13" s="114" t="str">
        <x:v>Searchable compressed observations and session continuity.</x:v>
      </x:c>
      <x:c r="D13" s="114" t="str">
        <x:v>Claude-Mem</x:v>
      </x:c>
      <x:c r="E13" s="114" t="str">
        <x:v>Integrate; adapt architecture; build</x:v>
      </x:c>
      <x:c r="F13" s="114" t="str">
        <x:v>Build HumanOS memory service using hook/worker/search pattern</x:v>
      </x:c>
      <x:c r="G13" s="114" t="str">
        <x:v>Medium</x:v>
      </x:c>
      <x:c r="H13" s="114" t="str">
        <x:v>Memory must be tenant-aware, policy-controlled and linked to HumanOS tasks/capabilities.</x:v>
      </x:c>
      <x:c r="I13" s="114" t="str">
        <x:v>Claude-Mem is Apache-2.0 but provider-specific architecture still needs security review.</x:v>
      </x:c>
      <x:c r="J13" s="114" t="str">
        <x:v>6–11</x:v>
      </x:c>
      <x:c r="K13" s="114" t="str">
        <x:v>A mature cross-agent memory service meets HumanOS governance requirements.</x:v>
      </x:c>
      <x:c r="L13" s="114" t="str">
        <x:v>AI Platform Lead</x:v>
      </x:c>
      <x:c r="M13" s="115" t="str">
        <x:v>https://github.com/thedotmack/claude-mem</x:v>
      </x:c>
    </x:row>
    <x:row r="14">
      <x:c r="A14" s="119" t="str">
        <x:v>BBD-010</x:v>
      </x:c>
      <x:c r="B14" s="120" t="str">
        <x:v>Skill observation methodology</x:v>
      </x:c>
      <x:c r="C14" s="120" t="str">
        <x:v>Capture corrections, gaps and reusable methods.</x:v>
      </x:c>
      <x:c r="D14" s="120" t="str">
        <x:v>Task Observer</x:v>
      </x:c>
      <x:c r="E14" s="120" t="str">
        <x:v>Use methodology; incorporate templates; build</x:v>
      </x:c>
      <x:c r="F14" s="120" t="str">
        <x:v>Adapt methodology with attribution and governed Skill Forge</x:v>
      </x:c>
      <x:c r="G14" s="120" t="str">
        <x:v>High</x:v>
      </x:c>
      <x:c r="H14" s="120" t="str">
        <x:v>Nessovo requires organisational, role and cross-vertical skill governance.</x:v>
      </x:c>
      <x:c r="I14" s="120" t="str">
        <x:v>CC BY 4.0 attribution required for adapted published material.</x:v>
      </x:c>
      <x:c r="J14" s="120" t="str">
        <x:v>11</x:v>
      </x:c>
      <x:c r="K14" s="120" t="str">
        <x:v>Internal methodology diverges materially or another framework is standardised.</x:v>
      </x:c>
      <x:c r="L14" s="120" t="str">
        <x:v>Skill Forge Lead</x:v>
      </x:c>
      <x:c r="M14" s="121" t="str">
        <x:v>https://github.com/rebelytics/one-skill-to-rule-them-all</x:v>
      </x:c>
    </x:row>
    <x:row r="15">
      <x:c r="A15" s="113" t="str">
        <x:v>BBD-011</x:v>
      </x:c>
      <x:c r="B15" s="114" t="str">
        <x:v>Employee monitoring vendor</x:v>
      </x:c>
      <x:c r="C15" s="114" t="str">
        <x:v>Commodity screenshots, keystrokes, app/web and idle tracking.</x:v>
      </x:c>
      <x:c r="D15" s="114" t="str">
        <x:v>Teramind, Veriato, Hubstaff, Insightful</x:v>
      </x:c>
      <x:c r="E15" s="114" t="str">
        <x:v>Buy; integrate; replace</x:v>
      </x:c>
      <x:c r="F15" s="114" t="str">
        <x:v>Do not use as product core; benchmark as market baseline only</x:v>
      </x:c>
      <x:c r="G15" s="114" t="str">
        <x:v>Low</x:v>
      </x:c>
      <x:c r="H15" s="114" t="str">
        <x:v>Buying may accelerate raw monitoring but creates data-control, differentiation, integration and trust problems.</x:v>
      </x:c>
      <x:c r="I15" s="114" t="str">
        <x:v>Vendor processing, cross-border data and opaque controls require deep due diligence.</x:v>
      </x:c>
      <x:c r="J15" s="114" t="str">
        <x:v>0–1</x:v>
      </x:c>
      <x:c r="K15" s="114" t="str">
        <x:v>A vendor offers on-prem/local-first APIs, strong exclusions and acceptable commercial terms.</x:v>
      </x:c>
      <x:c r="L15" s="114" t="str">
        <x:v>Product/Procurement</x:v>
      </x:c>
      <x:c r="M15" s="115" t="str">
        <x:v>https://www.teramind.co/solutions/employee-monitoring/</x:v>
      </x:c>
    </x:row>
    <x:row r="16">
      <x:c r="A16" s="119" t="str">
        <x:v>BBD-012</x:v>
      </x:c>
      <x:c r="B16" s="120" t="str">
        <x:v>Task/process mining engine</x:v>
      </x:c>
      <x:c r="C16" s="120" t="str">
        <x:v>Discover workflows and process variants.</x:v>
      </x:c>
      <x:c r="D16" s="120" t="str">
        <x:v>UiPath, ABBYY, Soroco, Workfellow</x:v>
      </x:c>
      <x:c r="E16" s="120" t="str">
        <x:v>Buy; partner; build targeted episode mining</x:v>
      </x:c>
      <x:c r="F16" s="120" t="str">
        <x:v>Build targeted task-assurance analytics; consider enterprise connectors later</x:v>
      </x:c>
      <x:c r="G16" s="120" t="str">
        <x:v>High</x:v>
      </x:c>
      <x:c r="H16" s="120" t="str">
        <x:v>Nessovo evaluates assigned-task outcome and capability, not only process discovery.</x:v>
      </x:c>
      <x:c r="I16" s="120" t="str">
        <x:v>Commercial platforms may become data sources/partners, not foundational dependencies.</x:v>
      </x:c>
      <x:c r="J16" s="120" t="str">
        <x:v>7+</x:v>
      </x:c>
      <x:c r="K16" s="120" t="str">
        <x:v>A customer already standardises on a task-mining platform and requests integration.</x:v>
      </x:c>
      <x:c r="L16" s="120" t="str">
        <x:v>Product Strategy</x:v>
      </x:c>
      <x:c r="M16" s="121" t="str">
        <x:v>https://docs.uipath.com/</x:v>
      </x:c>
    </x:row>
    <x:row r="17">
      <x:c r="A17" s="113" t="str">
        <x:v>BBD-013</x:v>
      </x:c>
      <x:c r="B17" s="114" t="str">
        <x:v>Skills intelligence platform</x:v>
      </x:c>
      <x:c r="C17" s="114" t="str">
        <x:v>Role skill graph, inferred skills and learning recommendations.</x:v>
      </x:c>
      <x:c r="D17" s="114" t="str">
        <x:v>Workday/TechWolf, Eightfold, Gloat, Degreed</x:v>
      </x:c>
      <x:c r="E17" s="114" t="str">
        <x:v>Buy; integrate HRIS; build capability evidence core</x:v>
      </x:c>
      <x:c r="F17" s="114" t="str">
        <x:v>Build HumanOS Capability Graph; integrate HRIS/LMS content later</x:v>
      </x:c>
      <x:c r="G17" s="114" t="str">
        <x:v>High</x:v>
      </x:c>
      <x:c r="H17" s="114" t="str">
        <x:v>Evidence from observed work and task contracts is central to Nessovo differentiation.</x:v>
      </x:c>
      <x:c r="I17" s="114" t="str">
        <x:v>Employment AI and fairness risks; avoid opaque inferred-skill imports.</x:v>
      </x:c>
      <x:c r="J17" s="114" t="str">
        <x:v>8–9</x:v>
      </x:c>
      <x:c r="K17" s="114" t="str">
        <x:v>Enterprise customer mandates an existing skills platform as system of record.</x:v>
      </x:c>
      <x:c r="L17" s="114" t="str">
        <x:v>Capability Product Lead</x:v>
      </x:c>
      <x:c r="M17" s="115" t="str">
        <x:v>https://www.techwolf.ai/</x:v>
      </x:c>
    </x:row>
    <x:row r="18">
      <x:c r="A18" s="119" t="str">
        <x:v>BBD-014</x:v>
      </x:c>
      <x:c r="B18" s="120" t="str">
        <x:v>Learning content catalogue</x:v>
      </x:c>
      <x:c r="C18" s="120" t="str">
        <x:v>Provide courses, lessons and assessments after gaps are identified.</x:v>
      </x:c>
      <x:c r="D18" s="120" t="str">
        <x:v>LMS and content vendors</x:v>
      </x:c>
      <x:c r="E18" s="120" t="str">
        <x:v>Build all content; buy catalogue; partner</x:v>
      </x:c>
      <x:c r="F18" s="120" t="str">
        <x:v>Build orchestration and evidence loop; buy/partner content selectively</x:v>
      </x:c>
      <x:c r="G18" s="120" t="str">
        <x:v>Medium</x:v>
      </x:c>
      <x:c r="H18" s="120" t="str">
        <x:v>Gap diagnosis and application-to-work evidence are proprietary; generic content is not.</x:v>
      </x:c>
      <x:c r="I18" s="120" t="str">
        <x:v>Content licence, localisation and quality must be reviewed.</x:v>
      </x:c>
      <x:c r="J18" s="120" t="str">
        <x:v>9+</x:v>
      </x:c>
      <x:c r="K18" s="120" t="str">
        <x:v>Internal content library is sufficient or a strategic content partnership is selected.</x:v>
      </x:c>
      <x:c r="L18" s="120" t="str">
        <x:v>L&amp;D Lead</x:v>
      </x:c>
      <x:c r="M18" s="121" t="str">
        <x:v>https://www.degreed.com/</x:v>
      </x:c>
    </x:row>
    <x:row r="19">
      <x:c r="A19" s="113" t="str">
        <x:v>BBD-015</x:v>
      </x:c>
      <x:c r="B19" s="114" t="str">
        <x:v>Task Assurance Engine</x:v>
      </x:c>
      <x:c r="C19" s="114" t="str">
        <x:v>Evaluate task alignment, progress, quality and acceptance criteria.</x:v>
      </x:c>
      <x:c r="D19" s="114" t="str">
        <x:v>No single direct equivalent found; task mining and developer analytics are partial</x:v>
      </x:c>
      <x:c r="E19" s="114" t="str">
        <x:v>Build; compose commercial rules; outsource AI</x:v>
      </x:c>
      <x:c r="F19" s="114" t="str">
        <x:v>Build as proprietary HumanOS core</x:v>
      </x:c>
      <x:c r="G19" s="114" t="str">
        <x:v>Very High</x:v>
      </x:c>
      <x:c r="H19" s="114" t="str">
        <x:v>This is the principal product intelligence layer and must be explainable, domain-extensible and evidence-linked.</x:v>
      </x:c>
      <x:c r="I19" s="114" t="str">
        <x:v>Models may be third party, but decision logic, prompts/evals and evidence contracts remain Nessovo-controlled.</x:v>
      </x:c>
      <x:c r="J19" s="114" t="str">
        <x:v>7</x:v>
      </x:c>
      <x:c r="K19" s="114" t="str">
        <x:v>None unless an enterprise-standard assurance platform emerges.</x:v>
      </x:c>
      <x:c r="L19" s="114" t="str">
        <x:v>Product/AI Lead</x:v>
      </x:c>
      <x:c r="M19" s="115" t="str">
        <x:v>Internal proprietary</x:v>
      </x:c>
    </x:row>
    <x:row r="20">
      <x:c r="A20" s="119" t="str">
        <x:v>BBD-016</x:v>
      </x:c>
      <x:c r="B20" s="120" t="str">
        <x:v>Human/AI/automation provenance graph</x:v>
      </x:c>
      <x:c r="C20" s="120" t="str">
        <x:v>Trace cause from human input through agents, tools, processes and artefacts.</x:v>
      </x:c>
      <x:c r="D20" s="120" t="str">
        <x:v>OTel GenAI, Codex hooks, GitClear-style attribution</x:v>
      </x:c>
      <x:c r="E20" s="120" t="str">
        <x:v>Build; use observability backend; buy code attribution</x:v>
      </x:c>
      <x:c r="F20" s="120" t="str">
        <x:v>Build proprietary provenance model using open standards where possible</x:v>
      </x:c>
      <x:c r="G20" s="120" t="str">
        <x:v>Very High</x:v>
      </x:c>
      <x:c r="H20" s="120" t="str">
        <x:v>Cross-surface causal attribution is a key moat and required for fair credit and idle classification.</x:v>
      </x:c>
      <x:c r="I20" s="120" t="str">
        <x:v>Avoid copying sensitive prompt content into telemetry systems.</x:v>
      </x:c>
      <x:c r="J20" s="120" t="str">
        <x:v>6–7</x:v>
      </x:c>
      <x:c r="K20" s="120" t="str">
        <x:v>Industry standards mature enough to represent complete work causality.</x:v>
      </x:c>
      <x:c r="L20" s="120" t="str">
        <x:v>Data/AI Architect</x:v>
      </x:c>
      <x:c r="M20" s="121" t="str">
        <x:v>https://opentelemetry.io/docs/specs/semconv/registry/attributes/gen-ai/</x:v>
      </x:c>
    </x:row>
    <x:row r="21">
      <x:c r="A21" s="113" t="str">
        <x:v>BBD-017</x:v>
      </x:c>
      <x:c r="B21" s="114" t="str">
        <x:v>Capability Graph and role readiness</x:v>
      </x:c>
      <x:c r="C21" s="114" t="str">
        <x:v>Link job requirements, tasks, evidence, autonomy and learning.</x:v>
      </x:c>
      <x:c r="D21" s="114" t="str">
        <x:v>SFIA, HR skills platforms</x:v>
      </x:c>
      <x:c r="E21" s="114" t="str">
        <x:v>Use external framework; buy skills platform; build</x:v>
      </x:c>
      <x:c r="F21" s="114" t="str">
        <x:v>Build core ontology; map external frameworks as references</x:v>
      </x:c>
      <x:c r="G21" s="114" t="str">
        <x:v>Very High</x:v>
      </x:c>
      <x:c r="H21" s="114" t="str">
        <x:v>Nessovo capability evidence and game-like progression depend on a transparent, extensible core model.</x:v>
      </x:c>
      <x:c r="I21" s="114" t="str">
        <x:v>Employment fairness, protected-trait exclusion and human review are mandatory.</x:v>
      </x:c>
      <x:c r="J21" s="114" t="str">
        <x:v>2,8</x:v>
      </x:c>
      <x:c r="K21" s="114" t="str">
        <x:v>A regulatory/industry framework becomes a mandatory system of record.</x:v>
      </x:c>
      <x:c r="L21" s="114" t="str">
        <x:v>Capability Product Lead</x:v>
      </x:c>
      <x:c r="M21" s="115" t="str">
        <x:v>https://sfia-online.org/</x:v>
      </x:c>
    </x:row>
    <x:row r="22">
      <x:c r="A22" s="119" t="str">
        <x:v>BBD-018</x:v>
      </x:c>
      <x:c r="B22" s="120" t="str">
        <x:v>Growth Coach</x:v>
      </x:c>
      <x:c r="C22" s="120" t="str">
        <x:v>Real-time contextual support and adaptive training.</x:v>
      </x:c>
      <x:c r="D22" s="120" t="str">
        <x:v>Copilots, LMS assistants, workforce coaching tools</x:v>
      </x:c>
      <x:c r="E22" s="120" t="str">
        <x:v>Buy chatbot; build; use model APIs</x:v>
      </x:c>
      <x:c r="F22" s="120" t="str">
        <x:v>Build HumanOS coaching orchestration and evaluations on approved model gateway</x:v>
      </x:c>
      <x:c r="G22" s="120" t="str">
        <x:v>High</x:v>
      </x:c>
      <x:c r="H22" s="120" t="str">
        <x:v>Task evidence, capability gaps and intervention effectiveness create proprietary context.</x:v>
      </x:c>
      <x:c r="I22" s="120" t="str">
        <x:v>Avoid over-coaching, manipulation and unreviewed high-impact advice.</x:v>
      </x:c>
      <x:c r="J22" s="120" t="str">
        <x:v>9</x:v>
      </x:c>
      <x:c r="K22" s="120" t="str">
        <x:v>A coaching platform supports HumanOS evidence and governance contracts.</x:v>
      </x:c>
      <x:c r="L22" s="120" t="str">
        <x:v>AI/L&amp;D Lead</x:v>
      </x:c>
      <x:c r="M22" s="121" t="str">
        <x:v>Internal proprietary</x:v>
      </x:c>
    </x:row>
    <x:row r="23">
      <x:c r="A23" s="113" t="str">
        <x:v>BBD-019</x:v>
      </x:c>
      <x:c r="B23" s="114" t="str">
        <x:v>Skill Forge</x:v>
      </x:c>
      <x:c r="C23" s="114" t="str">
        <x:v>Improve prompts, plugins, evaluators and methods through observed feedback.</x:v>
      </x:c>
      <x:c r="D23" s="114" t="str">
        <x:v>Claude-Mem, Task Observer, Record &amp; Replay</x:v>
      </x:c>
      <x:c r="E23" s="114" t="str">
        <x:v>Integrate; adapt; build</x:v>
      </x:c>
      <x:c r="F23" s="114" t="str">
        <x:v>Build governed HumanOS Skill Forge using referenced patterns</x:v>
      </x:c>
      <x:c r="G23" s="114" t="str">
        <x:v>Very High</x:v>
      </x:c>
      <x:c r="H23" s="114" t="str">
        <x:v>Cross-vertical skill lifecycle, evaluation, approval and rollback are strategic HumanOS capabilities.</x:v>
      </x:c>
      <x:c r="I23" s="114" t="str">
        <x:v>Attribution/licence and confidential-data separation required.</x:v>
      </x:c>
      <x:c r="J23" s="114" t="str">
        <x:v>11</x:v>
      </x:c>
      <x:c r="K23" s="114" t="str">
        <x:v>HumanOS adopts a compatible enterprise skill registry/evaluation platform.</x:v>
      </x:c>
      <x:c r="L23" s="114" t="str">
        <x:v>AI Platform Lead</x:v>
      </x:c>
      <x:c r="M23" s="115" t="str">
        <x:v>https://github.com/rebelytics/one-skill-to-rule-them-all</x:v>
      </x:c>
    </x:row>
    <x:row r="24">
      <x:c r="A24" s="119" t="str">
        <x:v>BBD-020</x:v>
      </x:c>
      <x:c r="B24" s="120" t="str">
        <x:v>Event streaming backbone</x:v>
      </x:c>
      <x:c r="C24" s="120" t="str">
        <x:v>Durable, replayable, partitioned evidence and domain event flow.</x:v>
      </x:c>
      <x:c r="D24" s="120" t="str">
        <x:v>Apache Kafka / compatible managed services</x:v>
      </x:c>
      <x:c r="E24" s="120" t="str">
        <x:v>Operate Kafka; buy managed Kafka; use existing HumanOS event bus</x:v>
      </x:c>
      <x:c r="F24" s="120" t="str">
        <x:v>Reuse HumanOS Kafka-compatible bus; managed service depends on deployment</x:v>
      </x:c>
      <x:c r="G24" s="120" t="str">
        <x:v>Low</x:v>
      </x:c>
      <x:c r="H24" s="120" t="str">
        <x:v>Commodity infrastructure; HumanOS event semantics are the differentiator.</x:v>
      </x:c>
      <x:c r="I24" s="120" t="str">
        <x:v>Data residency, encryption and operations model need review.</x:v>
      </x:c>
      <x:c r="J24" s="120" t="str">
        <x:v>4</x:v>
      </x:c>
      <x:c r="K24" s="120" t="str">
        <x:v>Existing HumanOS event bus lacks ordering, replay or scale requirements.</x:v>
      </x:c>
      <x:c r="L24" s="120" t="str">
        <x:v>Platform Architect</x:v>
      </x:c>
      <x:c r="M24" s="121" t="str">
        <x:v>https://kafka.apache.org/documentation/</x:v>
      </x:c>
    </x:row>
    <x:row r="25">
      <x:c r="A25" s="113" t="str">
        <x:v>BBD-021</x:v>
      </x:c>
      <x:c r="B25" s="114" t="str">
        <x:v>Event envelope and schema governance</x:v>
      </x:c>
      <x:c r="C25" s="114" t="str">
        <x:v>Interoperable event metadata, versioning and contracts.</x:v>
      </x:c>
      <x:c r="D25" s="114" t="str">
        <x:v>CloudEvents, JSON Schema/Avro/Protobuf, schema registry</x:v>
      </x:c>
      <x:c r="E25" s="114" t="str">
        <x:v>Adopt standard; invent proprietary envelope</x:v>
      </x:c>
      <x:c r="F25" s="114" t="str">
        <x:v>Adopt CloudEvents-style envelope plus Nessovo domain schemas</x:v>
      </x:c>
      <x:c r="G25" s="114" t="str">
        <x:v>Low/Medium</x:v>
      </x:c>
      <x:c r="H25" s="114" t="str">
        <x:v>Standard envelope reduces integration cost; semantic model remains proprietary.</x:v>
      </x:c>
      <x:c r="I25" s="114" t="str">
        <x:v>Do not place sensitive content in envelope attributes.</x:v>
      </x:c>
      <x:c r="J25" s="114" t="str">
        <x:v>4</x:v>
      </x:c>
      <x:c r="K25" s="114" t="str">
        <x:v>Existing HumanOS event contract already satisfies equivalent requirements.</x:v>
      </x:c>
      <x:c r="L25" s="114" t="str">
        <x:v>Data Architect</x:v>
      </x:c>
      <x:c r="M25" s="115" t="str">
        <x:v>https://cloudevents.io/</x:v>
      </x:c>
    </x:row>
    <x:row r="26">
      <x:c r="A26" s="119" t="str">
        <x:v>BBD-022</x:v>
      </x:c>
      <x:c r="B26" s="120" t="str">
        <x:v>Policy engine</x:v>
      </x:c>
      <x:c r="C26" s="120" t="str">
        <x:v>Capture, access, jurisdiction and skill-deployment decisions.</x:v>
      </x:c>
      <x:c r="D26" s="120" t="str">
        <x:v>Open Policy Agent</x:v>
      </x:c>
      <x:c r="E26" s="120" t="str">
        <x:v>Use existing HumanOS policy; add OPA; embed rules</x:v>
      </x:c>
      <x:c r="F26" s="120" t="str">
        <x:v>Reuse HumanOS policy service; benchmark OPA for declarative decisions</x:v>
      </x:c>
      <x:c r="G26" s="120" t="str">
        <x:v>Medium</x:v>
      </x:c>
      <x:c r="H26" s="120" t="str">
        <x:v>Policy content is Nessovo-specific; engine is commodity.</x:v>
      </x:c>
      <x:c r="I26" s="120" t="str">
        <x:v>Decision logs can themselves be sensitive; central bundle security required.</x:v>
      </x:c>
      <x:c r="J26" s="120" t="str">
        <x:v>0–4</x:v>
      </x:c>
      <x:c r="K26" s="120" t="str">
        <x:v>Existing policy service cannot express or distribute required rules.</x:v>
      </x:c>
      <x:c r="L26" s="120" t="str">
        <x:v>Security Architect</x:v>
      </x:c>
      <x:c r="M26" s="121" t="str">
        <x:v>https://www.openpolicyagent.org/docs</x:v>
      </x:c>
    </x:row>
    <x:row r="27">
      <x:c r="A27" s="113" t="str">
        <x:v>BBD-023</x:v>
      </x:c>
      <x:c r="B27" s="114" t="str">
        <x:v>Operational and AI observability</x:v>
      </x:c>
      <x:c r="C27" s="114" t="str">
        <x:v>Service traces, metrics, logs and model-operation visibility.</x:v>
      </x:c>
      <x:c r="D27" s="114" t="str">
        <x:v>OpenTelemetry</x:v>
      </x:c>
      <x:c r="E27" s="114" t="str">
        <x:v>Adopt OTel; vendor-specific agents</x:v>
      </x:c>
      <x:c r="F27" s="114" t="str">
        <x:v>Adopt OpenTelemetry with strict content policy</x:v>
      </x:c>
      <x:c r="G27" s="114" t="str">
        <x:v>Low</x:v>
      </x:c>
      <x:c r="H27" s="114" t="str">
        <x:v>Standard operational telemetry enables portability; raw worker evidence remains separate.</x:v>
      </x:c>
      <x:c r="I27" s="114" t="str">
        <x:v>GenAI input/output can contain sensitive data and must be opt-in/filterable.</x:v>
      </x:c>
      <x:c r="J27" s="114" t="str">
        <x:v>3+</x:v>
      </x:c>
      <x:c r="K27" s="114" t="str">
        <x:v>Existing HumanOS observability standard is equivalent and fully compatible.</x:v>
      </x:c>
      <x:c r="L27" s="114" t="str">
        <x:v>SRE/AI Platform</x:v>
      </x:c>
      <x:c r="M27" s="115" t="str">
        <x:v>https://opentelemetry.io/docs/</x:v>
      </x:c>
    </x:row>
    <x:row r="28">
      <x:c r="A28" s="119" t="str">
        <x:v>BBD-024</x:v>
      </x:c>
      <x:c r="B28" s="120" t="str">
        <x:v>Transactional evidence metadata store</x:v>
      </x:c>
      <x:c r="C28" s="120" t="str">
        <x:v>Sessions, tasks, events, reviews, capabilities and policy state.</x:v>
      </x:c>
      <x:c r="D28" s="120" t="str">
        <x:v>PostgreSQL</x:v>
      </x:c>
      <x:c r="E28" s="120" t="str">
        <x:v>PostgreSQL; document DB; distributed DB</x:v>
      </x:c>
      <x:c r="F28" s="120" t="str">
        <x:v>Use existing HumanOS PostgreSQL standard</x:v>
      </x:c>
      <x:c r="G28" s="120" t="str">
        <x:v>Low</x:v>
      </x:c>
      <x:c r="H28" s="120" t="str">
        <x:v>Reliable transactional model and tooling; avoid premature specialised stores.</x:v>
      </x:c>
      <x:c r="I28" s="120" t="str">
        <x:v>Tenant isolation, row-level controls and encryption needed.</x:v>
      </x:c>
      <x:c r="J28" s="120" t="str">
        <x:v>4+</x:v>
      </x:c>
      <x:c r="K28" s="120" t="str">
        <x:v>Measured scale or query profile exceeds the platform.</x:v>
      </x:c>
      <x:c r="L28" s="120" t="str">
        <x:v>Data Architect</x:v>
      </x:c>
      <x:c r="M28" s="121" t="str">
        <x:v>https://www.postgresql.org/</x:v>
      </x:c>
    </x:row>
    <x:row r="29">
      <x:c r="A29" s="113" t="str">
        <x:v>BBD-025</x:v>
      </x:c>
      <x:c r="B29" s="114" t="str">
        <x:v>Evidence object store</x:v>
      </x:c>
      <x:c r="C29" s="114" t="str">
        <x:v>Screenshots, redacted content, artefact snapshots and exports.</x:v>
      </x:c>
      <x:c r="D29" s="114" t="str">
        <x:v>S3-compatible object storage / MinIO</x:v>
      </x:c>
      <x:c r="E29" s="114" t="str">
        <x:v>Managed object storage; self-hosted; database blobs</x:v>
      </x:c>
      <x:c r="F29" s="114" t="str">
        <x:v>Reuse HumanOS object storage with per-object policy and retention</x:v>
      </x:c>
      <x:c r="G29" s="114" t="str">
        <x:v>Low/Medium</x:v>
      </x:c>
      <x:c r="H29" s="114" t="str">
        <x:v>Content-addressing, encryption and policy metadata are Nessovo design value.</x:v>
      </x:c>
      <x:c r="I29" s="114" t="str">
        <x:v>Regional residency, malware scanning and legal holds required.</x:v>
      </x:c>
      <x:c r="J29" s="114" t="str">
        <x:v>4+</x:v>
      </x:c>
      <x:c r="K29" s="114" t="str">
        <x:v>HumanOS object service cannot support policy/retention/audit needs.</x:v>
      </x:c>
      <x:c r="L29" s="114" t="str">
        <x:v>Platform/Data</x:v>
      </x:c>
      <x:c r="M29" s="115" t="str">
        <x:v>https://min.io/</x:v>
      </x:c>
    </x:row>
    <x:row r="30">
      <x:c r="A30" s="122" t="str">
        <x:v>BBD-026</x:v>
      </x:c>
      <x:c r="B30" s="123" t="str">
        <x:v>Graph database</x:v>
      </x:c>
      <x:c r="C30" s="123" t="str">
        <x:v>Complex causal and capability graph traversal.</x:v>
      </x:c>
      <x:c r="D30" s="123" t="str">
        <x:v>Neo4j, JanusGraph, Amazon Neptune</x:v>
      </x:c>
      <x:c r="E30" s="123" t="str">
        <x:v>Adopt now; PostgreSQL relations; graph projection</x:v>
      </x:c>
      <x:c r="F30" s="123" t="str">
        <x:v>Defer; model graph logically in PostgreSQL first</x:v>
      </x:c>
      <x:c r="G30" s="123" t="str">
        <x:v>Medium</x:v>
      </x:c>
      <x:c r="H30" s="123" t="str">
        <x:v>Graph queries may matter later, but early dedicated infrastructure adds complexity before query evidence.</x:v>
      </x:c>
      <x:c r="I30" s="123" t="str">
        <x:v>Licence/managed-service lock-in and operational burden.</x:v>
      </x:c>
      <x:c r="J30" s="123" t="str">
        <x:v>7–8</x:v>
      </x:c>
      <x:c r="K30" s="123" t="str">
        <x:v>Benchmarks show repeated multi-hop queries cannot meet requirements in PostgreSQL.</x:v>
      </x:c>
      <x:c r="L30" s="123" t="str">
        <x:v>Data Architect</x:v>
      </x:c>
      <x:c r="M30" s="124" t="str">
        <x:v>https://neo4j.com/</x:v>
      </x:c>
    </x:row>
  </x:sheetData>
  <x:mergeCells>
    <x:mergeCell ref="A1:M1"/>
    <x:mergeCell ref="A2:M2"/>
  </x:mergeCells>
  <x:dataValidations count="1">
    <x:dataValidation type="list" sqref="F5:F30">
      <x:formula1>"Build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8" hidden="0" customWidth="1"/>
    <x:col min="3" max="3" width="30" hidden="0" customWidth="1"/>
    <x:col min="4" max="4" width="48" hidden="0" customWidth="1"/>
    <x:col min="5" max="5" width="24" hidden="0" customWidth="1"/>
    <x:col min="6" max="6" width="30" hidden="0" customWidth="1"/>
    <x:col min="7" max="7" width="32" hidden="0" customWidth="1"/>
    <x:col min="8" max="8" width="34" hidden="0" customWidth="1"/>
    <x:col min="9" max="9" width="28" hidden="0" customWidth="1"/>
    <x:col min="10" max="10" width="25" hidden="0" customWidth="1"/>
    <x:col min="11" max="11" width="14" hidden="0" customWidth="1"/>
    <x:col min="12" max="12" width="42" hidden="0" customWidth="1"/>
    <x:col min="13" max="13" width="38" hidden="0" customWidth="1"/>
  </x:cols>
  <x:sheetData>
    <x:row r="1" ht="30" customHeight="1">
      <x:c r="A1" s="72" t="str">
        <x:v>HumanOS Work Intelligence — Reference Architecture</x:v>
      </x:c>
      <x:c r="B1" s="72"/>
      <x:c r="C1" s="72"/>
      <x:c r="D1" s="72"/>
      <x:c r="E1" s="72"/>
      <x:c r="F1" s="72"/>
      <x:c r="G1" s="72"/>
      <x:c r="H1" s="72"/>
      <x:c r="I1" s="72"/>
      <x:c r="J1" s="72"/>
      <x:c r="K1" s="72"/>
      <x:c r="L1" s="72"/>
      <x:c r="M1" s="72"/>
    </x:row>
    <x:row r="2" ht="34" customHeight="1">
      <x:c r="A2" s="76" t="str">
        <x:v>Stage 1 architecture draft. Logical bounded contexts are broader than initial deployables to avoid premature nano-services. Existing HumanOS foundation services remain authoritative where suitable.</x:v>
      </x:c>
      <x:c r="B2" s="76"/>
      <x:c r="C2" s="76"/>
      <x:c r="D2" s="76"/>
      <x:c r="E2" s="76"/>
      <x:c r="F2" s="76"/>
      <x:c r="G2" s="76"/>
      <x:c r="H2" s="76"/>
      <x:c r="I2" s="76"/>
      <x:c r="J2" s="76"/>
      <x:c r="K2" s="76"/>
      <x:c r="L2" s="76"/>
      <x:c r="M2" s="76"/>
    </x:row>
    <x:row r="4" ht="28" customHeight="1">
      <x:c r="A4" s="88" t="str">
        <x:v>ID</x:v>
      </x:c>
      <x:c r="B4" s="89" t="str">
        <x:v>Layer</x:v>
      </x:c>
      <x:c r="C4" s="89" t="str">
        <x:v>Component / bounded context</x:v>
      </x:c>
      <x:c r="D4" s="89" t="str">
        <x:v>Primary responsibility</x:v>
      </x:c>
      <x:c r="E4" s="89" t="str">
        <x:v>Primary runtime</x:v>
      </x:c>
      <x:c r="F4" s="89" t="str">
        <x:v>Primary data</x:v>
      </x:c>
      <x:c r="G4" s="89" t="str">
        <x:v>Consumes / receives</x:v>
      </x:c>
      <x:c r="H4" s="89" t="str">
        <x:v>Publishes / exposes</x:v>
      </x:c>
      <x:c r="I4" s="89" t="str">
        <x:v>HumanOS reuse</x:v>
      </x:c>
      <x:c r="J4" s="89" t="str">
        <x:v>Initial deployment boundary</x:v>
      </x:c>
      <x:c r="K4" s="89" t="str">
        <x:v>Delivery stage</x:v>
      </x:c>
      <x:c r="L4" s="89" t="str">
        <x:v>Decision / scale trigger</x:v>
      </x:c>
      <x:c r="M4" s="90" t="str">
        <x:v>Source / basis</x:v>
      </x:c>
    </x:row>
    <x:row r="5">
      <x:c r="A5" s="110" t="str">
        <x:v>ARC-001</x:v>
      </x:c>
      <x:c r="B5" s="111" t="str">
        <x:v>Device edge</x:v>
      </x:c>
      <x:c r="C5" s="111" t="str">
        <x:v>Native Device Agent Core</x:v>
      </x:c>
      <x:c r="D5" s="111" t="str">
        <x:v>Policy-controlled session state, event correlation, local encryption, batching, offline queue, health and update coordination.</x:v>
      </x:c>
      <x:c r="E5" s="111" t="str">
        <x:v>Rust shared core</x:v>
      </x:c>
      <x:c r="F5" s="111" t="str">
        <x:v>Encrypted SQLite/SQLCipher-style journal + content cache</x:v>
      </x:c>
      <x:c r="G5" s="111" t="str">
        <x:v>Signed policy bundles, session commands, adapter events</x:v>
      </x:c>
      <x:c r="H5" s="111" t="str">
        <x:v>Signed event batches, health, telemetry gaps</x:v>
      </x:c>
      <x:c r="I5" s="111" t="str">
        <x:v>Device identity, policy, secrets, audit</x:v>
      </x:c>
      <x:c r="J5" s="111" t="str">
        <x:v>Endpoint binary</x:v>
      </x:c>
      <x:c r="K5" s="111" t="str">
        <x:v>3–6</x:v>
      </x:c>
      <x:c r="L5" s="111" t="str">
        <x:v>Separate from cloud services; no Python always-on core.</x:v>
      </x:c>
      <x:c r="M5" s="112" t="str">
        <x:v>OpenAdapt/Screenpipe patterns + Nessovo security requirements</x:v>
      </x:c>
    </x:row>
    <x:row r="6">
      <x:c r="A6" s="119" t="str">
        <x:v>ARC-002</x:v>
      </x:c>
      <x:c r="B6" s="120" t="str">
        <x:v>Device edge</x:v>
      </x:c>
      <x:c r="C6" s="120" t="str">
        <x:v>Windows Native Bridge</x:v>
      </x:c>
      <x:c r="D6" s="120" t="str">
        <x:v>Foreground window, process, UI Automation, capture permissions, input provenance and secure-control detection.</x:v>
      </x:c>
      <x:c r="E6" s="120" t="str">
        <x:v>Rust FFI + C#/C++ as required</x:v>
      </x:c>
      <x:c r="F6" s="120" t="str">
        <x:v>In-memory / local journal</x:v>
      </x:c>
      <x:c r="G6" s="120" t="str">
        <x:v>Windows APIs</x:v>
      </x:c>
      <x:c r="H6" s="120" t="str">
        <x:v>Normalised device events</x:v>
      </x:c>
      <x:c r="I6" s="120" t="str">
        <x:v>Device policy</x:v>
      </x:c>
      <x:c r="J6" s="120" t="str">
        <x:v>Endpoint module</x:v>
      </x:c>
      <x:c r="K6" s="120" t="str">
        <x:v>3–6</x:v>
      </x:c>
      <x:c r="L6" s="120" t="str">
        <x:v>Native bridge only; shared semantics remain in Rust core.</x:v>
      </x:c>
      <x:c r="M6" s="121" t="str">
        <x:v>Microsoft UI Automation / ETW / Win32</x:v>
      </x:c>
    </x:row>
    <x:row r="7">
      <x:c r="A7" s="113" t="str">
        <x:v>ARC-003</x:v>
      </x:c>
      <x:c r="B7" s="114" t="str">
        <x:v>Device edge</x:v>
      </x:c>
      <x:c r="C7" s="114" t="str">
        <x:v>macOS Native Bridge</x:v>
      </x:c>
      <x:c r="D7" s="114" t="str">
        <x:v>ScreenCaptureKit, accessibility, application/window events, event monitoring and secure-input awareness.</x:v>
      </x:c>
      <x:c r="E7" s="114" t="str">
        <x:v>Swift/Objective-C + Rust FFI</x:v>
      </x:c>
      <x:c r="F7" s="114" t="str">
        <x:v>In-memory / local journal</x:v>
      </x:c>
      <x:c r="G7" s="114" t="str">
        <x:v>macOS APIs and permissions</x:v>
      </x:c>
      <x:c r="H7" s="114" t="str">
        <x:v>Normalised device events</x:v>
      </x:c>
      <x:c r="I7" s="114" t="str">
        <x:v>Device policy</x:v>
      </x:c>
      <x:c r="J7" s="114" t="str">
        <x:v>Endpoint module</x:v>
      </x:c>
      <x:c r="K7" s="114" t="str">
        <x:v>3–6</x:v>
      </x:c>
      <x:c r="L7" s="114" t="str">
        <x:v>Requires signed/notarised build and explicit TCC permissions.</x:v>
      </x:c>
      <x:c r="M7" s="115" t="str">
        <x:v>Apple ScreenCaptureKit / Accessibility</x:v>
      </x:c>
    </x:row>
    <x:row r="8">
      <x:c r="A8" s="119" t="str">
        <x:v>ARC-004</x:v>
      </x:c>
      <x:c r="B8" s="120" t="str">
        <x:v>Device edge</x:v>
      </x:c>
      <x:c r="C8" s="120" t="str">
        <x:v>Linux Adapter</x:v>
      </x:c>
      <x:c r="D8" s="120" t="str">
        <x:v>Future platform support under Wayland/X11 capability constraints.</x:v>
      </x:c>
      <x:c r="E8" s="120" t="str">
        <x:v>Rust + portal/compositor adapters</x:v>
      </x:c>
      <x:c r="F8" s="120" t="str">
        <x:v>Local journal</x:v>
      </x:c>
      <x:c r="G8" s="120" t="str">
        <x:v>Wayland portals / X11</x:v>
      </x:c>
      <x:c r="H8" s="120" t="str">
        <x:v>Capability-scoped events</x:v>
      </x:c>
      <x:c r="I8" s="120" t="str">
        <x:v>Device policy</x:v>
      </x:c>
      <x:c r="J8" s="120" t="str">
        <x:v>Deferred endpoint module</x:v>
      </x:c>
      <x:c r="K8" s="120" t="str">
        <x:v>Later</x:v>
      </x:c>
      <x:c r="L8" s="120" t="str">
        <x:v>Defer from initial pilot; do not claim parity.</x:v>
      </x:c>
      <x:c r="M8" s="121" t="str">
        <x:v>Wayland input/screen security model</x:v>
      </x:c>
    </x:row>
    <x:row r="9">
      <x:c r="A9" s="113" t="str">
        <x:v>ARC-005</x:v>
      </x:c>
      <x:c r="B9" s="114" t="str">
        <x:v>Device edge</x:v>
      </x:c>
      <x:c r="C9" s="114" t="str">
        <x:v>Browser Extension</x:v>
      </x:c>
      <x:c r="D9" s="114" t="str">
        <x:v>Active tab/domain/navigation, approved page metadata, browser task bookmarks and native messaging.</x:v>
      </x:c>
      <x:c r="E9" s="114" t="str">
        <x:v>TypeScript extension</x:v>
      </x:c>
      <x:c r="F9" s="114" t="str">
        <x:v>Browser local state</x:v>
      </x:c>
      <x:c r="G9" s="114" t="str">
        <x:v>Browser extension APIs</x:v>
      </x:c>
      <x:c r="H9" s="114" t="str">
        <x:v>Browser events to native agent</x:v>
      </x:c>
      <x:c r="I9" s="114" t="str">
        <x:v>Policy/exclusion service</x:v>
      </x:c>
      <x:c r="J9" s="114" t="str">
        <x:v>Browser package</x:v>
      </x:c>
      <x:c r="K9" s="114" t="str">
        <x:v>6</x:v>
      </x:c>
      <x:c r="L9" s="114" t="str">
        <x:v>Domain/title by default; URL path/content only allowlisted.</x:v>
      </x:c>
      <x:c r="M9" s="115" t="str">
        <x:v>Chrome/Edge extension APIs</x:v>
      </x:c>
    </x:row>
    <x:row r="10">
      <x:c r="A10" s="119" t="str">
        <x:v>ARC-006</x:v>
      </x:c>
      <x:c r="B10" s="120" t="str">
        <x:v>Device edge</x:v>
      </x:c>
      <x:c r="C10" s="120" t="str">
        <x:v>Adapter SDK</x:v>
      </x:c>
      <x:c r="D10" s="120" t="str">
        <x:v>Common lifecycle contract for IDE, shell, AI agent, simulator and application adapters.</x:v>
      </x:c>
      <x:c r="E10" s="120" t="str">
        <x:v>Rust/TypeScript/Java/Python SDKs</x:v>
      </x:c>
      <x:c r="F10" s="120" t="str">
        <x:v>Local config</x:v>
      </x:c>
      <x:c r="G10" s="120" t="str">
        <x:v>Tool-specific hooks</x:v>
      </x:c>
      <x:c r="H10" s="120" t="str">
        <x:v>Normalised adapter events</x:v>
      </x:c>
      <x:c r="I10" s="120" t="str">
        <x:v>Schema registry / model gateway</x:v>
      </x:c>
      <x:c r="J10" s="120" t="str">
        <x:v>Shared SDK packages</x:v>
      </x:c>
      <x:c r="K10" s="120" t="str">
        <x:v>6</x:v>
      </x:c>
      <x:c r="L10" s="120" t="str">
        <x:v>Versioned, least-privilege adapters.</x:v>
      </x:c>
      <x:c r="M10" s="121" t="str">
        <x:v>Codex hooks / Claude-Mem hook architecture</x:v>
      </x:c>
    </x:row>
    <x:row r="11">
      <x:c r="A11" s="113" t="str">
        <x:v>ARC-007</x:v>
      </x:c>
      <x:c r="B11" s="114" t="str">
        <x:v>Device edge</x:v>
      </x:c>
      <x:c r="C11" s="114" t="str">
        <x:v>Local Policy Evaluator and Cache</x:v>
      </x:c>
      <x:c r="D11" s="114" t="str">
        <x:v>Validate signed capture policy, exclusions, hours, task scope, expiry and fail-safe behaviour.</x:v>
      </x:c>
      <x:c r="E11" s="114" t="str">
        <x:v>Rust; optional embedded policy engine</x:v>
      </x:c>
      <x:c r="F11" s="114" t="str">
        <x:v>Signed policy cache</x:v>
      </x:c>
      <x:c r="G11" s="114" t="str">
        <x:v>Policy bundles</x:v>
      </x:c>
      <x:c r="H11" s="114" t="str">
        <x:v>Allow/deny/redact decisions</x:v>
      </x:c>
      <x:c r="I11" s="114" t="str">
        <x:v>HumanOS policy service</x:v>
      </x:c>
      <x:c r="J11" s="114" t="str">
        <x:v>Endpoint module</x:v>
      </x:c>
      <x:c r="K11" s="114" t="str">
        <x:v>3</x:v>
      </x:c>
      <x:c r="L11" s="114" t="str">
        <x:v>Fail closed for sensitive capture when policy is invalid or expired.</x:v>
      </x:c>
      <x:c r="M11" s="115" t="str">
        <x:v>OPA pattern / Nessovo policy model</x:v>
      </x:c>
    </x:row>
    <x:row r="12">
      <x:c r="A12" s="119" t="str">
        <x:v>ARC-008</x:v>
      </x:c>
      <x:c r="B12" s="120" t="str">
        <x:v>Device edge</x:v>
      </x:c>
      <x:c r="C12" s="120" t="str">
        <x:v>Local Redaction and Secret Guard</x:v>
      </x:c>
      <x:c r="D12" s="120" t="str">
        <x:v>Detect secure controls, secrets and excluded apps/domains before durable storage/upload.</x:v>
      </x:c>
      <x:c r="E12" s="120" t="str">
        <x:v>Rust + local models/rules</x:v>
      </x:c>
      <x:c r="F12" s="120" t="str">
        <x:v>Temporary buffers only</x:v>
      </x:c>
      <x:c r="G12" s="120" t="str">
        <x:v>Raw candidate evidence</x:v>
      </x:c>
      <x:c r="H12" s="120" t="str">
        <x:v>Redacted evidence and suppression events</x:v>
      </x:c>
      <x:c r="I12" s="120" t="str">
        <x:v>DLP/secrets policies</x:v>
      </x:c>
      <x:c r="J12" s="120" t="str">
        <x:v>Endpoint module</x:v>
      </x:c>
      <x:c r="K12" s="120" t="str">
        <x:v>3–5</x:v>
      </x:c>
      <x:c r="L12" s="120" t="str">
        <x:v>Pilot blocking control; raw rejected content is not retained.</x:v>
      </x:c>
      <x:c r="M12" s="121" t="str">
        <x:v>ICO minimisation / Screenpipe PII pattern</x:v>
      </x:c>
    </x:row>
    <x:row r="13">
      <x:c r="A13" s="113" t="str">
        <x:v>ARC-009</x:v>
      </x:c>
      <x:c r="B13" s="114" t="str">
        <x:v>Device edge</x:v>
      </x:c>
      <x:c r="C13" s="114" t="str">
        <x:v>Local Evidence Journal</x:v>
      </x:c>
      <x:c r="D13" s="114" t="str">
        <x:v>Append-only sequence, object hashes, offline durability, retention and safe upload resume.</x:v>
      </x:c>
      <x:c r="E13" s="114" t="str">
        <x:v>Rust</x:v>
      </x:c>
      <x:c r="F13" s="114" t="str">
        <x:v>Encrypted SQLite + content-addressed cache</x:v>
      </x:c>
      <x:c r="G13" s="114" t="str">
        <x:v>Normalised/redacted events</x:v>
      </x:c>
      <x:c r="H13" s="114" t="str">
        <x:v>Batched signed envelopes</x:v>
      </x:c>
      <x:c r="I13" s="114" t="str">
        <x:v>Device/session identity</x:v>
      </x:c>
      <x:c r="J13" s="114" t="str">
        <x:v>Endpoint module</x:v>
      </x:c>
      <x:c r="K13" s="114" t="str">
        <x:v>3–5</x:v>
      </x:c>
      <x:c r="L13" s="114" t="str">
        <x:v>Per-session keys and bounded storage budget.</x:v>
      </x:c>
      <x:c r="M13" s="115" t="str">
        <x:v>Claude-Mem SQLite/WAL pattern + Nessovo requirements</x:v>
      </x:c>
    </x:row>
    <x:row r="14">
      <x:c r="A14" s="119" t="str">
        <x:v>ARC-010</x:v>
      </x:c>
      <x:c r="B14" s="120" t="str">
        <x:v>Control plane</x:v>
      </x:c>
      <x:c r="C14" s="120" t="str">
        <x:v>Device Control &amp; Policy Gateway</x:v>
      </x:c>
      <x:c r="D14" s="120" t="str">
        <x:v>Device registration, certificates, policy distribution, session commands, agent health, revocation and rollout.</x:v>
      </x:c>
      <x:c r="E14" s="120" t="str">
        <x:v>Java 21/25 + Spring Boot</x:v>
      </x:c>
      <x:c r="F14" s="120" t="str">
        <x:v>PostgreSQL</x:v>
      </x:c>
      <x:c r="G14" s="120" t="str">
        <x:v>Device registration/heartbeat</x:v>
      </x:c>
      <x:c r="H14" s="120" t="str">
        <x:v>Policy bundles, session commands, device status API</x:v>
      </x:c>
      <x:c r="I14" s="120" t="str">
        <x:v>IAM, policy, secrets, audit, notification</x:v>
      </x:c>
      <x:c r="J14" s="120" t="str">
        <x:v>Deployable 1</x:v>
      </x:c>
      <x:c r="K14" s="120" t="str">
        <x:v>3–4</x:v>
      </x:c>
      <x:c r="L14" s="120" t="str">
        <x:v>Initial Java deployable; separate if device fleet scale justifies.</x:v>
      </x:c>
      <x:c r="M14" s="121" t="str">
        <x:v>Spring Boot / mTLS / OPA</x:v>
      </x:c>
    </x:row>
    <x:row r="15">
      <x:c r="A15" s="113" t="str">
        <x:v>ARC-011</x:v>
      </x:c>
      <x:c r="B15" s="114" t="str">
        <x:v>Control plane</x:v>
      </x:c>
      <x:c r="C15" s="114" t="str">
        <x:v>Telemetry Ingestion &amp; Schema</x:v>
      </x:c>
      <x:c r="D15" s="114" t="str">
        <x:v>Authenticate signed batches, validate contracts, deduplicate, order by device/session, enforce quotas and publish events.</x:v>
      </x:c>
      <x:c r="E15" s="114" t="str">
        <x:v>Java + Spring Boot + Spring Kafka</x:v>
      </x:c>
      <x:c r="F15" s="114" t="str">
        <x:v>Kafka-compatible bus + PostgreSQL metadata</x:v>
      </x:c>
      <x:c r="G15" s="114" t="str">
        <x:v>Agent event batches</x:v>
      </x:c>
      <x:c r="H15" s="114" t="str">
        <x:v>Normalised event topics, reject/diagnostic events</x:v>
      </x:c>
      <x:c r="I15" s="114" t="str">
        <x:v>IAM, tenant, audit, schema registry</x:v>
      </x:c>
      <x:c r="J15" s="114" t="str">
        <x:v>Deployable 2</x:v>
      </x:c>
      <x:c r="K15" s="114" t="str">
        <x:v>4</x:v>
      </x:c>
      <x:c r="L15" s="114" t="str">
        <x:v>High-throughput boundary with idempotent ingest.</x:v>
      </x:c>
      <x:c r="M15" s="115" t="str">
        <x:v>Apache Kafka / CloudEvents / schema registry</x:v>
      </x:c>
    </x:row>
    <x:row r="16">
      <x:c r="A16" s="119" t="str">
        <x:v>ARC-012</x:v>
      </x:c>
      <x:c r="B16" s="120" t="str">
        <x:v>Evidence</x:v>
      </x:c>
      <x:c r="C16" s="120" t="str">
        <x:v>Evidence &amp; Timeline</x:v>
      </x:c>
      <x:c r="D16" s="120" t="str">
        <x:v>Persist activity events, visual-state references, artefacts, provenance edges, retention state and replay timeline.</x:v>
      </x:c>
      <x:c r="E16" s="120" t="str">
        <x:v>Java + Spring Boot</x:v>
      </x:c>
      <x:c r="F16" s="120" t="str">
        <x:v>PostgreSQL + object storage</x:v>
      </x:c>
      <x:c r="G16" s="120" t="str">
        <x:v>Normalised events, task/agent/file events</x:v>
      </x:c>
      <x:c r="H16" s="120" t="str">
        <x:v>Evidence API, timeline API, evidence.linked events</x:v>
      </x:c>
      <x:c r="I16" s="120" t="str">
        <x:v>Object service, audit, policy</x:v>
      </x:c>
      <x:c r="J16" s="120" t="str">
        <x:v>Deployable 3</x:v>
      </x:c>
      <x:c r="K16" s="120" t="str">
        <x:v>4–7</x:v>
      </x:c>
      <x:c r="L16" s="120" t="str">
        <x:v>Start with relational graph model; split visual storage only if scale/security requires.</x:v>
      </x:c>
      <x:c r="M16" s="121" t="str">
        <x:v>PostgreSQL/object storage/event-sourcing patterns</x:v>
      </x:c>
    </x:row>
    <x:row r="17">
      <x:c r="A17" s="113" t="str">
        <x:v>ARC-013</x:v>
      </x:c>
      <x:c r="B17" s="114" t="str">
        <x:v>Evidence</x:v>
      </x:c>
      <x:c r="C17" s="114" t="str">
        <x:v>Visual Evidence Subdomain</x:v>
      </x:c>
      <x:c r="D17" s="114" t="str">
        <x:v>Changed-region metadata, OCR/accessibility extracts, thumbnails, object policy and redaction lineage.</x:v>
      </x:c>
      <x:c r="E17" s="114" t="str">
        <x:v>Java library/module initially</x:v>
      </x:c>
      <x:c r="F17" s="114" t="str">
        <x:v>Object storage + PostgreSQL</x:v>
      </x:c>
      <x:c r="G17" s="114" t="str">
        <x:v>Visual-state events and objects</x:v>
      </x:c>
      <x:c r="H17" s="114" t="str">
        <x:v>Visual evidence references</x:v>
      </x:c>
      <x:c r="I17" s="114" t="str">
        <x:v>Object service, DLP, audit</x:v>
      </x:c>
      <x:c r="J17" s="114" t="str">
        <x:v>Inside Deployable 3 initially</x:v>
      </x:c>
      <x:c r="K17" s="114" t="str">
        <x:v>4–5</x:v>
      </x:c>
      <x:c r="L17" s="114" t="str">
        <x:v>Future split trigger: independent scale, retention or security domain.</x:v>
      </x:c>
      <x:c r="M17" s="115" t="str">
        <x:v>Screenpipe event-driven capture pattern</x:v>
      </x:c>
    </x:row>
    <x:row r="18">
      <x:c r="A18" s="119" t="str">
        <x:v>ARC-014</x:v>
      </x:c>
      <x:c r="B18" s="120" t="str">
        <x:v>Intelligence</x:v>
      </x:c>
      <x:c r="C18" s="120" t="str">
        <x:v>Task Assurance Orchestrator</x:v>
      </x:c>
      <x:c r="D18" s="120" t="str">
        <x:v>Compile task contracts, coordinate deterministic checks and AI evaluators, maintain criterion state and assessment workflow.</x:v>
      </x:c>
      <x:c r="E18" s="120" t="str">
        <x:v>Java + Spring Boot</x:v>
      </x:c>
      <x:c r="F18" s="120" t="str">
        <x:v>PostgreSQL</x:v>
      </x:c>
      <x:c r="G18" s="120" t="str">
        <x:v>Tasks, evidence, test/build results, review events</x:v>
      </x:c>
      <x:c r="H18" s="120" t="str">
        <x:v>Task assessments, blocker and criterion events</x:v>
      </x:c>
      <x:c r="I18" s="120" t="str">
        <x:v>Task/project, workflow, policy, audit</x:v>
      </x:c>
      <x:c r="J18" s="120" t="str">
        <x:v>Deployable 4A</x:v>
      </x:c>
      <x:c r="K18" s="120" t="str">
        <x:v>2,7</x:v>
      </x:c>
      <x:c r="L18" s="120" t="str">
        <x:v>Java owns durable state and review workflow.</x:v>
      </x:c>
      <x:c r="M18" s="121" t="str">
        <x:v>HumanOS task/workflow foundation</x:v>
      </x:c>
    </x:row>
    <x:row r="19">
      <x:c r="A19" s="113" t="str">
        <x:v>ARC-015</x:v>
      </x:c>
      <x:c r="B19" s="114" t="str">
        <x:v>Intelligence</x:v>
      </x:c>
      <x:c r="C19" s="114" t="str">
        <x:v>Task/Activity AI Evaluators</x:v>
      </x:c>
      <x:c r="D19" s="114" t="str">
        <x:v>Episode segmentation, task alignment, screen/text interpretation, quality reasoning and confidence calibration.</x:v>
      </x:c>
      <x:c r="E19" s="114" t="str">
        <x:v>Python + FastAPI/workers</x:v>
      </x:c>
      <x:c r="F19" s="114" t="str">
        <x:v>Model/eval store + vector index</x:v>
      </x:c>
      <x:c r="G19" s="114" t="str">
        <x:v>Evidence references and approved content</x:v>
      </x:c>
      <x:c r="H19" s="114" t="str">
        <x:v>Evaluator findings with evidence links and model/skill version</x:v>
      </x:c>
      <x:c r="I19" s="114" t="str">
        <x:v>Model gateway, policy, audit</x:v>
      </x:c>
      <x:c r="J19" s="114" t="str">
        <x:v>Deployable 4B</x:v>
      </x:c>
      <x:c r="K19" s="114" t="str">
        <x:v>7</x:v>
      </x:c>
      <x:c r="L19" s="114" t="str">
        <x:v>Python is stateless/worker-oriented; no employment decision authority.</x:v>
      </x:c>
      <x:c r="M19" s="115" t="str">
        <x:v>NIST AI RMF / multimodal models</x:v>
      </x:c>
    </x:row>
    <x:row r="20">
      <x:c r="A20" s="119" t="str">
        <x:v>ARC-016</x:v>
      </x:c>
      <x:c r="B20" s="120" t="str">
        <x:v>Capability &amp; learning</x:v>
      </x:c>
      <x:c r="C20" s="120" t="str">
        <x:v>Capability Domain Service</x:v>
      </x:c>
      <x:c r="D20" s="120" t="str">
        <x:v>Role contracts, capability definitions, claims, evidence state, role readiness and review.</x:v>
      </x:c>
      <x:c r="E20" s="120" t="str">
        <x:v>Java + Spring Boot</x:v>
      </x:c>
      <x:c r="F20" s="120" t="str">
        <x:v>PostgreSQL</x:v>
      </x:c>
      <x:c r="G20" s="120" t="str">
        <x:v>Task assessments, baseline assessments, training outcomes</x:v>
      </x:c>
      <x:c r="H20" s="120" t="str">
        <x:v>Capability evidence/state events and APIs</x:v>
      </x:c>
      <x:c r="I20" s="120" t="str">
        <x:v>IAM, organisation, HR/role, workflow, audit</x:v>
      </x:c>
      <x:c r="J20" s="120" t="str">
        <x:v>Deployable 5A</x:v>
      </x:c>
      <x:c r="K20" s="120" t="str">
        <x:v>2,8</x:v>
      </x:c>
      <x:c r="L20" s="120" t="str">
        <x:v>Transparent evidence model; domain-neutral core.</x:v>
      </x:c>
      <x:c r="M20" s="121" t="str">
        <x:v>SFIA-style mapping + Nessovo ontology</x:v>
      </x:c>
    </x:row>
    <x:row r="21">
      <x:c r="A21" s="113" t="str">
        <x:v>ARC-017</x:v>
      </x:c>
      <x:c r="B21" s="114" t="str">
        <x:v>Capability &amp; learning</x:v>
      </x:c>
      <x:c r="C21" s="114" t="str">
        <x:v>Capability Scoring and Gap Analysis</x:v>
      </x:c>
      <x:c r="D21" s="114" t="str">
        <x:v>Evidence weighting, confidence, recency, consistency, contradiction and gap classification.</x:v>
      </x:c>
      <x:c r="E21" s="114" t="str">
        <x:v>Python services/libraries</x:v>
      </x:c>
      <x:c r="F21" s="114" t="str">
        <x:v>Evaluation store</x:v>
      </x:c>
      <x:c r="G21" s="114" t="str">
        <x:v>Qualified capability evidence</x:v>
      </x:c>
      <x:c r="H21" s="114" t="str">
        <x:v>Scoring recommendations and explanations</x:v>
      </x:c>
      <x:c r="I21" s="114" t="str">
        <x:v>Model gateway, policy, audit</x:v>
      </x:c>
      <x:c r="J21" s="114" t="str">
        <x:v>Deployable 5B or worker pool</x:v>
      </x:c>
      <x:c r="K21" s="114" t="str">
        <x:v>8</x:v>
      </x:c>
      <x:c r="L21" s="114" t="str">
        <x:v>Java service accepts/rejects scoring recommendation under rules.</x:v>
      </x:c>
      <x:c r="M21" s="115" t="str">
        <x:v>Bayesian/uncertainty-aware design recommendation</x:v>
      </x:c>
    </x:row>
    <x:row r="22">
      <x:c r="A22" s="119" t="str">
        <x:v>ARC-018</x:v>
      </x:c>
      <x:c r="B22" s="120" t="str">
        <x:v>Capability &amp; learning</x:v>
      </x:c>
      <x:c r="C22" s="120" t="str">
        <x:v>Growth Coach &amp; Learning</x:v>
      </x:c>
      <x:c r="D22" s="120" t="str">
        <x:v>Intervention selection, learning plans, micro-lessons, practice, mentor escalation and effectiveness tracking.</x:v>
      </x:c>
      <x:c r="E22" s="120" t="str">
        <x:v>Java orchestration + Python AI</x:v>
      </x:c>
      <x:c r="F22" s="120" t="str">
        <x:v>PostgreSQL + content/vector stores</x:v>
      </x:c>
      <x:c r="G22" s="120" t="str">
        <x:v>Task/capability gaps and employee requests</x:v>
      </x:c>
      <x:c r="H22" s="120" t="str">
        <x:v>Coaching/learning events and APIs</x:v>
      </x:c>
      <x:c r="I22" s="120" t="str">
        <x:v>Workflow, notification, model gateway, HR/L&amp;D</x:v>
      </x:c>
      <x:c r="J22" s="120" t="str">
        <x:v>Inside Deployable 5 initially</x:v>
      </x:c>
      <x:c r="K22" s="120" t="str">
        <x:v>9</x:v>
      </x:c>
      <x:c r="L22" s="120" t="str">
        <x:v>Split when learning marketplace/content scale justifies.</x:v>
      </x:c>
      <x:c r="M22" s="121" t="str">
        <x:v>HumanOS workflow + L&amp;D integrations</x:v>
      </x:c>
    </x:row>
    <x:row r="23">
      <x:c r="A23" s="113" t="str">
        <x:v>ARC-019</x:v>
      </x:c>
      <x:c r="B23" s="114" t="str">
        <x:v>AI integration</x:v>
      </x:c>
      <x:c r="C23" s="114" t="str">
        <x:v>AI Adapter Hub</x:v>
      </x:c>
      <x:c r="D23" s="114" t="str">
        <x:v>Normalise Codex, Claude Code, IDE copilots, agent sessions, prompts, tools and permission events.</x:v>
      </x:c>
      <x:c r="E23" s="114" t="str">
        <x:v>Python + Java edge/API</x:v>
      </x:c>
      <x:c r="F23" s="114" t="str">
        <x:v>PostgreSQL metadata</x:v>
      </x:c>
      <x:c r="G23" s="114" t="str">
        <x:v>Provider hooks/adapters</x:v>
      </x:c>
      <x:c r="H23" s="114" t="str">
        <x:v>Normalised agent events</x:v>
      </x:c>
      <x:c r="I23" s="114" t="str">
        <x:v>Model gateway, schema, policy</x:v>
      </x:c>
      <x:c r="J23" s="114" t="str">
        <x:v>Deployable 6A</x:v>
      </x:c>
      <x:c r="K23" s="114" t="str">
        <x:v>6</x:v>
      </x:c>
      <x:c r="L23" s="114" t="str">
        <x:v>Provider-specific adapters behind common contract.</x:v>
      </x:c>
      <x:c r="M23" s="115" t="str">
        <x:v>Codex hooks / Claude-Mem</x:v>
      </x:c>
    </x:row>
    <x:row r="24">
      <x:c r="A24" s="119" t="str">
        <x:v>ARC-020</x:v>
      </x:c>
      <x:c r="B24" s="120" t="str">
        <x:v>AI integration</x:v>
      </x:c>
      <x:c r="C24" s="120" t="str">
        <x:v>Model and Evaluation Gateway</x:v>
      </x:c>
      <x:c r="D24" s="120" t="str">
        <x:v>Model routing, content policy, secret scanning, prompt/skill versions, evaluation, cost and trace metadata.</x:v>
      </x:c>
      <x:c r="E24" s="120" t="str">
        <x:v>Python + Java gateway</x:v>
      </x:c>
      <x:c r="F24" s="120" t="str">
        <x:v>PostgreSQL + cache/eval store</x:v>
      </x:c>
      <x:c r="G24" s="120" t="str">
        <x:v>Approved AI requests</x:v>
      </x:c>
      <x:c r="H24" s="120" t="str">
        <x:v>Responses, audit, evaluation results</x:v>
      </x:c>
      <x:c r="I24" s="120" t="str">
        <x:v>Existing HumanOS model gateway</x:v>
      </x:c>
      <x:c r="J24" s="120" t="str">
        <x:v>Extend existing platform service</x:v>
      </x:c>
      <x:c r="K24" s="120" t="str">
        <x:v>6–11</x:v>
      </x:c>
      <x:c r="L24" s="120" t="str">
        <x:v>Do not duplicate if HumanOS already meets requirements.</x:v>
      </x:c>
      <x:c r="M24" s="121" t="str">
        <x:v>OpenTelemetry GenAI / HumanOS foundation</x:v>
      </x:c>
    </x:row>
    <x:row r="25">
      <x:c r="A25" s="113" t="str">
        <x:v>ARC-021</x:v>
      </x:c>
      <x:c r="B25" s="114" t="str">
        <x:v>Governance</x:v>
      </x:c>
      <x:c r="C25" s="114" t="str">
        <x:v>Governance &amp; Human Review</x:v>
      </x:c>
      <x:c r="D25" s="114" t="str">
        <x:v>Employee access, corrections, disputes, manager evidence requests, human review and consequential-decision safeguards.</x:v>
      </x:c>
      <x:c r="E25" s="114" t="str">
        <x:v>Java + Spring Boot</x:v>
      </x:c>
      <x:c r="F25" s="114" t="str">
        <x:v>PostgreSQL + immutable audit</x:v>
      </x:c>
      <x:c r="G25" s="114" t="str">
        <x:v>Disputes, review requests, evidence-access requests</x:v>
      </x:c>
      <x:c r="H25" s="114" t="str">
        <x:v>Review decisions, corrections, access grants</x:v>
      </x:c>
      <x:c r="I25" s="114" t="str">
        <x:v>Workflow, IAM, audit, notification, policy</x:v>
      </x:c>
      <x:c r="J25" s="114" t="str">
        <x:v>Deployable 7</x:v>
      </x:c>
      <x:c r="K25" s="114" t="str">
        <x:v>0,7–10</x:v>
      </x:c>
      <x:c r="L25" s="114" t="str">
        <x:v>Mandatory before pilot assessment use.</x:v>
      </x:c>
      <x:c r="M25" s="115" t="str">
        <x:v>ICO worker monitoring/human review</x:v>
      </x:c>
    </x:row>
    <x:row r="26">
      <x:c r="A26" s="119" t="str">
        <x:v>ARC-022</x:v>
      </x:c>
      <x:c r="B26" s="120" t="str">
        <x:v>Governance</x:v>
      </x:c>
      <x:c r="C26" s="120" t="str">
        <x:v>Evidence Access Policy</x:v>
      </x:c>
      <x:c r="D26" s="120" t="str">
        <x:v>Role/purpose/task/time/region decisions for raw evidence and reports.</x:v>
      </x:c>
      <x:c r="E26" s="120" t="str">
        <x:v>HumanOS policy service; evaluate OPA</x:v>
      </x:c>
      <x:c r="F26" s="120" t="str">
        <x:v>Policy repository + decision logs</x:v>
      </x:c>
      <x:c r="G26" s="120" t="str">
        <x:v>Policy queries</x:v>
      </x:c>
      <x:c r="H26" s="120" t="str">
        <x:v>Allow/deny/redact decisions</x:v>
      </x:c>
      <x:c r="I26" s="120" t="str">
        <x:v>IAM, organisation, DPO policy</x:v>
      </x:c>
      <x:c r="J26" s="120" t="str">
        <x:v>Existing policy service / sidecar</x:v>
      </x:c>
      <x:c r="K26" s="120" t="str">
        <x:v>0–4</x:v>
      </x:c>
      <x:c r="L26" s="120" t="str">
        <x:v>OPA only if it adds value beyond current HumanOS policy service.</x:v>
      </x:c>
      <x:c r="M26" s="121" t="str">
        <x:v>OPA</x:v>
      </x:c>
    </x:row>
    <x:row r="27">
      <x:c r="A27" s="113" t="str">
        <x:v>ARC-023</x:v>
      </x:c>
      <x:c r="B27" s="114" t="str">
        <x:v>Reporting</x:v>
      </x:c>
      <x:c r="C27" s="114" t="str">
        <x:v>Reporting &amp; Analytics</x:v>
      </x:c>
      <x:c r="D27" s="114" t="str">
        <x:v>Employee timeline, task assurance, manager exceptions, capability views, pilot KPIs and executive reporting.</x:v>
      </x:c>
      <x:c r="E27" s="114" t="str">
        <x:v>Java APIs + BI/analytics</x:v>
      </x:c>
      <x:c r="F27" s="114" t="str">
        <x:v>PostgreSQL read models + warehouse later</x:v>
      </x:c>
      <x:c r="G27" s="114" t="str">
        <x:v>Task/capability/review events</x:v>
      </x:c>
      <x:c r="H27" s="114" t="str">
        <x:v>Reports, exports and analytics APIs</x:v>
      </x:c>
      <x:c r="I27" s="114" t="str">
        <x:v>IAM, audit, notification</x:v>
      </x:c>
      <x:c r="J27" s="114" t="str">
        <x:v>Deployable 8</x:v>
      </x:c>
      <x:c r="K27" s="114" t="str">
        <x:v>10</x:v>
      </x:c>
      <x:c r="L27" s="114" t="str">
        <x:v>Raw evidence is drill-down, not default dashboard content.</x:v>
      </x:c>
      <x:c r="M27" s="115" t="str">
        <x:v>ActivTrak/process intelligence patterns</x:v>
      </x:c>
    </x:row>
    <x:row r="28">
      <x:c r="A28" s="119" t="str">
        <x:v>ARC-024</x:v>
      </x:c>
      <x:c r="B28" s="120" t="str">
        <x:v>Organisational learning</x:v>
      </x:c>
      <x:c r="C28" s="120" t="str">
        <x:v>Skill Forge</x:v>
      </x:c>
      <x:c r="D28" s="120" t="str">
        <x:v>Skill observations, proposals, evaluation suites, approvals, canaries, promotion and rollback.</x:v>
      </x:c>
      <x:c r="E28" s="120" t="str">
        <x:v>Java lifecycle + Python generation/evals</x:v>
      </x:c>
      <x:c r="F28" s="120" t="str">
        <x:v>PostgreSQL + Git/artifact/eval stores</x:v>
      </x:c>
      <x:c r="G28" s="120" t="str">
        <x:v>Feedback, corrections, successful patterns</x:v>
      </x:c>
      <x:c r="H28" s="120" t="str">
        <x:v>Skill versions and deployment events</x:v>
      </x:c>
      <x:c r="I28" s="120" t="str">
        <x:v>Workflow, model gateway, audit, policy</x:v>
      </x:c>
      <x:c r="J28" s="120" t="str">
        <x:v>Inside AI platform initially; later deployable</x:v>
      </x:c>
      <x:c r="K28" s="120" t="str">
        <x:v>11</x:v>
      </x:c>
      <x:c r="L28" s="120" t="str">
        <x:v>Separate only when lifecycle scale/ownership justifies.</x:v>
      </x:c>
      <x:c r="M28" s="121" t="str">
        <x:v>Claude-Mem / Task Observer / Record &amp; Replay</x:v>
      </x:c>
    </x:row>
    <x:row r="29">
      <x:c r="A29" s="113" t="str">
        <x:v>ARC-025</x:v>
      </x:c>
      <x:c r="B29" s="114" t="str">
        <x:v>Shared HumanOS</x:v>
      </x:c>
      <x:c r="C29" s="114" t="str">
        <x:v>Identity and Access</x:v>
      </x:c>
      <x:c r="D29" s="114" t="str">
        <x:v>Person, device, service identity, roles, authentication and authorisation context.</x:v>
      </x:c>
      <x:c r="E29" s="114" t="str">
        <x:v>Existing HumanOS Java service</x:v>
      </x:c>
      <x:c r="F29" s="114" t="str">
        <x:v>Existing IAM store</x:v>
      </x:c>
      <x:c r="G29" s="114" t="str">
        <x:v>Identity requests</x:v>
      </x:c>
      <x:c r="H29" s="114" t="str">
        <x:v>Tokens/claims/identity events</x:v>
      </x:c>
      <x:c r="I29" s="114" t="str">
        <x:v>Authoritative existing service</x:v>
      </x:c>
      <x:c r="J29" s="114" t="str">
        <x:v>Reuse</x:v>
      </x:c>
      <x:c r="K29" s="114" t="str">
        <x:v>All</x:v>
      </x:c>
      <x:c r="L29" s="114" t="str">
        <x:v>No duplicate identity store.</x:v>
      </x:c>
      <x:c r="M29" s="115" t="str">
        <x:v>HumanOS foundation</x:v>
      </x:c>
    </x:row>
    <x:row r="30">
      <x:c r="A30" s="119" t="str">
        <x:v>ARC-026</x:v>
      </x:c>
      <x:c r="B30" s="120" t="str">
        <x:v>Shared HumanOS</x:v>
      </x:c>
      <x:c r="C30" s="120" t="str">
        <x:v>Organisation and Role</x:v>
      </x:c>
      <x:c r="D30" s="120" t="str">
        <x:v>Tenants, teams, reporting lines, employment/role assignments and organisational scope.</x:v>
      </x:c>
      <x:c r="E30" s="120" t="str">
        <x:v>Existing HumanOS Java service</x:v>
      </x:c>
      <x:c r="F30" s="120" t="str">
        <x:v>Existing store</x:v>
      </x:c>
      <x:c r="G30" s="120" t="str">
        <x:v>Organisation changes</x:v>
      </x:c>
      <x:c r="H30" s="120" t="str">
        <x:v>Organisation/role events</x:v>
      </x:c>
      <x:c r="I30" s="120" t="str">
        <x:v>Authoritative existing service</x:v>
      </x:c>
      <x:c r="J30" s="120" t="str">
        <x:v>Reuse</x:v>
      </x:c>
      <x:c r="K30" s="120" t="str">
        <x:v>0,2+</x:v>
      </x:c>
      <x:c r="L30" s="120" t="str">
        <x:v>Capability service references role versions; it does not own employment identity.</x:v>
      </x:c>
      <x:c r="M30" s="121" t="str">
        <x:v>HumanOS foundation</x:v>
      </x:c>
    </x:row>
    <x:row r="31">
      <x:c r="A31" s="113" t="str">
        <x:v>ARC-027</x:v>
      </x:c>
      <x:c r="B31" s="114" t="str">
        <x:v>Shared HumanOS</x:v>
      </x:c>
      <x:c r="C31" s="114" t="str">
        <x:v>Projects and Tasks</x:v>
      </x:c>
      <x:c r="D31" s="114" t="str">
        <x:v>Assigned tasks, plans, due dates, task state and project context.</x:v>
      </x:c>
      <x:c r="E31" s="114" t="str">
        <x:v>Existing HumanOS Java service</x:v>
      </x:c>
      <x:c r="F31" s="114" t="str">
        <x:v>Existing store</x:v>
      </x:c>
      <x:c r="G31" s="114" t="str">
        <x:v>Task commands/integrations</x:v>
      </x:c>
      <x:c r="H31" s="114" t="str">
        <x:v>Task events/APIs</x:v>
      </x:c>
      <x:c r="I31" s="114" t="str">
        <x:v>Authoritative existing service</x:v>
      </x:c>
      <x:c r="J31" s="114" t="str">
        <x:v>Reuse</x:v>
      </x:c>
      <x:c r="K31" s="114" t="str">
        <x:v>2+</x:v>
      </x:c>
      <x:c r="L31" s="114" t="str">
        <x:v>Task Assurance compiles contracts but task service remains task authority.</x:v>
      </x:c>
      <x:c r="M31" s="115" t="str">
        <x:v>HumanOS foundation</x:v>
      </x:c>
    </x:row>
    <x:row r="32">
      <x:c r="A32" s="119" t="str">
        <x:v>ARC-028</x:v>
      </x:c>
      <x:c r="B32" s="120" t="str">
        <x:v>Shared HumanOS</x:v>
      </x:c>
      <x:c r="C32" s="120" t="str">
        <x:v>Workflow Runtime</x:v>
      </x:c>
      <x:c r="D32" s="120" t="str">
        <x:v>Review, dispute, coaching, approval, escalation and skill-lifecycle workflows.</x:v>
      </x:c>
      <x:c r="E32" s="120" t="str">
        <x:v>Existing HumanOS service</x:v>
      </x:c>
      <x:c r="F32" s="120" t="str">
        <x:v>Existing workflow state</x:v>
      </x:c>
      <x:c r="G32" s="120" t="str">
        <x:v>Domain events</x:v>
      </x:c>
      <x:c r="H32" s="120" t="str">
        <x:v>Workflow commands/events</x:v>
      </x:c>
      <x:c r="I32" s="120" t="str">
        <x:v>Authoritative existing service</x:v>
      </x:c>
      <x:c r="J32" s="120" t="str">
        <x:v>Reuse</x:v>
      </x:c>
      <x:c r="K32" s="120" t="str">
        <x:v>0+</x:v>
      </x:c>
      <x:c r="L32" s="120" t="str">
        <x:v>Evaluate another orchestrator only after documented gaps.</x:v>
      </x:c>
      <x:c r="M32" s="121" t="str">
        <x:v>HumanOS foundation</x:v>
      </x:c>
    </x:row>
    <x:row r="33">
      <x:c r="A33" s="113" t="str">
        <x:v>ARC-029</x:v>
      </x:c>
      <x:c r="B33" s="114" t="str">
        <x:v>Shared HumanOS</x:v>
      </x:c>
      <x:c r="C33" s="114" t="str">
        <x:v>Audit and Compliance</x:v>
      </x:c>
      <x:c r="D33" s="114" t="str">
        <x:v>Immutable access, decision, policy, model, review and skill-change audit.</x:v>
      </x:c>
      <x:c r="E33" s="114" t="str">
        <x:v>Existing HumanOS Java service</x:v>
      </x:c>
      <x:c r="F33" s="114" t="str">
        <x:v>Append-only audit store</x:v>
      </x:c>
      <x:c r="G33" s="114" t="str">
        <x:v>Audit events</x:v>
      </x:c>
      <x:c r="H33" s="114" t="str">
        <x:v>Audit queries/reports</x:v>
      </x:c>
      <x:c r="I33" s="114" t="str">
        <x:v>Authoritative existing service</x:v>
      </x:c>
      <x:c r="J33" s="114" t="str">
        <x:v>Reuse/extend</x:v>
      </x:c>
      <x:c r="K33" s="114" t="str">
        <x:v>0+</x:v>
      </x:c>
      <x:c r="L33" s="114" t="str">
        <x:v>Content access logs are themselves sensitive.</x:v>
      </x:c>
      <x:c r="M33" s="115" t="str">
        <x:v>HumanOS foundation</x:v>
      </x:c>
    </x:row>
    <x:row r="34">
      <x:c r="A34" s="119" t="str">
        <x:v>ARC-030</x:v>
      </x:c>
      <x:c r="B34" s="120" t="str">
        <x:v>Shared HumanOS</x:v>
      </x:c>
      <x:c r="C34" s="120" t="str">
        <x:v>Secrets and Key Management</x:v>
      </x:c>
      <x:c r="D34" s="120" t="str">
        <x:v>Service/device credentials, encryption keys, rotation and revocation.</x:v>
      </x:c>
      <x:c r="E34" s="120" t="str">
        <x:v>Existing HumanOS secrets service + OS secure stores</x:v>
      </x:c>
      <x:c r="F34" s="120" t="str">
        <x:v>KMS/HSM/secure stores</x:v>
      </x:c>
      <x:c r="G34" s="120" t="str">
        <x:v>Key requests</x:v>
      </x:c>
      <x:c r="H34" s="120" t="str">
        <x:v>Key material references/rotation events</x:v>
      </x:c>
      <x:c r="I34" s="120" t="str">
        <x:v>Authoritative existing service</x:v>
      </x:c>
      <x:c r="J34" s="120" t="str">
        <x:v>Reuse</x:v>
      </x:c>
      <x:c r="K34" s="120" t="str">
        <x:v>3+</x:v>
      </x:c>
      <x:c r="L34" s="120" t="str">
        <x:v>Device evidence keys must not be centrally exposed without need.</x:v>
      </x:c>
      <x:c r="M34" s="121" t="str">
        <x:v>Security architecture</x:v>
      </x:c>
    </x:row>
    <x:row r="35">
      <x:c r="A35" s="113" t="str">
        <x:v>ARC-031</x:v>
      </x:c>
      <x:c r="B35" s="114" t="str">
        <x:v>Shared HumanOS</x:v>
      </x:c>
      <x:c r="C35" s="114" t="str">
        <x:v>Object/File Service</x:v>
      </x:c>
      <x:c r="D35" s="114" t="str">
        <x:v>Evidence object storage, classification, regional routing, retention and access tokens.</x:v>
      </x:c>
      <x:c r="E35" s="114" t="str">
        <x:v>Existing HumanOS service</x:v>
      </x:c>
      <x:c r="F35" s="114" t="str">
        <x:v>S3-compatible object storage</x:v>
      </x:c>
      <x:c r="G35" s="114" t="str">
        <x:v>Object writes/reads</x:v>
      </x:c>
      <x:c r="H35" s="114" t="str">
        <x:v>Object references/events</x:v>
      </x:c>
      <x:c r="I35" s="114" t="str">
        <x:v>Authoritative existing service</x:v>
      </x:c>
      <x:c r="J35" s="114" t="str">
        <x:v>Reuse/extend</x:v>
      </x:c>
      <x:c r="K35" s="114" t="str">
        <x:v>4+</x:v>
      </x:c>
      <x:c r="L35" s="114" t="str">
        <x:v>Require per-object policy, malware scan, retention and legal hold.</x:v>
      </x:c>
      <x:c r="M35" s="115" t="str">
        <x:v>HumanOS foundation</x:v>
      </x:c>
    </x:row>
    <x:row r="36">
      <x:c r="A36" s="119" t="str">
        <x:v>ARC-032</x:v>
      </x:c>
      <x:c r="B36" s="120" t="str">
        <x:v>Data platform</x:v>
      </x:c>
      <x:c r="C36" s="120" t="str">
        <x:v>Kafka-Compatible Event Bus</x:v>
      </x:c>
      <x:c r="D36" s="120" t="str">
        <x:v>Durable, partitioned, replayable event flow across ingestion and domain services.</x:v>
      </x:c>
      <x:c r="E36" s="120" t="str">
        <x:v>Kafka / managed compatible service</x:v>
      </x:c>
      <x:c r="F36" s="120" t="str">
        <x:v>Kafka topics</x:v>
      </x:c>
      <x:c r="G36" s="120" t="str">
        <x:v>Producers</x:v>
      </x:c>
      <x:c r="H36" s="120" t="str">
        <x:v>Consumer streams</x:v>
      </x:c>
      <x:c r="I36" s="120" t="str">
        <x:v>Existing HumanOS event infrastructure</x:v>
      </x:c>
      <x:c r="J36" s="120" t="str">
        <x:v>Shared platform</x:v>
      </x:c>
      <x:c r="K36" s="120" t="str">
        <x:v>4+</x:v>
      </x:c>
      <x:c r="L36" s="120" t="str">
        <x:v>Reuse existing bus; capacity-test evidence workload.</x:v>
      </x:c>
      <x:c r="M36" s="121" t="str">
        <x:v>Apache Kafka</x:v>
      </x:c>
    </x:row>
    <x:row r="37">
      <x:c r="A37" s="113" t="str">
        <x:v>ARC-033</x:v>
      </x:c>
      <x:c r="B37" s="114" t="str">
        <x:v>Data platform</x:v>
      </x:c>
      <x:c r="C37" s="114" t="str">
        <x:v>Schema Registry and Contract Governance</x:v>
      </x:c>
      <x:c r="D37" s="114" t="str">
        <x:v>Version event schemas, compatibility rules, generated clients and lineage.</x:v>
      </x:c>
      <x:c r="E37" s="114" t="str">
        <x:v>Existing registry or Apicurio/Confluent equivalent</x:v>
      </x:c>
      <x:c r="F37" s="114" t="str">
        <x:v>Schema registry</x:v>
      </x:c>
      <x:c r="G37" s="114" t="str">
        <x:v>Schema changes</x:v>
      </x:c>
      <x:c r="H37" s="114" t="str">
        <x:v>Validated contracts</x:v>
      </x:c>
      <x:c r="I37" s="114" t="str">
        <x:v>HumanOS platform</x:v>
      </x:c>
      <x:c r="J37" s="114" t="str">
        <x:v>Shared platform</x:v>
      </x:c>
      <x:c r="K37" s="114" t="str">
        <x:v>1,4+</x:v>
      </x:c>
      <x:c r="L37" s="114" t="str">
        <x:v>CloudEvents-style envelope plus domain schemas.</x:v>
      </x:c>
      <x:c r="M37" s="115" t="str">
        <x:v>CloudEvents / schema registry</x:v>
      </x:c>
    </x:row>
    <x:row r="38">
      <x:c r="A38" s="119" t="str">
        <x:v>ARC-034</x:v>
      </x:c>
      <x:c r="B38" s="120" t="str">
        <x:v>Data platform</x:v>
      </x:c>
      <x:c r="C38" s="120" t="str">
        <x:v>PostgreSQL</x:v>
      </x:c>
      <x:c r="D38" s="120" t="str">
        <x:v>Transactional source of truth for sessions, evidence metadata, tasks, capability, review and policy state.</x:v>
      </x:c>
      <x:c r="E38" s="120" t="str">
        <x:v>PostgreSQL</x:v>
      </x:c>
      <x:c r="F38" s="120" t="str">
        <x:v>Relational data</x:v>
      </x:c>
      <x:c r="G38" s="120" t="str">
        <x:v>Domain writes</x:v>
      </x:c>
      <x:c r="H38" s="120" t="str">
        <x:v>Queries/CDC/events</x:v>
      </x:c>
      <x:c r="I38" s="120" t="str">
        <x:v>Existing platform standard</x:v>
      </x:c>
      <x:c r="J38" s="120" t="str">
        <x:v>Shared clusters with tenant isolation</x:v>
      </x:c>
      <x:c r="K38" s="120" t="str">
        <x:v>4+</x:v>
      </x:c>
      <x:c r="L38" s="120" t="str">
        <x:v>Partition by tenant/time only after measured need.</x:v>
      </x:c>
      <x:c r="M38" s="121" t="str">
        <x:v>PostgreSQL</x:v>
      </x:c>
    </x:row>
    <x:row r="39">
      <x:c r="A39" s="113" t="str">
        <x:v>ARC-035</x:v>
      </x:c>
      <x:c r="B39" s="114" t="str">
        <x:v>Data platform</x:v>
      </x:c>
      <x:c r="C39" s="114" t="str">
        <x:v>Object Storage</x:v>
      </x:c>
      <x:c r="D39" s="114" t="str">
        <x:v>Screenshots, redacted content, artefact snapshots, exports and evaluation datasets.</x:v>
      </x:c>
      <x:c r="E39" s="114" t="str">
        <x:v>S3-compatible</x:v>
      </x:c>
      <x:c r="F39" s="114" t="str">
        <x:v>Encrypted objects</x:v>
      </x:c>
      <x:c r="G39" s="114" t="str">
        <x:v>Evidence objects</x:v>
      </x:c>
      <x:c r="H39" s="114" t="str">
        <x:v>Signed references/events</x:v>
      </x:c>
      <x:c r="I39" s="114" t="str">
        <x:v>Existing object service</x:v>
      </x:c>
      <x:c r="J39" s="114" t="str">
        <x:v>Shared regional storage</x:v>
      </x:c>
      <x:c r="K39" s="114" t="str">
        <x:v>4+</x:v>
      </x:c>
      <x:c r="L39" s="114" t="str">
        <x:v>Content-addressed, deduplicated and retention-aware.</x:v>
      </x:c>
      <x:c r="M39" s="115" t="str">
        <x:v>S3/MinIO</x:v>
      </x:c>
    </x:row>
    <x:row r="40">
      <x:c r="A40" s="119" t="str">
        <x:v>ARC-036</x:v>
      </x:c>
      <x:c r="B40" s="120" t="str">
        <x:v>Data platform</x:v>
      </x:c>
      <x:c r="C40" s="120" t="str">
        <x:v>Vector/Search Capability</x:v>
      </x:c>
      <x:c r="D40" s="120" t="str">
        <x:v>Semantic search over approved observations, skills and evidence summaries.</x:v>
      </x:c>
      <x:c r="E40" s="120" t="str">
        <x:v>pgvector first; OpenSearch later if needed</x:v>
      </x:c>
      <x:c r="F40" s="120" t="str">
        <x:v>Embeddings/index</x:v>
      </x:c>
      <x:c r="G40" s="120" t="str">
        <x:v>Approved text summaries</x:v>
      </x:c>
      <x:c r="H40" s="120" t="str">
        <x:v>Search results</x:v>
      </x:c>
      <x:c r="I40" s="120" t="str">
        <x:v>Model gateway / data platform</x:v>
      </x:c>
      <x:c r="J40" s="120" t="str">
        <x:v>Library/extension initially</x:v>
      </x:c>
      <x:c r="K40" s="120" t="str">
        <x:v>7–11</x:v>
      </x:c>
      <x:c r="L40" s="120" t="str">
        <x:v>Do not embed unrestricted raw employee content.</x:v>
      </x:c>
      <x:c r="M40" s="121" t="str">
        <x:v>pgvector / search patterns</x:v>
      </x:c>
    </x:row>
    <x:row r="41">
      <x:c r="A41" s="113" t="str">
        <x:v>ARC-037</x:v>
      </x:c>
      <x:c r="B41" s="114" t="str">
        <x:v>Data platform</x:v>
      </x:c>
      <x:c r="C41" s="114" t="str">
        <x:v>Graph Projection</x:v>
      </x:c>
      <x:c r="D41" s="114" t="str">
        <x:v>Causal/provenance and capability traversal.</x:v>
      </x:c>
      <x:c r="E41" s="114" t="str">
        <x:v>PostgreSQL relations/materialised views initially</x:v>
      </x:c>
      <x:c r="F41" s="114" t="str">
        <x:v>Relational edges</x:v>
      </x:c>
      <x:c r="G41" s="114" t="str">
        <x:v>Evidence/provenance events</x:v>
      </x:c>
      <x:c r="H41" s="114" t="str">
        <x:v>Graph queries</x:v>
      </x:c>
      <x:c r="I41" s="114" t="str">
        <x:v>Evidence/Capability services</x:v>
      </x:c>
      <x:c r="J41" s="114" t="str">
        <x:v>Inside domain services</x:v>
      </x:c>
      <x:c r="K41" s="114" t="str">
        <x:v>7–8</x:v>
      </x:c>
      <x:c r="L41" s="114" t="str">
        <x:v>Dedicated graph database deferred until query benchmarks justify.</x:v>
      </x:c>
      <x:c r="M41" s="115" t="str">
        <x:v>Architecture recommendation</x:v>
      </x:c>
    </x:row>
    <x:row r="42">
      <x:c r="A42" s="119" t="str">
        <x:v>ARC-038</x:v>
      </x:c>
      <x:c r="B42" s="120" t="str">
        <x:v>Data platform</x:v>
      </x:c>
      <x:c r="C42" s="120" t="str">
        <x:v>Analytics Warehouse</x:v>
      </x:c>
      <x:c r="D42" s="120" t="str">
        <x:v>Longer-term aggregate product, pilot, quality and training analysis.</x:v>
      </x:c>
      <x:c r="E42" s="120" t="str">
        <x:v>Warehouse/lakehouse compatible with HumanOS</x:v>
      </x:c>
      <x:c r="F42" s="120" t="str">
        <x:v>De-identified/aggregated data</x:v>
      </x:c>
      <x:c r="G42" s="120" t="str">
        <x:v>Domain events/read models</x:v>
      </x:c>
      <x:c r="H42" s="120" t="str">
        <x:v>BI datasets</x:v>
      </x:c>
      <x:c r="I42" s="120" t="str">
        <x:v>Existing analytics platform</x:v>
      </x:c>
      <x:c r="J42" s="120" t="str">
        <x:v>Later shared platform</x:v>
      </x:c>
      <x:c r="K42" s="120" t="str">
        <x:v>10+</x:v>
      </x:c>
      <x:c r="L42" s="120" t="str">
        <x:v>No raw keystrokes/screenshots in general analytics warehouse.</x:v>
      </x:c>
      <x:c r="M42" s="121" t="str">
        <x:v>Data minimisation principle</x:v>
      </x:c>
    </x:row>
    <x:row r="43">
      <x:c r="A43" s="113" t="str">
        <x:v>ARC-039</x:v>
      </x:c>
      <x:c r="B43" s="114" t="str">
        <x:v>Cross-cutting</x:v>
      </x:c>
      <x:c r="C43" s="114" t="str">
        <x:v>OpenTelemetry</x:v>
      </x:c>
      <x:c r="D43" s="114" t="str">
        <x:v>Operational traces, metrics and logs for services and AI operations.</x:v>
      </x:c>
      <x:c r="E43" s="114" t="str">
        <x:v>Java/Python/native SDKs + collector</x:v>
      </x:c>
      <x:c r="F43" s="114" t="str">
        <x:v>Telemetry backend</x:v>
      </x:c>
      <x:c r="G43" s="114" t="str">
        <x:v>Service/model telemetry</x:v>
      </x:c>
      <x:c r="H43" s="114" t="str">
        <x:v>Traces/metrics/logs</x:v>
      </x:c>
      <x:c r="I43" s="114" t="str">
        <x:v>Existing HumanOS observability</x:v>
      </x:c>
      <x:c r="J43" s="114" t="str">
        <x:v>Shared platform</x:v>
      </x:c>
      <x:c r="K43" s="114" t="str">
        <x:v>3+</x:v>
      </x:c>
      <x:c r="L43" s="114" t="str">
        <x:v>Raw worker evidence and model content excluded by default.</x:v>
      </x:c>
      <x:c r="M43" s="115" t="str">
        <x:v>OpenTelemetry</x:v>
      </x:c>
    </x:row>
    <x:row r="44">
      <x:c r="A44" s="119" t="str">
        <x:v>ARC-040</x:v>
      </x:c>
      <x:c r="B44" s="120" t="str">
        <x:v>Cross-cutting</x:v>
      </x:c>
      <x:c r="C44" s="120" t="str">
        <x:v>API Gateway and Service Security</x:v>
      </x:c>
      <x:c r="D44" s="120" t="str">
        <x:v>External/internal API routing, rate limits, mTLS, auth and policy enforcement.</x:v>
      </x:c>
      <x:c r="E44" s="120" t="str">
        <x:v>Existing HumanOS gateway</x:v>
      </x:c>
      <x:c r="F44" s="120" t="str">
        <x:v>Config/policy</x:v>
      </x:c>
      <x:c r="G44" s="120" t="str">
        <x:v>API calls</x:v>
      </x:c>
      <x:c r="H44" s="120" t="str">
        <x:v>Routed/authorised requests</x:v>
      </x:c>
      <x:c r="I44" s="120" t="str">
        <x:v>Existing platform service</x:v>
      </x:c>
      <x:c r="J44" s="120" t="str">
        <x:v>Reuse</x:v>
      </x:c>
      <x:c r="K44" s="120" t="str">
        <x:v>3+</x:v>
      </x:c>
      <x:c r="L44" s="120" t="str">
        <x:v>Device upload path may have dedicated edge gateway.</x:v>
      </x:c>
      <x:c r="M44" s="121" t="str">
        <x:v>HumanOS foundation</x:v>
      </x:c>
    </x:row>
    <x:row r="45">
      <x:c r="A45" s="113" t="str">
        <x:v>ARC-041</x:v>
      </x:c>
      <x:c r="B45" s="114" t="str">
        <x:v>Cross-cutting</x:v>
      </x:c>
      <x:c r="C45" s="114" t="str">
        <x:v>Deployment and tenancy</x:v>
      </x:c>
      <x:c r="D45" s="114" t="str">
        <x:v>Regional clusters, tenant isolation, data residency, feature flags, canary and rollback.</x:v>
      </x:c>
      <x:c r="E45" s="114" t="str">
        <x:v>Kubernetes/cloud platform</x:v>
      </x:c>
      <x:c r="F45" s="114" t="str">
        <x:v>Platform metadata</x:v>
      </x:c>
      <x:c r="G45" s="114" t="str">
        <x:v>Deployments/config</x:v>
      </x:c>
      <x:c r="H45" s="114" t="str">
        <x:v>Runtime services</x:v>
      </x:c>
      <x:c r="I45" s="114" t="str">
        <x:v>Existing HumanOS platform</x:v>
      </x:c>
      <x:c r="J45" s="114" t="str">
        <x:v>Shared platform</x:v>
      </x:c>
      <x:c r="K45" s="114" t="str">
        <x:v>All</x:v>
      </x:c>
      <x:c r="L45" s="114" t="str">
        <x:v>Pilot uses isolated tenant/environment and restricted feature flags.</x:v>
      </x:c>
      <x:c r="M45" s="115" t="str">
        <x:v>Security/governance requirement</x:v>
      </x:c>
    </x:row>
    <x:row r="46">
      <x:c r="A46" s="122" t="str">
        <x:v>ARC-042</x:v>
      </x:c>
      <x:c r="B46" s="123" t="str">
        <x:v>Cross-cutting</x:v>
      </x:c>
      <x:c r="C46" s="123" t="str">
        <x:v>Service boundary rule</x:v>
      </x:c>
      <x:c r="D46" s="123" t="str">
        <x:v>Create a separate deployable only for clear security, scale, availability, ownership or transactional boundaries.</x:v>
      </x:c>
      <x:c r="E46" s="123" t="str">
        <x:v>Architecture governance</x:v>
      </x:c>
      <x:c r="F46" s="123" t="str">
        <x:v>N/A</x:v>
      </x:c>
      <x:c r="G46" s="123" t="str">
        <x:v>Architecture changes</x:v>
      </x:c>
      <x:c r="H46" s="123" t="str">
        <x:v>ADR decisions</x:v>
      </x:c>
      <x:c r="I46" s="123" t="str">
        <x:v>Architecture Board</x:v>
      </x:c>
      <x:c r="J46" s="123" t="str">
        <x:v>Rule</x:v>
      </x:c>
      <x:c r="K46" s="123" t="str">
        <x:v>All</x:v>
      </x:c>
      <x:c r="L46" s="123" t="str">
        <x:v>Initial plan uses approximately eight Work Intelligence deployables plus shared HumanOS services.</x:v>
      </x:c>
      <x:c r="M46" s="124" t="str">
        <x:v>Microservices design principle</x:v>
      </x:c>
    </x:row>
  </x:sheetData>
  <x:mergeCells>
    <x:mergeCell ref="A1:M1"/>
    <x:mergeCell ref="A2:M2"/>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30" hidden="0" customWidth="1"/>
    <x:col min="3" max="3" width="20" hidden="0" customWidth="1"/>
    <x:col min="4" max="4" width="44" hidden="0" customWidth="1"/>
    <x:col min="5" max="5" width="52" hidden="0" customWidth="1"/>
    <x:col min="6" max="6" width="38" hidden="0" customWidth="1"/>
    <x:col min="7" max="7" width="36" hidden="0" customWidth="1"/>
    <x:col min="8" max="8" width="40" hidden="0" customWidth="1"/>
    <x:col min="9" max="9" width="38" hidden="0" customWidth="1"/>
    <x:col min="10" max="10" width="30" hidden="0" customWidth="1"/>
    <x:col min="11" max="11" width="34" hidden="0" customWidth="1"/>
  </x:cols>
  <x:sheetData>
    <x:row r="1" ht="30" customHeight="1">
      <x:c r="A1" s="72" t="str">
        <x:v>Architecture Decision Register</x:v>
      </x:c>
      <x:c r="B1" s="72"/>
      <x:c r="C1" s="72"/>
      <x:c r="D1" s="72"/>
      <x:c r="E1" s="72"/>
      <x:c r="F1" s="72"/>
      <x:c r="G1" s="72"/>
      <x:c r="H1" s="72"/>
      <x:c r="I1" s="72"/>
      <x:c r="J1" s="72"/>
      <x:c r="K1" s="72"/>
    </x:row>
    <x:row r="2" ht="34" customHeight="1">
      <x:c r="A2" s="76" t="str">
        <x:v>Stage 1 ADR drafts. 'Accepted in principle' means the workbook recommends the decision; Architecture Board approval is still required.</x:v>
      </x:c>
      <x:c r="B2" s="76"/>
      <x:c r="C2" s="76"/>
      <x:c r="D2" s="76"/>
      <x:c r="E2" s="76"/>
      <x:c r="F2" s="76"/>
      <x:c r="G2" s="76"/>
      <x:c r="H2" s="76"/>
      <x:c r="I2" s="76"/>
      <x:c r="J2" s="76"/>
      <x:c r="K2" s="76"/>
    </x:row>
    <x:row r="4" ht="28" customHeight="1">
      <x:c r="A4" s="88" t="str">
        <x:v>ADR</x:v>
      </x:c>
      <x:c r="B4" s="89" t="str">
        <x:v>Decision title</x:v>
      </x:c>
      <x:c r="C4" s="89" t="str">
        <x:v>Status</x:v>
      </x:c>
      <x:c r="D4" s="89" t="str">
        <x:v>Context / problem</x:v>
      </x:c>
      <x:c r="E4" s="89" t="str">
        <x:v>Recommended decision</x:v>
      </x:c>
      <x:c r="F4" s="89" t="str">
        <x:v>Alternatives considered</x:v>
      </x:c>
      <x:c r="G4" s="89" t="str">
        <x:v>Positive consequences</x:v>
      </x:c>
      <x:c r="H4" s="89" t="str">
        <x:v>Risks / trade-offs</x:v>
      </x:c>
      <x:c r="I4" s="89" t="str">
        <x:v>Validation / evidence needed</x:v>
      </x:c>
      <x:c r="J4" s="89" t="str">
        <x:v>Owner / review trigger</x:v>
      </x:c>
      <x:c r="K4" s="90" t="str">
        <x:v>Source / basis</x:v>
      </x:c>
    </x:row>
    <x:row r="5">
      <x:c r="A5" s="110" t="str">
        <x:v>ADR-001</x:v>
      </x:c>
      <x:c r="B5" s="111" t="str">
        <x:v>Product boundary</x:v>
      </x:c>
      <x:c r="C5" s="111" t="str">
        <x:v>Accepted in principle</x:v>
      </x:c>
      <x:c r="D5" s="111" t="str">
        <x:v>Raw monitoring is commoditised and creates a crowded, high-resistance market position.</x:v>
      </x:c>
      <x:c r="E5" s="111" t="str">
        <x:v>Build HumanOS Work Intelligence as task assurance, capability development and human–AI work intelligence; treat monitoring as controlled evidence infrastructure.</x:v>
      </x:c>
      <x:c r="F5" s="111" t="str">
        <x:v>Employee-monitoring product; task-mining-only product; developer analytics only.</x:v>
      </x:c>
      <x:c r="G5" s="111" t="str">
        <x:v>Clearer differentiation, broader HumanOS fit, direct employee benefit.</x:v>
      </x:c>
      <x:c r="H5" s="111" t="str">
        <x:v>More complex product and evaluation problem.</x:v>
      </x:c>
      <x:c r="I5" s="111" t="str">
        <x:v>Leadership positioning review and worker consultation.</x:v>
      </x:c>
      <x:c r="J5" s="111" t="str">
        <x:v>Product Owner / revisit if market evidence changes</x:v>
      </x:c>
      <x:c r="K5" s="112" t="str">
        <x:v>Market Landscape / Gap Matrix</x:v>
      </x:c>
    </x:row>
    <x:row r="6">
      <x:c r="A6" s="119" t="str">
        <x:v>ADR-002</x:v>
      </x:c>
      <x:c r="B6" s="120" t="str">
        <x:v>Stage 0 and Stage 1 structure</x:v>
      </x:c>
      <x:c r="C6" s="120" t="str">
        <x:v>Accepted in principle</x:v>
      </x:c>
      <x:c r="D6" s="120" t="str">
        <x:v>Governance and architecture research are tightly coupled but require different authorities.</x:v>
      </x:c>
      <x:c r="E6" s="120" t="str">
        <x:v>Run as one Foundation &amp; Validation workstream with separate Stage 0 governance gate and Stage 1 architecture gate.</x:v>
      </x:c>
      <x:c r="F6" s="120" t="str">
        <x:v>Merge into one gate; run sequentially with no overlap.</x:v>
      </x:c>
      <x:c r="G6" s="120" t="str">
        <x:v>Faster integrated planning without losing independent approvals.</x:v>
      </x:c>
      <x:c r="H6" s="120" t="str">
        <x:v>Programme may confuse document completion with approval.</x:v>
      </x:c>
      <x:c r="I6" s="120" t="str">
        <x:v>Gate register and named decision authorities.</x:v>
      </x:c>
      <x:c r="J6" s="120" t="str">
        <x:v>Programme Lead</x:v>
      </x:c>
      <x:c r="K6" s="121" t="str">
        <x:v>Master Prompt / Stage 0-1 Gates</x:v>
      </x:c>
    </x:row>
    <x:row r="7">
      <x:c r="A7" s="113" t="str">
        <x:v>ADR-003</x:v>
      </x:c>
      <x:c r="B7" s="114" t="str">
        <x:v>Initial vertical</x:v>
      </x:c>
      <x:c r="C7" s="114" t="str">
        <x:v>Accepted in principle</x:v>
      </x:c>
      <x:c r="D7" s="114" t="str">
        <x:v>Universal work intelligence is too broad for a first implementation.</x:v>
      </x:c>
      <x:c r="E7" s="114" t="str">
        <x:v>Pilot AI-assisted software development on company-managed Windows and macOS devices.</x:v>
      </x:c>
      <x:c r="F7" s="114" t="str">
        <x:v>All knowledge workers; customer support; finance operations.</x:v>
      </x:c>
      <x:c r="G7" s="114" t="str">
        <x:v>Objective artefacts, tests and Git provide high-quality evidence.</x:v>
      </x:c>
      <x:c r="H7" s="114" t="str">
        <x:v>May overfit ontology and UX to developers.</x:v>
      </x:c>
      <x:c r="I7" s="114" t="str">
        <x:v>Stage 2 domain-neutral extension tests.</x:v>
      </x:c>
      <x:c r="J7" s="114" t="str">
        <x:v>Product/CTO / revisit after pilot</x:v>
      </x:c>
      <x:c r="K7" s="115" t="str">
        <x:v>Product Charter v1</x:v>
      </x:c>
    </x:row>
    <x:row r="8">
      <x:c r="A8" s="119" t="str">
        <x:v>ADR-004</x:v>
      </x:c>
      <x:c r="B8" s="120" t="str">
        <x:v>HumanOS integration</x:v>
      </x:c>
      <x:c r="C8" s="120" t="str">
        <x:v>Accepted in principle</x:v>
      </x:c>
      <x:c r="D8" s="120" t="str">
        <x:v>HumanOS already contains foundation microservices.</x:v>
      </x:c>
      <x:c r="E8" s="120" t="str">
        <x:v>Implement Work Intelligence as HumanOS bounded contexts that reuse identity, organisation, tasks, workflow, policy, audit, notification, secrets, object, model and event services.</x:v>
      </x:c>
      <x:c r="F8" s="120" t="str">
        <x:v>Standalone platform; duplicate services.</x:v>
      </x:c>
      <x:c r="G8" s="120" t="str">
        <x:v>Consistency, lower delivery cost, shared governance.</x:v>
      </x:c>
      <x:c r="H8" s="120" t="str">
        <x:v>Existing services may have functional gaps or coupling.</x:v>
      </x:c>
      <x:c r="I8" s="120" t="str">
        <x:v>Stage 1 service capability assessment.</x:v>
      </x:c>
      <x:c r="J8" s="120" t="str">
        <x:v>Enterprise Architect</x:v>
      </x:c>
      <x:c r="K8" s="121" t="str">
        <x:v>Reference Architecture</x:v>
      </x:c>
    </x:row>
    <x:row r="9">
      <x:c r="A9" s="113" t="str">
        <x:v>ADR-005</x:v>
      </x:c>
      <x:c r="B9" s="114" t="str">
        <x:v>Runtime responsibility split</x:v>
      </x:c>
      <x:c r="C9" s="114" t="str">
        <x:v>Accepted in principle</x:v>
      </x:c>
      <x:c r="D9" s="114" t="str">
        <x:v>Cloud domain durability, AI iteration and OS capture have different runtime needs.</x:v>
      </x:c>
      <x:c r="E9" s="114" t="str">
        <x:v>Java/Spring for durable domain and workflow services; Python for AI/evaluation workers; Rust/native bridges for endpoint capture.</x:v>
      </x:c>
      <x:c r="F9" s="114" t="str">
        <x:v>All Java; all Python; Electron-only agent.</x:v>
      </x:c>
      <x:c r="G9" s="114" t="str">
        <x:v>Technology fit, strong platform alignment and endpoint performance.</x:v>
      </x:c>
      <x:c r="H9" s="114" t="str">
        <x:v>Multi-language contracts, skills and operations.</x:v>
      </x:c>
      <x:c r="I9" s="114" t="str">
        <x:v>Contract tests, shared schemas, staffing plan.</x:v>
      </x:c>
      <x:c r="J9" s="114" t="str">
        <x:v>CTO / review at Stage 3 and 4</x:v>
      </x:c>
      <x:c r="K9" s="115" t="str">
        <x:v>User stack + architecture research</x:v>
      </x:c>
    </x:row>
    <x:row r="10">
      <x:c r="A10" s="119" t="str">
        <x:v>ADR-006</x:v>
      </x:c>
      <x:c r="B10" s="120" t="str">
        <x:v>Java/Spring baseline</x:v>
      </x:c>
      <x:c r="C10" s="120" t="str">
        <x:v>Proposed</x:v>
      </x:c>
      <x:c r="D10" s="120" t="str">
        <x:v>HumanOS current version is not confirmed; newer supported releases exist.</x:v>
      </x:c>
      <x:c r="E10" s="120" t="str">
        <x:v>Do not force platform migration. Retain current supported HumanOS baseline unless measured benefits justify migration; benchmark Java 25 LTS with Spring Boot 4.1 and compatible Spring Cloud for greenfield-compatible services.</x:v>
      </x:c>
      <x:c r="F10" s="120" t="str">
        <x:v>Mandate Java 25/Boot 4.1 immediately; remain permanently on Java 21/Boot 3.x.</x:v>
      </x:c>
      <x:c r="G10" s="120" t="str">
        <x:v>Avoids unnecessary migration while evaluating current LTS capabilities.</x:v>
      </x:c>
      <x:c r="H10" s="120" t="str">
        <x:v>Mixed baselines or delayed adoption.</x:v>
      </x:c>
      <x:c r="I10" s="120" t="str">
        <x:v>Inventory current HumanOS stack; compatibility/performance/security spike.</x:v>
      </x:c>
      <x:c r="J10" s="120" t="str">
        <x:v>Java Platform Lead / when platform baseline known</x:v>
      </x:c>
      <x:c r="K10" s="121" t="str">
        <x:v>OpenJDK 25 / Spring Boot 4.1 / Spring Cloud 2025.1.2</x:v>
      </x:c>
    </x:row>
    <x:row r="11">
      <x:c r="A11" s="113" t="str">
        <x:v>ADR-007</x:v>
      </x:c>
      <x:c r="B11" s="114" t="str">
        <x:v>Device-agent architecture</x:v>
      </x:c>
      <x:c r="C11" s="114" t="str">
        <x:v>Accepted in principle</x:v>
      </x:c>
      <x:c r="D11" s="114" t="str">
        <x:v>Endpoint capture requires low latency, native OS APIs, local policy and secure offline operation.</x:v>
      </x:c>
      <x:c r="E11" s="114" t="str">
        <x:v>Use a Rust shared core with Swift and Windows-native bridges; Tauri/native UI may expose visible controls.</x:v>
      </x:c>
      <x:c r="F11" s="114" t="str">
        <x:v>Java desktop agent; Python agent; Electron capture process.</x:v>
      </x:c>
      <x:c r="G11" s="114" t="str">
        <x:v>Performance, memory safety, cross-platform core and native access.</x:v>
      </x:c>
      <x:c r="H11" s="114" t="str">
        <x:v>Rust/native expertise and FFI complexity.</x:v>
      </x:c>
      <x:c r="I11" s="114" t="str">
        <x:v>Stage 3 proof of installation, policy, journal, update and performance.</x:v>
      </x:c>
      <x:c r="J11" s="114" t="str">
        <x:v>Desktop Architect</x:v>
      </x:c>
      <x:c r="K11" s="115" t="str">
        <x:v>OpenAdapt/Screenpipe architecture patterns</x:v>
      </x:c>
    </x:row>
    <x:row r="12">
      <x:c r="A12" s="119" t="str">
        <x:v>ADR-008</x:v>
      </x:c>
      <x:c r="B12" s="120" t="str">
        <x:v>Edge-first minimisation</x:v>
      </x:c>
      <x:c r="C12" s="120" t="str">
        <x:v>Accepted in principle</x:v>
      </x:c>
      <x:c r="D12" s="120" t="str">
        <x:v>Raw screen, text and input evidence is highly sensitive and expensive.</x:v>
      </x:c>
      <x:c r="E12" s="120" t="str">
        <x:v>Apply policy, secure-field exclusion, redaction, deduplication and event correlation locally before upload.</x:v>
      </x:c>
      <x:c r="F12" s="120" t="str">
        <x:v>Upload raw stream; cloud-only redaction.</x:v>
      </x:c>
      <x:c r="G12" s="120" t="str">
        <x:v>Lower privacy/security risk, bandwidth and storage.</x:v>
      </x:c>
      <x:c r="H12" s="120" t="str">
        <x:v>Endpoint models/rules may miss content and are harder to update.</x:v>
      </x:c>
      <x:c r="I12" s="120" t="str">
        <x:v>False-negative/false-positive redaction evaluation and signed policy updates.</x:v>
      </x:c>
      <x:c r="J12" s="120" t="str">
        <x:v>CISO/DPO / blocking pilot control</x:v>
      </x:c>
      <x:c r="K12" s="121" t="str">
        <x:v>ICO minimisation and DPIA requirements</x:v>
      </x:c>
    </x:row>
    <x:row r="13">
      <x:c r="A13" s="113" t="str">
        <x:v>ADR-009</x:v>
      </x:c>
      <x:c r="B13" s="114" t="str">
        <x:v>Event backbone</x:v>
      </x:c>
      <x:c r="C13" s="114" t="str">
        <x:v>Accepted in principle</x:v>
      </x:c>
      <x:c r="D13" s="114" t="str">
        <x:v>Evidence flow requires durable replay, partitioning, multiple consumers and asynchronous processing.</x:v>
      </x:c>
      <x:c r="E13" s="114" t="str">
        <x:v>Reuse HumanOS Kafka-compatible event infrastructure with signed, idempotent, schema-versioned batches.</x:v>
      </x:c>
      <x:c r="F13" s="114" t="str">
        <x:v>Synchronous REST only; database polling; new message platform.</x:v>
      </x:c>
      <x:c r="G13" s="114" t="str">
        <x:v>Decoupling, replay and scalable consumers.</x:v>
      </x:c>
      <x:c r="H13" s="114" t="str">
        <x:v>Operational complexity and schema discipline.</x:v>
      </x:c>
      <x:c r="I13" s="114" t="str">
        <x:v>Capacity test and topic/partition design.</x:v>
      </x:c>
      <x:c r="J13" s="114" t="str">
        <x:v>Platform/Data Architect</x:v>
      </x:c>
      <x:c r="K13" s="115" t="str">
        <x:v>Apache Kafka</x:v>
      </x:c>
    </x:row>
    <x:row r="14">
      <x:c r="A14" s="119" t="str">
        <x:v>ADR-010</x:v>
      </x:c>
      <x:c r="B14" s="120" t="str">
        <x:v>Event envelope</x:v>
      </x:c>
      <x:c r="C14" s="120" t="str">
        <x:v>Accepted in principle</x:v>
      </x:c>
      <x:c r="D14" s="120" t="str">
        <x:v>Cross-language and cross-service events need consistent metadata.</x:v>
      </x:c>
      <x:c r="E14" s="120" t="str">
        <x:v>Use a CloudEvents-style envelope with Nessovo domain schemas and separate references for large/sensitive content.</x:v>
      </x:c>
      <x:c r="F14" s="120" t="str">
        <x:v>Proprietary envelope; raw provider payloads.</x:v>
      </x:c>
      <x:c r="G14" s="120" t="str">
        <x:v>Interoperability, tooling and clearer contracts.</x:v>
      </x:c>
      <x:c r="H14" s="120" t="str">
        <x:v>Additional mapping and version governance.</x:v>
      </x:c>
      <x:c r="I14" s="120" t="str">
        <x:v>Schema registry prototype and compatibility policy.</x:v>
      </x:c>
      <x:c r="J14" s="120" t="str">
        <x:v>Data Architect</x:v>
      </x:c>
      <x:c r="K14" s="121" t="str">
        <x:v>CloudEvents</x:v>
      </x:c>
    </x:row>
    <x:row r="15">
      <x:c r="A15" s="113" t="str">
        <x:v>ADR-011</x:v>
      </x:c>
      <x:c r="B15" s="114" t="str">
        <x:v>Operational observability vs worker evidence</x:v>
      </x:c>
      <x:c r="C15" s="114" t="str">
        <x:v>Accepted in principle</x:v>
      </x:c>
      <x:c r="D15" s="114" t="str">
        <x:v>OpenTelemetry supports service/AI traces but prompt/content fields may contain sensitive information.</x:v>
      </x:c>
      <x:c r="E15" s="114" t="str">
        <x:v>Use OpenTelemetry for operational traces, metrics and logs. Keep worker evidence in the Evidence domain and exclude raw prompts/text/screens by default from traces.</x:v>
      </x:c>
      <x:c r="F15" s="114" t="str">
        <x:v>Put all evidence in traces; use vendor-specific observability only.</x:v>
      </x:c>
      <x:c r="G15" s="114" t="str">
        <x:v>Clear governance boundary and portability.</x:v>
      </x:c>
      <x:c r="H15" s="114" t="str">
        <x:v>Correlation requires identifiers across systems.</x:v>
      </x:c>
      <x:c r="I15" s="114" t="str">
        <x:v>Trace/evidence correlation design and content-policy tests.</x:v>
      </x:c>
      <x:c r="J15" s="114" t="str">
        <x:v>SRE/AI Platform/DPO</x:v>
      </x:c>
      <x:c r="K15" s="115" t="str">
        <x:v>OpenTelemetry semantic conventions and GenAI warnings</x:v>
      </x:c>
    </x:row>
    <x:row r="16">
      <x:c r="A16" s="119" t="str">
        <x:v>ADR-012</x:v>
      </x:c>
      <x:c r="B16" s="120" t="str">
        <x:v>Microservice granularity</x:v>
      </x:c>
      <x:c r="C16" s="120" t="str">
        <x:v>Accepted in principle</x:v>
      </x:c>
      <x:c r="D16" s="120" t="str">
        <x:v>A long list of logical services can create unnecessary distributed complexity.</x:v>
      </x:c>
      <x:c r="E16" s="120" t="str">
        <x:v>Start with approximately eight Work Intelligence deployables plus endpoint agent and shared HumanOS services; split subdomains only on security, scale, availability, ownership or transactional evidence.</x:v>
      </x:c>
      <x:c r="F16" s="120" t="str">
        <x:v>One monolith; one deployable per entity/capability.</x:v>
      </x:c>
      <x:c r="G16" s="120" t="str">
        <x:v>Balanced autonomy and operational simplicity.</x:v>
      </x:c>
      <x:c r="H16" s="120" t="str">
        <x:v>Initial services may become large.</x:v>
      </x:c>
      <x:c r="I16" s="120" t="str">
        <x:v>Track change coupling, load, ownership and security boundaries.</x:v>
      </x:c>
      <x:c r="J16" s="120" t="str">
        <x:v>Architecture Board / quarterly review</x:v>
      </x:c>
      <x:c r="K16" s="121" t="str">
        <x:v>Reference Architecture</x:v>
      </x:c>
    </x:row>
    <x:row r="17">
      <x:c r="A17" s="113" t="str">
        <x:v>ADR-013</x:v>
      </x:c>
      <x:c r="B17" s="114" t="str">
        <x:v>Initial data stores</x:v>
      </x:c>
      <x:c r="C17" s="114" t="str">
        <x:v>Accepted in principle</x:v>
      </x:c>
      <x:c r="D17" s="114" t="str">
        <x:v>Evidence, tasks and capabilities need transactions, objects, search and graph-like queries.</x:v>
      </x:c>
      <x:c r="E17" s="114" t="str">
        <x:v>Use PostgreSQL for transactional metadata, object storage for evidence, pgvector/search selectively; defer a dedicated graph database until benchmarks justify it.</x:v>
      </x:c>
      <x:c r="F17" s="114" t="str">
        <x:v>Adopt graph/vector/search databases immediately; single document database.</x:v>
      </x:c>
      <x:c r="G17" s="114" t="str">
        <x:v>Lower operational burden and faster MVP.</x:v>
      </x:c>
      <x:c r="H17" s="114" t="str">
        <x:v>Complex graph queries may later require migration.</x:v>
      </x:c>
      <x:c r="I17" s="114" t="str">
        <x:v>Stage 7/8 query benchmarks and data-volume tests.</x:v>
      </x:c>
      <x:c r="J17" s="114" t="str">
        <x:v>Data Architect</x:v>
      </x:c>
      <x:c r="K17" s="115" t="str">
        <x:v>Build Buy Decisions</x:v>
      </x:c>
    </x:row>
    <x:row r="18">
      <x:c r="A18" s="119" t="str">
        <x:v>ADR-014</x:v>
      </x:c>
      <x:c r="B18" s="120" t="str">
        <x:v>Policy engine</x:v>
      </x:c>
      <x:c r="C18" s="120" t="str">
        <x:v>Proposed</x:v>
      </x:c>
      <x:c r="D18" s="120" t="str">
        <x:v>Capture and evidence access require dynamic, auditable, jurisdiction-aware decisions.</x:v>
      </x:c>
      <x:c r="E18" s="120" t="str">
        <x:v>Reuse existing HumanOS policy service. Evaluate OPA for declarative local/service decisions where it materially improves expressiveness and distribution.</x:v>
      </x:c>
      <x:c r="F18" s="120" t="str">
        <x:v>Embed rules in every service; mandate OPA everywhere.</x:v>
      </x:c>
      <x:c r="G18" s="120" t="str">
        <x:v>Avoid duplicate policy systems while preserving policy-as-code option.</x:v>
      </x:c>
      <x:c r="H18" s="120" t="str">
        <x:v>Inconsistent decisions if integration is weak.</x:v>
      </x:c>
      <x:c r="I18" s="120" t="str">
        <x:v>Capability assessment of existing policy service and OPA spike.</x:v>
      </x:c>
      <x:c r="J18" s="120" t="str">
        <x:v>Security Architect / Stage 3</x:v>
      </x:c>
      <x:c r="K18" s="121" t="str">
        <x:v>OPA</x:v>
      </x:c>
    </x:row>
    <x:row r="19">
      <x:c r="A19" s="113" t="str">
        <x:v>ADR-015</x:v>
      </x:c>
      <x:c r="B19" s="114" t="str">
        <x:v>Workflow orchestration</x:v>
      </x:c>
      <x:c r="C19" s="114" t="str">
        <x:v>Accepted in principle</x:v>
      </x:c>
      <x:c r="D19" s="114" t="str">
        <x:v>Review, disputes, coaching and skill lifecycle need long-running workflows.</x:v>
      </x:c>
      <x:c r="E19" s="114" t="str">
        <x:v>Reuse HumanOS Workflow Runtime; introduce Temporal or another orchestrator only after documented capability gaps.</x:v>
      </x:c>
      <x:c r="F19" s="114" t="str">
        <x:v>Adopt Temporal immediately; custom state machines per service.</x:v>
      </x:c>
      <x:c r="G19" s="114" t="str">
        <x:v>Platform consistency and lower complexity.</x:v>
      </x:c>
      <x:c r="H19" s="114" t="str">
        <x:v>Existing runtime may lack developer ergonomics or durability features.</x:v>
      </x:c>
      <x:c r="I19" s="114" t="str">
        <x:v>Stage 2/3 workflow capability matrix.</x:v>
      </x:c>
      <x:c r="J19" s="114" t="str">
        <x:v>Platform Architect</x:v>
      </x:c>
      <x:c r="K19" s="115" t="str">
        <x:v>HumanOS foundation / Temporal as reference only</x:v>
      </x:c>
    </x:row>
    <x:row r="20">
      <x:c r="A20" s="119" t="str">
        <x:v>ADR-016</x:v>
      </x:c>
      <x:c r="B20" s="120" t="str">
        <x:v>AI decision architecture</x:v>
      </x:c>
      <x:c r="C20" s="120" t="str">
        <x:v>Accepted in principle</x:v>
      </x:c>
      <x:c r="D20" s="120" t="str">
        <x:v>Task/capability conclusions combine facts, deterministic checks and uncertain model interpretation.</x:v>
      </x:c>
      <x:c r="E20" s="120" t="str">
        <x:v>Java domain services own state and policy; Python evaluators return versioned findings with evidence, confidence and missing-data flags; humans decide consequential outcomes.</x:v>
      </x:c>
      <x:c r="F20" s="120" t="str">
        <x:v>AI service directly writes final employment states; deterministic rules only.</x:v>
      </x:c>
      <x:c r="G20" s="120" t="str">
        <x:v>Auditability, rapid model iteration and governance.</x:v>
      </x:c>
      <x:c r="H20" s="120" t="str">
        <x:v>Additional orchestration and calibration burden.</x:v>
      </x:c>
      <x:c r="I20" s="120" t="str">
        <x:v>Evaluation suites, calibration, human-review workflow.</x:v>
      </x:c>
      <x:c r="J20" s="120" t="str">
        <x:v>AI Architect/DPO</x:v>
      </x:c>
      <x:c r="K20" s="121" t="str">
        <x:v>NIST AI RMF / ICO human review</x:v>
      </x:c>
    </x:row>
    <x:row r="21">
      <x:c r="A21" s="113" t="str">
        <x:v>ADR-017</x:v>
      </x:c>
      <x:c r="B21" s="114" t="str">
        <x:v>Build/buy capture core</x:v>
      </x:c>
      <x:c r="C21" s="114" t="str">
        <x:v>Accepted in principle</x:v>
      </x:c>
      <x:c r="D21" s="114" t="str">
        <x:v>Relevant source-available and experimental projects exist but none meets the entire security/governance/product model.</x:v>
      </x:c>
      <x:c r="E21" s="114" t="str">
        <x:v>Build the proprietary endpoint core; benchmark and learn from Screenpipe, ActivityWatch and OpenAdapt; reuse code only after legal/security approval.</x:v>
      </x:c>
      <x:c r="F21" s="114" t="str">
        <x:v>Commercial monitoring vendor; direct Screenpipe commercial licence; fork OpenAdapt.</x:v>
      </x:c>
      <x:c r="G21" s="114" t="str">
        <x:v>Control over privacy, provenance, platform fit and product IP.</x:v>
      </x:c>
      <x:c r="H21" s="114" t="str">
        <x:v>Higher engineering cost and OS complexity.</x:v>
      </x:c>
      <x:c r="I21" s="114" t="str">
        <x:v>Stage 3/5 benchmarks and licence review.</x:v>
      </x:c>
      <x:c r="J21" s="114" t="str">
        <x:v>CTO/Desktop/Legal</x:v>
      </x:c>
      <x:c r="K21" s="115" t="str">
        <x:v>GitHub OSS Scan</x:v>
      </x:c>
    </x:row>
    <x:row r="22">
      <x:c r="A22" s="119" t="str">
        <x:v>ADR-018</x:v>
      </x:c>
      <x:c r="B22" s="120" t="str">
        <x:v>Capability system</x:v>
      </x:c>
      <x:c r="C22" s="120" t="str">
        <x:v>Accepted in principle</x:v>
      </x:c>
      <x:c r="D22" s="120" t="str">
        <x:v>Skills platforms infer capabilities but Nessovo needs task-evidence traceability and employee progression.</x:v>
      </x:c>
      <x:c r="E22" s="120" t="str">
        <x:v>Build a transparent HumanOS Capability Graph; map external frameworks and integrate HRIS/LMS systems rather than outsourcing the core evidence model.</x:v>
      </x:c>
      <x:c r="F22" s="120" t="str">
        <x:v>Buy skills platform as system of record; manager-only ratings.</x:v>
      </x:c>
      <x:c r="G22" s="120" t="str">
        <x:v>Core differentiation, explainability and cross-vertical fit.</x:v>
      </x:c>
      <x:c r="H22" s="120" t="str">
        <x:v>Employment fairness and ontology complexity.</x:v>
      </x:c>
      <x:c r="I22" s="120" t="str">
        <x:v>Stage 2 ontology evaluation and pilot fairness review.</x:v>
      </x:c>
      <x:c r="J22" s="120" t="str">
        <x:v>Capability Product Lead</x:v>
      </x:c>
      <x:c r="K22" s="121" t="str">
        <x:v>Skills intelligence market research</x:v>
      </x:c>
    </x:row>
    <x:row r="23">
      <x:c r="A23" s="113" t="str">
        <x:v>ADR-019</x:v>
      </x:c>
      <x:c r="B23" s="114" t="str">
        <x:v>Employee data access</x:v>
      </x:c>
      <x:c r="C23" s="114" t="str">
        <x:v>Accepted in principle</x:v>
      </x:c>
      <x:c r="D23" s="114" t="str">
        <x:v>Evidence used to assess work can be wrong or incomplete.</x:v>
      </x:c>
      <x:c r="E23" s="114" t="str">
        <x:v>Employees receive access to material evidence and assessments, can correct task/context and request meaningful human review.</x:v>
      </x:c>
      <x:c r="F23" s="114" t="str">
        <x:v>Manager-only visibility; limited report access.</x:v>
      </x:c>
      <x:c r="G23" s="114" t="str">
        <x:v>Trust, fairness, data quality and governance.</x:v>
      </x:c>
      <x:c r="H23" s="114" t="str">
        <x:v>Workflow and operational effort; potential disputes.</x:v>
      </x:c>
      <x:c r="I23" s="114" t="str">
        <x:v>Pilot UX and dispute SLA tests.</x:v>
      </x:c>
      <x:c r="J23" s="114" t="str">
        <x:v>DPO/HR/Product</x:v>
      </x:c>
      <x:c r="K23" s="115" t="str">
        <x:v>ICO monitoring guidance</x:v>
      </x:c>
    </x:row>
    <x:row r="24">
      <x:c r="A24" s="119" t="str">
        <x:v>ADR-020</x:v>
      </x:c>
      <x:c r="B24" s="120" t="str">
        <x:v>Pilot employment use</x:v>
      </x:c>
      <x:c r="C24" s="120" t="str">
        <x:v>Accepted in principle</x:v>
      </x:c>
      <x:c r="D24" s="120" t="str">
        <x:v>Early models and capture controls will not be sufficiently validated for high-impact decisions.</x:v>
      </x:c>
      <x:c r="E24" s="120" t="str">
        <x:v>No adverse employment action based solely or primarily on pilot system output; use pilot for product evaluation, coaching and evidence-quality learning.</x:v>
      </x:c>
      <x:c r="F24" s="120" t="str">
        <x:v>Normal performance-management use during pilot.</x:v>
      </x:c>
      <x:c r="G24" s="120" t="str">
        <x:v>Reduces harm and enables honest feedback.</x:v>
      </x:c>
      <x:c r="H24" s="120" t="str">
        <x:v>Limits immediate management value.</x:v>
      </x:c>
      <x:c r="I24" s="120" t="str">
        <x:v>Executive/HR policy and participant terms.</x:v>
      </x:c>
      <x:c r="J24" s="120" t="str">
        <x:v>Executive Sponsor/HR</x:v>
      </x:c>
      <x:c r="K24" s="121" t="str">
        <x:v>Pilot Definition</x:v>
      </x:c>
    </x:row>
    <x:row r="25">
      <x:c r="A25" s="113" t="str">
        <x:v>ADR-021</x:v>
      </x:c>
      <x:c r="B25" s="114" t="str">
        <x:v>Skill self-improvement</x:v>
      </x:c>
      <x:c r="C25" s="114" t="str">
        <x:v>Accepted in principle</x:v>
      </x:c>
      <x:c r="D25" s="114" t="str">
        <x:v>The system should improve prompts, adapters and evaluators from feedback without uncontrolled self-modification.</x:v>
      </x:c>
      <x:c r="E25" s="114" t="str">
        <x:v>Use observation → proposal → offline evaluation → expert/security review → canary → promote/rollback lifecycle.</x:v>
      </x:c>
      <x:c r="F25" s="114" t="str">
        <x:v>Automatic live edits; manual improvement only.</x:v>
      </x:c>
      <x:c r="G25" s="114" t="str">
        <x:v>Compounding organisational intelligence with governance.</x:v>
      </x:c>
      <x:c r="H25" s="114" t="str">
        <x:v>Evaluation maintenance and slower promotion.</x:v>
      </x:c>
      <x:c r="I25" s="114" t="str">
        <x:v>Stage 11 Skill Forge implementation and regression metrics.</x:v>
      </x:c>
      <x:c r="J25" s="114" t="str">
        <x:v>AI Platform Lead</x:v>
      </x:c>
      <x:c r="K25" s="115" t="str">
        <x:v>Claude-Mem / Task Observer patterns</x:v>
      </x:c>
    </x:row>
    <x:row r="26">
      <x:c r="A26" s="122" t="str">
        <x:v>ADR-022</x:v>
      </x:c>
      <x:c r="B26" s="123" t="str">
        <x:v>Audio capture</x:v>
      </x:c>
      <x:c r="C26" s="123" t="str">
        <x:v>Accepted</x:v>
      </x:c>
      <x:c r="D26" s="123" t="str">
        <x:v>Audio adds significant privacy, policy and storage risk and is not required for the first technical pilot.</x:v>
      </x:c>
      <x:c r="E26" s="123" t="str">
        <x:v>Exclude microphone/system audio from v1 pilot.</x:v>
      </x:c>
      <x:c r="F26" s="123" t="str">
        <x:v>Capture meetings and calls; optional user-triggered audio.</x:v>
      </x:c>
      <x:c r="G26" s="123" t="str">
        <x:v>Reduces risk and scope.</x:v>
      </x:c>
      <x:c r="H26" s="123" t="str">
        <x:v>Some work context remains unobserved.</x:v>
      </x:c>
      <x:c r="I26" s="123" t="str">
        <x:v>New purpose, DPIA and product decision before introduction.</x:v>
      </x:c>
      <x:c r="J26" s="123" t="str">
        <x:v>DPO/Product</x:v>
      </x:c>
      <x:c r="K26" s="124" t="str">
        <x:v>Purpose Policy Matrix</x:v>
      </x:c>
    </x:row>
  </x:sheetData>
  <x:mergeCells>
    <x:mergeCell ref="A1:K1"/>
    <x:mergeCell ref="A2:K2"/>
  </x:mergeCells>
  <x:dataValidations count="1">
    <x:dataValidation type="list" sqref="C5:C26">
      <x:formula1>"Proposed,Accepted in principle,Accepted,Rejected,Superseded"</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12" hidden="0" customWidth="1"/>
    <x:col min="3" max="3" width="18" hidden="0" customWidth="1"/>
    <x:col min="4" max="4" width="11" hidden="0" customWidth="1"/>
    <x:col min="5" max="5" width="44" hidden="0" customWidth="1"/>
    <x:col min="6" max="6" width="36" hidden="0" customWidth="1"/>
    <x:col min="7" max="7" width="24" hidden="0" customWidth="1"/>
    <x:col min="8" max="8" width="18" hidden="0" customWidth="1"/>
    <x:col min="9" max="9" width="13" hidden="0" customWidth="1"/>
    <x:col min="10" max="10" width="24" hidden="0" customWidth="1"/>
    <x:col min="11" max="11" width="42" hidden="0" customWidth="1"/>
    <x:col min="12" max="12" width="30" hidden="0" customWidth="1"/>
    <x:col min="14" max="14" width="24" hidden="0" customWidth="1"/>
    <x:col min="15" max="15" width="16" hidden="0" customWidth="1"/>
    <x:col min="16" max="16" width="14" hidden="0" customWidth="1"/>
  </x:cols>
  <x:sheetData>
    <x:row r="1" ht="30" customHeight="1">
      <x:c r="A1" s="72" t="str">
        <x:v>Stage 0 and Stage 1 Approval Gates</x:v>
      </x:c>
      <x:c r="B1" s="72"/>
      <x:c r="C1" s="72"/>
      <x:c r="D1" s="72"/>
      <x:c r="E1" s="72"/>
      <x:c r="F1" s="72"/>
      <x:c r="G1" s="72"/>
      <x:c r="H1" s="72"/>
      <x:c r="I1" s="72"/>
      <x:c r="J1" s="72"/>
      <x:c r="K1" s="72"/>
      <x:c r="L1" s="72"/>
      <x:c r="M1" s="72"/>
      <x:c r="N1" s="72"/>
      <x:c r="O1" s="72"/>
      <x:c r="P1" s="72"/>
    </x:row>
    <x:row r="2" ht="34" customHeight="1">
      <x:c r="A2" s="76" t="str">
        <x:v>Formal readiness checklist. A drafted workbook item is not the same as a Nessovo approval. Mandatory items marked 'Not Started' or 'Blocked' prevent an unconditional go decision.</x:v>
      </x:c>
      <x:c r="B2" s="76"/>
      <x:c r="C2" s="76"/>
      <x:c r="D2" s="76"/>
      <x:c r="E2" s="76"/>
      <x:c r="F2" s="76"/>
      <x:c r="G2" s="76"/>
      <x:c r="H2" s="76"/>
      <x:c r="I2" s="76"/>
      <x:c r="J2" s="76"/>
      <x:c r="K2" s="76"/>
      <x:c r="L2" s="76"/>
      <x:c r="M2" s="76"/>
      <x:c r="N2" s="76"/>
      <x:c r="O2" s="76"/>
      <x:c r="P2" s="76"/>
    </x:row>
    <x:row r="4" ht="28" customHeight="1">
      <x:c r="A4" s="88" t="str">
        <x:v>Gate item</x:v>
      </x:c>
      <x:c r="B4" s="89" t="str">
        <x:v>Gate</x:v>
      </x:c>
      <x:c r="C4" s="89" t="str">
        <x:v>Category</x:v>
      </x:c>
      <x:c r="D4" s="89" t="str">
        <x:v>Mandatory</x:v>
      </x:c>
      <x:c r="E4" s="89" t="str">
        <x:v>Requirement</x:v>
      </x:c>
      <x:c r="F4" s="89" t="str">
        <x:v>Required evidence</x:v>
      </x:c>
      <x:c r="G4" s="89" t="str">
        <x:v>Accountable authority</x:v>
      </x:c>
      <x:c r="H4" s="89" t="str">
        <x:v>Status</x:v>
      </x:c>
      <x:c r="I4" s="89" t="str">
        <x:v>Readiness weight</x:v>
      </x:c>
      <x:c r="J4" s="89" t="str">
        <x:v>Decision / condition</x:v>
      </x:c>
      <x:c r="K4" s="89" t="str">
        <x:v>Blocking condition</x:v>
      </x:c>
      <x:c r="L4" s="90" t="str">
        <x:v>Notes</x:v>
      </x:c>
      <x:c r="N4" s="138" t="str">
        <x:v>Gate readiness summary</x:v>
      </x:c>
      <x:c r="O4" s="138"/>
      <x:c r="P4" s="138"/>
    </x:row>
    <x:row r="5" ht="28" customHeight="1">
      <x:c r="A5" s="110" t="str">
        <x:v>G0-01</x:v>
      </x:c>
      <x:c r="B5" s="111" t="str">
        <x:v>Stage 0</x:v>
      </x:c>
      <x:c r="C5" s="111" t="str">
        <x:v>Purpose</x:v>
      </x:c>
      <x:c r="D5" s="111" t="str">
        <x:v>Yes</x:v>
      </x:c>
      <x:c r="E5" s="111" t="str">
        <x:v>Product purpose and strategic positioning approved.</x:v>
      </x:c>
      <x:c r="F5" s="111" t="str">
        <x:v>Signed/recorded Product Charter v1 decision.</x:v>
      </x:c>
      <x:c r="G5" s="111" t="str">
        <x:v>Executive Sponsor</x:v>
      </x:c>
      <x:c r="H5" s="111" t="str">
        <x:v>Draft Ready</x:v>
      </x:c>
      <x:c r="I5" s="133" t="n">
        <x:f>IF(H5="Met",1,IF(H5="Draft Ready",0.8,IF(H5="In Review",0.6,IF(H5="Owner Input",0.3,IF(H5="Blocked",0,0)))))</x:f>
        <x:v>0.8</x:v>
      </x:c>
      <x:c r="J5" s="111" t="str"/>
      <x:c r="K5" s="111" t="str">
        <x:v>No agreed purpose or value proposition.</x:v>
      </x:c>
      <x:c r="L5" s="112" t="str"/>
      <x:c r="N5" s="88" t="str">
        <x:v>Metric</x:v>
      </x:c>
      <x:c r="O5" s="90" t="str">
        <x:v>Value</x:v>
      </x:c>
    </x:row>
    <x:row r="6">
      <x:c r="A6" s="119" t="str">
        <x:v>G0-02</x:v>
      </x:c>
      <x:c r="B6" s="120" t="str">
        <x:v>Stage 0</x:v>
      </x:c>
      <x:c r="C6" s="120" t="str">
        <x:v>Ownership</x:v>
      </x:c>
      <x:c r="D6" s="120" t="str">
        <x:v>Yes</x:v>
      </x:c>
      <x:c r="E6" s="120" t="str">
        <x:v>Executive sponsor, product owner and programme lead named.</x:v>
      </x:c>
      <x:c r="F6" s="120" t="str">
        <x:v>RACI with named individuals.</x:v>
      </x:c>
      <x:c r="G6" s="120" t="str">
        <x:v>CEO</x:v>
      </x:c>
      <x:c r="H6" s="120" t="str">
        <x:v>Owner Input</x:v>
      </x:c>
      <x:c r="I6" s="134" t="n">
        <x:f>IF(H6="Met",1,IF(H6="Draft Ready",0.8,IF(H6="In Review",0.6,IF(H6="Owner Input",0.3,IF(H6="Blocked",0,0)))))</x:f>
        <x:v>0.3</x:v>
      </x:c>
      <x:c r="J6" s="120" t="str"/>
      <x:c r="K6" s="120" t="str">
        <x:v>No accountable owner.</x:v>
      </x:c>
      <x:c r="L6" s="121" t="str"/>
      <x:c r="N6" s="110" t="str">
        <x:v>Stage 0 readiness</x:v>
      </x:c>
      <x:c r="O6" s="139" t="n">
        <x:f>SUMIF(B5:B37,"Stage 0",I5:I37)/COUNTIF(B5:B37,"Stage 0")</x:f>
        <x:v>0.5722222222222223</x:v>
      </x:c>
    </x:row>
    <x:row r="7">
      <x:c r="A7" s="113" t="str">
        <x:v>G0-03</x:v>
      </x:c>
      <x:c r="B7" s="114" t="str">
        <x:v>Stage 0</x:v>
      </x:c>
      <x:c r="C7" s="114" t="str">
        <x:v>Scope</x:v>
      </x:c>
      <x:c r="D7" s="114" t="str">
        <x:v>Yes</x:v>
      </x:c>
      <x:c r="E7" s="114" t="str">
        <x:v>Initial vertical, participant cohort, devices, hours, tasks and exclusions defined.</x:v>
      </x:c>
      <x:c r="F7" s="114" t="str">
        <x:v>Approved Pilot Definition.</x:v>
      </x:c>
      <x:c r="G7" s="114" t="str">
        <x:v>Product Owner / HR</x:v>
      </x:c>
      <x:c r="H7" s="114" t="str">
        <x:v>Draft Ready</x:v>
      </x:c>
      <x:c r="I7" s="135" t="n">
        <x:f>IF(H7="Met",1,IF(H7="Draft Ready",0.8,IF(H7="In Review",0.6,IF(H7="Owner Input",0.3,IF(H7="Blocked",0,0)))))</x:f>
        <x:v>0.8</x:v>
      </x:c>
      <x:c r="J7" s="114" t="str"/>
      <x:c r="K7" s="114" t="str">
        <x:v>Scope permits personal devices, covert or out-of-hours capture.</x:v>
      </x:c>
      <x:c r="L7" s="115" t="str"/>
      <x:c r="N7" s="113" t="str">
        <x:v>Stage 1 readiness</x:v>
      </x:c>
      <x:c r="O7" s="140" t="n">
        <x:f>SUMIF(B5:B37,"Stage 1",I5:I37)/COUNTIF(B5:B37,"Stage 1")</x:f>
        <x:v>0.5666666666666665</x:v>
      </x:c>
    </x:row>
    <x:row r="8">
      <x:c r="A8" s="119" t="str">
        <x:v>G0-04</x:v>
      </x:c>
      <x:c r="B8" s="120" t="str">
        <x:v>Stage 0</x:v>
      </x:c>
      <x:c r="C8" s="120" t="str">
        <x:v>Prohibited uses</x:v>
      </x:c>
      <x:c r="D8" s="120" t="str">
        <x:v>Yes</x:v>
      </x:c>
      <x:c r="E8" s="120" t="str">
        <x:v>No covert general monitoring, activity-volume scoring, emotion/personality inference or solely automated employment decisions.</x:v>
      </x:c>
      <x:c r="F8" s="120" t="str">
        <x:v>Approved charter and policy controls.</x:v>
      </x:c>
      <x:c r="G8" s="120" t="str">
        <x:v>DPO / Legal / HR</x:v>
      </x:c>
      <x:c r="H8" s="120" t="str">
        <x:v>Draft Ready</x:v>
      </x:c>
      <x:c r="I8" s="134" t="n">
        <x:f>IF(H8="Met",1,IF(H8="Draft Ready",0.8,IF(H8="In Review",0.6,IF(H8="Owner Input",0.3,IF(H8="Blocked",0,0)))))</x:f>
        <x:v>0.8</x:v>
      </x:c>
      <x:c r="J8" s="120" t="str"/>
      <x:c r="K8" s="120" t="str">
        <x:v>Any prohibited use remains permitted by design or policy.</x:v>
      </x:c>
      <x:c r="L8" s="121" t="str"/>
      <x:c r="N8" s="113" t="str">
        <x:v>Mandatory blockers</x:v>
      </x:c>
      <x:c r="O8" s="115" t="n">
        <x:f>COUNTIFS(D5:D37,"Yes",H5:H37,"Blocked")+COUNTIFS(D5:D37,"Yes",H5:H37,"Not Started")</x:f>
        <x:v>5</x:v>
      </x:c>
    </x:row>
    <x:row r="9">
      <x:c r="A9" s="113" t="str">
        <x:v>G0-05</x:v>
      </x:c>
      <x:c r="B9" s="114" t="str">
        <x:v>Stage 0</x:v>
      </x:c>
      <x:c r="C9" s="114" t="str">
        <x:v>Purpose limitation</x:v>
      </x:c>
      <x:c r="D9" s="114" t="str">
        <x:v>Yes</x:v>
      </x:c>
      <x:c r="E9" s="114" t="str">
        <x:v>Every proposed data category has a specific purpose and prohibited uses.</x:v>
      </x:c>
      <x:c r="F9" s="114" t="str">
        <x:v>Purpose Policy Matrix reviewed by DPO.</x:v>
      </x:c>
      <x:c r="G9" s="114" t="str">
        <x:v>DPO</x:v>
      </x:c>
      <x:c r="H9" s="114" t="str">
        <x:v>Draft Ready</x:v>
      </x:c>
      <x:c r="I9" s="135" t="n">
        <x:f>IF(H9="Met",1,IF(H9="Draft Ready",0.8,IF(H9="In Review",0.6,IF(H9="Owner Input",0.3,IF(H9="Blocked",0,0)))))</x:f>
        <x:v>0.8</x:v>
      </x:c>
      <x:c r="J9" s="114" t="str"/>
      <x:c r="K9" s="114" t="str">
        <x:v>Collection exists 'just in case'.</x:v>
      </x:c>
      <x:c r="L9" s="115" t="str"/>
      <x:c r="N9" s="116" t="str">
        <x:v>Formal decisions recorded</x:v>
      </x:c>
      <x:c r="O9" s="118" t="n">
        <x:f>COUNTIF(J5:J37,"Approve")+COUNTIF(J5:J37,"Conditional Approve")+COUNTIF(J5:J37,"Hold")+COUNTIF(J5:J37,"Reject")</x:f>
        <x:v>0</x:v>
      </x:c>
    </x:row>
    <x:row r="10">
      <x:c r="A10" s="119" t="str">
        <x:v>G0-06</x:v>
      </x:c>
      <x:c r="B10" s="120" t="str">
        <x:v>Stage 0</x:v>
      </x:c>
      <x:c r="C10" s="120" t="str">
        <x:v>Necessity</x:v>
      </x:c>
      <x:c r="D10" s="120" t="str">
        <x:v>Yes</x:v>
      </x:c>
      <x:c r="E10" s="120" t="str">
        <x:v>Less-intrusive alternatives are assessed and residual necessity documented.</x:v>
      </x:c>
      <x:c r="F10" s="120" t="str">
        <x:v>Alternatives assessment in purpose matrix/DPIA.</x:v>
      </x:c>
      <x:c r="G10" s="120" t="str">
        <x:v>DPO / Product</x:v>
      </x:c>
      <x:c r="H10" s="120" t="str">
        <x:v>Draft Ready</x:v>
      </x:c>
      <x:c r="I10" s="134" t="n">
        <x:f>IF(H10="Met",1,IF(H10="Draft Ready",0.8,IF(H10="In Review",0.6,IF(H10="Owner Input",0.3,IF(H10="Blocked",0,0)))))</x:f>
        <x:v>0.8</x:v>
      </x:c>
      <x:c r="J10" s="120" t="str"/>
      <x:c r="K10" s="120" t="str">
        <x:v>Intrusive collection selected without alternatives analysis.</x:v>
      </x:c>
      <x:c r="L10" s="121" t="str"/>
    </x:row>
    <x:row r="11">
      <x:c r="A11" s="113" t="str">
        <x:v>G0-07</x:v>
      </x:c>
      <x:c r="B11" s="114" t="str">
        <x:v>Stage 0</x:v>
      </x:c>
      <x:c r="C11" s="114" t="str">
        <x:v>DPIA</x:v>
      </x:c>
      <x:c r="D11" s="114" t="str">
        <x:v>Yes</x:v>
      </x:c>
      <x:c r="E11" s="114" t="str">
        <x:v>High-risk monitoring DPIA is completed and independent DPO advice recorded.</x:v>
      </x:c>
      <x:c r="F11" s="114" t="str">
        <x:v>Completed DPIA and DPO advice.</x:v>
      </x:c>
      <x:c r="G11" s="114" t="str">
        <x:v>DPO</x:v>
      </x:c>
      <x:c r="H11" s="114" t="str">
        <x:v>Not Started</x:v>
      </x:c>
      <x:c r="I11" s="135" t="n">
        <x:f>IF(H11="Met",1,IF(H11="Draft Ready",0.8,IF(H11="In Review",0.6,IF(H11="Owner Input",0.3,IF(H11="Blocked",0,0)))))</x:f>
        <x:v>0</x:v>
      </x:c>
      <x:c r="J11" s="114" t="str"/>
      <x:c r="K11" s="114" t="str">
        <x:v>Unmitigated high risk or missing DPO advice.</x:v>
      </x:c>
      <x:c r="L11" s="115" t="str"/>
    </x:row>
    <x:row r="12">
      <x:c r="A12" s="119" t="str">
        <x:v>G0-08</x:v>
      </x:c>
      <x:c r="B12" s="120" t="str">
        <x:v>Stage 0</x:v>
      </x:c>
      <x:c r="C12" s="120" t="str">
        <x:v>UK legal</x:v>
      </x:c>
      <x:c r="D12" s="120" t="str">
        <x:v>Yes</x:v>
      </x:c>
      <x:c r="E12" s="120" t="str">
        <x:v>UK lawful basis, employment, interception and automated-decision conditions confirmed.</x:v>
      </x:c>
      <x:c r="F12" s="120" t="str">
        <x:v>UK legal memorandum.</x:v>
      </x:c>
      <x:c r="G12" s="120" t="str">
        <x:v>UK Legal Counsel</x:v>
      </x:c>
      <x:c r="H12" s="120" t="str">
        <x:v>Owner Input</x:v>
      </x:c>
      <x:c r="I12" s="134" t="n">
        <x:f>IF(H12="Met",1,IF(H12="Draft Ready",0.8,IF(H12="In Review",0.6,IF(H12="Owner Input",0.3,IF(H12="Blocked",0,0)))))</x:f>
        <x:v>0.3</x:v>
      </x:c>
      <x:c r="J12" s="120" t="str"/>
      <x:c r="K12" s="120" t="str">
        <x:v>Legal basis or policy route unresolved.</x:v>
      </x:c>
      <x:c r="L12" s="121" t="str"/>
    </x:row>
    <x:row r="13">
      <x:c r="A13" s="113" t="str">
        <x:v>G0-09</x:v>
      </x:c>
      <x:c r="B13" s="114" t="str">
        <x:v>Stage 0</x:v>
      </x:c>
      <x:c r="C13" s="114" t="str">
        <x:v>Pakistan legal</x:v>
      </x:c>
      <x:c r="D13" s="114" t="str">
        <x:v>Yes for Lahore pilot</x:v>
      </x:c>
      <x:c r="E13" s="114" t="str">
        <x:v>Pakistan employment/privacy/interception and transfer requirements confirmed.</x:v>
      </x:c>
      <x:c r="F13" s="114" t="str">
        <x:v>Pakistan legal memorandum.</x:v>
      </x:c>
      <x:c r="G13" s="114" t="str">
        <x:v>Pakistan Legal Counsel</x:v>
      </x:c>
      <x:c r="H13" s="114" t="str">
        <x:v>Owner Input</x:v>
      </x:c>
      <x:c r="I13" s="135" t="n">
        <x:f>IF(H13="Met",1,IF(H13="Draft Ready",0.8,IF(H13="In Review",0.6,IF(H13="Owner Input",0.3,IF(H13="Blocked",0,0)))))</x:f>
        <x:v>0.3</x:v>
      </x:c>
      <x:c r="J13" s="114" t="str"/>
      <x:c r="K13" s="114" t="str">
        <x:v>Local-law requirements unresolved for Lahore participants.</x:v>
      </x:c>
      <x:c r="L13" s="115" t="str"/>
    </x:row>
    <x:row r="14">
      <x:c r="A14" s="119" t="str">
        <x:v>G0-10</x:v>
      </x:c>
      <x:c r="B14" s="120" t="str">
        <x:v>Stage 0</x:v>
      </x:c>
      <x:c r="C14" s="120" t="str">
        <x:v>Worker voice</x:v>
      </x:c>
      <x:c r="D14" s="120" t="str">
        <x:v>Yes</x:v>
      </x:c>
      <x:c r="E14" s="120" t="str">
        <x:v>Affected workers or representatives consulted during planning.</x:v>
      </x:c>
      <x:c r="F14" s="120" t="str">
        <x:v>Consultation record and Nessovo response.</x:v>
      </x:c>
      <x:c r="G14" s="120" t="str">
        <x:v>HR / DPO</x:v>
      </x:c>
      <x:c r="H14" s="120" t="str">
        <x:v>Not Started</x:v>
      </x:c>
      <x:c r="I14" s="134" t="n">
        <x:f>IF(H14="Met",1,IF(H14="Draft Ready",0.8,IF(H14="In Review",0.6,IF(H14="Owner Input",0.3,IF(H14="Blocked",0,0)))))</x:f>
        <x:v>0</x:v>
      </x:c>
      <x:c r="J14" s="120" t="str"/>
      <x:c r="K14" s="120" t="str">
        <x:v>No consultation and no documented justification.</x:v>
      </x:c>
      <x:c r="L14" s="121" t="str"/>
    </x:row>
    <x:row r="15">
      <x:c r="A15" s="113" t="str">
        <x:v>G0-11</x:v>
      </x:c>
      <x:c r="B15" s="114" t="str">
        <x:v>Stage 0</x:v>
      </x:c>
      <x:c r="C15" s="114" t="str">
        <x:v>Transparency</x:v>
      </x:c>
      <x:c r="D15" s="114" t="str">
        <x:v>Yes</x:v>
      </x:c>
      <x:c r="E15" s="114" t="str">
        <x:v>Worker notice and monitoring policy explain what, why, when, access, retention and rights.</x:v>
      </x:c>
      <x:c r="F15" s="114" t="str">
        <x:v>Approved notice and policy.</x:v>
      </x:c>
      <x:c r="G15" s="114" t="str">
        <x:v>HR / Legal / DPO</x:v>
      </x:c>
      <x:c r="H15" s="114" t="str">
        <x:v>Draft Ready</x:v>
      </x:c>
      <x:c r="I15" s="135" t="n">
        <x:f>IF(H15="Met",1,IF(H15="Draft Ready",0.8,IF(H15="In Review",0.6,IF(H15="Owner Input",0.3,IF(H15="Blocked",0,0)))))</x:f>
        <x:v>0.8</x:v>
      </x:c>
      <x:c r="J15" s="114" t="str"/>
      <x:c r="K15" s="114" t="str">
        <x:v>Workers cannot understand when or why monitoring occurs.</x:v>
      </x:c>
      <x:c r="L15" s="115" t="str"/>
    </x:row>
    <x:row r="16">
      <x:c r="A16" s="119" t="str">
        <x:v>G0-12</x:v>
      </x:c>
      <x:c r="B16" s="120" t="str">
        <x:v>Stage 0</x:v>
      </x:c>
      <x:c r="C16" s="120" t="str">
        <x:v>Employee rights</x:v>
      </x:c>
      <x:c r="D16" s="120" t="str">
        <x:v>Yes</x:v>
      </x:c>
      <x:c r="E16" s="120" t="str">
        <x:v>Employee evidence access, correction, explanation, dispute and review workflow defined.</x:v>
      </x:c>
      <x:c r="F16" s="120" t="str">
        <x:v>Workflow specification and service SLA.</x:v>
      </x:c>
      <x:c r="G16" s="120" t="str">
        <x:v>DPO / HR / Product</x:v>
      </x:c>
      <x:c r="H16" s="120" t="str">
        <x:v>Draft Ready</x:v>
      </x:c>
      <x:c r="I16" s="134" t="n">
        <x:f>IF(H16="Met",1,IF(H16="Draft Ready",0.8,IF(H16="In Review",0.6,IF(H16="Owner Input",0.3,IF(H16="Blocked",0,0)))))</x:f>
        <x:v>0.8</x:v>
      </x:c>
      <x:c r="J16" s="120" t="str"/>
      <x:c r="K16" s="120" t="str">
        <x:v>No operational challenge route.</x:v>
      </x:c>
      <x:c r="L16" s="121" t="str"/>
    </x:row>
    <x:row r="17">
      <x:c r="A17" s="113" t="str">
        <x:v>G0-13</x:v>
      </x:c>
      <x:c r="B17" s="114" t="str">
        <x:v>Stage 0</x:v>
      </x:c>
      <x:c r="C17" s="114" t="str">
        <x:v>Human review</x:v>
      </x:c>
      <x:c r="D17" s="114" t="str">
        <x:v>Yes</x:v>
      </x:c>
      <x:c r="E17" s="114" t="str">
        <x:v>Reviewers are qualified, independent enough, authorised and able to reject AI output.</x:v>
      </x:c>
      <x:c r="F17" s="114" t="str">
        <x:v>Human-review standard.</x:v>
      </x:c>
      <x:c r="G17" s="114" t="str">
        <x:v>HR / Legal</x:v>
      </x:c>
      <x:c r="H17" s="114" t="str">
        <x:v>Draft Ready</x:v>
      </x:c>
      <x:c r="I17" s="135" t="n">
        <x:f>IF(H17="Met",1,IF(H17="Draft Ready",0.8,IF(H17="In Review",0.6,IF(H17="Owner Input",0.3,IF(H17="Blocked",0,0)))))</x:f>
        <x:v>0.8</x:v>
      </x:c>
      <x:c r="J17" s="114" t="str"/>
      <x:c r="K17" s="114" t="str">
        <x:v>AI recommendation is effectively rubber-stamped.</x:v>
      </x:c>
      <x:c r="L17" s="115" t="str"/>
    </x:row>
    <x:row r="18">
      <x:c r="A18" s="119" t="str">
        <x:v>G0-14</x:v>
      </x:c>
      <x:c r="B18" s="120" t="str">
        <x:v>Stage 0</x:v>
      </x:c>
      <x:c r="C18" s="120" t="str">
        <x:v>Security/privacy controls</x:v>
      </x:c>
      <x:c r="D18" s="120" t="str">
        <x:v>Yes</x:v>
      </x:c>
      <x:c r="E18" s="120" t="str">
        <x:v>Secure-field blocking, exclusions, local redaction, encryption, audit and emergency disable are mandatory.</x:v>
      </x:c>
      <x:c r="F18" s="120" t="str">
        <x:v>Control specification and validation plan.</x:v>
      </x:c>
      <x:c r="G18" s="120" t="str">
        <x:v>CISO / DPO</x:v>
      </x:c>
      <x:c r="H18" s="120" t="str">
        <x:v>Draft Ready</x:v>
      </x:c>
      <x:c r="I18" s="134" t="n">
        <x:f>IF(H18="Met",1,IF(H18="Draft Ready",0.8,IF(H18="In Review",0.6,IF(H18="Owner Input",0.3,IF(H18="Blocked",0,0)))))</x:f>
        <x:v>0.8</x:v>
      </x:c>
      <x:c r="J18" s="120" t="str"/>
      <x:c r="K18" s="120" t="str">
        <x:v>Passwords/secrets could be retained or uploaded.</x:v>
      </x:c>
      <x:c r="L18" s="121" t="str"/>
    </x:row>
    <x:row r="19">
      <x:c r="A19" s="113" t="str">
        <x:v>G0-15</x:v>
      </x:c>
      <x:c r="B19" s="114" t="str">
        <x:v>Stage 0</x:v>
      </x:c>
      <x:c r="C19" s="114" t="str">
        <x:v>Threats</x:v>
      </x:c>
      <x:c r="D19" s="114" t="str">
        <x:v>Yes</x:v>
      </x:c>
      <x:c r="E19" s="114" t="str">
        <x:v>Foundation threat model has owners and blocking controls.</x:v>
      </x:c>
      <x:c r="F19" s="114" t="str">
        <x:v>Threat register reviewed by CISO/DPO.</x:v>
      </x:c>
      <x:c r="G19" s="114" t="str">
        <x:v>CISO</x:v>
      </x:c>
      <x:c r="H19" s="114" t="str">
        <x:v>In Review</x:v>
      </x:c>
      <x:c r="I19" s="135" t="n">
        <x:f>IF(H19="Met",1,IF(H19="Draft Ready",0.8,IF(H19="In Review",0.6,IF(H19="Owner Input",0.3,IF(H19="Blocked",0,0)))))</x:f>
        <x:v>0.6</x:v>
      </x:c>
      <x:c r="J19" s="114" t="str"/>
      <x:c r="K19" s="114" t="str">
        <x:v>Critical untreated threat.</x:v>
      </x:c>
      <x:c r="L19" s="115" t="str"/>
    </x:row>
    <x:row r="20">
      <x:c r="A20" s="119" t="str">
        <x:v>G0-16</x:v>
      </x:c>
      <x:c r="B20" s="120" t="str">
        <x:v>Stage 0</x:v>
      </x:c>
      <x:c r="C20" s="120" t="str">
        <x:v>Pilot protection</x:v>
      </x:c>
      <x:c r="D20" s="120" t="str">
        <x:v>Yes</x:v>
      </x:c>
      <x:c r="E20" s="120" t="str">
        <x:v>Pilot output cannot independently create adverse employment consequences.</x:v>
      </x:c>
      <x:c r="F20" s="120" t="str">
        <x:v>Participant terms and HR policy.</x:v>
      </x:c>
      <x:c r="G20" s="120" t="str">
        <x:v>Executive Sponsor / HR</x:v>
      </x:c>
      <x:c r="H20" s="120" t="str">
        <x:v>Draft Ready</x:v>
      </x:c>
      <x:c r="I20" s="134" t="n">
        <x:f>IF(H20="Met",1,IF(H20="Draft Ready",0.8,IF(H20="In Review",0.6,IF(H20="Owner Input",0.3,IF(H20="Blocked",0,0)))))</x:f>
        <x:v>0.8</x:v>
      </x:c>
      <x:c r="J20" s="120" t="str"/>
      <x:c r="K20" s="120" t="str">
        <x:v>Pilot used as unvalidated disciplinary mechanism.</x:v>
      </x:c>
      <x:c r="L20" s="121" t="str"/>
    </x:row>
    <x:row r="21">
      <x:c r="A21" s="113" t="str">
        <x:v>G0-17</x:v>
      </x:c>
      <x:c r="B21" s="114" t="str">
        <x:v>Stage 0</x:v>
      </x:c>
      <x:c r="C21" s="114" t="str">
        <x:v>Stop criteria</x:v>
      </x:c>
      <x:c r="D21" s="114" t="str">
        <x:v>Yes</x:v>
      </x:c>
      <x:c r="E21" s="114" t="str">
        <x:v>Pilot hold/stop conditions and authority are measurable and operational.</x:v>
      </x:c>
      <x:c r="F21" s="114" t="str">
        <x:v>Pilot Definition and incident path.</x:v>
      </x:c>
      <x:c r="G21" s="114" t="str">
        <x:v>Executive Sponsor / CISO / DPO</x:v>
      </x:c>
      <x:c r="H21" s="114" t="str">
        <x:v>Draft Ready</x:v>
      </x:c>
      <x:c r="I21" s="135" t="n">
        <x:f>IF(H21="Met",1,IF(H21="Draft Ready",0.8,IF(H21="In Review",0.6,IF(H21="Owner Input",0.3,IF(H21="Blocked",0,0)))))</x:f>
        <x:v>0.8</x:v>
      </x:c>
      <x:c r="J21" s="114" t="str"/>
      <x:c r="K21" s="114" t="str">
        <x:v>No rapid stop mechanism.</x:v>
      </x:c>
      <x:c r="L21" s="115" t="str"/>
    </x:row>
    <x:row r="22">
      <x:c r="A22" s="119" t="str">
        <x:v>G0-18</x:v>
      </x:c>
      <x:c r="B22" s="120" t="str">
        <x:v>Stage 0</x:v>
      </x:c>
      <x:c r="C22" s="120" t="str">
        <x:v>Decision</x:v>
      </x:c>
      <x:c r="D22" s="120" t="str">
        <x:v>Yes</x:v>
      </x:c>
      <x:c r="E22" s="120" t="str">
        <x:v>Cross-functional review completed and Stage 0 decision recorded.</x:v>
      </x:c>
      <x:c r="F22" s="120" t="str">
        <x:v>Meeting minutes, conditions and decision.</x:v>
      </x:c>
      <x:c r="G22" s="120" t="str">
        <x:v>Executive Sponsor</x:v>
      </x:c>
      <x:c r="H22" s="120" t="str">
        <x:v>Not Started</x:v>
      </x:c>
      <x:c r="I22" s="134" t="n">
        <x:f>IF(H22="Met",1,IF(H22="Draft Ready",0.8,IF(H22="In Review",0.6,IF(H22="Owner Input",0.3,IF(H22="Blocked",0,0)))))</x:f>
        <x:v>0</x:v>
      </x:c>
      <x:c r="J22" s="120" t="str"/>
      <x:c r="K22" s="120" t="str">
        <x:v>No formal gate decision.</x:v>
      </x:c>
      <x:c r="L22" s="121" t="str"/>
    </x:row>
    <x:row r="23">
      <x:c r="A23" s="113" t="str">
        <x:v>G1-01</x:v>
      </x:c>
      <x:c r="B23" s="114" t="str">
        <x:v>Stage 1</x:v>
      </x:c>
      <x:c r="C23" s="114" t="str">
        <x:v>Market evidence</x:v>
      </x:c>
      <x:c r="D23" s="114" t="str">
        <x:v>Yes</x:v>
      </x:c>
      <x:c r="E23" s="114" t="str">
        <x:v>Commercial category research and strategic gap analysis are complete and source-backed.</x:v>
      </x:c>
      <x:c r="F23" s="114" t="str">
        <x:v>Market Landscape and Gap Matrix.</x:v>
      </x:c>
      <x:c r="G23" s="114" t="str">
        <x:v>Product Owner</x:v>
      </x:c>
      <x:c r="H23" s="114" t="str">
        <x:v>Met</x:v>
      </x:c>
      <x:c r="I23" s="135" t="n">
        <x:f>IF(H23="Met",1,IF(H23="Draft Ready",0.8,IF(H23="In Review",0.6,IF(H23="Owner Input",0.3,IF(H23="Blocked",0,0)))))</x:f>
        <x:v>1</x:v>
      </x:c>
      <x:c r="J23" s="114" t="str"/>
      <x:c r="K23" s="114" t="str">
        <x:v>Differentiation rests on unsupported novelty claims.</x:v>
      </x:c>
      <x:c r="L23" s="115" t="str"/>
    </x:row>
    <x:row r="24">
      <x:c r="A24" s="119" t="str">
        <x:v>G1-02</x:v>
      </x:c>
      <x:c r="B24" s="120" t="str">
        <x:v>Stage 1</x:v>
      </x:c>
      <x:c r="C24" s="120" t="str">
        <x:v>OSS evidence</x:v>
      </x:c>
      <x:c r="D24" s="120" t="str">
        <x:v>Yes</x:v>
      </x:c>
      <x:c r="E24" s="120" t="str">
        <x:v>Relevant GitHub projects have maturity, licence, architecture and reuse notes.</x:v>
      </x:c>
      <x:c r="F24" s="120" t="str">
        <x:v>GitHub OSS Scan.</x:v>
      </x:c>
      <x:c r="G24" s="120" t="str">
        <x:v>Architecture / Legal</x:v>
      </x:c>
      <x:c r="H24" s="120" t="str">
        <x:v>Met</x:v>
      </x:c>
      <x:c r="I24" s="134" t="n">
        <x:f>IF(H24="Met",1,IF(H24="Draft Ready",0.8,IF(H24="In Review",0.6,IF(H24="Owner Input",0.3,IF(H24="Blocked",0,0)))))</x:f>
        <x:v>1</x:v>
      </x:c>
      <x:c r="J24" s="120" t="str"/>
      <x:c r="K24" s="120" t="str">
        <x:v>Third-party code used without due diligence.</x:v>
      </x:c>
      <x:c r="L24" s="121" t="str"/>
    </x:row>
    <x:row r="25">
      <x:c r="A25" s="113" t="str">
        <x:v>G1-03</x:v>
      </x:c>
      <x:c r="B25" s="114" t="str">
        <x:v>Stage 1</x:v>
      </x:c>
      <x:c r="C25" s="114" t="str">
        <x:v>Licence</x:v>
      </x:c>
      <x:c r="D25" s="114" t="str">
        <x:v>Yes</x:v>
      </x:c>
      <x:c r="E25" s="114" t="str">
        <x:v>Formal commercial/OSS licence review completed for intended dependencies.</x:v>
      </x:c>
      <x:c r="F25" s="114" t="str">
        <x:v>Approved licence register.</x:v>
      </x:c>
      <x:c r="G25" s="114" t="str">
        <x:v>Legal / Procurement</x:v>
      </x:c>
      <x:c r="H25" s="114" t="str">
        <x:v>Owner Input</x:v>
      </x:c>
      <x:c r="I25" s="135" t="n">
        <x:f>IF(H25="Met",1,IF(H25="Draft Ready",0.8,IF(H25="In Review",0.6,IF(H25="Owner Input",0.3,IF(H25="Blocked",0,0)))))</x:f>
        <x:v>0.3</x:v>
      </x:c>
      <x:c r="J25" s="114" t="str"/>
      <x:c r="K25" s="114" t="str">
        <x:v>Commercial rights unclear.</x:v>
      </x:c>
      <x:c r="L25" s="115" t="str"/>
    </x:row>
    <x:row r="26">
      <x:c r="A26" s="119" t="str">
        <x:v>G1-04</x:v>
      </x:c>
      <x:c r="B26" s="120" t="str">
        <x:v>Stage 1</x:v>
      </x:c>
      <x:c r="C26" s="120" t="str">
        <x:v>Build/buy</x:v>
      </x:c>
      <x:c r="D26" s="120" t="str">
        <x:v>Yes</x:v>
      </x:c>
      <x:c r="E26" s="120" t="str">
        <x:v>Component decisions separate proprietary core from commodity infrastructure.</x:v>
      </x:c>
      <x:c r="F26" s="120" t="str">
        <x:v>Build Buy Decisions approved.</x:v>
      </x:c>
      <x:c r="G26" s="120" t="str">
        <x:v>CTO / Product</x:v>
      </x:c>
      <x:c r="H26" s="120" t="str">
        <x:v>Draft Ready</x:v>
      </x:c>
      <x:c r="I26" s="134" t="n">
        <x:f>IF(H26="Met",1,IF(H26="Draft Ready",0.8,IF(H26="In Review",0.6,IF(H26="Owner Input",0.3,IF(H26="Blocked",0,0)))))</x:f>
        <x:v>0.8</x:v>
      </x:c>
      <x:c r="J26" s="120" t="str"/>
      <x:c r="K26" s="120" t="str">
        <x:v>Core differentiation outsourced or commodity components rebuilt without reason.</x:v>
      </x:c>
      <x:c r="L26" s="121" t="str"/>
    </x:row>
    <x:row r="27">
      <x:c r="A27" s="113" t="str">
        <x:v>G1-05</x:v>
      </x:c>
      <x:c r="B27" s="114" t="str">
        <x:v>Stage 1</x:v>
      </x:c>
      <x:c r="C27" s="114" t="str">
        <x:v>HumanOS fit</x:v>
      </x:c>
      <x:c r="D27" s="114" t="str">
        <x:v>Yes</x:v>
      </x:c>
      <x:c r="E27" s="114" t="str">
        <x:v>Reference architecture reuses existing HumanOS foundations and avoids duplicate systems.</x:v>
      </x:c>
      <x:c r="F27" s="114" t="str">
        <x:v>Reference architecture and capability assessment.</x:v>
      </x:c>
      <x:c r="G27" s="114" t="str">
        <x:v>Enterprise Architect</x:v>
      </x:c>
      <x:c r="H27" s="114" t="str">
        <x:v>Draft Ready</x:v>
      </x:c>
      <x:c r="I27" s="135" t="n">
        <x:f>IF(H27="Met",1,IF(H27="Draft Ready",0.8,IF(H27="In Review",0.6,IF(H27="Owner Input",0.3,IF(H27="Blocked",0,0)))))</x:f>
        <x:v>0.8</x:v>
      </x:c>
      <x:c r="J27" s="114" t="str"/>
      <x:c r="K27" s="114" t="str">
        <x:v>Unjustified duplicate identity/task/workflow/policy/audit service.</x:v>
      </x:c>
      <x:c r="L27" s="115" t="str"/>
    </x:row>
    <x:row r="28">
      <x:c r="A28" s="119" t="str">
        <x:v>G1-06</x:v>
      </x:c>
      <x:c r="B28" s="120" t="str">
        <x:v>Stage 1</x:v>
      </x:c>
      <x:c r="C28" s="120" t="str">
        <x:v>Service boundaries</x:v>
      </x:c>
      <x:c r="D28" s="120" t="str">
        <x:v>Yes</x:v>
      </x:c>
      <x:c r="E28" s="120" t="str">
        <x:v>Initial deployables have security, scale, ownership or transactional justification.</x:v>
      </x:c>
      <x:c r="F28" s="120" t="str">
        <x:v>Accepted ADR-012 and service map.</x:v>
      </x:c>
      <x:c r="G28" s="120" t="str">
        <x:v>Architecture Board</x:v>
      </x:c>
      <x:c r="H28" s="120" t="str">
        <x:v>In Review</x:v>
      </x:c>
      <x:c r="I28" s="134" t="n">
        <x:f>IF(H28="Met",1,IF(H28="Draft Ready",0.8,IF(H28="In Review",0.6,IF(H28="Owner Input",0.3,IF(H28="Blocked",0,0)))))</x:f>
        <x:v>0.6</x:v>
      </x:c>
      <x:c r="J28" s="120" t="str"/>
      <x:c r="K28" s="120" t="str">
        <x:v>Premature nano-services create unmanageable distributed complexity.</x:v>
      </x:c>
      <x:c r="L28" s="121" t="str"/>
    </x:row>
    <x:row r="29">
      <x:c r="A29" s="113" t="str">
        <x:v>G1-07</x:v>
      </x:c>
      <x:c r="B29" s="114" t="str">
        <x:v>Stage 1</x:v>
      </x:c>
      <x:c r="C29" s="114" t="str">
        <x:v>Technology baseline</x:v>
      </x:c>
      <x:c r="D29" s="114" t="str">
        <x:v>Yes</x:v>
      </x:c>
      <x:c r="E29" s="114" t="str">
        <x:v>Java/Spring, Python and native responsibilities are approved; current HumanOS baseline is inventoried.</x:v>
      </x:c>
      <x:c r="F29" s="114" t="str">
        <x:v>Runtime ADRs and platform inventory.</x:v>
      </x:c>
      <x:c r="G29" s="114" t="str">
        <x:v>CTO / Platform Lead</x:v>
      </x:c>
      <x:c r="H29" s="114" t="str">
        <x:v>Owner Input</x:v>
      </x:c>
      <x:c r="I29" s="135" t="n">
        <x:f>IF(H29="Met",1,IF(H29="Draft Ready",0.8,IF(H29="In Review",0.6,IF(H29="Owner Input",0.3,IF(H29="Blocked",0,0)))))</x:f>
        <x:v>0.3</x:v>
      </x:c>
      <x:c r="J29" s="114" t="str"/>
      <x:c r="K29" s="114" t="str">
        <x:v>Unsupported runtime or forced migration without evidence.</x:v>
      </x:c>
      <x:c r="L29" s="115" t="str"/>
    </x:row>
    <x:row r="30">
      <x:c r="A30" s="119" t="str">
        <x:v>G1-08</x:v>
      </x:c>
      <x:c r="B30" s="120" t="str">
        <x:v>Stage 1</x:v>
      </x:c>
      <x:c r="C30" s="120" t="str">
        <x:v>Event and data architecture</x:v>
      </x:c>
      <x:c r="D30" s="120" t="str">
        <x:v>Yes</x:v>
      </x:c>
      <x:c r="E30" s="120" t="str">
        <x:v>Event, schema, store, search, retention and sensitive-content boundaries are defined.</x:v>
      </x:c>
      <x:c r="F30" s="120" t="str">
        <x:v>Accepted event/data ADRs.</x:v>
      </x:c>
      <x:c r="G30" s="120" t="str">
        <x:v>Data / Platform Architect</x:v>
      </x:c>
      <x:c r="H30" s="120" t="str">
        <x:v>In Review</x:v>
      </x:c>
      <x:c r="I30" s="134" t="n">
        <x:f>IF(H30="Met",1,IF(H30="Draft Ready",0.8,IF(H30="In Review",0.6,IF(H30="Owner Input",0.3,IF(H30="Blocked",0,0)))))</x:f>
        <x:v>0.6</x:v>
      </x:c>
      <x:c r="J30" s="120" t="str"/>
      <x:c r="K30" s="120" t="str">
        <x:v>Raw content copied into observability or analytics without purpose.</x:v>
      </x:c>
      <x:c r="L30" s="121" t="str"/>
    </x:row>
    <x:row r="31">
      <x:c r="A31" s="113" t="str">
        <x:v>G1-09</x:v>
      </x:c>
      <x:c r="B31" s="114" t="str">
        <x:v>Stage 1</x:v>
      </x:c>
      <x:c r="C31" s="114" t="str">
        <x:v>Security architecture</x:v>
      </x:c>
      <x:c r="D31" s="114" t="str">
        <x:v>Yes</x:v>
      </x:c>
      <x:c r="E31" s="114" t="str">
        <x:v>Endpoint, ingestion, evidence, access, model and supply-chain threats have controls and spikes.</x:v>
      </x:c>
      <x:c r="F31" s="114" t="str">
        <x:v>Security architecture review.</x:v>
      </x:c>
      <x:c r="G31" s="114" t="str">
        <x:v>CISO</x:v>
      </x:c>
      <x:c r="H31" s="114" t="str">
        <x:v>In Review</x:v>
      </x:c>
      <x:c r="I31" s="135" t="n">
        <x:f>IF(H31="Met",1,IF(H31="Draft Ready",0.8,IF(H31="In Review",0.6,IF(H31="Owner Input",0.3,IF(H31="Blocked",0,0)))))</x:f>
        <x:v>0.6</x:v>
      </x:c>
      <x:c r="J31" s="114" t="str"/>
      <x:c r="K31" s="114" t="str">
        <x:v>Critical architecture threat untreated.</x:v>
      </x:c>
      <x:c r="L31" s="115" t="str"/>
    </x:row>
    <x:row r="32">
      <x:c r="A32" s="119" t="str">
        <x:v>G1-10</x:v>
      </x:c>
      <x:c r="B32" s="120" t="str">
        <x:v>Stage 1</x:v>
      </x:c>
      <x:c r="C32" s="120" t="str">
        <x:v>AI governance</x:v>
      </x:c>
      <x:c r="D32" s="120" t="str">
        <x:v>Yes</x:v>
      </x:c>
      <x:c r="E32" s="120" t="str">
        <x:v>Evaluator architecture separates evidence, inference, confidence, model/skill version and human decision.</x:v>
      </x:c>
      <x:c r="F32" s="120" t="str">
        <x:v>AI architecture and evaluation plan.</x:v>
      </x:c>
      <x:c r="G32" s="120" t="str">
        <x:v>AI Architect / DPO</x:v>
      </x:c>
      <x:c r="H32" s="120" t="str">
        <x:v>Draft Ready</x:v>
      </x:c>
      <x:c r="I32" s="134" t="n">
        <x:f>IF(H32="Met",1,IF(H32="Draft Ready",0.8,IF(H32="In Review",0.6,IF(H32="Owner Input",0.3,IF(H32="Blocked",0,0)))))</x:f>
        <x:v>0.8</x:v>
      </x:c>
      <x:c r="J32" s="120" t="str"/>
      <x:c r="K32" s="120" t="str">
        <x:v>AI writes final high-impact state without review.</x:v>
      </x:c>
      <x:c r="L32" s="121" t="str"/>
    </x:row>
    <x:row r="33">
      <x:c r="A33" s="113" t="str">
        <x:v>G1-11</x:v>
      </x:c>
      <x:c r="B33" s="114" t="str">
        <x:v>Stage 1</x:v>
      </x:c>
      <x:c r="C33" s="114" t="str">
        <x:v>Technical spikes</x:v>
      </x:c>
      <x:c r="D33" s="114" t="str">
        <x:v>Yes</x:v>
      </x:c>
      <x:c r="E33" s="114" t="str">
        <x:v>Highest-risk Stage 2–3 hypotheses have measurable spike plans and decision thresholds.</x:v>
      </x:c>
      <x:c r="F33" s="114" t="str">
        <x:v>Spike backlog and next-stage prompts.</x:v>
      </x:c>
      <x:c r="G33" s="114" t="str">
        <x:v>Programme / Architecture</x:v>
      </x:c>
      <x:c r="H33" s="114" t="str">
        <x:v>Draft Ready</x:v>
      </x:c>
      <x:c r="I33" s="135" t="n">
        <x:f>IF(H33="Met",1,IF(H33="Draft Ready",0.8,IF(H33="In Review",0.6,IF(H33="Owner Input",0.3,IF(H33="Blocked",0,0)))))</x:f>
        <x:v>0.8</x:v>
      </x:c>
      <x:c r="J33" s="114" t="str"/>
      <x:c r="K33" s="114" t="str">
        <x:v>Implementation begins without validating endpoint/privacy feasibility.</x:v>
      </x:c>
      <x:c r="L33" s="115" t="str"/>
    </x:row>
    <x:row r="34">
      <x:c r="A34" s="119" t="str">
        <x:v>G1-12</x:v>
      </x:c>
      <x:c r="B34" s="120" t="str">
        <x:v>Stage 1</x:v>
      </x:c>
      <x:c r="C34" s="120" t="str">
        <x:v>Cost model</x:v>
      </x:c>
      <x:c r="D34" s="120" t="str">
        <x:v>Yes</x:v>
      </x:c>
      <x:c r="E34" s="120" t="str">
        <x:v>Pilot and scale usage assumptions and low/base/high cost model are approved.</x:v>
      </x:c>
      <x:c r="F34" s="120" t="str">
        <x:v>Cost model and assumptions.</x:v>
      </x:c>
      <x:c r="G34" s="120" t="str">
        <x:v>CFO / FinOps</x:v>
      </x:c>
      <x:c r="H34" s="120" t="str">
        <x:v>Not Started</x:v>
      </x:c>
      <x:c r="I34" s="134" t="n">
        <x:f>IF(H34="Met",1,IF(H34="Draft Ready",0.8,IF(H34="In Review",0.6,IF(H34="Owner Input",0.3,IF(H34="Blocked",0,0)))))</x:f>
        <x:v>0</x:v>
      </x:c>
      <x:c r="J34" s="120" t="str"/>
      <x:c r="K34" s="120" t="str">
        <x:v>No cost or storage/inference sensitivity.</x:v>
      </x:c>
      <x:c r="L34" s="121" t="str"/>
    </x:row>
    <x:row r="35">
      <x:c r="A35" s="113" t="str">
        <x:v>G1-13</x:v>
      </x:c>
      <x:c r="B35" s="114" t="str">
        <x:v>Stage 1</x:v>
      </x:c>
      <x:c r="C35" s="114" t="str">
        <x:v>Resourcing</x:v>
      </x:c>
      <x:c r="D35" s="114" t="str">
        <x:v>Yes</x:v>
      </x:c>
      <x:c r="E35" s="114" t="str">
        <x:v>Stage 2–3 team, devices, environments, budget and review capacity are committed.</x:v>
      </x:c>
      <x:c r="F35" s="114" t="str">
        <x:v>Resource plan.</x:v>
      </x:c>
      <x:c r="G35" s="114" t="str">
        <x:v>CEO / CTO / CFO</x:v>
      </x:c>
      <x:c r="H35" s="114" t="str">
        <x:v>Owner Input</x:v>
      </x:c>
      <x:c r="I35" s="135" t="n">
        <x:f>IF(H35="Met",1,IF(H35="Draft Ready",0.8,IF(H35="In Review",0.6,IF(H35="Owner Input",0.3,IF(H35="Blocked",0,0)))))</x:f>
        <x:v>0.3</x:v>
      </x:c>
      <x:c r="J35" s="114" t="str"/>
      <x:c r="K35" s="114" t="str">
        <x:v>No assigned delivery capacity.</x:v>
      </x:c>
      <x:c r="L35" s="115" t="str"/>
    </x:row>
    <x:row r="36">
      <x:c r="A36" s="119" t="str">
        <x:v>G1-14</x:v>
      </x:c>
      <x:c r="B36" s="120" t="str">
        <x:v>Stage 1</x:v>
      </x:c>
      <x:c r="C36" s="120" t="str">
        <x:v>Architecture decisions</x:v>
      </x:c>
      <x:c r="D36" s="120" t="str">
        <x:v>Yes</x:v>
      </x:c>
      <x:c r="E36" s="120" t="str">
        <x:v>Architecture Board accepts, rejects or conditions the ADR set.</x:v>
      </x:c>
      <x:c r="F36" s="120" t="str">
        <x:v>ADR review record.</x:v>
      </x:c>
      <x:c r="G36" s="120" t="str">
        <x:v>Architecture Board</x:v>
      </x:c>
      <x:c r="H36" s="120" t="str">
        <x:v>In Review</x:v>
      </x:c>
      <x:c r="I36" s="134" t="n">
        <x:f>IF(H36="Met",1,IF(H36="Draft Ready",0.8,IF(H36="In Review",0.6,IF(H36="Owner Input",0.3,IF(H36="Blocked",0,0)))))</x:f>
        <x:v>0.6</x:v>
      </x:c>
      <x:c r="J36" s="120" t="str"/>
      <x:c r="K36" s="120" t="str">
        <x:v>Core architecture remains ambiguous.</x:v>
      </x:c>
      <x:c r="L36" s="121" t="str"/>
    </x:row>
    <x:row r="37">
      <x:c r="A37" s="116" t="str">
        <x:v>G1-15</x:v>
      </x:c>
      <x:c r="B37" s="117" t="str">
        <x:v>Stage 1</x:v>
      </x:c>
      <x:c r="C37" s="117" t="str">
        <x:v>Decision</x:v>
      </x:c>
      <x:c r="D37" s="117" t="str">
        <x:v>Yes</x:v>
      </x:c>
      <x:c r="E37" s="117" t="str">
        <x:v>Stage 1 review completed and decision to enter Stages 2 and 3 recorded.</x:v>
      </x:c>
      <x:c r="F37" s="117" t="str">
        <x:v>Meeting minutes, conditions and decision.</x:v>
      </x:c>
      <x:c r="G37" s="117" t="str">
        <x:v>CTO / Executive Sponsor</x:v>
      </x:c>
      <x:c r="H37" s="117" t="str">
        <x:v>Not Started</x:v>
      </x:c>
      <x:c r="I37" s="136" t="n">
        <x:f>IF(H37="Met",1,IF(H37="Draft Ready",0.8,IF(H37="In Review",0.6,IF(H37="Owner Input",0.3,IF(H37="Blocked",0,0)))))</x:f>
        <x:v>0</x:v>
      </x:c>
      <x:c r="J37" s="117" t="str"/>
      <x:c r="K37" s="117" t="str">
        <x:v>No formal gate decision.</x:v>
      </x:c>
      <x:c r="L37" s="118" t="str"/>
    </x:row>
  </x:sheetData>
  <x:mergeCells>
    <x:mergeCell ref="A1:P1"/>
    <x:mergeCell ref="A2:P2"/>
    <x:mergeCell ref="N4:P4"/>
  </x:mergeCells>
  <x:conditionalFormatting sqref="H5:H37">
    <x:cfRule type="expression" dxfId="9" priority="1">
      <x:formula>H5="Met"</x:formula>
    </x:cfRule>
    <x:cfRule type="expression" dxfId="10" priority="2">
      <x:formula>H5="Draft Ready"</x:formula>
    </x:cfRule>
    <x:cfRule type="expression" dxfId="11" priority="3">
      <x:formula>H5="In Review"</x:formula>
    </x:cfRule>
    <x:cfRule type="expression" dxfId="12" priority="4">
      <x:formula>H5="Owner Input"</x:formula>
    </x:cfRule>
    <x:cfRule type="expression" dxfId="13" priority="5">
      <x:formula>H5="Blocked"</x:formula>
    </x:cfRule>
  </x:conditionalFormatting>
  <x:dataValidations count="2">
    <x:dataValidation type="list" sqref="H5:H37">
      <x:formula1>"Met,Draft Ready,In Review,Owner Input,Not Started,Blocked,Not Applicable"</x:formula1>
    </x:dataValidation>
    <x:dataValidation type="list" sqref="J5:J37">
      <x:formula1>",Approve,Conditional Approve,Hold,Reject"</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42" hidden="0" customWidth="1"/>
    <x:col min="5" max="5" width="40" hidden="0" customWidth="1"/>
    <x:col min="6" max="6" width="24" hidden="0" customWidth="1"/>
    <x:col min="7" max="7" width="15" hidden="0" customWidth="1"/>
    <x:col min="8" max="8" width="16" hidden="0" customWidth="1"/>
    <x:col min="9" max="9" width="34" hidden="0" customWidth="1"/>
    <x:col min="10" max="10" width="34" hidden="0" customWidth="1"/>
  </x:cols>
  <x:sheetData>
    <x:row r="1" ht="30" customHeight="1">
      <x:c r="A1" s="72" t="str">
        <x:v>Assumptions and Open Questions</x:v>
      </x:c>
      <x:c r="B1" s="72"/>
      <x:c r="C1" s="72"/>
      <x:c r="D1" s="72"/>
      <x:c r="E1" s="72"/>
      <x:c r="F1" s="72"/>
      <x:c r="G1" s="72"/>
      <x:c r="H1" s="72"/>
      <x:c r="I1" s="72"/>
      <x:c r="J1" s="72"/>
    </x:row>
    <x:row r="2" ht="34" customHeight="1">
      <x:c r="A2" s="76" t="str">
        <x:v>Items that require Nessovo owners, platform inventories, legal advice or pilot evidence. Current assumptions are temporary and must not be treated as confirmed facts.</x:v>
      </x:c>
      <x:c r="B2" s="76"/>
      <x:c r="C2" s="76"/>
      <x:c r="D2" s="76"/>
      <x:c r="E2" s="76"/>
      <x:c r="F2" s="76"/>
      <x:c r="G2" s="76"/>
      <x:c r="H2" s="76"/>
      <x:c r="I2" s="76"/>
      <x:c r="J2" s="76"/>
    </x:row>
    <x:row r="4" ht="28" customHeight="1">
      <x:c r="A4" s="88" t="str">
        <x:v>ID</x:v>
      </x:c>
      <x:c r="B4" s="89" t="str">
        <x:v>Category</x:v>
      </x:c>
      <x:c r="C4" s="89" t="str">
        <x:v>Question / decision needed</x:v>
      </x:c>
      <x:c r="D4" s="89" t="str">
        <x:v>Current working assumption</x:v>
      </x:c>
      <x:c r="E4" s="89" t="str">
        <x:v>Impact if assumption is wrong</x:v>
      </x:c>
      <x:c r="F4" s="89" t="str">
        <x:v>Accountable owner</x:v>
      </x:c>
      <x:c r="G4" s="89" t="str">
        <x:v>Required by stage</x:v>
      </x:c>
      <x:c r="H4" s="89" t="str">
        <x:v>Status</x:v>
      </x:c>
      <x:c r="I4" s="89" t="str">
        <x:v>Resolution / evidence</x:v>
      </x:c>
      <x:c r="J4" s="90" t="str">
        <x:v>Source / note</x:v>
      </x:c>
    </x:row>
    <x:row r="5">
      <x:c r="A5" s="110" t="str">
        <x:v>AQ-001</x:v>
      </x:c>
      <x:c r="B5" s="111" t="str">
        <x:v>HumanOS platform</x:v>
      </x:c>
      <x:c r="C5" s="111" t="str">
        <x:v>What Java and Spring Boot/Spring Cloud versions are currently supported in HumanOS?</x:v>
      </x:c>
      <x:c r="D5" s="111" t="str">
        <x:v>Java 21+ and a supported Spring Boot 3.x/4.x baseline.</x:v>
      </x:c>
      <x:c r="E5" s="111" t="str">
        <x:v>May change runtime ADR, libraries, migration effort and support policy.</x:v>
      </x:c>
      <x:c r="F5" s="111" t="str">
        <x:v>Java Platform Lead</x:v>
      </x:c>
      <x:c r="G5" s="111" t="str">
        <x:v>1</x:v>
      </x:c>
      <x:c r="H5" s="111" t="str">
        <x:v>Open</x:v>
      </x:c>
      <x:c r="I5" s="111" t="str"/>
      <x:c r="J5" s="112" t="str">
        <x:v>Inventory current repositories and BOMs.</x:v>
      </x:c>
    </x:row>
    <x:row r="6">
      <x:c r="A6" s="119" t="str">
        <x:v>AQ-002</x:v>
      </x:c>
      <x:c r="B6" s="120" t="str">
        <x:v>HumanOS platform</x:v>
      </x:c>
      <x:c r="C6" s="120" t="str">
        <x:v>Which foundation microservices are production-ready versus partially built?</x:v>
      </x:c>
      <x:c r="D6" s="120" t="str">
        <x:v>Identity, organisation, task/project, workflow, policy, audit, notification, secrets, object and model gateway largely exist.</x:v>
      </x:c>
      <x:c r="E6" s="120" t="str">
        <x:v>May require additional Stage 1 architecture and delivery work.</x:v>
      </x:c>
      <x:c r="F6" s="120" t="str">
        <x:v>Enterprise Architect</x:v>
      </x:c>
      <x:c r="G6" s="120" t="str">
        <x:v>1</x:v>
      </x:c>
      <x:c r="H6" s="120" t="str">
        <x:v>Open</x:v>
      </x:c>
      <x:c r="I6" s="120" t="str"/>
      <x:c r="J6" s="121" t="str">
        <x:v>User states base services are mostly built.</x:v>
      </x:c>
    </x:row>
    <x:row r="7">
      <x:c r="A7" s="113" t="str">
        <x:v>AQ-003</x:v>
      </x:c>
      <x:c r="B7" s="114" t="str">
        <x:v>HumanOS platform</x:v>
      </x:c>
      <x:c r="C7" s="114" t="str">
        <x:v>Does HumanOS already operate Kafka or a compatible event bus with schema governance?</x:v>
      </x:c>
      <x:c r="D7" s="114" t="str">
        <x:v>A reusable event infrastructure exists or can be extended.</x:v>
      </x:c>
      <x:c r="E7" s="114" t="str">
        <x:v>Could change ingestion architecture, cost and Stage 4 scope.</x:v>
      </x:c>
      <x:c r="F7" s="114" t="str">
        <x:v>Platform/Data Architect</x:v>
      </x:c>
      <x:c r="G7" s="114" t="str">
        <x:v>1</x:v>
      </x:c>
      <x:c r="H7" s="114" t="str">
        <x:v>Open</x:v>
      </x:c>
      <x:c r="I7" s="114" t="str"/>
      <x:c r="J7" s="115" t="str">
        <x:v>Platform capability assessment required.</x:v>
      </x:c>
    </x:row>
    <x:row r="8">
      <x:c r="A8" s="119" t="str">
        <x:v>AQ-004</x:v>
      </x:c>
      <x:c r="B8" s="120" t="str">
        <x:v>HumanOS platform</x:v>
      </x:c>
      <x:c r="C8" s="120" t="str">
        <x:v>Can the current policy service express device capture, jurisdiction, task, time, exclusion and evidence-access decisions?</x:v>
      </x:c>
      <x:c r="D8" s="120" t="str">
        <x:v>It handles core authorisation but may need OPA-style policy capabilities.</x:v>
      </x:c>
      <x:c r="E8" s="120" t="str">
        <x:v>May create a new policy component or larger extension.</x:v>
      </x:c>
      <x:c r="F8" s="120" t="str">
        <x:v>Security Architect</x:v>
      </x:c>
      <x:c r="G8" s="120" t="str">
        <x:v>1/3</x:v>
      </x:c>
      <x:c r="H8" s="120" t="str">
        <x:v>Open</x:v>
      </x:c>
      <x:c r="I8" s="120" t="str"/>
      <x:c r="J8" s="121" t="str">
        <x:v>Run policy capability matrix.</x:v>
      </x:c>
    </x:row>
    <x:row r="9">
      <x:c r="A9" s="113" t="str">
        <x:v>AQ-005</x:v>
      </x:c>
      <x:c r="B9" s="114" t="str">
        <x:v>HumanOS platform</x:v>
      </x:c>
      <x:c r="C9" s="114" t="str">
        <x:v>Can the Workflow Runtime support long-running human review, disputes, coaching and skill approval?</x:v>
      </x:c>
      <x:c r="D9" s="114" t="str">
        <x:v>It is the default orchestrator.</x:v>
      </x:c>
      <x:c r="E9" s="114" t="str">
        <x:v>Could require Temporal or another workflow engine.</x:v>
      </x:c>
      <x:c r="F9" s="114" t="str">
        <x:v>Workflow Platform Lead</x:v>
      </x:c>
      <x:c r="G9" s="114" t="str">
        <x:v>2/3</x:v>
      </x:c>
      <x:c r="H9" s="114" t="str">
        <x:v>Open</x:v>
      </x:c>
      <x:c r="I9" s="114" t="str"/>
      <x:c r="J9" s="115" t="str">
        <x:v>Do not add another orchestrator without gap evidence.</x:v>
      </x:c>
    </x:row>
    <x:row r="10">
      <x:c r="A10" s="119" t="str">
        <x:v>AQ-006</x:v>
      </x:c>
      <x:c r="B10" s="120" t="str">
        <x:v>HumanOS platform</x:v>
      </x:c>
      <x:c r="C10" s="120" t="str">
        <x:v>Does the audit service support immutable, high-volume evidence-access and AI-decision records?</x:v>
      </x:c>
      <x:c r="D10" s="120" t="str">
        <x:v>It can be extended.</x:v>
      </x:c>
      <x:c r="E10" s="120" t="str">
        <x:v>A separate append-only audit stream may be needed.</x:v>
      </x:c>
      <x:c r="F10" s="120" t="str">
        <x:v>Audit/Security Lead</x:v>
      </x:c>
      <x:c r="G10" s="120" t="str">
        <x:v>1/4</x:v>
      </x:c>
      <x:c r="H10" s="120" t="str">
        <x:v>Open</x:v>
      </x:c>
      <x:c r="I10" s="120" t="str"/>
      <x:c r="J10" s="121" t="str">
        <x:v>Security and scale assessment.</x:v>
      </x:c>
    </x:row>
    <x:row r="11">
      <x:c r="A11" s="113" t="str">
        <x:v>AQ-007</x:v>
      </x:c>
      <x:c r="B11" s="114" t="str">
        <x:v>HumanOS platform</x:v>
      </x:c>
      <x:c r="C11" s="114" t="str">
        <x:v>Does the object service support regional routing, per-object policy, legal hold, secure deletion and short retention?</x:v>
      </x:c>
      <x:c r="D11" s="114" t="str">
        <x:v>Basic object storage exists; policy features may need extension.</x:v>
      </x:c>
      <x:c r="E11" s="114" t="str">
        <x:v>Could create evidence-specific storage boundary.</x:v>
      </x:c>
      <x:c r="F11" s="114" t="str">
        <x:v>Platform/Data Lead</x:v>
      </x:c>
      <x:c r="G11" s="114" t="str">
        <x:v>1/4</x:v>
      </x:c>
      <x:c r="H11" s="114" t="str">
        <x:v>Open</x:v>
      </x:c>
      <x:c r="I11" s="114" t="str"/>
      <x:c r="J11" s="115" t="str"/>
    </x:row>
    <x:row r="12">
      <x:c r="A12" s="119" t="str">
        <x:v>AQ-008</x:v>
      </x:c>
      <x:c r="B12" s="120" t="str">
        <x:v>Deployment</x:v>
      </x:c>
      <x:c r="C12" s="120" t="str">
        <x:v>What cloud, Kubernetes, database and observability platforms does HumanOS standardise on?</x:v>
      </x:c>
      <x:c r="D12" s="120" t="str">
        <x:v>Existing platform standards should be reused.</x:v>
      </x:c>
      <x:c r="E12" s="120" t="str">
        <x:v>Affects reference architecture, cost and CI/CD.</x:v>
      </x:c>
      <x:c r="F12" s="120" t="str">
        <x:v>CTO/SRE</x:v>
      </x:c>
      <x:c r="G12" s="120" t="str">
        <x:v>1</x:v>
      </x:c>
      <x:c r="H12" s="120" t="str">
        <x:v>Open</x:v>
      </x:c>
      <x:c r="I12" s="120" t="str"/>
      <x:c r="J12" s="121" t="str"/>
    </x:row>
    <x:row r="13">
      <x:c r="A13" s="113" t="str">
        <x:v>AQ-009</x:v>
      </x:c>
      <x:c r="B13" s="114" t="str">
        <x:v>Deployment</x:v>
      </x:c>
      <x:c r="C13" s="114" t="str">
        <x:v>Which regions and data-residency zones are required for UK and Pakistan operations?</x:v>
      </x:c>
      <x:c r="D13" s="114" t="str">
        <x:v>UK and Pakistan-related data will require explicit regional/transfer design.</x:v>
      </x:c>
      <x:c r="E13" s="114" t="str">
        <x:v>Changes storage, support and cross-border controls.</x:v>
      </x:c>
      <x:c r="F13" s="114" t="str">
        <x:v>DPO/Security</x:v>
      </x:c>
      <x:c r="G13" s="114" t="str">
        <x:v>0/1</x:v>
      </x:c>
      <x:c r="H13" s="114" t="str">
        <x:v>Open</x:v>
      </x:c>
      <x:c r="I13" s="114" t="str"/>
      <x:c r="J13" s="115" t="str">
        <x:v>Legal review required.</x:v>
      </x:c>
    </x:row>
    <x:row r="14">
      <x:c r="A14" s="119" t="str">
        <x:v>AQ-010</x:v>
      </x:c>
      <x:c r="B14" s="120" t="str">
        <x:v>Pilot</x:v>
      </x:c>
      <x:c r="C14" s="120" t="str">
        <x:v>How many pilot employees and teams will participate?</x:v>
      </x:c>
      <x:c r="D14" s="120" t="str">
        <x:v>10–30 employees across one or two technical teams.</x:v>
      </x:c>
      <x:c r="E14" s="120" t="str">
        <x:v>Changes event volume, support load, consultation and evaluation power.</x:v>
      </x:c>
      <x:c r="F14" s="120" t="str">
        <x:v>Product/HR</x:v>
      </x:c>
      <x:c r="G14" s="120" t="str">
        <x:v>0/1</x:v>
      </x:c>
      <x:c r="H14" s="120" t="str">
        <x:v>Open</x:v>
      </x:c>
      <x:c r="I14" s="120" t="str"/>
      <x:c r="J14" s="121" t="str">
        <x:v>Used only as provisional planning range.</x:v>
      </x:c>
    </x:row>
    <x:row r="15">
      <x:c r="A15" s="113" t="str">
        <x:v>AQ-011</x:v>
      </x:c>
      <x:c r="B15" s="114" t="str">
        <x:v>Pilot</x:v>
      </x:c>
      <x:c r="C15" s="114" t="str">
        <x:v>Which managed device mix is available?</x:v>
      </x:c>
      <x:c r="D15" s="114" t="str">
        <x:v>Windows 11 and recent macOS; Linux excluded initially.</x:v>
      </x:c>
      <x:c r="E15" s="114" t="str">
        <x:v>Changes Stage 3 engineering and test matrix.</x:v>
      </x:c>
      <x:c r="F15" s="114" t="str">
        <x:v>IT/Desktop Lead</x:v>
      </x:c>
      <x:c r="G15" s="114" t="str">
        <x:v>1/3</x:v>
      </x:c>
      <x:c r="H15" s="114" t="str">
        <x:v>Open</x:v>
      </x:c>
      <x:c r="I15" s="114" t="str"/>
      <x:c r="J15" s="115" t="str"/>
    </x:row>
    <x:row r="16">
      <x:c r="A16" s="119" t="str">
        <x:v>AQ-012</x:v>
      </x:c>
      <x:c r="B16" s="120" t="str">
        <x:v>Pilot</x:v>
      </x:c>
      <x:c r="C16" s="120" t="str">
        <x:v>Is MDM/endpoint management available for certificate, policy and signed-agent deployment?</x:v>
      </x:c>
      <x:c r="D16" s="120" t="str">
        <x:v>An enterprise endpoint-management path exists.</x:v>
      </x:c>
      <x:c r="E16" s="120" t="str">
        <x:v>Manual installation could undermine trust, updates and rollback.</x:v>
      </x:c>
      <x:c r="F16" s="120" t="str">
        <x:v>IT/Security</x:v>
      </x:c>
      <x:c r="G16" s="120" t="str">
        <x:v>1/3</x:v>
      </x:c>
      <x:c r="H16" s="120" t="str">
        <x:v>Open</x:v>
      </x:c>
      <x:c r="I16" s="120" t="str"/>
      <x:c r="J16" s="121" t="str"/>
    </x:row>
    <x:row r="17">
      <x:c r="A17" s="113" t="str">
        <x:v>AQ-013</x:v>
      </x:c>
      <x:c r="B17" s="114" t="str">
        <x:v>Pilot</x:v>
      </x:c>
      <x:c r="C17" s="114" t="str">
        <x:v>Which development tools must the first pilot support?</x:v>
      </x:c>
      <x:c r="D17" s="114" t="str">
        <x:v>Chrome/Edge, common terminals, Git, GitHub, Codex CLI, Claude Code, VS Code/JetBrains, Xcode/Android Studio as applicable.</x:v>
      </x:c>
      <x:c r="E17" s="114" t="str">
        <x:v>Adapter backlog and coverage could expand materially.</x:v>
      </x:c>
      <x:c r="F17" s="114" t="str">
        <x:v>Engineering Leads</x:v>
      </x:c>
      <x:c r="G17" s="114" t="str">
        <x:v>1/3</x:v>
      </x:c>
      <x:c r="H17" s="114" t="str">
        <x:v>Open</x:v>
      </x:c>
      <x:c r="I17" s="114" t="str"/>
      <x:c r="J17" s="115" t="str">
        <x:v>Confirm actual Nessovo tool inventory.</x:v>
      </x:c>
    </x:row>
    <x:row r="18">
      <x:c r="A18" s="119" t="str">
        <x:v>AQ-014</x:v>
      </x:c>
      <x:c r="B18" s="120" t="str">
        <x:v>Pilot</x:v>
      </x:c>
      <x:c r="C18" s="120" t="str">
        <x:v>Will participants be office-based, remote or hybrid?</x:v>
      </x:c>
      <x:c r="D18" s="120" t="str">
        <x:v>Mixed/hybrid work is possible.</x:v>
      </x:c>
      <x:c r="E18" s="120" t="str">
        <x:v>Homeworking increases private-life capture risk and policy complexity.</x:v>
      </x:c>
      <x:c r="F18" s="120" t="str">
        <x:v>HR/DPO</x:v>
      </x:c>
      <x:c r="G18" s="120" t="str">
        <x:v>0</x:v>
      </x:c>
      <x:c r="H18" s="120" t="str">
        <x:v>Open</x:v>
      </x:c>
      <x:c r="I18" s="120" t="str"/>
      <x:c r="J18" s="121" t="str">
        <x:v>ICO notes higher privacy risk at home.</x:v>
      </x:c>
    </x:row>
    <x:row r="19">
      <x:c r="A19" s="113" t="str">
        <x:v>AQ-015</x:v>
      </x:c>
      <x:c r="B19" s="114" t="str">
        <x:v>Pilot</x:v>
      </x:c>
      <x:c r="C19" s="114" t="str">
        <x:v>Can work devices be used for limited personal activity?</x:v>
      </x:c>
      <x:c r="D19" s="114" t="str">
        <x:v>Some personal use may occur and must be excluded/paused.</x:v>
      </x:c>
      <x:c r="E19" s="114" t="str">
        <x:v>Changes exclusions, notice, private mode and evidence policy.</x:v>
      </x:c>
      <x:c r="F19" s="114" t="str">
        <x:v>HR/Legal/IT</x:v>
      </x:c>
      <x:c r="G19" s="114" t="str">
        <x:v>0</x:v>
      </x:c>
      <x:c r="H19" s="114" t="str">
        <x:v>Open</x:v>
      </x:c>
      <x:c r="I19" s="114" t="str"/>
      <x:c r="J19" s="115" t="str"/>
    </x:row>
    <x:row r="20">
      <x:c r="A20" s="119" t="str">
        <x:v>AQ-016</x:v>
      </x:c>
      <x:c r="B20" s="120" t="str">
        <x:v>Pilot</x:v>
      </x:c>
      <x:c r="C20" s="120" t="str">
        <x:v>Will BYOD ever be allowed?</x:v>
      </x:c>
      <x:c r="D20" s="120" t="str">
        <x:v>No BYOD in the initial pilot.</x:v>
      </x:c>
      <x:c r="E20" s="120" t="str">
        <x:v>BYOD would materially increase legal, privacy and technical risk.</x:v>
      </x:c>
      <x:c r="F20" s="120" t="str">
        <x:v>Executive Sponsor/DPO</x:v>
      </x:c>
      <x:c r="G20" s="120" t="str">
        <x:v>0</x:v>
      </x:c>
      <x:c r="H20" s="120" t="str">
        <x:v>Assumed</x:v>
      </x:c>
      <x:c r="I20" s="120" t="str"/>
      <x:c r="J20" s="121" t="str">
        <x:v>Reassess only with a new DPIA.</x:v>
      </x:c>
    </x:row>
    <x:row r="21">
      <x:c r="A21" s="113" t="str">
        <x:v>AQ-017</x:v>
      </x:c>
      <x:c r="B21" s="114" t="str">
        <x:v>Employment</x:v>
      </x:c>
      <x:c r="C21" s="114" t="str">
        <x:v>Which employee contracts, handbooks and policies currently address monitoring and personal use?</x:v>
      </x:c>
      <x:c r="D21" s="114" t="str">
        <x:v>Existing documents require amendment.</x:v>
      </x:c>
      <x:c r="E21" s="114" t="str">
        <x:v>Could delay pilot and change consultation process.</x:v>
      </x:c>
      <x:c r="F21" s="114" t="str">
        <x:v>HR/Legal</x:v>
      </x:c>
      <x:c r="G21" s="114" t="str">
        <x:v>0</x:v>
      </x:c>
      <x:c r="H21" s="114" t="str">
        <x:v>Open</x:v>
      </x:c>
      <x:c r="I21" s="114" t="str"/>
      <x:c r="J21" s="115" t="str"/>
    </x:row>
    <x:row r="22">
      <x:c r="A22" s="119" t="str">
        <x:v>AQ-018</x:v>
      </x:c>
      <x:c r="B22" s="120" t="str">
        <x:v>Employment</x:v>
      </x:c>
      <x:c r="C22" s="120" t="str">
        <x:v>Are trade unions, works councils or other worker representatives relevant?</x:v>
      </x:c>
      <x:c r="D22" s="120" t="str">
        <x:v>Employee representatives should be involved even if no formal body exists.</x:v>
      </x:c>
      <x:c r="E22" s="120" t="str">
        <x:v>Could impose consultation/collective requirements.</x:v>
      </x:c>
      <x:c r="F22" s="120" t="str">
        <x:v>HR/Legal</x:v>
      </x:c>
      <x:c r="G22" s="120" t="str">
        <x:v>0</x:v>
      </x:c>
      <x:c r="H22" s="120" t="str">
        <x:v>Open</x:v>
      </x:c>
      <x:c r="I22" s="120" t="str"/>
      <x:c r="J22" s="121" t="str"/>
    </x:row>
    <x:row r="23">
      <x:c r="A23" s="113" t="str">
        <x:v>AQ-019</x:v>
      </x:c>
      <x:c r="B23" s="114" t="str">
        <x:v>Employment</x:v>
      </x:c>
      <x:c r="C23" s="114" t="str">
        <x:v>Will the internal pilot use volunteers, selected participants or a whole team?</x:v>
      </x:c>
      <x:c r="D23" s="114" t="str">
        <x:v>A controlled cohort with appropriate consultation and protection.</x:v>
      </x:c>
      <x:c r="E23" s="114" t="str">
        <x:v>Voluntariness, bias and team dynamics differ.</x:v>
      </x:c>
      <x:c r="F23" s="114" t="str">
        <x:v>HR/DPO/Product</x:v>
      </x:c>
      <x:c r="G23" s="114" t="str">
        <x:v>0</x:v>
      </x:c>
      <x:c r="H23" s="114" t="str">
        <x:v>Open</x:v>
      </x:c>
      <x:c r="I23" s="114" t="str"/>
      <x:c r="J23" s="115" t="str"/>
    </x:row>
    <x:row r="24">
      <x:c r="A24" s="119" t="str">
        <x:v>AQ-020</x:v>
      </x:c>
      <x:c r="B24" s="120" t="str">
        <x:v>Employment</x:v>
      </x:c>
      <x:c r="C24" s="120" t="str">
        <x:v>Can any pilot output enter formal performance-management records?</x:v>
      </x:c>
      <x:c r="D24" s="120" t="str">
        <x:v>No adverse employment action based solely or primarily on pilot output.</x:v>
      </x:c>
      <x:c r="E24" s="120" t="str">
        <x:v>Directly affects participant safety and legal risk.</x:v>
      </x:c>
      <x:c r="F24" s="120" t="str">
        <x:v>HR/Legal/Executive Sponsor</x:v>
      </x:c>
      <x:c r="G24" s="120" t="str">
        <x:v>0</x:v>
      </x:c>
      <x:c r="H24" s="120" t="str">
        <x:v>Draft decision</x:v>
      </x:c>
      <x:c r="I24" s="120" t="str"/>
      <x:c r="J24" s="121" t="str">
        <x:v>Pilot Definition and ADR-020.</x:v>
      </x:c>
    </x:row>
    <x:row r="25">
      <x:c r="A25" s="113" t="str">
        <x:v>AQ-021</x:v>
      </x:c>
      <x:c r="B25" s="114" t="str">
        <x:v>Privacy</x:v>
      </x:c>
      <x:c r="C25" s="114" t="str">
        <x:v>What raw and derived retention periods will legal/DPO approve?</x:v>
      </x:c>
      <x:c r="D25" s="114" t="str">
        <x:v>Raw visual/text evidence 7–30 days; metadata 30–90 days; derived task/capability records longer when justified.</x:v>
      </x:c>
      <x:c r="E25" s="114" t="str">
        <x:v>Changes storage cost, evidence availability and rights workflows.</x:v>
      </x:c>
      <x:c r="F25" s="114" t="str">
        <x:v>DPO/Data Governance</x:v>
      </x:c>
      <x:c r="G25" s="114" t="str">
        <x:v>0/1</x:v>
      </x:c>
      <x:c r="H25" s="114" t="str">
        <x:v>Open</x:v>
      </x:c>
      <x:c r="I25" s="114" t="str"/>
      <x:c r="J25" s="115" t="str">
        <x:v>Purpose Policy Matrix proposals only.</x:v>
      </x:c>
    </x:row>
    <x:row r="26">
      <x:c r="A26" s="119" t="str">
        <x:v>AQ-022</x:v>
      </x:c>
      <x:c r="B26" s="120" t="str">
        <x:v>Privacy</x:v>
      </x:c>
      <x:c r="C26" s="120" t="str">
        <x:v>Which applications, domains, monitors and secure controls must be excluded?</x:v>
      </x:c>
      <x:c r="D26" s="120" t="str">
        <x:v>Passwords, authentication, personal email, banking, health, private messaging and configured apps/domains are excluded.</x:v>
      </x:c>
      <x:c r="E26" s="120" t="str">
        <x:v>Incomplete exclusions could block pilot.</x:v>
      </x:c>
      <x:c r="F26" s="120" t="str">
        <x:v>DPO/Security/HR</x:v>
      </x:c>
      <x:c r="G26" s="120" t="str">
        <x:v>0/3</x:v>
      </x:c>
      <x:c r="H26" s="120" t="str">
        <x:v>Open</x:v>
      </x:c>
      <x:c r="I26" s="120" t="str"/>
      <x:c r="J26" s="121" t="str"/>
    </x:row>
    <x:row r="27">
      <x:c r="A27" s="113" t="str">
        <x:v>AQ-023</x:v>
      </x:c>
      <x:c r="B27" s="114" t="str">
        <x:v>Privacy</x:v>
      </x:c>
      <x:c r="C27" s="114" t="str">
        <x:v>Is clipboard content ever necessary?</x:v>
      </x:c>
      <x:c r="D27" s="114" t="str">
        <x:v>No; only paste metadata by default.</x:v>
      </x:c>
      <x:c r="E27" s="114" t="str">
        <x:v>Content capture would add major DLP/privacy risk.</x:v>
      </x:c>
      <x:c r="F27" s="114" t="str">
        <x:v>DPO/CISO/Product</x:v>
      </x:c>
      <x:c r="G27" s="114" t="str">
        <x:v>0</x:v>
      </x:c>
      <x:c r="H27" s="114" t="str">
        <x:v>Draft decision</x:v>
      </x:c>
      <x:c r="I27" s="114" t="str"/>
      <x:c r="J27" s="115" t="str">
        <x:v>Purpose Policy Matrix.</x:v>
      </x:c>
    </x:row>
    <x:row r="28">
      <x:c r="A28" s="119" t="str">
        <x:v>AQ-024</x:v>
      </x:c>
      <x:c r="B28" s="120" t="str">
        <x:v>Privacy</x:v>
      </x:c>
      <x:c r="C28" s="120" t="str">
        <x:v>Is audio required for the initial vertical?</x:v>
      </x:c>
      <x:c r="D28" s="120" t="str">
        <x:v>No audio in v1.</x:v>
      </x:c>
      <x:c r="E28" s="120" t="str">
        <x:v>Including audio would materially expand scope and DPIA.</x:v>
      </x:c>
      <x:c r="F28" s="120" t="str">
        <x:v>DPO/Product</x:v>
      </x:c>
      <x:c r="G28" s="120" t="str">
        <x:v>0</x:v>
      </x:c>
      <x:c r="H28" s="120" t="str">
        <x:v>Draft decision</x:v>
      </x:c>
      <x:c r="I28" s="120" t="str"/>
      <x:c r="J28" s="121" t="str">
        <x:v>ADR-022.</x:v>
      </x:c>
    </x:row>
    <x:row r="29">
      <x:c r="A29" s="113" t="str">
        <x:v>AQ-025</x:v>
      </x:c>
      <x:c r="B29" s="114" t="str">
        <x:v>AI</x:v>
      </x:c>
      <x:c r="C29" s="114" t="str">
        <x:v>Which model providers and hosting modes are approved for employee evidence?</x:v>
      </x:c>
      <x:c r="D29" s="114" t="str">
        <x:v>Only approved Model Gateway routes; sensitive evidence may require regional/private models.</x:v>
      </x:c>
      <x:c r="E29" s="114" t="str">
        <x:v>Changes latency, cost, data processing and model availability.</x:v>
      </x:c>
      <x:c r="F29" s="114" t="str">
        <x:v>AI Platform/DPO/Security</x:v>
      </x:c>
      <x:c r="G29" s="114" t="str">
        <x:v>1/7</x:v>
      </x:c>
      <x:c r="H29" s="114" t="str">
        <x:v>Open</x:v>
      </x:c>
      <x:c r="I29" s="114" t="str"/>
      <x:c r="J29" s="115" t="str"/>
    </x:row>
    <x:row r="30">
      <x:c r="A30" s="119" t="str">
        <x:v>AQ-026</x:v>
      </x:c>
      <x:c r="B30" s="120" t="str">
        <x:v>AI</x:v>
      </x:c>
      <x:c r="C30" s="120" t="str">
        <x:v>Do model/provider contracts allow retention-free processing and no training on submitted data?</x:v>
      </x:c>
      <x:c r="D30" s="120" t="str">
        <x:v>This must be contractually controlled.</x:v>
      </x:c>
      <x:c r="E30" s="120" t="str">
        <x:v>Could prohibit use of certain providers for raw evidence.</x:v>
      </x:c>
      <x:c r="F30" s="120" t="str">
        <x:v>Legal/Procurement/AI</x:v>
      </x:c>
      <x:c r="G30" s="120" t="str">
        <x:v>1/7</x:v>
      </x:c>
      <x:c r="H30" s="120" t="str">
        <x:v>Open</x:v>
      </x:c>
      <x:c r="I30" s="120" t="str"/>
      <x:c r="J30" s="121" t="str"/>
    </x:row>
    <x:row r="31">
      <x:c r="A31" s="113" t="str">
        <x:v>AQ-027</x:v>
      </x:c>
      <x:c r="B31" s="114" t="str">
        <x:v>AI</x:v>
      </x:c>
      <x:c r="C31" s="114" t="str">
        <x:v>What confidence thresholds are acceptable for task alignment, idle and capability findings?</x:v>
      </x:c>
      <x:c r="D31" s="114" t="str">
        <x:v>Thresholds must be calibrated through pilot data and vary by consequence.</x:v>
      </x:c>
      <x:c r="E31" s="114" t="str">
        <x:v>Too low creates false allegations; too high reduces usefulness.</x:v>
      </x:c>
      <x:c r="F31" s="114" t="str">
        <x:v>AI Evaluation Lead/DPO</x:v>
      </x:c>
      <x:c r="G31" s="114" t="str">
        <x:v>7/8</x:v>
      </x:c>
      <x:c r="H31" s="114" t="str">
        <x:v>Open</x:v>
      </x:c>
      <x:c r="I31" s="114" t="str"/>
      <x:c r="J31" s="115" t="str"/>
    </x:row>
    <x:row r="32">
      <x:c r="A32" s="119" t="str">
        <x:v>AQ-028</x:v>
      </x:c>
      <x:c r="B32" s="120" t="str">
        <x:v>AI</x:v>
      </x:c>
      <x:c r="C32" s="120" t="str">
        <x:v>Who will label and review pilot evaluation datasets?</x:v>
      </x:c>
      <x:c r="D32" s="120" t="str">
        <x:v>Domain experts plus employee-context review.</x:v>
      </x:c>
      <x:c r="E32" s="120" t="str">
        <x:v>Poor labels will invalidate model metrics.</x:v>
      </x:c>
      <x:c r="F32" s="120" t="str">
        <x:v>AI Evaluation Lead/Engineering Leads</x:v>
      </x:c>
      <x:c r="G32" s="120" t="str">
        <x:v>1/7</x:v>
      </x:c>
      <x:c r="H32" s="120" t="str">
        <x:v>Open</x:v>
      </x:c>
      <x:c r="I32" s="120" t="str"/>
      <x:c r="J32" s="121" t="str"/>
    </x:row>
    <x:row r="33">
      <x:c r="A33" s="113" t="str">
        <x:v>AQ-029</x:v>
      </x:c>
      <x:c r="B33" s="114" t="str">
        <x:v>Capability</x:v>
      </x:c>
      <x:c r="C33" s="114" t="str">
        <x:v>Which role families and job descriptions are first in scope?</x:v>
      </x:c>
      <x:c r="D33" s="114" t="str">
        <x:v>Software engineer, QA engineer, DevOps/platform engineer and technical lead.</x:v>
      </x:c>
      <x:c r="E33" s="114" t="str">
        <x:v>Changes Stage 2 ontology examples and assessments.</x:v>
      </x:c>
      <x:c r="F33" s="114" t="str">
        <x:v>HR/Product/CTO</x:v>
      </x:c>
      <x:c r="G33" s="114" t="str">
        <x:v>2</x:v>
      </x:c>
      <x:c r="H33" s="114" t="str">
        <x:v>Open</x:v>
      </x:c>
      <x:c r="I33" s="114" t="str"/>
      <x:c r="J33" s="115" t="str"/>
    </x:row>
    <x:row r="34">
      <x:c r="A34" s="119" t="str">
        <x:v>AQ-030</x:v>
      </x:c>
      <x:c r="B34" s="120" t="str">
        <x:v>Capability</x:v>
      </x:c>
      <x:c r="C34" s="120" t="str">
        <x:v>Will Nessovo adopt an external framework such as SFIA as a reference?</x:v>
      </x:c>
      <x:c r="D34" s="120" t="str">
        <x:v>Use external frameworks as mappings, not the sole ontology.</x:v>
      </x:c>
      <x:c r="E34" s="120" t="str">
        <x:v>May affect language, licence and customer interoperability.</x:v>
      </x:c>
      <x:c r="F34" s="120" t="str">
        <x:v>HR/L&amp;D/Product</x:v>
      </x:c>
      <x:c r="G34" s="120" t="str">
        <x:v>2</x:v>
      </x:c>
      <x:c r="H34" s="120" t="str">
        <x:v>Open</x:v>
      </x:c>
      <x:c r="I34" s="120" t="str"/>
      <x:c r="J34" s="121" t="str"/>
    </x:row>
    <x:row r="35">
      <x:c r="A35" s="113" t="str">
        <x:v>AQ-031</x:v>
      </x:c>
      <x:c r="B35" s="114" t="str">
        <x:v>Capability</x:v>
      </x:c>
      <x:c r="C35" s="114" t="str">
        <x:v>Which HRIS/LMS systems must HumanOS integrate with?</x:v>
      </x:c>
      <x:c r="D35" s="114" t="str">
        <x:v>HumanOS may remain the capability system while integrating employment and content systems.</x:v>
      </x:c>
      <x:c r="E35" s="114" t="str">
        <x:v>Changes APIs and source-of-truth decisions.</x:v>
      </x:c>
      <x:c r="F35" s="114" t="str">
        <x:v>HRIS/L&amp;D Architect</x:v>
      </x:c>
      <x:c r="G35" s="114" t="str">
        <x:v>2/9</x:v>
      </x:c>
      <x:c r="H35" s="114" t="str">
        <x:v>Open</x:v>
      </x:c>
      <x:c r="I35" s="114" t="str"/>
      <x:c r="J35" s="115" t="str"/>
    </x:row>
    <x:row r="36">
      <x:c r="A36" s="119" t="str">
        <x:v>AQ-032</x:v>
      </x:c>
      <x:c r="B36" s="120" t="str">
        <x:v>Manager access</x:v>
      </x:c>
      <x:c r="C36" s="120" t="str">
        <x:v>Which managers may see raw evidence, and under what approval?</x:v>
      </x:c>
      <x:c r="D36" s="120" t="str">
        <x:v>Managers receive summaries; raw access requires task scope, reason code and audit.</x:v>
      </x:c>
      <x:c r="E36" s="120" t="str">
        <x:v>Access model could undermine trust or operations.</x:v>
      </x:c>
      <x:c r="F36" s="120" t="str">
        <x:v>DPO/HR/Security</x:v>
      </x:c>
      <x:c r="G36" s="120" t="str">
        <x:v>0/10</x:v>
      </x:c>
      <x:c r="H36" s="120" t="str">
        <x:v>Open</x:v>
      </x:c>
      <x:c r="I36" s="120" t="str"/>
      <x:c r="J36" s="121" t="str"/>
    </x:row>
    <x:row r="37">
      <x:c r="A37" s="113" t="str">
        <x:v>AQ-033</x:v>
      </x:c>
      <x:c r="B37" s="114" t="str">
        <x:v>Commercial</x:v>
      </x:c>
      <x:c r="C37" s="114" t="str">
        <x:v>Will the product be internal-only initially or prepared for external multi-tenant customers?</x:v>
      </x:c>
      <x:c r="D37" s="114" t="str">
        <x:v>Internal pilot first, architecture remains multi-tenant.</x:v>
      </x:c>
      <x:c r="E37" s="114" t="str">
        <x:v>Changes compliance, product packaging, support and isolation.</x:v>
      </x:c>
      <x:c r="F37" s="114" t="str">
        <x:v>CEO/Product</x:v>
      </x:c>
      <x:c r="G37" s="114" t="str">
        <x:v>1</x:v>
      </x:c>
      <x:c r="H37" s="114" t="str">
        <x:v>Open</x:v>
      </x:c>
      <x:c r="I37" s="114" t="str"/>
      <x:c r="J37" s="115" t="str"/>
    </x:row>
    <x:row r="38">
      <x:c r="A38" s="119" t="str">
        <x:v>AQ-034</x:v>
      </x:c>
      <x:c r="B38" s="120" t="str">
        <x:v>Commercial</x:v>
      </x:c>
      <x:c r="C38" s="120" t="str">
        <x:v>Will enterprise on-premises or sovereign deployment be required?</x:v>
      </x:c>
      <x:c r="D38" s="120" t="str">
        <x:v>Possible later; not an initial pilot requirement.</x:v>
      </x:c>
      <x:c r="E38" s="120" t="str">
        <x:v>Could change dependencies and SaaS architecture.</x:v>
      </x:c>
      <x:c r="F38" s="120" t="str">
        <x:v>Product/CTO</x:v>
      </x:c>
      <x:c r="G38" s="120" t="str">
        <x:v>1</x:v>
      </x:c>
      <x:c r="H38" s="120" t="str">
        <x:v>Open</x:v>
      </x:c>
      <x:c r="I38" s="120" t="str"/>
      <x:c r="J38" s="121" t="str"/>
    </x:row>
    <x:row r="39">
      <x:c r="A39" s="113" t="str">
        <x:v>AQ-035</x:v>
      </x:c>
      <x:c r="B39" s="114" t="str">
        <x:v>Economics</x:v>
      </x:c>
      <x:c r="C39" s="114" t="str">
        <x:v>What endpoint CPU, memory, storage, bandwidth and AI cost limits are acceptable?</x:v>
      </x:c>
      <x:c r="D39" s="114" t="str">
        <x:v>Target &lt;7% typical CPU, &lt;750 MB memory and bounded configurable local storage.</x:v>
      </x:c>
      <x:c r="E39" s="114" t="str">
        <x:v>Determines capture design and model placement.</x:v>
      </x:c>
      <x:c r="F39" s="114" t="str">
        <x:v>CTO/SRE/Product</x:v>
      </x:c>
      <x:c r="G39" s="114" t="str">
        <x:v>1/3</x:v>
      </x:c>
      <x:c r="H39" s="114" t="str">
        <x:v>Open</x:v>
      </x:c>
      <x:c r="I39" s="114" t="str"/>
      <x:c r="J39" s="115" t="str">
        <x:v>Targets require validation.</x:v>
      </x:c>
    </x:row>
    <x:row r="40">
      <x:c r="A40" s="119" t="str">
        <x:v>AQ-036</x:v>
      </x:c>
      <x:c r="B40" s="120" t="str">
        <x:v>Economics</x:v>
      </x:c>
      <x:c r="C40" s="120" t="str">
        <x:v>What raw screenshot/event rate and retention assumptions should drive cost modelling?</x:v>
      </x:c>
      <x:c r="D40" s="120" t="str">
        <x:v>Event-driven capture; approximately 20–100 meaningful visual states/hour as a scenario range.</x:v>
      </x:c>
      <x:c r="E40" s="120" t="str">
        <x:v>Cost estimates are unreliable without workload assumptions.</x:v>
      </x:c>
      <x:c r="F40" s="120" t="str">
        <x:v>FinOps/Data/Desktop</x:v>
      </x:c>
      <x:c r="G40" s="120" t="str">
        <x:v>1</x:v>
      </x:c>
      <x:c r="H40" s="120" t="str">
        <x:v>Open</x:v>
      </x:c>
      <x:c r="I40" s="120" t="str"/>
      <x:c r="J40" s="121" t="str">
        <x:v>Must be measured in technical spikes.</x:v>
      </x:c>
    </x:row>
    <x:row r="41">
      <x:c r="A41" s="113" t="str">
        <x:v>AQ-037</x:v>
      </x:c>
      <x:c r="B41" s="114" t="str">
        <x:v>Security</x:v>
      </x:c>
      <x:c r="C41" s="114" t="str">
        <x:v>Which security certifications or customer assurance frameworks are strategic?</x:v>
      </x:c>
      <x:c r="D41" s="114" t="str">
        <x:v>ISO 27001/SOC 2-style controls may be future requirements.</x:v>
      </x:c>
      <x:c r="E41" s="114" t="str">
        <x:v>Could change SDLC, evidence and vendor choices.</x:v>
      </x:c>
      <x:c r="F41" s="114" t="str">
        <x:v>CISO/CEO</x:v>
      </x:c>
      <x:c r="G41" s="114" t="str">
        <x:v>1</x:v>
      </x:c>
      <x:c r="H41" s="114" t="str">
        <x:v>Open</x:v>
      </x:c>
      <x:c r="I41" s="114" t="str"/>
      <x:c r="J41" s="115" t="str"/>
    </x:row>
    <x:row r="42">
      <x:c r="A42" s="119" t="str">
        <x:v>AQ-038</x:v>
      </x:c>
      <x:c r="B42" s="120" t="str">
        <x:v>Security</x:v>
      </x:c>
      <x:c r="C42" s="120" t="str">
        <x:v>What is the acceptable response when the endpoint agent detects tampering or policy expiry?</x:v>
      </x:c>
      <x:c r="D42" s="120" t="str">
        <x:v>Stop sensitive capture, preserve audit, notify user/admin and recover securely.</x:v>
      </x:c>
      <x:c r="E42" s="120" t="str">
        <x:v>Too permissive risks unlawful collection; too strict may lose work evidence.</x:v>
      </x:c>
      <x:c r="F42" s="120" t="str">
        <x:v>CISO/Desktop/Product</x:v>
      </x:c>
      <x:c r="G42" s="120" t="str">
        <x:v>3</x:v>
      </x:c>
      <x:c r="H42" s="120" t="str">
        <x:v>Open</x:v>
      </x:c>
      <x:c r="I42" s="120" t="str"/>
      <x:c r="J42" s="121" t="str"/>
    </x:row>
    <x:row r="43">
      <x:c r="A43" s="113" t="str">
        <x:v>AQ-039</x:v>
      </x:c>
      <x:c r="B43" s="114" t="str">
        <x:v>Data</x:v>
      </x:c>
      <x:c r="C43" s="114" t="str">
        <x:v>When should a dedicated graph database be introduced?</x:v>
      </x:c>
      <x:c r="D43" s="114" t="str">
        <x:v>Only after Stage 7/8 query benchmarks show PostgreSQL is insufficient.</x:v>
      </x:c>
      <x:c r="E43" s="114" t="str">
        <x:v>Premature adoption adds cost; delayed adoption may limit graph analytics.</x:v>
      </x:c>
      <x:c r="F43" s="114" t="str">
        <x:v>Data Architect</x:v>
      </x:c>
      <x:c r="G43" s="114" t="str">
        <x:v>7/8</x:v>
      </x:c>
      <x:c r="H43" s="114" t="str">
        <x:v>Assumed</x:v>
      </x:c>
      <x:c r="I43" s="114" t="str"/>
      <x:c r="J43" s="115" t="str">
        <x:v>ADR-013.</x:v>
      </x:c>
    </x:row>
    <x:row r="44">
      <x:c r="A44" s="122" t="str">
        <x:v>AQ-040</x:v>
      </x:c>
      <x:c r="B44" s="123" t="str">
        <x:v>Governance</x:v>
      </x:c>
      <x:c r="C44" s="123" t="str">
        <x:v>Who can approve a HumanOS skill/evaluator update that affects employee assessments?</x:v>
      </x:c>
      <x:c r="D44" s="123" t="str">
        <x:v>Named domain expert plus AI governance/security review; high-impact changes require DPO/HR review.</x:v>
      </x:c>
      <x:c r="E44" s="123" t="str">
        <x:v>Weak approval could cause harmful regression.</x:v>
      </x:c>
      <x:c r="F44" s="123" t="str">
        <x:v>AI Platform/HR/DPO</x:v>
      </x:c>
      <x:c r="G44" s="123" t="str">
        <x:v>11</x:v>
      </x:c>
      <x:c r="H44" s="123" t="str">
        <x:v>Open</x:v>
      </x:c>
      <x:c r="I44" s="123" t="str"/>
      <x:c r="J44" s="124" t="str"/>
    </x:row>
  </x:sheetData>
  <x:mergeCells>
    <x:mergeCell ref="A1:J1"/>
    <x:mergeCell ref="A2:J2"/>
  </x:mergeCells>
  <x:dataValidations count="1">
    <x:dataValidation type="list" sqref="H5:H44">
      <x:formula1>"Open,Assumed,Draft decision,Resolved,Deferred"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32" hidden="0" customWidth="1"/>
    <x:col min="5" max="5" width="12" hidden="0" customWidth="1"/>
    <x:col min="6" max="6" width="12" hidden="0" customWidth="1"/>
    <x:col min="7" max="7" width="12" hidden="0" customWidth="1"/>
    <x:col min="8" max="8" width="54" hidden="0" customWidth="1"/>
    <x:col min="9" max="9" width="12" hidden="0" customWidth="1"/>
    <x:col min="10" max="10" width="12" hidden="0" customWidth="1"/>
    <x:col min="11" max="11" width="12" hidden="0" customWidth="1"/>
    <x:col min="12" max="12" width="24" hidden="0" customWidth="1"/>
    <x:col min="13" max="13" width="38" hidden="0" customWidth="1"/>
    <x:col min="14" max="14" width="18" hidden="0" customWidth="1"/>
  </x:cols>
  <x:sheetData>
    <x:row r="1" ht="30" customHeight="1">
      <x:c r="A1" s="72" t="str">
        <x:v>Foundation Threat Model and Control Register</x:v>
      </x:c>
      <x:c r="B1" s="72"/>
      <x:c r="C1" s="72"/>
      <x:c r="D1" s="72"/>
      <x:c r="E1" s="72"/>
      <x:c r="F1" s="72"/>
      <x:c r="G1" s="72"/>
      <x:c r="H1" s="72"/>
      <x:c r="I1" s="72"/>
      <x:c r="J1" s="72"/>
      <x:c r="K1" s="72"/>
      <x:c r="L1" s="72"/>
      <x:c r="M1" s="72"/>
      <x:c r="N1" s="72"/>
    </x:row>
    <x:row r="2" ht="34" customHeight="1">
      <x:c r="A2" s="76" t="str">
        <x:v>Initial Stage 0–1 threat register. Scores use 1–5 likelihood and impact. Residual scores are provisional until controls are implemented and tested.</x:v>
      </x:c>
      <x:c r="B2" s="76"/>
      <x:c r="C2" s="76"/>
      <x:c r="D2" s="76"/>
      <x:c r="E2" s="76"/>
      <x:c r="F2" s="76"/>
      <x:c r="G2" s="76"/>
      <x:c r="H2" s="76"/>
      <x:c r="I2" s="76"/>
      <x:c r="J2" s="76"/>
      <x:c r="K2" s="76"/>
      <x:c r="L2" s="76"/>
      <x:c r="M2" s="76"/>
      <x:c r="N2" s="76"/>
    </x:row>
    <x:row r="4" ht="28" customHeight="1">
      <x:c r="A4" s="88" t="str">
        <x:v>ID</x:v>
      </x:c>
      <x:c r="B4" s="89" t="str">
        <x:v>Threat category</x:v>
      </x:c>
      <x:c r="C4" s="89" t="str">
        <x:v>Threat scenario</x:v>
      </x:c>
      <x:c r="D4" s="89" t="str">
        <x:v>Affected asset / people</x:v>
      </x:c>
      <x:c r="E4" s="89" t="str">
        <x:v>Inherent likelihood</x:v>
      </x:c>
      <x:c r="F4" s="89" t="str">
        <x:v>Inherent impact</x:v>
      </x:c>
      <x:c r="G4" s="89" t="str">
        <x:v>Inherent score</x:v>
      </x:c>
      <x:c r="H4" s="89" t="str">
        <x:v>Required controls</x:v>
      </x:c>
      <x:c r="I4" s="89" t="str">
        <x:v>Residual likelihood</x:v>
      </x:c>
      <x:c r="J4" s="89" t="str">
        <x:v>Residual impact</x:v>
      </x:c>
      <x:c r="K4" s="89" t="str">
        <x:v>Residual score</x:v>
      </x:c>
      <x:c r="L4" s="89" t="str">
        <x:v>Accountable owner</x:v>
      </x:c>
      <x:c r="M4" s="89" t="str">
        <x:v>Validation / test</x:v>
      </x:c>
      <x:c r="N4" s="90" t="str">
        <x:v>Gate status</x:v>
      </x:c>
    </x:row>
    <x:row r="5">
      <x:c r="A5" s="110" t="str">
        <x:v>THR-001</x:v>
      </x:c>
      <x:c r="B5" s="111" t="str">
        <x:v>Privacy</x:v>
      </x:c>
      <x:c r="C5" s="111" t="str">
        <x:v>Passwords, authentication codes or secrets are captured in keys, text, terminal output or screenshots.</x:v>
      </x:c>
      <x:c r="D5" s="111" t="str">
        <x:v>Employees, source code, credentials, customers</x:v>
      </x:c>
      <x:c r="E5" s="111" t="n">
        <x:v>4</x:v>
      </x:c>
      <x:c r="F5" s="111" t="n">
        <x:v>5</x:v>
      </x:c>
      <x:c r="G5" s="111" t="n">
        <x:f>E5*F5</x:f>
        <x:v>20</x:v>
      </x:c>
      <x:c r="H5" s="111" t="str">
        <x:v>Secure-field blocking; local secret detection/redaction; excluded apps/domains; zero-retention suppression; DLP tests; emergency disable.</x:v>
      </x:c>
      <x:c r="I5" s="111" t="n">
        <x:v>2</x:v>
      </x:c>
      <x:c r="J5" s="111" t="n">
        <x:v>5</x:v>
      </x:c>
      <x:c r="K5" s="111" t="n">
        <x:f>I5*J5</x:f>
        <x:v>10</x:v>
      </x:c>
      <x:c r="L5" s="111" t="str">
        <x:v>CISO/Desktop Lead</x:v>
      </x:c>
      <x:c r="M5" s="111" t="str">
        <x:v>Adversarial secure-field and secret-corpus test; zero known-secret retention.</x:v>
      </x:c>
      <x:c r="N5" s="112" t="str">
        <x:v>Blocking</x:v>
      </x:c>
    </x:row>
    <x:row r="6">
      <x:c r="A6" s="119" t="str">
        <x:v>THR-002</x:v>
      </x:c>
      <x:c r="B6" s="120" t="str">
        <x:v>Privacy</x:v>
      </x:c>
      <x:c r="C6" s="120" t="str">
        <x:v>Homeworking capture includes household, family or personal content.</x:v>
      </x:c>
      <x:c r="D6" s="120" t="str">
        <x:v>Employees and household members</x:v>
      </x:c>
      <x:c r="E6" s="120" t="n">
        <x:v>4</x:v>
      </x:c>
      <x:c r="F6" s="120" t="n">
        <x:v>5</x:v>
      </x:c>
      <x:c r="G6" s="120" t="n">
        <x:f>E6*F6</x:f>
        <x:v>20</x:v>
      </x:c>
      <x:c r="H6" s="120" t="str">
        <x:v>Company-managed devices; defined hours; visible status; private pause; monitor/app exclusions; minimal visual capture; worker notice.</x:v>
      </x:c>
      <x:c r="I6" s="120" t="n">
        <x:v>2</x:v>
      </x:c>
      <x:c r="J6" s="120" t="n">
        <x:v>4</x:v>
      </x:c>
      <x:c r="K6" s="120" t="n">
        <x:f>I6*J6</x:f>
        <x:v>8</x:v>
      </x:c>
      <x:c r="L6" s="120" t="str">
        <x:v>DPO/HR</x:v>
      </x:c>
      <x:c r="M6" s="120" t="str">
        <x:v>Remote-work scenario tests and employee consultation.</x:v>
      </x:c>
      <x:c r="N6" s="121" t="str">
        <x:v>Blocking</x:v>
      </x:c>
    </x:row>
    <x:row r="7">
      <x:c r="A7" s="113" t="str">
        <x:v>THR-003</x:v>
      </x:c>
      <x:c r="B7" s="114" t="str">
        <x:v>Governance</x:v>
      </x:c>
      <x:c r="C7" s="114" t="str">
        <x:v>Capture policy is too broad, vague or used 'just in case'.</x:v>
      </x:c>
      <x:c r="D7" s="114" t="str">
        <x:v>All employees</x:v>
      </x:c>
      <x:c r="E7" s="114" t="n">
        <x:v>4</x:v>
      </x:c>
      <x:c r="F7" s="114" t="n">
        <x:v>5</x:v>
      </x:c>
      <x:c r="G7" s="114" t="n">
        <x:f>E7*F7</x:f>
        <x:v>20</x:v>
      </x:c>
      <x:c r="H7" s="114" t="str">
        <x:v>Purpose Policy Matrix; policy versioning; task/session scope; DPO approval; periodic review; policy-as-code.</x:v>
      </x:c>
      <x:c r="I7" s="114" t="n">
        <x:v>1</x:v>
      </x:c>
      <x:c r="J7" s="114" t="n">
        <x:v>5</x:v>
      </x:c>
      <x:c r="K7" s="114" t="n">
        <x:f>I7*J7</x:f>
        <x:v>5</x:v>
      </x:c>
      <x:c r="L7" s="114" t="str">
        <x:v>DPO/Product</x:v>
      </x:c>
      <x:c r="M7" s="114" t="str">
        <x:v>Policy review against approved purposes and less-intrusive alternatives.</x:v>
      </x:c>
      <x:c r="N7" s="115" t="str">
        <x:v>Blocking</x:v>
      </x:c>
    </x:row>
    <x:row r="8">
      <x:c r="A8" s="119" t="str">
        <x:v>THR-004</x:v>
      </x:c>
      <x:c r="B8" s="120" t="str">
        <x:v>Governance</x:v>
      </x:c>
      <x:c r="C8" s="120" t="str">
        <x:v>Managers misuse raw evidence for curiosity, live surveillance or unsupported allegations.</x:v>
      </x:c>
      <x:c r="D8" s="120" t="str">
        <x:v>Employees and organisational trust</x:v>
      </x:c>
      <x:c r="E8" s="120" t="n">
        <x:v>4</x:v>
      </x:c>
      <x:c r="F8" s="120" t="n">
        <x:v>5</x:v>
      </x:c>
      <x:c r="G8" s="120" t="n">
        <x:f>E8*F8</x:f>
        <x:v>20</x:v>
      </x:c>
      <x:c r="H8" s="120" t="str">
        <x:v>Summary-first reports; purpose codes; role/task/time limits; approval for raw access; immutable audit; misuse sanctions.</x:v>
      </x:c>
      <x:c r="I8" s="120" t="n">
        <x:v>2</x:v>
      </x:c>
      <x:c r="J8" s="120" t="n">
        <x:v>4</x:v>
      </x:c>
      <x:c r="K8" s="120" t="n">
        <x:f>I8*J8</x:f>
        <x:v>8</x:v>
      </x:c>
      <x:c r="L8" s="120" t="str">
        <x:v>HR/DPO/Security</x:v>
      </x:c>
      <x:c r="M8" s="120" t="str">
        <x:v>Access-control penetration test and audit review exercise.</x:v>
      </x:c>
      <x:c r="N8" s="121" t="str">
        <x:v>Blocking</x:v>
      </x:c>
    </x:row>
    <x:row r="9">
      <x:c r="A9" s="113" t="str">
        <x:v>THR-005</x:v>
      </x:c>
      <x:c r="B9" s="114" t="str">
        <x:v>AI fairness</x:v>
      </x:c>
      <x:c r="C9" s="114" t="str">
        <x:v>Legitimate thinking, reading, meetings or automated waits are classified as idle.</x:v>
      </x:c>
      <x:c r="D9" s="114" t="str">
        <x:v>Employees, performance records</x:v>
      </x:c>
      <x:c r="E9" s="114" t="n">
        <x:v>4</x:v>
      </x:c>
      <x:c r="F9" s="114" t="n">
        <x:v>4</x:v>
      </x:c>
      <x:c r="G9" s="114" t="n">
        <x:f>E9*F9</x:f>
        <x:v>16</x:v>
      </x:c>
      <x:c r="H9" s="114" t="str">
        <x:v>Contextual process/meeting signals; employee correction; confidence; alternative explanation; no automatic adverse action.</x:v>
      </x:c>
      <x:c r="I9" s="114" t="n">
        <x:v>2</x:v>
      </x:c>
      <x:c r="J9" s="114" t="n">
        <x:v>3</x:v>
      </x:c>
      <x:c r="K9" s="114" t="n">
        <x:f>I9*J9</x:f>
        <x:v>6</x:v>
      </x:c>
      <x:c r="L9" s="114" t="str">
        <x:v>AI Evaluation Lead</x:v>
      </x:c>
      <x:c r="M9" s="114" t="str">
        <x:v>Pilot false-idle rate by work pattern and accommodation group.</x:v>
      </x:c>
      <x:c r="N9" s="115" t="str">
        <x:v>Pilot metric</x:v>
      </x:c>
    </x:row>
    <x:row r="10">
      <x:c r="A10" s="119" t="str">
        <x:v>THR-006</x:v>
      </x:c>
      <x:c r="B10" s="120" t="str">
        <x:v>AI fairness</x:v>
      </x:c>
      <x:c r="C10" s="120" t="str">
        <x:v>Supportive research or another assigned task is classified as off-task.</x:v>
      </x:c>
      <x:c r="D10" s="120" t="str">
        <x:v>Employees and task reports</x:v>
      </x:c>
      <x:c r="E10" s="120" t="n">
        <x:v>4</x:v>
      </x:c>
      <x:c r="F10" s="120" t="n">
        <x:v>4</x:v>
      </x:c>
      <x:c r="G10" s="120" t="n">
        <x:f>E10*F10</x:f>
        <x:v>16</x:v>
      </x:c>
      <x:c r="H10" s="120" t="str">
        <x:v>Multiple task context; supporting-task class; employee correction; threshold calibration; human review.</x:v>
      </x:c>
      <x:c r="I10" s="120" t="n">
        <x:v>2</x:v>
      </x:c>
      <x:c r="J10" s="120" t="n">
        <x:v>3</x:v>
      </x:c>
      <x:c r="K10" s="120" t="n">
        <x:f>I10*J10</x:f>
        <x:v>6</x:v>
      </x:c>
      <x:c r="L10" s="120" t="str">
        <x:v>AI/Product</x:v>
      </x:c>
      <x:c r="M10" s="120" t="str">
        <x:v>Labelled task-alignment evaluation with confusion matrix.</x:v>
      </x:c>
      <x:c r="N10" s="121" t="str">
        <x:v>Pilot metric</x:v>
      </x:c>
    </x:row>
    <x:row r="11">
      <x:c r="A11" s="113" t="str">
        <x:v>THR-007</x:v>
      </x:c>
      <x:c r="B11" s="114" t="str">
        <x:v>AI reliability</x:v>
      </x:c>
      <x:c r="C11" s="114" t="str">
        <x:v>Model generates a confident narrative unsupported by evidence.</x:v>
      </x:c>
      <x:c r="D11" s="114" t="str">
        <x:v>Employees, managers, decisions</x:v>
      </x:c>
      <x:c r="E11" s="114" t="n">
        <x:v>4</x:v>
      </x:c>
      <x:c r="F11" s="114" t="n">
        <x:v>5</x:v>
      </x:c>
      <x:c r="G11" s="114" t="n">
        <x:f>E11*F11</x:f>
        <x:v>20</x:v>
      </x:c>
      <x:c r="H11" s="114" t="str">
        <x:v>Evidence citations; fact/inference separation; calibrated confidence; missing-evidence flags; deterministic validators; human review.</x:v>
      </x:c>
      <x:c r="I11" s="114" t="n">
        <x:v>2</x:v>
      </x:c>
      <x:c r="J11" s="114" t="n">
        <x:v>4</x:v>
      </x:c>
      <x:c r="K11" s="114" t="n">
        <x:f>I11*J11</x:f>
        <x:v>8</x:v>
      </x:c>
      <x:c r="L11" s="114" t="str">
        <x:v>AI Architect/DPO</x:v>
      </x:c>
      <x:c r="M11" s="114" t="str">
        <x:v>Hallucination/evidence-grounding evaluation suite.</x:v>
      </x:c>
      <x:c r="N11" s="115" t="str">
        <x:v>Blocking</x:v>
      </x:c>
    </x:row>
    <x:row r="12">
      <x:c r="A12" s="119" t="str">
        <x:v>THR-008</x:v>
      </x:c>
      <x:c r="B12" s="120" t="str">
        <x:v>Capability fairness</x:v>
      </x:c>
      <x:c r="C12" s="120" t="str">
        <x:v>One failed task permanently lowers a capability or implies deception.</x:v>
      </x:c>
      <x:c r="D12" s="120" t="str">
        <x:v>Employees, careers</x:v>
      </x:c>
      <x:c r="E12" s="120" t="n">
        <x:v>4</x:v>
      </x:c>
      <x:c r="F12" s="120" t="n">
        <x:v>5</x:v>
      </x:c>
      <x:c r="G12" s="120" t="n">
        <x:f>E12*F12</x:f>
        <x:v>20</x:v>
      </x:c>
      <x:c r="H12" s="120" t="str">
        <x:v>Multiple evidence requirement; context and task difficulty; contradiction; recency; human review; neutral claim-discrepancy language.</x:v>
      </x:c>
      <x:c r="I12" s="120" t="n">
        <x:v>1</x:v>
      </x:c>
      <x:c r="J12" s="120" t="n">
        <x:v>4</x:v>
      </x:c>
      <x:c r="K12" s="120" t="n">
        <x:f>I12*J12</x:f>
        <x:v>4</x:v>
      </x:c>
      <x:c r="L12" s="120" t="str">
        <x:v>Capability Lead/HR</x:v>
      </x:c>
      <x:c r="M12" s="120" t="str">
        <x:v>Synthetic and pilot cases; reviewer agreement; appeal outcomes.</x:v>
      </x:c>
      <x:c r="N12" s="121" t="str">
        <x:v>Blocking</x:v>
      </x:c>
    </x:row>
    <x:row r="13">
      <x:c r="A13" s="113" t="str">
        <x:v>THR-009</x:v>
      </x:c>
      <x:c r="B13" s="114" t="str">
        <x:v>Capability fairness</x:v>
      </x:c>
      <x:c r="C13" s="114" t="str">
        <x:v>Accessibility accommodations or different valid working styles are treated as poor performance.</x:v>
      </x:c>
      <x:c r="D13" s="114" t="str">
        <x:v>Disabled/neurodivergent employees</x:v>
      </x:c>
      <x:c r="E13" s="114" t="n">
        <x:v>3</x:v>
      </x:c>
      <x:c r="F13" s="114" t="n">
        <x:v>5</x:v>
      </x:c>
      <x:c r="G13" s="114" t="n">
        <x:f>E13*F13</x:f>
        <x:v>15</x:v>
      </x:c>
      <x:c r="H13" s="114" t="str">
        <x:v>Outcome-based criteria; reasonable-adjustment context; worker input; fairness tests; no activity-volume scoring.</x:v>
      </x:c>
      <x:c r="I13" s="114" t="n">
        <x:v>1</x:v>
      </x:c>
      <x:c r="J13" s="114" t="n">
        <x:v>5</x:v>
      </x:c>
      <x:c r="K13" s="114" t="n">
        <x:f>I13*J13</x:f>
        <x:v>5</x:v>
      </x:c>
      <x:c r="L13" s="114" t="str">
        <x:v>HR/DPO/Product</x:v>
      </x:c>
      <x:c r="M13" s="114" t="str">
        <x:v>Accessibility review and subgroup error analysis.</x:v>
      </x:c>
      <x:c r="N13" s="115" t="str">
        <x:v>Blocking</x:v>
      </x:c>
    </x:row>
    <x:row r="14">
      <x:c r="A14" s="119" t="str">
        <x:v>THR-010</x:v>
      </x:c>
      <x:c r="B14" s="120" t="str">
        <x:v>Employment</x:v>
      </x:c>
      <x:c r="C14" s="120" t="str">
        <x:v>Unvalidated pilot outputs influence discipline, dismissal, pay, promotion or probation.</x:v>
      </x:c>
      <x:c r="D14" s="120" t="str">
        <x:v>Pilot participants</x:v>
      </x:c>
      <x:c r="E14" s="120" t="n">
        <x:v>3</x:v>
      </x:c>
      <x:c r="F14" s="120" t="n">
        <x:v>5</x:v>
      </x:c>
      <x:c r="G14" s="120" t="n">
        <x:f>E14*F14</x:f>
        <x:v>15</x:v>
      </x:c>
      <x:c r="H14" s="120" t="str">
        <x:v>Participant terms; HR policy; system label 'pilot/non-consequential'; human review; audit; executive stop authority.</x:v>
      </x:c>
      <x:c r="I14" s="120" t="n">
        <x:v>1</x:v>
      </x:c>
      <x:c r="J14" s="120" t="n">
        <x:v>5</x:v>
      </x:c>
      <x:c r="K14" s="120" t="n">
        <x:f>I14*J14</x:f>
        <x:v>5</x:v>
      </x:c>
      <x:c r="L14" s="120" t="str">
        <x:v>Executive Sponsor/HR</x:v>
      </x:c>
      <x:c r="M14" s="120" t="str">
        <x:v>Decision-audit sampling and manager training test.</x:v>
      </x:c>
      <x:c r="N14" s="121" t="str">
        <x:v>Blocking</x:v>
      </x:c>
    </x:row>
    <x:row r="15">
      <x:c r="A15" s="113" t="str">
        <x:v>THR-011</x:v>
      </x:c>
      <x:c r="B15" s="114" t="str">
        <x:v>Insider threat</x:v>
      </x:c>
      <x:c r="C15" s="114" t="str">
        <x:v>Privileged administrator or reviewer accesses sensitive evidence outside purpose.</x:v>
      </x:c>
      <x:c r="D15" s="114" t="str">
        <x:v>Employees, customers, IP</x:v>
      </x:c>
      <x:c r="E15" s="114" t="n">
        <x:v>3</x:v>
      </x:c>
      <x:c r="F15" s="114" t="n">
        <x:v>5</x:v>
      </x:c>
      <x:c r="G15" s="114" t="n">
        <x:f>E15*F15</x:f>
        <x:v>15</x:v>
      </x:c>
      <x:c r="H15" s="114" t="str">
        <x:v>Separation of duties; just-in-time access; purpose codes; dual approval for sensitive classes; immutable audit; anomaly alerts.</x:v>
      </x:c>
      <x:c r="I15" s="114" t="n">
        <x:v>1</x:v>
      </x:c>
      <x:c r="J15" s="114" t="n">
        <x:v>4</x:v>
      </x:c>
      <x:c r="K15" s="114" t="n">
        <x:f>I15*J15</x:f>
        <x:v>4</x:v>
      </x:c>
      <x:c r="L15" s="114" t="str">
        <x:v>CISO</x:v>
      </x:c>
      <x:c r="M15" s="114" t="str">
        <x:v>Privilege abuse simulation and audit review.</x:v>
      </x:c>
      <x:c r="N15" s="115" t="str">
        <x:v>Blocking</x:v>
      </x:c>
    </x:row>
    <x:row r="16">
      <x:c r="A16" s="119" t="str">
        <x:v>THR-012</x:v>
      </x:c>
      <x:c r="B16" s="120" t="str">
        <x:v>Cloud security</x:v>
      </x:c>
      <x:c r="C16" s="120" t="str">
        <x:v>Central evidence store is breached or misconfigured.</x:v>
      </x:c>
      <x:c r="D16" s="120" t="str">
        <x:v>Screens, text, code, employee data</x:v>
      </x:c>
      <x:c r="E16" s="120" t="n">
        <x:v>3</x:v>
      </x:c>
      <x:c r="F16" s="120" t="n">
        <x:v>5</x:v>
      </x:c>
      <x:c r="G16" s="120" t="n">
        <x:f>E16*F16</x:f>
        <x:v>15</x:v>
      </x:c>
      <x:c r="H16" s="120" t="str">
        <x:v>Regional tenant isolation; encryption; per-tenant keys; object policy; short retention; DLP; monitoring; incident response.</x:v>
      </x:c>
      <x:c r="I16" s="120" t="n">
        <x:v>1</x:v>
      </x:c>
      <x:c r="J16" s="120" t="n">
        <x:v>5</x:v>
      </x:c>
      <x:c r="K16" s="120" t="n">
        <x:f>I16*J16</x:f>
        <x:v>5</x:v>
      </x:c>
      <x:c r="L16" s="120" t="str">
        <x:v>CISO/Platform</x:v>
      </x:c>
      <x:c r="M16" s="120" t="str">
        <x:v>Threat modelling, pen test, configuration audit and recovery test.</x:v>
      </x:c>
      <x:c r="N16" s="121" t="str">
        <x:v>Blocking</x:v>
      </x:c>
    </x:row>
    <x:row r="17">
      <x:c r="A17" s="113" t="str">
        <x:v>THR-013</x:v>
      </x:c>
      <x:c r="B17" s="114" t="str">
        <x:v>Endpoint security</x:v>
      </x:c>
      <x:c r="C17" s="114" t="str">
        <x:v>Agent is compromised, tampered with or used for privilege escalation.</x:v>
      </x:c>
      <x:c r="D17" s="114" t="str">
        <x:v>Device, credentials, evidence integrity</x:v>
      </x:c>
      <x:c r="E17" s="114" t="n">
        <x:v>3</x:v>
      </x:c>
      <x:c r="F17" s="114" t="n">
        <x:v>5</x:v>
      </x:c>
      <x:c r="G17" s="114" t="n">
        <x:f>E17*F17</x:f>
        <x:v>15</x:v>
      </x:c>
      <x:c r="H17" s="114" t="str">
        <x:v>Least privilege; signed binaries; sandboxing; code review; device attestation; tamper evidence; rapid revoke/update.</x:v>
      </x:c>
      <x:c r="I17" s="114" t="n">
        <x:v>1</x:v>
      </x:c>
      <x:c r="J17" s="114" t="n">
        <x:v>4</x:v>
      </x:c>
      <x:c r="K17" s="114" t="n">
        <x:f>I17*J17</x:f>
        <x:v>4</x:v>
      </x:c>
      <x:c r="L17" s="114" t="str">
        <x:v>Desktop Security Lead</x:v>
      </x:c>
      <x:c r="M17" s="114" t="str">
        <x:v>Endpoint penetration test and tamper laboratory.</x:v>
      </x:c>
      <x:c r="N17" s="115" t="str">
        <x:v>Stage 3 gate</x:v>
      </x:c>
    </x:row>
    <x:row r="18">
      <x:c r="A18" s="119" t="str">
        <x:v>THR-014</x:v>
      </x:c>
      <x:c r="B18" s="120" t="str">
        <x:v>Evidence integrity</x:v>
      </x:c>
      <x:c r="C18" s="120" t="str">
        <x:v>Employee, malware or service fabricates, deletes or reorders events.</x:v>
      </x:c>
      <x:c r="D18" s="120" t="str">
        <x:v>Task/provenance reports</x:v>
      </x:c>
      <x:c r="E18" s="120" t="n">
        <x:v>3</x:v>
      </x:c>
      <x:c r="F18" s="120" t="n">
        <x:v>4</x:v>
      </x:c>
      <x:c r="G18" s="120" t="n">
        <x:f>E18*F18</x:f>
        <x:v>12</x:v>
      </x:c>
      <x:c r="H18" s="120" t="str">
        <x:v>Signed batches; device/session sequence; hash chains; idempotency; gap events; authoritative artefact corroboration.</x:v>
      </x:c>
      <x:c r="I18" s="120" t="n">
        <x:v>1</x:v>
      </x:c>
      <x:c r="J18" s="120" t="n">
        <x:v>3</x:v>
      </x:c>
      <x:c r="K18" s="120" t="n">
        <x:f>I18*J18</x:f>
        <x:v>3</x:v>
      </x:c>
      <x:c r="L18" s="120" t="str">
        <x:v>Data/Security</x:v>
      </x:c>
      <x:c r="M18" s="120" t="str">
        <x:v>Replay, deletion, duplicate and spoofed-event tests.</x:v>
      </x:c>
      <x:c r="N18" s="121" t="str">
        <x:v>Stage 4 gate</x:v>
      </x:c>
    </x:row>
    <x:row r="19">
      <x:c r="A19" s="113" t="str">
        <x:v>THR-015</x:v>
      </x:c>
      <x:c r="B19" s="114" t="str">
        <x:v>Supply chain</x:v>
      </x:c>
      <x:c r="C19" s="114" t="str">
        <x:v>Malicious or compromised update reaches endpoint agents.</x:v>
      </x:c>
      <x:c r="D19" s="114" t="str">
        <x:v>All managed devices</x:v>
      </x:c>
      <x:c r="E19" s="114" t="n">
        <x:v>3</x:v>
      </x:c>
      <x:c r="F19" s="114" t="n">
        <x:v>5</x:v>
      </x:c>
      <x:c r="G19" s="114" t="n">
        <x:f>E19*F19</x:f>
        <x:v>15</x:v>
      </x:c>
      <x:c r="H19" s="114" t="str">
        <x:v>Code signing; reproducible/provenance builds; staged rollout; update signatures; rollback; SBOM; dependency scanning.</x:v>
      </x:c>
      <x:c r="I19" s="114" t="n">
        <x:v>1</x:v>
      </x:c>
      <x:c r="J19" s="114" t="n">
        <x:v>5</x:v>
      </x:c>
      <x:c r="K19" s="114" t="n">
        <x:f>I19*J19</x:f>
        <x:v>5</x:v>
      </x:c>
      <x:c r="L19" s="114" t="str">
        <x:v>CISO/Desktop/DevSecOps</x:v>
      </x:c>
      <x:c r="M19" s="114" t="str">
        <x:v>Update attack simulation and signing-key incident exercise.</x:v>
      </x:c>
      <x:c r="N19" s="115" t="str">
        <x:v>Stage 3 gate</x:v>
      </x:c>
    </x:row>
    <x:row r="20">
      <x:c r="A20" s="119" t="str">
        <x:v>THR-016</x:v>
      </x:c>
      <x:c r="B20" s="120" t="str">
        <x:v>Performance</x:v>
      </x:c>
      <x:c r="C20" s="120" t="str">
        <x:v>Capture causes keyboard/mouse latency, high CPU, battery drain or application instability.</x:v>
      </x:c>
      <x:c r="D20" s="120" t="str">
        <x:v>Employees and delivery</x:v>
      </x:c>
      <x:c r="E20" s="120" t="n">
        <x:v>4</x:v>
      </x:c>
      <x:c r="F20" s="120" t="n">
        <x:v>4</x:v>
      </x:c>
      <x:c r="G20" s="120" t="n">
        <x:f>E20*F20</x:f>
        <x:v>16</x:v>
      </x:c>
      <x:c r="H20" s="120" t="str">
        <x:v>Event-driven capture; budgets; native profiling; backpressure; adaptive throttling; kill switch; benchmark matrix.</x:v>
      </x:c>
      <x:c r="I20" s="120" t="n">
        <x:v>2</x:v>
      </x:c>
      <x:c r="J20" s="120" t="n">
        <x:v>3</x:v>
      </x:c>
      <x:c r="K20" s="120" t="n">
        <x:f>I20*J20</x:f>
        <x:v>6</x:v>
      </x:c>
      <x:c r="L20" s="120" t="str">
        <x:v>Desktop/SRE</x:v>
      </x:c>
      <x:c r="M20" s="120" t="str">
        <x:v>Long-duration endpoint performance and application compatibility tests.</x:v>
      </x:c>
      <x:c r="N20" s="121" t="str">
        <x:v>Pilot metric</x:v>
      </x:c>
    </x:row>
    <x:row r="21">
      <x:c r="A21" s="113" t="str">
        <x:v>THR-017</x:v>
      </x:c>
      <x:c r="B21" s="114" t="str">
        <x:v>Reliability</x:v>
      </x:c>
      <x:c r="C21" s="114" t="str">
        <x:v>Offline queue is lost, corrupted or grows without bound.</x:v>
      </x:c>
      <x:c r="D21" s="114" t="str">
        <x:v>Evidence completeness and device storage</x:v>
      </x:c>
      <x:c r="E21" s="114" t="n">
        <x:v>3</x:v>
      </x:c>
      <x:c r="F21" s="114" t="n">
        <x:v>4</x:v>
      </x:c>
      <x:c r="G21" s="114" t="n">
        <x:f>E21*F21</x:f>
        <x:v>12</x:v>
      </x:c>
      <x:c r="H21" s="114" t="str">
        <x:v>Encrypted WAL; checksums; bounded quota; priority retention; safe compaction; health alert; resumable upload.</x:v>
      </x:c>
      <x:c r="I21" s="114" t="n">
        <x:v>1</x:v>
      </x:c>
      <x:c r="J21" s="114" t="n">
        <x:v>3</x:v>
      </x:c>
      <x:c r="K21" s="114" t="n">
        <x:f>I21*J21</x:f>
        <x:v>3</x:v>
      </x:c>
      <x:c r="L21" s="114" t="str">
        <x:v>Desktop/Data</x:v>
      </x:c>
      <x:c r="M21" s="114" t="str">
        <x:v>72-hour offline, crash-recovery and disk-pressure tests.</x:v>
      </x:c>
      <x:c r="N21" s="115" t="str">
        <x:v>Stage 3 gate</x:v>
      </x:c>
    </x:row>
    <x:row r="22">
      <x:c r="A22" s="119" t="str">
        <x:v>THR-018</x:v>
      </x:c>
      <x:c r="B22" s="120" t="str">
        <x:v>Distributed systems</x:v>
      </x:c>
      <x:c r="C22" s="120" t="str">
        <x:v>Duplicate, late or out-of-order events create incorrect timelines and assessments.</x:v>
      </x:c>
      <x:c r="D22" s="120" t="str">
        <x:v>Evidence and AI findings</x:v>
      </x:c>
      <x:c r="E22" s="120" t="n">
        <x:v>4</x:v>
      </x:c>
      <x:c r="F22" s="120" t="n">
        <x:v>4</x:v>
      </x:c>
      <x:c r="G22" s="120" t="n">
        <x:f>E22*F22</x:f>
        <x:v>16</x:v>
      </x:c>
      <x:c r="H22" s="120" t="str">
        <x:v>Idempotency keys; device sequence; event-time/watermarks; late correction; deterministic replay.</x:v>
      </x:c>
      <x:c r="I22" s="120" t="n">
        <x:v>2</x:v>
      </x:c>
      <x:c r="J22" s="120" t="n">
        <x:v>2</x:v>
      </x:c>
      <x:c r="K22" s="120" t="n">
        <x:f>I22*J22</x:f>
        <x:v>4</x:v>
      </x:c>
      <x:c r="L22" s="120" t="str">
        <x:v>Data Architect</x:v>
      </x:c>
      <x:c r="M22" s="120" t="str">
        <x:v>Chaos and replay tests with duplicates/out-of-order batches.</x:v>
      </x:c>
      <x:c r="N22" s="121" t="str">
        <x:v>Stage 4 gate</x:v>
      </x:c>
    </x:row>
    <x:row r="23">
      <x:c r="A23" s="113" t="str">
        <x:v>THR-019</x:v>
      </x:c>
      <x:c r="B23" s="114" t="str">
        <x:v>Legal/data transfer</x:v>
      </x:c>
      <x:c r="C23" s="114" t="str">
        <x:v>Employee evidence crosses borders or processors without valid assessment/contracts.</x:v>
      </x:c>
      <x:c r="D23" s="114" t="str">
        <x:v>Employees and Nessovo compliance</x:v>
      </x:c>
      <x:c r="E23" s="114" t="n">
        <x:v>3</x:v>
      </x:c>
      <x:c r="F23" s="114" t="n">
        <x:v>5</x:v>
      </x:c>
      <x:c r="G23" s="114" t="n">
        <x:f>E23*F23</x:f>
        <x:v>15</x:v>
      </x:c>
      <x:c r="H23" s="114" t="str">
        <x:v>Data-flow map; regional storage/routing; transfer mechanism; processor due diligence; model-provider controls.</x:v>
      </x:c>
      <x:c r="I23" s="114" t="n">
        <x:v>1</x:v>
      </x:c>
      <x:c r="J23" s="114" t="n">
        <x:v>5</x:v>
      </x:c>
      <x:c r="K23" s="114" t="n">
        <x:f>I23*J23</x:f>
        <x:v>5</x:v>
      </x:c>
      <x:c r="L23" s="114" t="str">
        <x:v>DPO/Legal</x:v>
      </x:c>
      <x:c r="M23" s="114" t="str">
        <x:v>Data-flow audit and contract register.</x:v>
      </x:c>
      <x:c r="N23" s="115" t="str">
        <x:v>Blocking</x:v>
      </x:c>
    </x:row>
    <x:row r="24">
      <x:c r="A24" s="119" t="str">
        <x:v>THR-020</x:v>
      </x:c>
      <x:c r="B24" s="120" t="str">
        <x:v>Third-party AI</x:v>
      </x:c>
      <x:c r="C24" s="120" t="str">
        <x:v>Model provider retains, trains on or exposes employee evidence.</x:v>
      </x:c>
      <x:c r="D24" s="120" t="str">
        <x:v>Employees, IP, customers</x:v>
      </x:c>
      <x:c r="E24" s="120" t="n">
        <x:v>3</x:v>
      </x:c>
      <x:c r="F24" s="120" t="n">
        <x:v>5</x:v>
      </x:c>
      <x:c r="G24" s="120" t="n">
        <x:f>E24*F24</x:f>
        <x:v>15</x:v>
      </x:c>
      <x:c r="H24" s="120" t="str">
        <x:v>Approved Model Gateway; no-training/retention terms; regional/private models; minimised prompts; content filters; vendor review.</x:v>
      </x:c>
      <x:c r="I24" s="120" t="n">
        <x:v>1</x:v>
      </x:c>
      <x:c r="J24" s="120" t="n">
        <x:v>5</x:v>
      </x:c>
      <x:c r="K24" s="120" t="n">
        <x:f>I24*J24</x:f>
        <x:v>5</x:v>
      </x:c>
      <x:c r="L24" s="120" t="str">
        <x:v>AI Platform/Legal/CISO</x:v>
      </x:c>
      <x:c r="M24" s="120" t="str">
        <x:v>Provider contract review and technical egress test.</x:v>
      </x:c>
      <x:c r="N24" s="121" t="str">
        <x:v>Blocking</x:v>
      </x:c>
    </x:row>
    <x:row r="25">
      <x:c r="A25" s="113" t="str">
        <x:v>THR-021</x:v>
      </x:c>
      <x:c r="B25" s="114" t="str">
        <x:v>Prompt injection</x:v>
      </x:c>
      <x:c r="C25" s="114" t="str">
        <x:v>Text visible on screen, webpages or repositories manipulates AI evaluators or coaching agents.</x:v>
      </x:c>
      <x:c r="D25" s="114" t="str">
        <x:v>Assessment integrity, data access</x:v>
      </x:c>
      <x:c r="E25" s="114" t="n">
        <x:v>4</x:v>
      </x:c>
      <x:c r="F25" s="114" t="n">
        <x:v>4</x:v>
      </x:c>
      <x:c r="G25" s="114" t="n">
        <x:f>E25*F25</x:f>
        <x:v>16</x:v>
      </x:c>
      <x:c r="H25" s="114" t="str">
        <x:v>Treat observed content as data; tool/capability restrictions; prompt isolation; allowlisted retrieval; output validation; adversarial tests.</x:v>
      </x:c>
      <x:c r="I25" s="114" t="n">
        <x:v>2</x:v>
      </x:c>
      <x:c r="J25" s="114" t="n">
        <x:v>3</x:v>
      </x:c>
      <x:c r="K25" s="114" t="n">
        <x:f>I25*J25</x:f>
        <x:v>6</x:v>
      </x:c>
      <x:c r="L25" s="114" t="str">
        <x:v>AI Security Lead</x:v>
      </x:c>
      <x:c r="M25" s="114" t="str">
        <x:v>Indirect prompt-injection benchmark using captured-screen scenarios.</x:v>
      </x:c>
      <x:c r="N25" s="115" t="str">
        <x:v>Stage 7 gate</x:v>
      </x:c>
    </x:row>
    <x:row r="26">
      <x:c r="A26" s="119" t="str">
        <x:v>THR-022</x:v>
      </x:c>
      <x:c r="B26" s="120" t="str">
        <x:v>Self-improvement</x:v>
      </x:c>
      <x:c r="C26" s="120" t="str">
        <x:v>Skill Forge automatically deploys a harmful or biased prompt/evaluator update.</x:v>
      </x:c>
      <x:c r="D26" s="120" t="str">
        <x:v>Employees and system quality</x:v>
      </x:c>
      <x:c r="E26" s="120" t="n">
        <x:v>3</x:v>
      </x:c>
      <x:c r="F26" s="120" t="n">
        <x:v>5</x:v>
      </x:c>
      <x:c r="G26" s="120" t="n">
        <x:f>E26*F26</x:f>
        <x:v>15</x:v>
      </x:c>
      <x:c r="H26" s="120" t="str">
        <x:v>Proposal-only observation; offline eval; domain/security/DPO review; canary; version pinning; rollback; impact classification.</x:v>
      </x:c>
      <x:c r="I26" s="120" t="n">
        <x:v>1</x:v>
      </x:c>
      <x:c r="J26" s="120" t="n">
        <x:v>4</x:v>
      </x:c>
      <x:c r="K26" s="120" t="n">
        <x:f>I26*J26</x:f>
        <x:v>4</x:v>
      </x:c>
      <x:c r="L26" s="120" t="str">
        <x:v>AI Platform/Governance</x:v>
      </x:c>
      <x:c r="M26" s="120" t="str">
        <x:v>Regression, red-team and rollback tests.</x:v>
      </x:c>
      <x:c r="N26" s="121" t="str">
        <x:v>Stage 11 gate</x:v>
      </x:c>
    </x:row>
    <x:row r="27">
      <x:c r="A27" s="113" t="str">
        <x:v>THR-023</x:v>
      </x:c>
      <x:c r="B27" s="114" t="str">
        <x:v>Confidentiality</x:v>
      </x:c>
      <x:c r="C27" s="114" t="str">
        <x:v>Employee/project details leak into reusable or open-source skills.</x:v>
      </x:c>
      <x:c r="D27" s="114" t="str">
        <x:v>IP, customers, employees</x:v>
      </x:c>
      <x:c r="E27" s="114" t="n">
        <x:v>3</x:v>
      </x:c>
      <x:c r="F27" s="114" t="n">
        <x:v>5</x:v>
      </x:c>
      <x:c r="G27" s="114" t="n">
        <x:f>E27*F27</x:f>
        <x:v>15</x:v>
      </x:c>
      <x:c r="H27" s="114" t="str">
        <x:v>Internal/open-source classification; generalisation; redaction; source linkage; approval; publication scanning.</x:v>
      </x:c>
      <x:c r="I27" s="114" t="n">
        <x:v>1</x:v>
      </x:c>
      <x:c r="J27" s="114" t="n">
        <x:v>4</x:v>
      </x:c>
      <x:c r="K27" s="114" t="n">
        <x:f>I27*J27</x:f>
        <x:v>4</x:v>
      </x:c>
      <x:c r="L27" s="114" t="str">
        <x:v>Skill Forge/Legal</x:v>
      </x:c>
      <x:c r="M27" s="114" t="str">
        <x:v>Confidentiality test corpus and publication review.</x:v>
      </x:c>
      <x:c r="N27" s="115" t="str">
        <x:v>Stage 11 gate</x:v>
      </x:c>
    </x:row>
    <x:row r="28">
      <x:c r="A28" s="119" t="str">
        <x:v>THR-024</x:v>
      </x:c>
      <x:c r="B28" s="120" t="str">
        <x:v>Licensing</x:v>
      </x:c>
      <x:c r="C28" s="120" t="str">
        <x:v>Source-available or OSS code is used beyond licence terms.</x:v>
      </x:c>
      <x:c r="D28" s="120" t="str">
        <x:v>Nessovo IP and commercial product</x:v>
      </x:c>
      <x:c r="E28" s="120" t="n">
        <x:v>3</x:v>
      </x:c>
      <x:c r="F28" s="120" t="n">
        <x:v>4</x:v>
      </x:c>
      <x:c r="G28" s="120" t="n">
        <x:f>E28*F28</x:f>
        <x:v>12</x:v>
      </x:c>
      <x:c r="H28" s="120" t="str">
        <x:v>Licence register; legal approval; SBOM; provenance; clean-room implementation when needed.</x:v>
      </x:c>
      <x:c r="I28" s="120" t="n">
        <x:v>1</x:v>
      </x:c>
      <x:c r="J28" s="120" t="n">
        <x:v>3</x:v>
      </x:c>
      <x:c r="K28" s="120" t="n">
        <x:f>I28*J28</x:f>
        <x:v>3</x:v>
      </x:c>
      <x:c r="L28" s="120" t="str">
        <x:v>Legal/Architecture</x:v>
      </x:c>
      <x:c r="M28" s="120" t="str">
        <x:v>Dependency and source-provenance audit.</x:v>
      </x:c>
      <x:c r="N28" s="121" t="str">
        <x:v>Stage 1 gate</x:v>
      </x:c>
    </x:row>
    <x:row r="29">
      <x:c r="A29" s="113" t="str">
        <x:v>THR-025</x:v>
      </x:c>
      <x:c r="B29" s="114" t="str">
        <x:v>Architecture</x:v>
      </x:c>
      <x:c r="C29" s="114" t="str">
        <x:v>Premature nano-services increase failure modes, latency and operational burden.</x:v>
      </x:c>
      <x:c r="D29" s="114" t="str">
        <x:v>Delivery speed and reliability</x:v>
      </x:c>
      <x:c r="E29" s="114" t="n">
        <x:v>4</x:v>
      </x:c>
      <x:c r="F29" s="114" t="n">
        <x:v>3</x:v>
      </x:c>
      <x:c r="G29" s="114" t="n">
        <x:f>E29*F29</x:f>
        <x:v>12</x:v>
      </x:c>
      <x:c r="H29" s="114" t="str">
        <x:v>Bounded contexts; approximately eight initial deployables; split triggers; architecture board review.</x:v>
      </x:c>
      <x:c r="I29" s="114" t="n">
        <x:v>2</x:v>
      </x:c>
      <x:c r="J29" s="114" t="n">
        <x:v>2</x:v>
      </x:c>
      <x:c r="K29" s="114" t="n">
        <x:f>I29*J29</x:f>
        <x:v>4</x:v>
      </x:c>
      <x:c r="L29" s="114" t="str">
        <x:v>Enterprise Architect</x:v>
      </x:c>
      <x:c r="M29" s="114" t="str">
        <x:v>Deployment dependency and change-coupling review.</x:v>
      </x:c>
      <x:c r="N29" s="115" t="str">
        <x:v>Stage 1 gate</x:v>
      </x:c>
    </x:row>
    <x:row r="30">
      <x:c r="A30" s="119" t="str">
        <x:v>THR-026</x:v>
      </x:c>
      <x:c r="B30" s="120" t="str">
        <x:v>Economics</x:v>
      </x:c>
      <x:c r="C30" s="120" t="str">
        <x:v>Screenshot, event, embedding and model costs scale beyond the product value.</x:v>
      </x:c>
      <x:c r="D30" s="120" t="str">
        <x:v>Business viability</x:v>
      </x:c>
      <x:c r="E30" s="120" t="n">
        <x:v>4</x:v>
      </x:c>
      <x:c r="F30" s="120" t="n">
        <x:v>4</x:v>
      </x:c>
      <x:c r="G30" s="120" t="n">
        <x:f>E30*F30</x:f>
        <x:v>16</x:v>
      </x:c>
      <x:c r="H30" s="120" t="str">
        <x:v>Event-driven capture; dedup; tiered retention; edge summaries; sampling; low/base/high model; budgets/quotas.</x:v>
      </x:c>
      <x:c r="I30" s="120" t="n">
        <x:v>2</x:v>
      </x:c>
      <x:c r="J30" s="120" t="n">
        <x:v>3</x:v>
      </x:c>
      <x:c r="K30" s="120" t="n">
        <x:f>I30*J30</x:f>
        <x:v>6</x:v>
      </x:c>
      <x:c r="L30" s="120" t="str">
        <x:v>FinOps/Product/Data</x:v>
      </x:c>
      <x:c r="M30" s="120" t="str">
        <x:v>Pilot cost per employee/task and scale sensitivity.</x:v>
      </x:c>
      <x:c r="N30" s="121" t="str">
        <x:v>Stage 1/pilot</x:v>
      </x:c>
    </x:row>
    <x:row r="31">
      <x:c r="A31" s="113" t="str">
        <x:v>THR-027</x:v>
      </x:c>
      <x:c r="B31" s="114" t="str">
        <x:v>Trust</x:v>
      </x:c>
      <x:c r="C31" s="114" t="str">
        <x:v>Employees perceive the product as punitive surveillance and withhold honest feedback or leave.</x:v>
      </x:c>
      <x:c r="D31" s="114" t="str">
        <x:v>Adoption, culture and data quality</x:v>
      </x:c>
      <x:c r="E31" s="114" t="n">
        <x:v>4</x:v>
      </x:c>
      <x:c r="F31" s="114" t="n">
        <x:v>5</x:v>
      </x:c>
      <x:c r="G31" s="114" t="n">
        <x:f>E31*F31</x:f>
        <x:v>20</x:v>
      </x:c>
      <x:c r="H31" s="114" t="str">
        <x:v>Employee value; consultation; transparent evidence; correction; coaching; no pilot adverse action; manager training.</x:v>
      </x:c>
      <x:c r="I31" s="114" t="n">
        <x:v>2</x:v>
      </x:c>
      <x:c r="J31" s="114" t="n">
        <x:v>4</x:v>
      </x:c>
      <x:c r="K31" s="114" t="n">
        <x:f>I31*J31</x:f>
        <x:v>8</x:v>
      </x:c>
      <x:c r="L31" s="114" t="str">
        <x:v>HR/Product/Executive Sponsor</x:v>
      </x:c>
      <x:c r="M31" s="114" t="str">
        <x:v>Pre/post trust survey, interviews and dispute analysis.</x:v>
      </x:c>
      <x:c r="N31" s="115" t="str">
        <x:v>Pilot metric</x:v>
      </x:c>
    </x:row>
    <x:row r="32">
      <x:c r="A32" s="119" t="str">
        <x:v>THR-028</x:v>
      </x:c>
      <x:c r="B32" s="120" t="str">
        <x:v>Gaming</x:v>
      </x:c>
      <x:c r="C32" s="120" t="str">
        <x:v>Employees optimise visible activity or route work through unmonitored devices/tools.</x:v>
      </x:c>
      <x:c r="D32" s="120" t="str">
        <x:v>Evidence validity and culture</x:v>
      </x:c>
      <x:c r="E32" s="120" t="n">
        <x:v>3</x:v>
      </x:c>
      <x:c r="F32" s="120" t="n">
        <x:v>4</x:v>
      </x:c>
      <x:c r="G32" s="120" t="n">
        <x:f>E32*F32</x:f>
        <x:v>12</x:v>
      </x:c>
      <x:c r="H32" s="120" t="str">
        <x:v>Outcome-based assessment; clear policy; legitimate workflows; employee benefit; evidence triangulation; no activity scores.</x:v>
      </x:c>
      <x:c r="I32" s="120" t="n">
        <x:v>2</x:v>
      </x:c>
      <x:c r="J32" s="120" t="n">
        <x:v>3</x:v>
      </x:c>
      <x:c r="K32" s="120" t="n">
        <x:f>I32*J32</x:f>
        <x:v>6</x:v>
      </x:c>
      <x:c r="L32" s="120" t="str">
        <x:v>Product/HR</x:v>
      </x:c>
      <x:c r="M32" s="120" t="str">
        <x:v>Pilot anomaly review without punitive assumptions.</x:v>
      </x:c>
      <x:c r="N32" s="121" t="str">
        <x:v>Pilot metric</x:v>
      </x:c>
    </x:row>
    <x:row r="33">
      <x:c r="A33" s="113" t="str">
        <x:v>THR-029</x:v>
      </x:c>
      <x:c r="B33" s="114" t="str">
        <x:v>Management quality</x:v>
      </x:c>
      <x:c r="C33" s="114" t="str">
        <x:v>System flags employee gaps when the real cause is poor requirements, access, workload or management.</x:v>
      </x:c>
      <x:c r="D33" s="114" t="str">
        <x:v>Employees and organisational decisions</x:v>
      </x:c>
      <x:c r="E33" s="114" t="n">
        <x:v>4</x:v>
      </x:c>
      <x:c r="F33" s="114" t="n">
        <x:v>5</x:v>
      </x:c>
      <x:c r="G33" s="114" t="n">
        <x:f>E33*F33</x:f>
        <x:v>20</x:v>
      </x:c>
      <x:c r="H33" s="114" t="str">
        <x:v>Task contract quality; blocker classes; environment and manager context; team-level process analysis; employee response.</x:v>
      </x:c>
      <x:c r="I33" s="114" t="n">
        <x:v>2</x:v>
      </x:c>
      <x:c r="J33" s="114" t="n">
        <x:v>3</x:v>
      </x:c>
      <x:c r="K33" s="114" t="n">
        <x:f>I33*J33</x:f>
        <x:v>6</x:v>
      </x:c>
      <x:c r="L33" s="114" t="str">
        <x:v>Product/HR/Operations</x:v>
      </x:c>
      <x:c r="M33" s="114" t="str">
        <x:v>Root-cause review and manager/employee agreement metrics.</x:v>
      </x:c>
      <x:c r="N33" s="115" t="str">
        <x:v>Stage 7/8</x:v>
      </x:c>
    </x:row>
    <x:row r="34">
      <x:c r="A34" s="122" t="str">
        <x:v>THR-030</x:v>
      </x:c>
      <x:c r="B34" s="123" t="str">
        <x:v>Scope</x:v>
      </x:c>
      <x:c r="C34" s="123" t="str">
        <x:v>Platform tries to support every HumanOS vertical before proving the core.</x:v>
      </x:c>
      <x:c r="D34" s="123" t="str">
        <x:v>Programme cost and quality</x:v>
      </x:c>
      <x:c r="E34" s="123" t="n">
        <x:v>4</x:v>
      </x:c>
      <x:c r="F34" s="123" t="n">
        <x:v>4</x:v>
      </x:c>
      <x:c r="G34" s="123" t="n">
        <x:f>E34*F34</x:f>
        <x:v>16</x:v>
      </x:c>
      <x:c r="H34" s="123" t="str">
        <x:v>Initial software-development vertical; domain-neutral ontology; explicit expansion gates.</x:v>
      </x:c>
      <x:c r="I34" s="123" t="n">
        <x:v>1</x:v>
      </x:c>
      <x:c r="J34" s="123" t="n">
        <x:v>3</x:v>
      </x:c>
      <x:c r="K34" s="123" t="n">
        <x:f>I34*J34</x:f>
        <x:v>3</x:v>
      </x:c>
      <x:c r="L34" s="123" t="str">
        <x:v>CEO/Product/CTO</x:v>
      </x:c>
      <x:c r="M34" s="123" t="str">
        <x:v>Pilot outcome and next-vertical business case.</x:v>
      </x:c>
      <x:c r="N34" s="124" t="str">
        <x:v>Programme gate</x:v>
      </x:c>
    </x:row>
  </x:sheetData>
  <x:mergeCells>
    <x:mergeCell ref="A1:N1"/>
    <x:mergeCell ref="A2:N2"/>
  </x:mergeCells>
  <x:conditionalFormatting sqref="G5:G34">
    <x:cfRule type="colorScale" priority="1">
      <x:colorScale>
        <x:cfvo type="min"/>
        <x:cfvo type="percentile" val="50"/>
        <x:cfvo type="max"/>
        <x:color rgb="FFE2F0D9"/>
        <x:color rgb="FFFFF2CC"/>
        <x:color rgb="FFFCE4D6"/>
      </x:colorScale>
    </x:cfRule>
  </x:conditionalFormatting>
  <x:conditionalFormatting sqref="K5:K34">
    <x:cfRule type="colorScale" priority="2">
      <x:colorScale>
        <x:cfvo type="min"/>
        <x:cfvo type="percentile" val="50"/>
        <x:cfvo type="max"/>
        <x:color rgb="FFE2F0D9"/>
        <x:color rgb="FFFFF2CC"/>
        <x:color rgb="FFFCE4D6"/>
      </x:colorScale>
    </x:cfRule>
  </x:conditionalFormatting>
  <x:dataValidations count="4">
    <x:dataValidation operator="between" sqref="E5:E34">
      <x:formula1>1</x:formula1>
      <x:formula2>5</x:formula2>
    </x:dataValidation>
    <x:dataValidation operator="between" sqref="F5:F34">
      <x:formula1>1</x:formula1>
      <x:formula2>5</x:formula2>
    </x:dataValidation>
    <x:dataValidation operator="between" sqref="I5:I34">
      <x:formula1>1</x:formula1>
      <x:formula2>5</x:formula2>
    </x:dataValidation>
    <x:dataValidation operator="between" sqref="J5:J34">
      <x:formula1>1</x:formula1>
      <x:formula2>5</x:formula2>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 hidden="0" customWidth="1"/>
    <x:col min="2" max="2" width="24" hidden="0" customWidth="1"/>
    <x:col min="3" max="3" width="54" hidden="0" customWidth="1"/>
    <x:col min="4" max="4" width="42" hidden="0" customWidth="1"/>
    <x:col min="5" max="5" width="24" hidden="0" customWidth="1"/>
    <x:col min="6" max="6" width="34" hidden="0" customWidth="1"/>
    <x:col min="7" max="7" width="18" hidden="0" customWidth="1"/>
    <x:col min="8" max="8" width="34" hidden="0" customWidth="1"/>
  </x:cols>
  <x:sheetData>
    <x:row r="1" ht="30" customHeight="1">
      <x:c r="A1" s="72" t="str">
        <x:v>Internal Pilot Definition — Foundation Draft</x:v>
      </x:c>
      <x:c r="B1" s="72"/>
      <x:c r="C1" s="72"/>
      <x:c r="D1" s="72"/>
      <x:c r="E1" s="72"/>
      <x:c r="F1" s="72"/>
      <x:c r="G1" s="72"/>
      <x:c r="H1" s="72"/>
    </x:row>
    <x:row r="2" ht="34" customHeight="1">
      <x:c r="A2" s="76" t="str">
        <x:v>Controlled Nessovo pilot for AI-assisted software-development work. All targets are initial hypotheses until owners, legal reviewers and employee representatives approve them.</x:v>
      </x:c>
      <x:c r="B2" s="76"/>
      <x:c r="C2" s="76"/>
      <x:c r="D2" s="76"/>
      <x:c r="E2" s="76"/>
      <x:c r="F2" s="76"/>
      <x:c r="G2" s="76"/>
      <x:c r="H2" s="76"/>
    </x:row>
    <x:row r="4" ht="28" customHeight="1">
      <x:c r="A4" s="88" t="str">
        <x:v>ID</x:v>
      </x:c>
      <x:c r="B4" s="89" t="str">
        <x:v>Pilot element</x:v>
      </x:c>
      <x:c r="C4" s="89" t="str">
        <x:v>Draft definition / rule</x:v>
      </x:c>
      <x:c r="D4" s="89" t="str">
        <x:v>Rationale</x:v>
      </x:c>
      <x:c r="E4" s="89" t="str">
        <x:v>Accountable owner</x:v>
      </x:c>
      <x:c r="F4" s="89" t="str">
        <x:v>Evidence / metric</x:v>
      </x:c>
      <x:c r="G4" s="89" t="str">
        <x:v>Status</x:v>
      </x:c>
      <x:c r="H4" s="90" t="str">
        <x:v>Approval / note</x:v>
      </x:c>
    </x:row>
    <x:row r="5">
      <x:c r="A5" s="110" t="str">
        <x:v>PIL-001</x:v>
      </x:c>
      <x:c r="B5" s="111" t="str">
        <x:v>Pilot purpose</x:v>
      </x:c>
      <x:c r="C5" s="111" t="str">
        <x:v>Validate technical capture, task/provenance accuracy, employee benefit, manager usefulness, privacy controls and endpoint feasibility.</x:v>
      </x:c>
      <x:c r="D5" s="111" t="str">
        <x:v>The pilot is a product and governance evaluation, not a disciplinary programme.</x:v>
      </x:c>
      <x:c r="E5" s="111" t="str">
        <x:v>Executive Sponsor/Product</x:v>
      </x:c>
      <x:c r="F5" s="111" t="str">
        <x:v>Approved pilot protocol.</x:v>
      </x:c>
      <x:c r="G5" s="111" t="str">
        <x:v>Draft Complete</x:v>
      </x:c>
      <x:c r="H5" s="112" t="str"/>
    </x:row>
    <x:row r="6">
      <x:c r="A6" s="119" t="str">
        <x:v>PIL-002</x:v>
      </x:c>
      <x:c r="B6" s="120" t="str">
        <x:v>Pilot vertical</x:v>
      </x:c>
      <x:c r="C6" s="120" t="str">
        <x:v>AI-assisted software engineering, QA and platform/DevOps work.</x:v>
      </x:c>
      <x:c r="D6" s="120" t="str">
        <x:v>Git, tests, builds, reviews and agent hooks provide comparatively objective evidence.</x:v>
      </x:c>
      <x:c r="E6" s="120" t="str">
        <x:v>CTO/Product</x:v>
      </x:c>
      <x:c r="F6" s="120" t="str">
        <x:v>Selected teams and role list.</x:v>
      </x:c>
      <x:c r="G6" s="120" t="str">
        <x:v>Draft Complete</x:v>
      </x:c>
      <x:c r="H6" s="121" t="str"/>
    </x:row>
    <x:row r="7">
      <x:c r="A7" s="113" t="str">
        <x:v>PIL-003</x:v>
      </x:c>
      <x:c r="B7" s="114" t="str">
        <x:v>Participant range</x:v>
      </x:c>
      <x:c r="C7" s="114" t="str">
        <x:v>Planning assumption: 10–30 employees across one or two technical teams.</x:v>
      </x:c>
      <x:c r="D7" s="114" t="str">
        <x:v>Enough variety for workflow and trust learning while keeping support manageable.</x:v>
      </x:c>
      <x:c r="E7" s="114" t="str">
        <x:v>HR/Product</x:v>
      </x:c>
      <x:c r="F7" s="114" t="str">
        <x:v>Final participant roster.</x:v>
      </x:c>
      <x:c r="G7" s="114" t="str">
        <x:v>Owner Input</x:v>
      </x:c>
      <x:c r="H7" s="115" t="str">
        <x:v>Confirm through consultation and capacity.</x:v>
      </x:c>
    </x:row>
    <x:row r="8">
      <x:c r="A8" s="119" t="str">
        <x:v>PIL-004</x:v>
      </x:c>
      <x:c r="B8" s="120" t="str">
        <x:v>Participant selection</x:v>
      </x:c>
      <x:c r="C8" s="120" t="str">
        <x:v>Use an appropriately consulted and protected cohort; document voluntariness/selection logic and bias.</x:v>
      </x:c>
      <x:c r="D8" s="120" t="str">
        <x:v>Selection method affects trust and evaluation validity.</x:v>
      </x:c>
      <x:c r="E8" s="120" t="str">
        <x:v>HR/DPO</x:v>
      </x:c>
      <x:c r="F8" s="120" t="str">
        <x:v>Selection and consultation record.</x:v>
      </x:c>
      <x:c r="G8" s="120" t="str">
        <x:v>Draft Complete</x:v>
      </x:c>
      <x:c r="H8" s="121" t="str"/>
    </x:row>
    <x:row r="9">
      <x:c r="A9" s="113" t="str">
        <x:v>PIL-005</x:v>
      </x:c>
      <x:c r="B9" s="114" t="str">
        <x:v>Locations</x:v>
      </x:c>
      <x:c r="C9" s="114" t="str">
        <x:v>UK and Lahore participation only after separate jurisdiction-specific legal approval; otherwise restrict pilot to the approved location.</x:v>
      </x:c>
      <x:c r="D9" s="114" t="str">
        <x:v>Legal and cross-border conditions differ.</x:v>
      </x:c>
      <x:c r="E9" s="114" t="str">
        <x:v>Legal/DPO</x:v>
      </x:c>
      <x:c r="F9" s="114" t="str">
        <x:v>UK and Pakistan legal memoranda.</x:v>
      </x:c>
      <x:c r="G9" s="114" t="str">
        <x:v>Owner Input</x:v>
      </x:c>
      <x:c r="H9" s="115" t="str">
        <x:v>Blocking for each jurisdiction.</x:v>
      </x:c>
    </x:row>
    <x:row r="10">
      <x:c r="A10" s="119" t="str">
        <x:v>PIL-006</x:v>
      </x:c>
      <x:c r="B10" s="120" t="str">
        <x:v>Devices</x:v>
      </x:c>
      <x:c r="C10" s="120" t="str">
        <x:v>Company-managed Windows 11 and recent macOS devices; no BYOD; Linux deferred.</x:v>
      </x:c>
      <x:c r="D10" s="120" t="str">
        <x:v>Limits permissions, privacy and support uncertainty.</x:v>
      </x:c>
      <x:c r="E10" s="120" t="str">
        <x:v>IT/Desktop</x:v>
      </x:c>
      <x:c r="F10" s="120" t="str">
        <x:v>Device inventory and MDM readiness.</x:v>
      </x:c>
      <x:c r="G10" s="120" t="str">
        <x:v>Draft Complete</x:v>
      </x:c>
      <x:c r="H10" s="121" t="str"/>
    </x:row>
    <x:row r="11">
      <x:c r="A11" s="113" t="str">
        <x:v>PIL-007</x:v>
      </x:c>
      <x:c r="B11" s="114" t="str">
        <x:v>Duration</x:v>
      </x:c>
      <x:c r="C11" s="114" t="str">
        <x:v>Technical dry run 2–4 weeks followed by controlled work pilot 6–8 weeks.</x:v>
      </x:c>
      <x:c r="D11" s="114" t="str">
        <x:v>Separates system defects from employee-facing evaluation.</x:v>
      </x:c>
      <x:c r="E11" s="114" t="str">
        <x:v>Programme Lead</x:v>
      </x:c>
      <x:c r="F11" s="114" t="str">
        <x:v>Approved schedule.</x:v>
      </x:c>
      <x:c r="G11" s="114" t="str">
        <x:v>Draft Complete</x:v>
      </x:c>
      <x:c r="H11" s="115" t="str">
        <x:v>Duration may change after Stage 3–7.</x:v>
      </x:c>
    </x:row>
    <x:row r="12">
      <x:c r="A12" s="119" t="str">
        <x:v>PIL-008</x:v>
      </x:c>
      <x:c r="B12" s="120" t="str">
        <x:v>Working hours</x:v>
      </x:c>
      <x:c r="C12" s="120" t="str">
        <x:v>Capture only within approved work-session/task-session states and policy hours.</x:v>
      </x:c>
      <x:c r="D12" s="120" t="str">
        <x:v>Prevents continuous out-of-hours monitoring.</x:v>
      </x:c>
      <x:c r="E12" s="120" t="str">
        <x:v>HR/DPO/Product</x:v>
      </x:c>
      <x:c r="F12" s="120" t="str">
        <x:v>Session-state audit and worker notice.</x:v>
      </x:c>
      <x:c r="G12" s="120" t="str">
        <x:v>Draft Complete</x:v>
      </x:c>
      <x:c r="H12" s="121" t="str"/>
    </x:row>
    <x:row r="13">
      <x:c r="A13" s="113" t="str">
        <x:v>PIL-009</x:v>
      </x:c>
      <x:c r="B13" s="114" t="str">
        <x:v>Visible status</x:v>
      </x:c>
      <x:c r="C13" s="114" t="str">
        <x:v>Persistent tray/menu status, current task, sensors active, last upload and pause/stop controls.</x:v>
      </x:c>
      <x:c r="D13" s="114" t="str">
        <x:v>Employees must understand when and what is active.</x:v>
      </x:c>
      <x:c r="E13" s="114" t="str">
        <x:v>Desktop/Product</x:v>
      </x:c>
      <x:c r="F13" s="114" t="str">
        <x:v>UX test and screenshots.</x:v>
      </x:c>
      <x:c r="G13" s="114" t="str">
        <x:v>Draft Complete</x:v>
      </x:c>
      <x:c r="H13" s="115" t="str">
        <x:v>Stage 3 blocking control.</x:v>
      </x:c>
    </x:row>
    <x:row r="14">
      <x:c r="A14" s="119" t="str">
        <x:v>PIL-010</x:v>
      </x:c>
      <x:c r="B14" s="120" t="str">
        <x:v>Task scope</x:v>
      </x:c>
      <x:c r="C14" s="120" t="str">
        <x:v>Only approved project tasks with a Task Execution Contract are used for task assurance.</x:v>
      </x:c>
      <x:c r="D14" s="120" t="str">
        <x:v>Prevents arbitrary evaluation without agreed criteria.</x:v>
      </x:c>
      <x:c r="E14" s="120" t="str">
        <x:v>Product/Engineering Leads</x:v>
      </x:c>
      <x:c r="F14" s="120" t="str">
        <x:v>Task contract register.</x:v>
      </x:c>
      <x:c r="G14" s="120" t="str">
        <x:v>Draft Complete</x:v>
      </x:c>
      <x:c r="H14" s="121" t="str">
        <x:v>Stage 2 dependency.</x:v>
      </x:c>
    </x:row>
    <x:row r="15">
      <x:c r="A15" s="113" t="str">
        <x:v>PIL-011</x:v>
      </x:c>
      <x:c r="B15" s="114" t="str">
        <x:v>Excluded work</x:v>
      </x:c>
      <x:c r="C15" s="114" t="str">
        <x:v>Personal activity, HR/medical/legal conversations, authentication, banking, personal email/messages and specifically excluded applications/domains.</x:v>
      </x:c>
      <x:c r="D15" s="114" t="str">
        <x:v>High sensitivity and not necessary for pilot purpose.</x:v>
      </x:c>
      <x:c r="E15" s="114" t="str">
        <x:v>DPO/HR/Security</x:v>
      </x:c>
      <x:c r="F15" s="114" t="str">
        <x:v>Exclusion policy and tests.</x:v>
      </x:c>
      <x:c r="G15" s="114" t="str">
        <x:v>Draft Complete</x:v>
      </x:c>
      <x:c r="H15" s="115" t="str"/>
    </x:row>
    <x:row r="16">
      <x:c r="A16" s="119" t="str">
        <x:v>PIL-012</x:v>
      </x:c>
      <x:c r="B16" s="120" t="str">
        <x:v>Audio</x:v>
      </x:c>
      <x:c r="C16" s="120" t="str">
        <x:v>No microphone or system-audio recording.</x:v>
      </x:c>
      <x:c r="D16" s="120" t="str">
        <x:v>Not required for initial vertical and materially increases intrusion.</x:v>
      </x:c>
      <x:c r="E16" s="120" t="str">
        <x:v>DPO/Product</x:v>
      </x:c>
      <x:c r="F16" s="120" t="str">
        <x:v>Agent capability disabled and audited.</x:v>
      </x:c>
      <x:c r="G16" s="120" t="str">
        <x:v>Draft Complete</x:v>
      </x:c>
      <x:c r="H16" s="121" t="str"/>
    </x:row>
    <x:row r="17">
      <x:c r="A17" s="113" t="str">
        <x:v>PIL-013</x:v>
      </x:c>
      <x:c r="B17" s="114" t="str">
        <x:v>Visual capture</x:v>
      </x:c>
      <x:c r="C17" s="114" t="str">
        <x:v>Event-driven screenshots/changed regions only; no default continuous manager live view.</x:v>
      </x:c>
      <x:c r="D17" s="114" t="str">
        <x:v>Supports evidence while reducing volume and intrusion.</x:v>
      </x:c>
      <x:c r="E17" s="114" t="str">
        <x:v>Desktop/DPO</x:v>
      </x:c>
      <x:c r="F17" s="114" t="str">
        <x:v>Capture-rate, dedup and access tests.</x:v>
      </x:c>
      <x:c r="G17" s="114" t="str">
        <x:v>Draft Complete</x:v>
      </x:c>
      <x:c r="H17" s="115" t="str"/>
    </x:row>
    <x:row r="18">
      <x:c r="A18" s="119" t="str">
        <x:v>PIL-014</x:v>
      </x:c>
      <x:c r="B18" s="120" t="str">
        <x:v>Keyboard capture</x:v>
      </x:c>
      <x:c r="C18" s="120" t="str">
        <x:v>Metadata and approved-control text deltas; raw key values narrowly scoped and never from secure/excluded controls.</x:v>
      </x:c>
      <x:c r="D18" s="120" t="str">
        <x:v>Exact work reconstruction requires provenance but unrestricted keylogging is unacceptable.</x:v>
      </x:c>
      <x:c r="E18" s="120" t="str">
        <x:v>DPO/Desktop/Security</x:v>
      </x:c>
      <x:c r="F18" s="120" t="str">
        <x:v>Secure-field and text-reconciliation evaluation.</x:v>
      </x:c>
      <x:c r="G18" s="120" t="str">
        <x:v>Draft Complete</x:v>
      </x:c>
      <x:c r="H18" s="121" t="str">
        <x:v>DPIA approval required.</x:v>
      </x:c>
    </x:row>
    <x:row r="19">
      <x:c r="A19" s="113" t="str">
        <x:v>PIL-015</x:v>
      </x:c>
      <x:c r="B19" s="114" t="str">
        <x:v>Manager experience</x:v>
      </x:c>
      <x:c r="C19" s="114" t="str">
        <x:v>Exception-led task outcome, quality, blocker and support report; raw evidence drill-down requires purpose and scope.</x:v>
      </x:c>
      <x:c r="D19" s="114" t="str">
        <x:v>Managers need usable information, not surveillance firehose.</x:v>
      </x:c>
      <x:c r="E19" s="114" t="str">
        <x:v>Product/HR</x:v>
      </x:c>
      <x:c r="F19" s="114" t="str">
        <x:v>Manager usability study and access logs.</x:v>
      </x:c>
      <x:c r="G19" s="114" t="str">
        <x:v>Draft Complete</x:v>
      </x:c>
      <x:c r="H19" s="115" t="str"/>
    </x:row>
    <x:row r="20">
      <x:c r="A20" s="119" t="str">
        <x:v>PIL-016</x:v>
      </x:c>
      <x:c r="B20" s="120" t="str">
        <x:v>Employee experience</x:v>
      </x:c>
      <x:c r="C20" s="120" t="str">
        <x:v>Own timeline, task alignment, evidence, coaching, capability observations, corrections and dispute access.</x:v>
      </x:c>
      <x:c r="D20" s="120" t="str">
        <x:v>Employee agency improves fairness and data quality.</x:v>
      </x:c>
      <x:c r="E20" s="120" t="str">
        <x:v>Product/HR/DPO</x:v>
      </x:c>
      <x:c r="F20" s="120" t="str">
        <x:v>Employee UX study and correction workflow.</x:v>
      </x:c>
      <x:c r="G20" s="120" t="str">
        <x:v>Draft Complete</x:v>
      </x:c>
      <x:c r="H20" s="121" t="str"/>
    </x:row>
    <x:row r="21">
      <x:c r="A21" s="113" t="str">
        <x:v>PIL-017</x:v>
      </x:c>
      <x:c r="B21" s="114" t="str">
        <x:v>Human review</x:v>
      </x:c>
      <x:c r="C21" s="114" t="str">
        <x:v>Material negative findings and all capability changes require qualified human review during pilot.</x:v>
      </x:c>
      <x:c r="D21" s="114" t="str">
        <x:v>Models and policies are not yet validated for high-impact use.</x:v>
      </x:c>
      <x:c r="E21" s="114" t="str">
        <x:v>HR/Domain Reviewers</x:v>
      </x:c>
      <x:c r="F21" s="114" t="str">
        <x:v>Review record and override rate.</x:v>
      </x:c>
      <x:c r="G21" s="114" t="str">
        <x:v>Draft Complete</x:v>
      </x:c>
      <x:c r="H21" s="115" t="str"/>
    </x:row>
    <x:row r="22">
      <x:c r="A22" s="119" t="str">
        <x:v>PIL-018</x:v>
      </x:c>
      <x:c r="B22" s="120" t="str">
        <x:v>Employment boundary</x:v>
      </x:c>
      <x:c r="C22" s="120" t="str">
        <x:v>No adverse employment action may be based solely or primarily on pilot output.</x:v>
      </x:c>
      <x:c r="D22" s="120" t="str">
        <x:v>Participant protection and honest feedback are required.</x:v>
      </x:c>
      <x:c r="E22" s="120" t="str">
        <x:v>Executive Sponsor/HR/Legal</x:v>
      </x:c>
      <x:c r="F22" s="120" t="str">
        <x:v>Signed participant/policy terms.</x:v>
      </x:c>
      <x:c r="G22" s="120" t="str">
        <x:v>Draft Complete</x:v>
      </x:c>
      <x:c r="H22" s="121" t="str">
        <x:v>Formal approval required.</x:v>
      </x:c>
    </x:row>
    <x:row r="23">
      <x:c r="A23" s="113" t="str">
        <x:v>PIL-019</x:v>
      </x:c>
      <x:c r="B23" s="114" t="str">
        <x:v>Coaching</x:v>
      </x:c>
      <x:c r="C23" s="114" t="str">
        <x:v>Begin with observe mode; add opt-in or controlled nudge/assist interventions after baseline evaluation.</x:v>
      </x:c>
      <x:c r="D23" s="114" t="str">
        <x:v>Avoids contaminating baseline and over-interrupting employees.</x:v>
      </x:c>
      <x:c r="E23" s="114" t="str">
        <x:v>AI/Product/L&amp;D</x:v>
      </x:c>
      <x:c r="F23" s="114" t="str">
        <x:v>Intervention experiment design.</x:v>
      </x:c>
      <x:c r="G23" s="114" t="str">
        <x:v>Draft Complete</x:v>
      </x:c>
      <x:c r="H23" s="115" t="str"/>
    </x:row>
    <x:row r="24">
      <x:c r="A24" s="119" t="str">
        <x:v>PIL-020</x:v>
      </x:c>
      <x:c r="B24" s="120" t="str">
        <x:v>Capability use</x:v>
      </x:c>
      <x:c r="C24" s="120" t="str">
        <x:v>Pilot capability results are developmental and provisional; no permanent role-fit label from a single task.</x:v>
      </x:c>
      <x:c r="D24" s="120" t="str">
        <x:v>Capability model needs repeated evidence and fairness review.</x:v>
      </x:c>
      <x:c r="E24" s="120" t="str">
        <x:v>HR/Capability Lead</x:v>
      </x:c>
      <x:c r="F24" s="120" t="str">
        <x:v>Capability review protocol.</x:v>
      </x:c>
      <x:c r="G24" s="120" t="str">
        <x:v>Draft Complete</x:v>
      </x:c>
      <x:c r="H24" s="121" t="str">
        <x:v>Stage 8 dependency.</x:v>
      </x:c>
    </x:row>
    <x:row r="25">
      <x:c r="A25" s="113" t="str">
        <x:v>PIL-021</x:v>
      </x:c>
      <x:c r="B25" s="114" t="str">
        <x:v>Raw retention</x:v>
      </x:c>
      <x:c r="C25" s="114" t="str">
        <x:v>Planning proposal: 7–30 days for screenshots/text, 30–90 days for event metadata, subject to DPIA/legal decision.</x:v>
      </x:c>
      <x:c r="D25" s="114" t="str">
        <x:v>Supports debugging and disputes while limiting exposure.</x:v>
      </x:c>
      <x:c r="E25" s="114" t="str">
        <x:v>DPO/Data Governance</x:v>
      </x:c>
      <x:c r="F25" s="114" t="str">
        <x:v>Approved retention schedule.</x:v>
      </x:c>
      <x:c r="G25" s="114" t="str">
        <x:v>Owner Input</x:v>
      </x:c>
      <x:c r="H25" s="115" t="str">
        <x:v>Not final.</x:v>
      </x:c>
    </x:row>
    <x:row r="26">
      <x:c r="A26" s="119" t="str">
        <x:v>PIL-022</x:v>
      </x:c>
      <x:c r="B26" s="120" t="str">
        <x:v>Derived retention</x:v>
      </x:c>
      <x:c r="C26" s="120" t="str">
        <x:v>Task assessments, corrections and validated capability evidence retained only for approved project/employment purpose and review periods.</x:v>
      </x:c>
      <x:c r="D26" s="120" t="str">
        <x:v>Derived records may have longer value but higher employment impact.</x:v>
      </x:c>
      <x:c r="E26" s="120" t="str">
        <x:v>DPO/HR</x:v>
      </x:c>
      <x:c r="F26" s="120" t="str">
        <x:v>Retention and deletion policy.</x:v>
      </x:c>
      <x:c r="G26" s="120" t="str">
        <x:v>Owner Input</x:v>
      </x:c>
      <x:c r="H26" s="121" t="str"/>
    </x:row>
    <x:row r="27">
      <x:c r="A27" s="113" t="str">
        <x:v>PIL-023</x:v>
      </x:c>
      <x:c r="B27" s="114" t="str">
        <x:v>Model routing</x:v>
      </x:c>
      <x:c r="C27" s="114" t="str">
        <x:v>Only approved HumanOS Model Gateway routes; sensitive raw evidence uses permitted regional/private configurations.</x:v>
      </x:c>
      <x:c r="D27" s="114" t="str">
        <x:v>Prevents uncontrolled third-party processing.</x:v>
      </x:c>
      <x:c r="E27" s="114" t="str">
        <x:v>AI Platform/CISO/DPO</x:v>
      </x:c>
      <x:c r="F27" s="114" t="str">
        <x:v>Provider contract and egress tests.</x:v>
      </x:c>
      <x:c r="G27" s="114" t="str">
        <x:v>Owner Input</x:v>
      </x:c>
      <x:c r="H27" s="115" t="str"/>
    </x:row>
    <x:row r="28">
      <x:c r="A28" s="119" t="str">
        <x:v>PIL-024</x:v>
      </x:c>
      <x:c r="B28" s="120" t="str">
        <x:v>Support model</x:v>
      </x:c>
      <x:c r="C28" s="120" t="str">
        <x:v>Named employee support contact, technical support, DPO/privacy contact and rapid agent-disable path.</x:v>
      </x:c>
      <x:c r="D28" s="120" t="str">
        <x:v>Employees need immediate resolution and safe escalation.</x:v>
      </x:c>
      <x:c r="E28" s="120" t="str">
        <x:v>Programme/HR/Security</x:v>
      </x:c>
      <x:c r="F28" s="120" t="str">
        <x:v>Support rota and SLA.</x:v>
      </x:c>
      <x:c r="G28" s="120" t="str">
        <x:v>Owner Input</x:v>
      </x:c>
      <x:c r="H28" s="121" t="str"/>
    </x:row>
    <x:row r="29">
      <x:c r="A29" s="113" t="str">
        <x:v>PIL-025</x:v>
      </x:c>
      <x:c r="B29" s="114" t="str">
        <x:v>Stop authority</x:v>
      </x:c>
      <x:c r="C29" s="114" t="str">
        <x:v>Executive sponsor, DPO and CISO each have authority to pause affected capture or the pilot for blocking risk.</x:v>
      </x:c>
      <x:c r="D29" s="114" t="str">
        <x:v>Safety action must not depend on commercial pressure.</x:v>
      </x:c>
      <x:c r="E29" s="114" t="str">
        <x:v>Executive Sponsor/DPO/CISO</x:v>
      </x:c>
      <x:c r="F29" s="114" t="str">
        <x:v>Incident and stop procedure.</x:v>
      </x:c>
      <x:c r="G29" s="114" t="str">
        <x:v>Draft Complete</x:v>
      </x:c>
      <x:c r="H29" s="115" t="str"/>
    </x:row>
    <x:row r="30">
      <x:c r="A30" s="119" t="str">
        <x:v>PIL-026</x:v>
      </x:c>
      <x:c r="B30" s="120" t="str">
        <x:v>Stop trigger</x:v>
      </x:c>
      <x:c r="C30" s="120" t="str">
        <x:v>Any retained password/secret, unauthorised capture, critical breach, unsupported legal basis, persistent high false-classification, unacceptable endpoint impact or inability to operate employee rights.</x:v>
      </x:c>
      <x:c r="D30" s="120" t="str">
        <x:v>Defines non-negotiable pilot boundaries.</x:v>
      </x:c>
      <x:c r="E30" s="120" t="str">
        <x:v>Executive Sponsor/DPO/CISO</x:v>
      </x:c>
      <x:c r="F30" s="120" t="str">
        <x:v>Automated/manual trigger records.</x:v>
      </x:c>
      <x:c r="G30" s="120" t="str">
        <x:v>Draft Complete</x:v>
      </x:c>
      <x:c r="H30" s="121" t="str"/>
    </x:row>
    <x:row r="31">
      <x:c r="A31" s="113" t="str">
        <x:v>PIL-027</x:v>
      </x:c>
      <x:c r="B31" s="114" t="str">
        <x:v>Capture completeness target</x:v>
      </x:c>
      <x:c r="C31" s="114" t="str">
        <x:v>≥99% foreground application changes on supported systems.</x:v>
      </x:c>
      <x:c r="D31" s="114" t="str">
        <x:v>Measures technical reliability rather than employee productivity.</x:v>
      </x:c>
      <x:c r="E31" s="114" t="str">
        <x:v>Desktop/QA</x:v>
      </x:c>
      <x:c r="F31" s="114" t="str">
        <x:v>Controlled benchmark result.</x:v>
      </x:c>
      <x:c r="G31" s="114" t="str">
        <x:v>Target Draft</x:v>
      </x:c>
      <x:c r="H31" s="115" t="str">
        <x:v>Validate in Stage 5.</x:v>
      </x:c>
    </x:row>
    <x:row r="32">
      <x:c r="A32" s="119" t="str">
        <x:v>PIL-028</x:v>
      </x:c>
      <x:c r="B32" s="120" t="str">
        <x:v>Click/state correlation target</x:v>
      </x:c>
      <x:c r="C32" s="120" t="str">
        <x:v>≥98% clicks linked to correct before/after visual state for supported apps.</x:v>
      </x:c>
      <x:c r="D32" s="120" t="str">
        <x:v>Core evidence-graph quality target.</x:v>
      </x:c>
      <x:c r="E32" s="120" t="str">
        <x:v>Desktop/QA</x:v>
      </x:c>
      <x:c r="F32" s="120" t="str">
        <x:v>Labelled interaction benchmark.</x:v>
      </x:c>
      <x:c r="G32" s="120" t="str">
        <x:v>Target Draft</x:v>
      </x:c>
      <x:c r="H32" s="121" t="str"/>
    </x:row>
    <x:row r="33">
      <x:c r="A33" s="113" t="str">
        <x:v>PIL-029</x:v>
      </x:c>
      <x:c r="B33" s="114" t="str">
        <x:v>Text reconstruction target</x:v>
      </x:c>
      <x:c r="C33" s="114" t="str">
        <x:v>≥95% resulting-text reconstruction in supported non-secure controls; zero known secure-field content retained.</x:v>
      </x:c>
      <x:c r="D33" s="114" t="str">
        <x:v>Supports provenance while making secret leakage a zero-tolerance metric.</x:v>
      </x:c>
      <x:c r="E33" s="114" t="str">
        <x:v>Desktop/Security/QA</x:v>
      </x:c>
      <x:c r="F33" s="114" t="str">
        <x:v>Adversarial corpus and supported-app benchmark.</x:v>
      </x:c>
      <x:c r="G33" s="114" t="str">
        <x:v>Target Draft</x:v>
      </x:c>
      <x:c r="H33" s="115" t="str"/>
    </x:row>
    <x:row r="34">
      <x:c r="A34" s="119" t="str">
        <x:v>PIL-030</x:v>
      </x:c>
      <x:c r="B34" s="120" t="str">
        <x:v>Agent provenance target</x:v>
      </x:c>
      <x:c r="C34" s="120" t="str">
        <x:v>≥95% actor attribution accuracy for instrumented Codex/Claude/tool events.</x:v>
      </x:c>
      <x:c r="D34" s="120" t="str">
        <x:v>Fairly separates human direction, AI generation and automation.</x:v>
      </x:c>
      <x:c r="E34" s="120" t="str">
        <x:v>AI Integrations/QA</x:v>
      </x:c>
      <x:c r="F34" s="120" t="str">
        <x:v>Labelled session benchmark.</x:v>
      </x:c>
      <x:c r="G34" s="120" t="str">
        <x:v>Target Draft</x:v>
      </x:c>
      <x:c r="H34" s="121" t="str"/>
    </x:row>
    <x:row r="35">
      <x:c r="A35" s="113" t="str">
        <x:v>PIL-031</x:v>
      </x:c>
      <x:c r="B35" s="114" t="str">
        <x:v>Task alignment target</x:v>
      </x:c>
      <x:c r="C35" s="114" t="str">
        <x:v>≥90% precision for defined pilot task categories, with confidence and correction.</x:v>
      </x:c>
      <x:c r="D35" s="114" t="str">
        <x:v>Prevents overclaiming general task understanding.</x:v>
      </x:c>
      <x:c r="E35" s="114" t="str">
        <x:v>AI Evaluation/Product</x:v>
      </x:c>
      <x:c r="F35" s="114" t="str">
        <x:v>Holdout task-alignment dataset.</x:v>
      </x:c>
      <x:c r="G35" s="114" t="str">
        <x:v>Target Draft</x:v>
      </x:c>
      <x:c r="H35" s="115" t="str"/>
    </x:row>
    <x:row r="36">
      <x:c r="A36" s="119" t="str">
        <x:v>PIL-032</x:v>
      </x:c>
      <x:c r="B36" s="120" t="str">
        <x:v>False-idle target</x:v>
      </x:c>
      <x:c r="C36" s="120" t="str">
        <x:v>&lt;5% false-idle rate in labelled pilot periods, including builds, reviews, reading and meetings.</x:v>
      </x:c>
      <x:c r="D36" s="120" t="str">
        <x:v>Idle errors are high-impact and damage trust.</x:v>
      </x:c>
      <x:c r="E36" s="120" t="str">
        <x:v>AI Evaluation/DPO</x:v>
      </x:c>
      <x:c r="F36" s="120" t="str">
        <x:v>Context-labelled sample.</x:v>
      </x:c>
      <x:c r="G36" s="120" t="str">
        <x:v>Target Draft</x:v>
      </x:c>
      <x:c r="H36" s="121" t="str"/>
    </x:row>
    <x:row r="37">
      <x:c r="A37" s="113" t="str">
        <x:v>PIL-033</x:v>
      </x:c>
      <x:c r="B37" s="114" t="str">
        <x:v>Endpoint budget</x:v>
      </x:c>
      <x:c r="C37" s="114" t="str">
        <x:v>Typical CPU &lt;7%, memory &lt;750 MB, no perceptible keyboard/mouse latency; storage and battery budgets configurable.</x:v>
      </x:c>
      <x:c r="D37" s="114" t="str">
        <x:v>Agent cannot harm work it is intended to support.</x:v>
      </x:c>
      <x:c r="E37" s="114" t="str">
        <x:v>Desktop/SRE</x:v>
      </x:c>
      <x:c r="F37" s="114" t="str">
        <x:v>Long-duration performance tests.</x:v>
      </x:c>
      <x:c r="G37" s="114" t="str">
        <x:v>Target Draft</x:v>
      </x:c>
      <x:c r="H37" s="115" t="str"/>
    </x:row>
    <x:row r="38">
      <x:c r="A38" s="119" t="str">
        <x:v>PIL-034</x:v>
      </x:c>
      <x:c r="B38" s="120" t="str">
        <x:v>Employee usefulness</x:v>
      </x:c>
      <x:c r="C38" s="120" t="str">
        <x:v>≥70% of participants rate at least one coaching/report feature as useful, with qualitative explanation.</x:v>
      </x:c>
      <x:c r="D38" s="120" t="str">
        <x:v>Direct employee benefit is a core product condition.</x:v>
      </x:c>
      <x:c r="E38" s="120" t="str">
        <x:v>Product/HR/L&amp;D</x:v>
      </x:c>
      <x:c r="F38" s="120" t="str">
        <x:v>Survey/interviews.</x:v>
      </x:c>
      <x:c r="G38" s="120" t="str">
        <x:v>Target Draft</x:v>
      </x:c>
      <x:c r="H38" s="121" t="str">
        <x:v>Threshold subject to research design.</x:v>
      </x:c>
    </x:row>
    <x:row r="39">
      <x:c r="A39" s="113" t="str">
        <x:v>PIL-035</x:v>
      </x:c>
      <x:c r="B39" s="114" t="str">
        <x:v>Manager usefulness</x:v>
      </x:c>
      <x:c r="C39" s="114" t="str">
        <x:v>≥80% of pilot managers find task/blocker reports more actionable than current status reporting.</x:v>
      </x:c>
      <x:c r="D39" s="114" t="str">
        <x:v>Tests operational value.</x:v>
      </x:c>
      <x:c r="E39" s="114" t="str">
        <x:v>Product/Operations</x:v>
      </x:c>
      <x:c r="F39" s="114" t="str">
        <x:v>Structured manager evaluation.</x:v>
      </x:c>
      <x:c r="G39" s="114" t="str">
        <x:v>Target Draft</x:v>
      </x:c>
      <x:c r="H39" s="115" t="str"/>
    </x:row>
    <x:row r="40">
      <x:c r="A40" s="119" t="str">
        <x:v>PIL-036</x:v>
      </x:c>
      <x:c r="B40" s="120" t="str">
        <x:v>Trust and fairness</x:v>
      </x:c>
      <x:c r="C40" s="120" t="str">
        <x:v>No material decline in trust attributable to opaque capture; disputes resolved with evidence and measured overturn rate.</x:v>
      </x:c>
      <x:c r="D40" s="120" t="str">
        <x:v>Trust is both a governance and product-quality metric.</x:v>
      </x:c>
      <x:c r="E40" s="120" t="str">
        <x:v>HR/DPO/Product</x:v>
      </x:c>
      <x:c r="F40" s="120" t="str">
        <x:v>Pre/post survey, interviews, dispute data.</x:v>
      </x:c>
      <x:c r="G40" s="120" t="str">
        <x:v>Target Draft</x:v>
      </x:c>
      <x:c r="H40" s="121" t="str">
        <x:v>Use independent/facilitated feedback.</x:v>
      </x:c>
    </x:row>
    <x:row r="41">
      <x:c r="A41" s="113" t="str">
        <x:v>PIL-037</x:v>
      </x:c>
      <x:c r="B41" s="114" t="str">
        <x:v>Data incident target</x:v>
      </x:c>
      <x:c r="C41" s="114" t="str">
        <x:v>Zero unauthorised raw-evidence access and zero known secret/secure-field retention.</x:v>
      </x:c>
      <x:c r="D41" s="114" t="str">
        <x:v>Any occurrence is a major control failure.</x:v>
      </x:c>
      <x:c r="E41" s="114" t="str">
        <x:v>CISO/DPO</x:v>
      </x:c>
      <x:c r="F41" s="114" t="str">
        <x:v>Audit and incident log.</x:v>
      </x:c>
      <x:c r="G41" s="114" t="str">
        <x:v>Target Draft</x:v>
      </x:c>
      <x:c r="H41" s="115" t="str">
        <x:v>Blocking.</x:v>
      </x:c>
    </x:row>
    <x:row r="42">
      <x:c r="A42" s="122" t="str">
        <x:v>PIL-038</x:v>
      </x:c>
      <x:c r="B42" s="123" t="str">
        <x:v>Decision after pilot</x:v>
      </x:c>
      <x:c r="C42" s="123" t="str">
        <x:v>Proceed, modify, restrict or stop based on technical metrics, employee/manager evidence, legal review, cost and strategic value.</x:v>
      </x:c>
      <x:c r="D42" s="123" t="str">
        <x:v>Prevents rollout based on enthusiasm alone.</x:v>
      </x:c>
      <x:c r="E42" s="123" t="str">
        <x:v>Executive Sponsor/CTO/DPO/CISO</x:v>
      </x:c>
      <x:c r="F42" s="123" t="str">
        <x:v>Pilot report and gate decision.</x:v>
      </x:c>
      <x:c r="G42" s="123" t="str">
        <x:v>Draft Complete</x:v>
      </x:c>
      <x:c r="H42" s="124" t="str"/>
    </x:row>
  </x:sheetData>
  <x:mergeCells>
    <x:mergeCell ref="A1:H1"/>
    <x:mergeCell ref="A2:H2"/>
  </x:mergeCells>
  <x:dataValidations count="1">
    <x:dataValidation type="list" sqref="G5:G42">
      <x:formula1>"Draft Complete,Owner Input,Not Started,In Review,Target Draft,Approved,Rejected"</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294" t="str">
        <x:v>Stage 2–3 Dashboard — Ontology and Device-Agent Foundation</x:v>
      </x:c>
      <x:c r="B1" s="294"/>
      <x:c r="C1" s="294"/>
      <x:c r="D1" s="294"/>
      <x:c r="E1" s="294"/>
      <x:c r="F1" s="294"/>
      <x:c r="G1" s="294"/>
      <x:c r="H1" s="294"/>
      <x:c r="I1" s="294"/>
      <x:c r="J1" s="294"/>
    </x:row>
    <x:row r="2" ht="36" customHeight="1">
      <x:c r="A2" s="298" t="str">
        <x:v>Execution status for Stage 2 Role/Task/Capability Ontology and Stage 3 Device Agent Foundation. This workbook provides implementation-ready specifications; code implementation remains backlog work.</x:v>
      </x:c>
      <x:c r="B2" s="298"/>
      <x:c r="C2" s="298"/>
      <x:c r="D2" s="298"/>
      <x:c r="E2" s="298"/>
      <x:c r="F2" s="298"/>
      <x:c r="G2" s="298"/>
      <x:c r="H2" s="298"/>
      <x:c r="I2" s="298"/>
      <x:c r="J2" s="298"/>
    </x:row>
    <x:row r="4" ht="30" customHeight="1">
      <x:c r="A4" s="310" t="str">
        <x:v>Metric</x:v>
      </x:c>
      <x:c r="B4" s="312" t="str">
        <x:v>Value</x:v>
      </x:c>
      <x:c r="D4" s="310" t="str">
        <x:v>Workstream</x:v>
      </x:c>
      <x:c r="E4" s="312" t="str">
        <x:v>Readiness %</x:v>
      </x:c>
    </x:row>
    <x:row r="5">
      <x:c r="A5" s="329" t="str">
        <x:v>Stage 2 gate readiness</x:v>
      </x:c>
      <x:c r="B5" s="350" t="n">
        <x:f>'Stage 2 Gate'!L5</x:f>
        <x:v>0.7571428571428572</x:v>
      </x:c>
      <x:c r="D5" s="329" t="str">
        <x:v>Stage 2 gate</x:v>
      </x:c>
      <x:c r="E5" s="360" t="n">
        <x:f>B5*100</x:f>
        <x:v>75.71428571428572</x:v>
      </x:c>
    </x:row>
    <x:row r="6">
      <x:c r="A6" s="332" t="str">
        <x:v>Stage 3 gate readiness</x:v>
      </x:c>
      <x:c r="B6" s="352" t="n">
        <x:f>'Stage 3 Gate'!L5</x:f>
        <x:v>0.7333333333333333</x:v>
      </x:c>
      <x:c r="D6" s="332" t="str">
        <x:v>Stage 3 gate</x:v>
      </x:c>
      <x:c r="E6" s="361" t="n">
        <x:f>B6*100</x:f>
        <x:v>73.33333333333333</x:v>
      </x:c>
    </x:row>
    <x:row r="7">
      <x:c r="A7" s="332" t="str">
        <x:v>Stage 2 backlog maturity</x:v>
      </x:c>
      <x:c r="B7" s="352" t="n">
        <x:f>AVERAGE('Stage 2 Backlog'!J5:J18)</x:f>
        <x:v>0</x:v>
      </x:c>
      <x:c r="D7" s="332" t="str">
        <x:v>Stage 2 backlog</x:v>
      </x:c>
      <x:c r="E7" s="361" t="n">
        <x:f>B7*100</x:f>
        <x:v>0</x:v>
      </x:c>
    </x:row>
    <x:row r="8">
      <x:c r="A8" s="332" t="str">
        <x:v>Stage 3 backlog maturity</x:v>
      </x:c>
      <x:c r="B8" s="352" t="n">
        <x:f>AVERAGE('Stage 3 Backlog'!J5:J20)</x:f>
        <x:v>0</x:v>
      </x:c>
      <x:c r="D8" s="334" t="str">
        <x:v>Stage 3 backlog</x:v>
      </x:c>
      <x:c r="E8" s="362" t="n">
        <x:f>B8*100</x:f>
        <x:v>0</x:v>
      </x:c>
    </x:row>
    <x:row r="9">
      <x:c r="A9" s="332" t="str">
        <x:v>Stage 2 mandatory not started/blocked</x:v>
      </x:c>
      <x:c r="B9" s="333" t="n">
        <x:f>'Stage 2 Gate'!L6</x:f>
        <x:v>1</x:v>
      </x:c>
    </x:row>
    <x:row r="10">
      <x:c r="A10" s="332" t="str">
        <x:v>Stage 3 mandatory not started/blocked</x:v>
      </x:c>
      <x:c r="B10" s="333" t="n">
        <x:f>'Stage 3 Gate'!L6</x:f>
        <x:v>1</x:v>
      </x:c>
    </x:row>
    <x:row r="11">
      <x:c r="A11" s="332" t="str">
        <x:v>Stage 2 risks open</x:v>
      </x:c>
      <x:c r="B11" s="333" t="n">
        <x:f>COUNTIF('Stage 2 Risks'!I5:I12,"Open")+COUNTIF('Stage 2 Risks'!I5:I12,"Mitigating")</x:f>
        <x:v>8</x:v>
      </x:c>
    </x:row>
    <x:row r="12">
      <x:c r="A12" s="332" t="str">
        <x:v>Stage 3 threats open</x:v>
      </x:c>
      <x:c r="B12" s="333" t="n">
        <x:f>COUNTIF('Stage 3 Threat Model'!I5:I18,"Open")+COUNTIF('Stage 3 Threat Model'!I5:I18,"Mitigating")</x:f>
        <x:v>14</x:v>
      </x:c>
    </x:row>
    <x:row r="13">
      <x:c r="A13" s="332" t="str">
        <x:v>Stage 2 source count</x:v>
      </x:c>
      <x:c r="B13" s="333" t="n">
        <x:f>COUNTA('Stage 2 Sources'!A5:A100)</x:f>
        <x:v>12</x:v>
      </x:c>
    </x:row>
    <x:row r="14">
      <x:c r="A14" s="332" t="str">
        <x:v>Stage 3 source count</x:v>
      </x:c>
      <x:c r="B14" s="333" t="n">
        <x:f>COUNTA('Stage 3 Sources'!A5:A100)</x:f>
        <x:v>20</x:v>
      </x:c>
    </x:row>
    <x:row r="15">
      <x:c r="A15" s="332" t="str">
        <x:v>Stage 2 decisions accepted/in principle</x:v>
      </x:c>
      <x:c r="B15" s="333" t="n">
        <x:f>COUNTIF('Stage 2 Decisions'!C5:C11,"Accepted in principle")+COUNTIF('Stage 2 Decisions'!C5:C11,"Accepted")</x:f>
        <x:v>7</x:v>
      </x:c>
    </x:row>
    <x:row r="16">
      <x:c r="A16" s="334" t="str">
        <x:v>Stage 3 decisions accepted/in principle</x:v>
      </x:c>
      <x:c r="B16" s="336" t="n">
        <x:f>COUNTIF('Stage 3 ADRs'!C5:C14,"Accepted in principle")+COUNTIF('Stage 3 ADRs'!C5:C14,"Accepted")</x:f>
        <x:v>10</x:v>
      </x:c>
    </x:row>
    <x:row r="20" ht="24" customHeight="1">
      <x:c r="A20" s="364" t="str">
        <x:v>Current interpretation</x:v>
      </x:c>
      <x:c r="B20" s="364"/>
      <x:c r="C20" s="364"/>
      <x:c r="D20" s="364"/>
      <x:c r="E20" s="364"/>
      <x:c r="F20" s="364"/>
      <x:c r="G20" s="364"/>
      <x:c r="H20" s="364"/>
      <x:c r="I20" s="364"/>
      <x:c r="J20" s="364"/>
    </x:row>
    <x:row r="21" ht="30" customHeight="1">
      <x:c r="A21" s="310" t="str">
        <x:v>#</x:v>
      </x:c>
      <x:c r="B21" s="312" t="str">
        <x:v>Interpretation</x:v>
      </x:c>
    </x:row>
    <x:row r="22">
      <x:c r="A22" s="329" t="str">
        <x:v>1</x:v>
      </x:c>
      <x:c r="B22" s="331" t="str">
        <x:v>Stage 2 is specification-complete in the workbook: ontology, entities, relationships, rubrics, role templates, task templates, evidence scoring, examples, APIs/events, backlog, risks, decisions and gate criteria.</x:v>
      </x:c>
      <x:c r="C22" s="279"/>
      <x:c r="D22" s="279"/>
      <x:c r="E22" s="279"/>
      <x:c r="F22" s="279"/>
      <x:c r="G22" s="279"/>
      <x:c r="H22" s="279"/>
      <x:c r="I22" s="279"/>
      <x:c r="J22" s="279"/>
    </x:row>
    <x:row r="23">
      <x:c r="A23" s="332" t="str">
        <x:v>2</x:v>
      </x:c>
      <x:c r="B23" s="333" t="str">
        <x:v>Stage 3 is specification-complete in the workbook: endpoint architecture, OS matrix, modules, state machine, identity/key model, policy bundle, local journal, APIs/events, spikes, performance budgets, threat model, tests, CI/CD, backlog, ADRs and gate criteria.</x:v>
      </x:c>
      <x:c r="C23" s="279"/>
      <x:c r="D23" s="279"/>
      <x:c r="E23" s="279"/>
      <x:c r="F23" s="279"/>
      <x:c r="G23" s="279"/>
      <x:c r="H23" s="279"/>
      <x:c r="I23" s="279"/>
      <x:c r="J23" s="279"/>
    </x:row>
    <x:row r="24">
      <x:c r="A24" s="332" t="str">
        <x:v>3</x:v>
      </x:c>
      <x:c r="B24" s="333" t="str">
        <x:v>Neither Stage 2 nor Stage 3 is organisationally approved until Nessovo records the gate decisions and assigns named owners.</x:v>
      </x:c>
      <x:c r="C24" s="279"/>
      <x:c r="D24" s="279"/>
      <x:c r="E24" s="279"/>
      <x:c r="F24" s="279"/>
      <x:c r="G24" s="279"/>
      <x:c r="H24" s="279"/>
      <x:c r="I24" s="279"/>
      <x:c r="J24" s="279"/>
    </x:row>
    <x:row r="25">
      <x:c r="A25" s="332" t="str">
        <x:v>4</x:v>
      </x:c>
      <x:c r="B25" s="333" t="str">
        <x:v>Stage 3 does not approve unrestricted keylogging or full screenshot capture. It approves only the secure foundation and technical spikes required before Stage 5 capture.</x:v>
      </x:c>
      <x:c r="C25" s="279"/>
      <x:c r="D25" s="279"/>
      <x:c r="E25" s="279"/>
      <x:c r="F25" s="279"/>
      <x:c r="G25" s="279"/>
      <x:c r="H25" s="279"/>
      <x:c r="I25" s="279"/>
      <x:c r="J25" s="279"/>
    </x:row>
    <x:row r="26">
      <x:c r="A26" s="334" t="str">
        <x:v>5</x:v>
      </x:c>
      <x:c r="B26" s="336" t="str">
        <x:v>The next execution prompts are Stage 4 Telemetry Ingestion &amp; Evidence Storage and Stage 5 Universal Capture MVP.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{4B8A0F0B-57B8-8A23-7E96-77AB7EE673E8}</x14:id>
        </x:ext>
      </x:extLst>
    </x:cfRule>
  </x:conditionalFormatting>
  <x:pageMargins left="0.7" right="0.7" top="0.75" bottom="0.75" header="0.3" footer="0.3"/>
  <x:drawing xmlns:r="http://schemas.openxmlformats.org/officeDocument/2006/relationships" r:id="Rb3a11da6fd1e4ccb"/>
  <x:extLst>
    <x:ext xmlns:x14="http://schemas.microsoft.com/office/spreadsheetml/2009/9/main" xmlns:xm="http://schemas.microsoft.com/office/excel/2006/main" uri="{78C0D931-6437-407d-A8EE-F0AAD7539E65}">
      <x14:conditionalFormattings>
        <x14:conditionalFormatting>
          <x14:cfRule type="dataBar" priority="1" id="{4B8A0F0B-57B8-8A23-7E96-77AB7EE673E8}">
            <x14:dataBar gradient="1">
              <x14:cfvo type="min"/>
              <x14:cfvo type="max"/>
              <x14:fillColor rgb="FFA02B93"/>
            </x14:dataBar>
          </x14:cfRule>
          <xm:sqref>B5:B8</xm:sqref>
        </x14:conditionalFormatting>
      </x14:conditionalFormattings>
    </x:ext>
  </x:extLst>
</x:worksheet>
</file>

<file path=xl/worksheets/sheet29.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8" hidden="0" customWidth="1"/>
    <x:col min="5" max="5" width="42" hidden="0" customWidth="1"/>
    <x:col min="6" max="6" width="22" hidden="0" customWidth="1"/>
    <x:col min="7" max="7" width="18" hidden="0" customWidth="1"/>
    <x:col min="8" max="8" width="22" hidden="0" customWidth="1"/>
    <x:col min="9" max="9" width="36" hidden="0" customWidth="1"/>
  </x:cols>
  <x:sheetData>
    <x:row r="1" ht="30" customHeight="1">
      <x:c r="A1" s="294" t="str">
        <x:v>Stage 2 — Ontology Overview</x:v>
      </x:c>
      <x:c r="B1" s="294"/>
      <x:c r="C1" s="294"/>
      <x:c r="D1" s="294"/>
      <x:c r="E1" s="294"/>
      <x:c r="F1" s="294"/>
      <x:c r="G1" s="294"/>
      <x:c r="H1" s="294"/>
      <x:c r="I1" s="294"/>
    </x:row>
    <x:row r="2" ht="36" customHeight="1">
      <x:c r="A2" s="298" t="str">
        <x:v>Core model for role requirements, employee claims, task contracts, evidence, capability states, learning and review. The core is domain-neutral; software-development examples are specialisations.</x:v>
      </x:c>
      <x:c r="B2" s="298"/>
      <x:c r="C2" s="298"/>
      <x:c r="D2" s="298"/>
      <x:c r="E2" s="298"/>
      <x:c r="F2" s="298"/>
      <x:c r="G2" s="298"/>
      <x:c r="H2" s="298"/>
      <x:c r="I2" s="298"/>
    </x:row>
    <x:row r="4" ht="30" customHeight="1">
      <x:c r="A4" s="310" t="str">
        <x:v>ID</x:v>
      </x:c>
      <x:c r="B4" s="311" t="str">
        <x:v>Type</x:v>
      </x:c>
      <x:c r="C4" s="311" t="str">
        <x:v>Concept / rule</x:v>
      </x:c>
      <x:c r="D4" s="311" t="str">
        <x:v>Definition</x:v>
      </x:c>
      <x:c r="E4" s="311" t="str">
        <x:v>Purpose</x:v>
      </x:c>
      <x:c r="F4" s="311" t="str">
        <x:v>Accountable owner</x:v>
      </x:c>
      <x:c r="G4" s="311" t="str">
        <x:v>Status</x:v>
      </x:c>
      <x:c r="H4" s="311" t="str">
        <x:v>Acceptance / gate</x:v>
      </x:c>
      <x:c r="I4" s="312" t="str">
        <x:v>Source / basis</x:v>
      </x:c>
    </x:row>
    <x:row r="5">
      <x:c r="A5" s="329" t="str">
        <x:v>ONT-001</x:v>
      </x:c>
      <x:c r="B5" s="330" t="str">
        <x:v>Design principle</x:v>
      </x:c>
      <x:c r="C5" s="330" t="str">
        <x:v>Requirement is not evidence</x:v>
      </x:c>
      <x:c r="D5" s="330" t="str">
        <x:v>A role/job-description statement creates a requirement; an employee CV or self-assessment creates a claim; neither proves capability.</x:v>
      </x:c>
      <x:c r="E5" s="330" t="str">
        <x:v>Prevents unsupported role-fit or honesty conclusions.</x:v>
      </x:c>
      <x:c r="F5" s="330" t="str">
        <x:v>Capability Lead</x:v>
      </x:c>
      <x:c r="G5" s="330" t="str">
        <x:v>Draft Complete</x:v>
      </x:c>
      <x:c r="H5" s="330" t="str">
        <x:v>Stage 2 Gate</x:v>
      </x:c>
      <x:c r="I5" s="331" t="str">
        <x:v>User non-negotiable rule</x:v>
      </x:c>
    </x:row>
    <x:row r="6">
      <x:c r="A6" s="337" t="str">
        <x:v>ONT-002</x:v>
      </x:c>
      <x:c r="B6" s="338" t="str">
        <x:v>Design principle</x:v>
      </x:c>
      <x:c r="C6" s="338" t="str">
        <x:v>Task outcome over activity volume</x:v>
      </x:c>
      <x:c r="D6" s="338" t="str">
        <x:v>Capability evidence depends on task outcome, quality, independence, context and verification—not hours, clicks, key count or code volume.</x:v>
      </x:c>
      <x:c r="E6" s="338" t="str">
        <x:v>Keeps the system developmental and evidence-based.</x:v>
      </x:c>
      <x:c r="F6" s="338" t="str">
        <x:v>Product/HR</x:v>
      </x:c>
      <x:c r="G6" s="338" t="str">
        <x:v>Draft Complete</x:v>
      </x:c>
      <x:c r="H6" s="338" t="str">
        <x:v>Stage 2 Gate</x:v>
      </x:c>
      <x:c r="I6" s="339" t="str">
        <x:v>Stage 0 charter</x:v>
      </x:c>
    </x:row>
    <x:row r="7">
      <x:c r="A7" s="332" t="str">
        <x:v>ONT-003</x:v>
      </x:c>
      <x:c r="B7" s="114" t="str">
        <x:v>Design principle</x:v>
      </x:c>
      <x:c r="C7" s="114" t="str">
        <x:v>Repeated, context-qualified capability evidence</x:v>
      </x:c>
      <x:c r="D7" s="114" t="str">
        <x:v>Capability states update only through qualified evidence items across tasks, difficulty levels, contexts and review outcomes.</x:v>
      </x:c>
      <x:c r="E7" s="114" t="str">
        <x:v>Prevents permanent conclusions from one success/failure.</x:v>
      </x:c>
      <x:c r="F7" s="114" t="str">
        <x:v>Capability Lead</x:v>
      </x:c>
      <x:c r="G7" s="114" t="str">
        <x:v>Draft Complete</x:v>
      </x:c>
      <x:c r="H7" s="114" t="str">
        <x:v>Stage 2 Gate</x:v>
      </x:c>
      <x:c r="I7" s="333" t="str">
        <x:v>SFIA/NICE patterns</x:v>
      </x:c>
    </x:row>
    <x:row r="8">
      <x:c r="A8" s="337" t="str">
        <x:v>ONT-004</x:v>
      </x:c>
      <x:c r="B8" s="338" t="str">
        <x:v>Design principle</x:v>
      </x:c>
      <x:c r="C8" s="338" t="str">
        <x:v>Human review for high-impact conclusions</x:v>
      </x:c>
      <x:c r="D8" s="338" t="str">
        <x:v>AI scoring and extraction produce recommendations; domain reviewers own high-impact capability, employment or remediation decisions.</x:v>
      </x:c>
      <x:c r="E8" s="338" t="str">
        <x:v>Maintains meaningful human review and challenge.</x:v>
      </x:c>
      <x:c r="F8" s="338" t="str">
        <x:v>DPO/HR</x:v>
      </x:c>
      <x:c r="G8" s="338" t="str">
        <x:v>Draft Complete</x:v>
      </x:c>
      <x:c r="H8" s="338" t="str">
        <x:v>Stage 2 Gate</x:v>
      </x:c>
      <x:c r="I8" s="339" t="str">
        <x:v>ICO/NIST AI RMF</x:v>
      </x:c>
    </x:row>
    <x:row r="9">
      <x:c r="A9" s="332" t="str">
        <x:v>ONT-005</x:v>
      </x:c>
      <x:c r="B9" s="114" t="str">
        <x:v>Design principle</x:v>
      </x:c>
      <x:c r="C9" s="114" t="str">
        <x:v>Domain-neutral core</x:v>
      </x:c>
      <x:c r="D9" s="114" t="str">
        <x:v>The ontology separates Role, Capability, TaskContract, EvidenceRequirement and Artefact from software-specific task/evidence subtypes.</x:v>
      </x:c>
      <x:c r="E9" s="114" t="str">
        <x:v>Allows future HumanOS verticals without redesign.</x:v>
      </x:c>
      <x:c r="F9" s="114" t="str">
        <x:v>Enterprise Architect</x:v>
      </x:c>
      <x:c r="G9" s="114" t="str">
        <x:v>Draft Complete</x:v>
      </x:c>
      <x:c r="H9" s="114" t="str">
        <x:v>Stage 2 Gate</x:v>
      </x:c>
      <x:c r="I9" s="333" t="str">
        <x:v>ESCO/O*NET/NICE</x:v>
      </x:c>
    </x:row>
    <x:row r="10">
      <x:c r="A10" s="337" t="str">
        <x:v>ONT-006</x:v>
      </x:c>
      <x:c r="B10" s="338" t="str">
        <x:v>Design principle</x:v>
      </x:c>
      <x:c r="C10" s="338" t="str">
        <x:v>Multiple valid methods</x:v>
      </x:c>
      <x:c r="D10" s="338" t="str">
        <x:v>Task contracts define objectives, constraints, evidence and quality gates rather than one rigid execution path unless the task itself requires a fixed process.</x:v>
      </x:c>
      <x:c r="E10" s="338" t="str">
        <x:v>Avoids penalising valid alternate methods.</x:v>
      </x:c>
      <x:c r="F10" s="338" t="str">
        <x:v>Product/Domain Experts</x:v>
      </x:c>
      <x:c r="G10" s="338" t="str">
        <x:v>Draft Complete</x:v>
      </x:c>
      <x:c r="H10" s="338" t="str">
        <x:v>Stage 2 Gate</x:v>
      </x:c>
      <x:c r="I10" s="339" t="str">
        <x:v>Fairness control</x:v>
      </x:c>
    </x:row>
    <x:row r="11">
      <x:c r="A11" s="332" t="str">
        <x:v>ONT-007</x:v>
      </x:c>
      <x:c r="B11" s="114" t="str">
        <x:v>Core flow</x:v>
      </x:c>
      <x:c r="C11" s="114" t="str">
        <x:v>Job description to role contract</x:v>
      </x:c>
      <x:c r="D11" s="114" t="str">
        <x:v>A JobDescriptionVersion is converted into a RoleVersion containing outcomes, responsibilities, capability requirements, tools and review rules.</x:v>
      </x:c>
      <x:c r="E11" s="114" t="str">
        <x:v>Makes vague job descriptions measurable while versioning changes.</x:v>
      </x:c>
      <x:c r="F11" s="114" t="str">
        <x:v>HR/Product</x:v>
      </x:c>
      <x:c r="G11" s="114" t="str">
        <x:v>Draft Complete</x:v>
      </x:c>
      <x:c r="H11" s="114" t="str">
        <x:v>Stage 2</x:v>
      </x:c>
      <x:c r="I11" s="333" t="str">
        <x:v>SFIA/O*NET reference</x:v>
      </x:c>
    </x:row>
    <x:row r="12">
      <x:c r="A12" s="337" t="str">
        <x:v>ONT-008</x:v>
      </x:c>
      <x:c r="B12" s="338" t="str">
        <x:v>Core flow</x:v>
      </x:c>
      <x:c r="C12" s="338" t="str">
        <x:v>Employee claim to observed evidence</x:v>
      </x:c>
      <x:c r="D12" s="338" t="str">
        <x:v>An EmployeeClaim starts as Declared/Not Yet Observed and changes only through reviewed capability evidence.</x:v>
      </x:c>
      <x:c r="E12" s="338" t="str">
        <x:v>Supports fair role readiness and honest development.</x:v>
      </x:c>
      <x:c r="F12" s="338" t="str">
        <x:v>HR/Capability</x:v>
      </x:c>
      <x:c r="G12" s="338" t="str">
        <x:v>Draft Complete</x:v>
      </x:c>
      <x:c r="H12" s="338" t="str">
        <x:v>Stage 2</x:v>
      </x:c>
      <x:c r="I12" s="339" t="str">
        <x:v>User requirement</x:v>
      </x:c>
    </x:row>
    <x:row r="13">
      <x:c r="A13" s="332" t="str">
        <x:v>ONT-009</x:v>
      </x:c>
      <x:c r="B13" s="114" t="str">
        <x:v>Core flow</x:v>
      </x:c>
      <x:c r="C13" s="114" t="str">
        <x:v>Task assignment to execution contract</x:v>
      </x:c>
      <x:c r="D13" s="114" t="str">
        <x:v>A HumanOS task is compiled into a TaskContract containing objective, acceptance criteria, evidence requirements, quality gates and required capabilities.</x:v>
      </x:c>
      <x:c r="E13" s="114" t="str">
        <x:v>Creates the basis for task assurance.</x:v>
      </x:c>
      <x:c r="F13" s="114" t="str">
        <x:v>Task/Product</x:v>
      </x:c>
      <x:c r="G13" s="114" t="str">
        <x:v>Draft Complete</x:v>
      </x:c>
      <x:c r="H13" s="114" t="str">
        <x:v>Stage 2</x:v>
      </x:c>
      <x:c r="I13" s="333" t="str">
        <x:v>Internal architecture</x:v>
      </x:c>
    </x:row>
    <x:row r="14">
      <x:c r="A14" s="337" t="str">
        <x:v>ONT-010</x:v>
      </x:c>
      <x:c r="B14" s="338" t="str">
        <x:v>Core flow</x:v>
      </x:c>
      <x:c r="C14" s="338" t="str">
        <x:v>Observed work to evidence graph</x:v>
      </x:c>
      <x:c r="D14" s="338" t="str">
        <x:v>WorkEpisodes, Artefacts and EvidenceRequirements link observed activity to the current task, actor provenance and capability evidence.</x:v>
      </x:c>
      <x:c r="E14" s="338" t="str">
        <x:v>Maintains traceability from screen/tool evidence to decisions.</x:v>
      </x:c>
      <x:c r="F14" s="338" t="str">
        <x:v>Data/AI</x:v>
      </x:c>
      <x:c r="G14" s="338" t="str">
        <x:v>Draft Complete</x:v>
      </x:c>
      <x:c r="H14" s="338" t="str">
        <x:v>Stage 2</x:v>
      </x:c>
      <x:c r="I14" s="339" t="str">
        <x:v>Evidence architecture</x:v>
      </x:c>
    </x:row>
    <x:row r="15">
      <x:c r="A15" s="332" t="str">
        <x:v>ONT-011</x:v>
      </x:c>
      <x:c r="B15" s="114" t="str">
        <x:v>Core flow</x:v>
      </x:c>
      <x:c r="C15" s="114" t="str">
        <x:v>Evidence to capability update</x:v>
      </x:c>
      <x:c r="D15" s="114" t="str">
        <x:v>CapabilityEvidence is weighted by task difficulty, quality, independence, guidance, confidence, recency and consistency before a PersonCapabilityState changes.</x:v>
      </x:c>
      <x:c r="E15" s="114" t="str">
        <x:v>Prevents simplistic scoring.</x:v>
      </x:c>
      <x:c r="F15" s="114" t="str">
        <x:v>Capability/Data</x:v>
      </x:c>
      <x:c r="G15" s="114" t="str">
        <x:v>Draft Complete</x:v>
      </x:c>
      <x:c r="H15" s="114" t="str">
        <x:v>Stage 2</x:v>
      </x:c>
      <x:c r="I15" s="333" t="str">
        <x:v>NICE TKS and assessment logic</x:v>
      </x:c>
    </x:row>
    <x:row r="16">
      <x:c r="A16" s="337" t="str">
        <x:v>ONT-012</x:v>
      </x:c>
      <x:c r="B16" s="338" t="str">
        <x:v>Core flow</x:v>
      </x:c>
      <x:c r="C16" s="338" t="str">
        <x:v>Gap to learning to reassessment</x:v>
      </x:c>
      <x:c r="D16" s="338" t="str">
        <x:v>A Gap produces a LearningIntervention; capability improves only when subsequent work evidence shows improved application.</x:v>
      </x:c>
      <x:c r="E16" s="338" t="str">
        <x:v>Avoids training-completion inflation.</x:v>
      </x:c>
      <x:c r="F16" s="338" t="str">
        <x:v>L&amp;D/Capability</x:v>
      </x:c>
      <x:c r="G16" s="338" t="str">
        <x:v>Draft Complete</x:v>
      </x:c>
      <x:c r="H16" s="338" t="str">
        <x:v>Stage 2</x:v>
      </x:c>
      <x:c r="I16" s="339" t="str">
        <x:v>xAPI/learning evidence</x:v>
      </x:c>
    </x:row>
    <x:row r="17">
      <x:c r="A17" s="332" t="str">
        <x:v>ONT-013</x:v>
      </x:c>
      <x:c r="B17" s="114" t="str">
        <x:v>Evidence classes</x:v>
      </x:c>
      <x:c r="C17" s="114" t="str">
        <x:v>Authoritative artefact</x:v>
      </x:c>
      <x:c r="D17" s="114" t="str">
        <x:v>Git commits, test results, build logs, PR review decisions, deployment outcomes or domain-system transactions.</x:v>
      </x:c>
      <x:c r="E17" s="114" t="str">
        <x:v>Highest-value outcome evidence.</x:v>
      </x:c>
      <x:c r="F17" s="114" t="str">
        <x:v>Data Architect</x:v>
      </x:c>
      <x:c r="G17" s="114" t="str">
        <x:v>Draft Complete</x:v>
      </x:c>
      <x:c r="H17" s="114" t="str">
        <x:v>Stage 2</x:v>
      </x:c>
      <x:c r="I17" s="333" t="str">
        <x:v>Stage 0 evidence hierarchy</x:v>
      </x:c>
    </x:row>
    <x:row r="18">
      <x:c r="A18" s="337" t="str">
        <x:v>ONT-014</x:v>
      </x:c>
      <x:c r="B18" s="338" t="str">
        <x:v>Evidence classes</x:v>
      </x:c>
      <x:c r="C18" s="338" t="str">
        <x:v>Semantic tool event</x:v>
      </x:c>
      <x:c r="D18" s="338" t="str">
        <x:v>AI-agent hook events, shell commands, IDE diagnostics, browser/domain metadata and file-system events.</x:v>
      </x:c>
      <x:c r="E18" s="338" t="str">
        <x:v>Explains how artefacts were produced.</x:v>
      </x:c>
      <x:c r="F18" s="338" t="str">
        <x:v>AI/Integrations</x:v>
      </x:c>
      <x:c r="G18" s="338" t="str">
        <x:v>Draft Complete</x:v>
      </x:c>
      <x:c r="H18" s="338" t="str">
        <x:v>Stage 2</x:v>
      </x:c>
      <x:c r="I18" s="339" t="str">
        <x:v>Codex hooks/OpenTelemetry</x:v>
      </x:c>
    </x:row>
    <x:row r="19">
      <x:c r="A19" s="332" t="str">
        <x:v>ONT-015</x:v>
      </x:c>
      <x:c r="B19" s="114" t="str">
        <x:v>Evidence classes</x:v>
      </x:c>
      <x:c r="C19" s="114" t="str">
        <x:v>Visual/UI evidence</x:v>
      </x:c>
      <x:c r="D19" s="114" t="str">
        <x:v>Screenshots, changed regions, OCR/accessibility states and user interactions.</x:v>
      </x:c>
      <x:c r="E19" s="114" t="str">
        <x:v>Supports opaque-app reconstruction but remains more privacy-sensitive.</x:v>
      </x:c>
      <x:c r="F19" s="114" t="str">
        <x:v>Evidence Product</x:v>
      </x:c>
      <x:c r="G19" s="114" t="str">
        <x:v>Draft Complete</x:v>
      </x:c>
      <x:c r="H19" s="114" t="str">
        <x:v>Stage 2</x:v>
      </x:c>
      <x:c r="I19" s="333" t="str">
        <x:v>Screenpipe/OpenAdapt patterns</x:v>
      </x:c>
    </x:row>
    <x:row r="20">
      <x:c r="A20" s="337" t="str">
        <x:v>ONT-016</x:v>
      </x:c>
      <x:c r="B20" s="338" t="str">
        <x:v>Evidence classes</x:v>
      </x:c>
      <x:c r="C20" s="338" t="str">
        <x:v>Human statement</x:v>
      </x:c>
      <x:c r="D20" s="338" t="str">
        <x:v>Employee explanation, manager review, mentor note, peer feedback or reviewer decision.</x:v>
      </x:c>
      <x:c r="E20" s="338" t="str">
        <x:v>Contextual evidence; must be distinguished from captured system facts.</x:v>
      </x:c>
      <x:c r="F20" s="338" t="str">
        <x:v>HR/Governance</x:v>
      </x:c>
      <x:c r="G20" s="338" t="str">
        <x:v>Draft Complete</x:v>
      </x:c>
      <x:c r="H20" s="338" t="str">
        <x:v>Stage 2</x:v>
      </x:c>
      <x:c r="I20" s="339" t="str">
        <x:v>Review workflow</x:v>
      </x:c>
    </x:row>
    <x:row r="21">
      <x:c r="A21" s="332" t="str">
        <x:v>ONT-017</x:v>
      </x:c>
      <x:c r="B21" s="114" t="str">
        <x:v>Evidence classes</x:v>
      </x:c>
      <x:c r="C21" s="114" t="str">
        <x:v>AI inference</x:v>
      </x:c>
      <x:c r="D21" s="114" t="str">
        <x:v>Model-produced alignment, gap, quality or coaching recommendation with evidence links and confidence.</x:v>
      </x:c>
      <x:c r="E21" s="114" t="str">
        <x:v>Useful but never final for high-impact decisions.</x:v>
      </x:c>
      <x:c r="F21" s="114" t="str">
        <x:v>AI Governance</x:v>
      </x:c>
      <x:c r="G21" s="114" t="str">
        <x:v>Draft Complete</x:v>
      </x:c>
      <x:c r="H21" s="114" t="str">
        <x:v>Stage 2</x:v>
      </x:c>
      <x:c r="I21" s="333" t="str">
        <x:v>NIST AI RMF</x:v>
      </x:c>
    </x:row>
    <x:row r="22">
      <x:c r="A22" s="337" t="str">
        <x:v>ONT-018</x:v>
      </x:c>
      <x:c r="B22" s="338" t="str">
        <x:v>Capability dimensions</x:v>
      </x:c>
      <x:c r="C22" s="338" t="str">
        <x:v>Knowledge</x:v>
      </x:c>
      <x:c r="D22" s="338" t="str">
        <x:v>Can explain concepts, constraints, terminology and risks relevant to the capability.</x:v>
      </x:c>
      <x:c r="E22" s="338" t="str">
        <x:v>Supports learning diagnosis.</x:v>
      </x:c>
      <x:c r="F22" s="338" t="str">
        <x:v>Capability Lead</x:v>
      </x:c>
      <x:c r="G22" s="338" t="str">
        <x:v>Draft Complete</x:v>
      </x:c>
      <x:c r="H22" s="338" t="str">
        <x:v>Stage 2</x:v>
      </x:c>
      <x:c r="I22" s="339" t="str">
        <x:v>NICE knowledge statements</x:v>
      </x:c>
    </x:row>
    <x:row r="23">
      <x:c r="A23" s="332" t="str">
        <x:v>ONT-019</x:v>
      </x:c>
      <x:c r="B23" s="114" t="str">
        <x:v>Capability dimensions</x:v>
      </x:c>
      <x:c r="C23" s="114" t="str">
        <x:v>Execution</x:v>
      </x:c>
      <x:c r="D23" s="114" t="str">
        <x:v>Can perform the required work steps or outcomes with correct tool use.</x:v>
      </x:c>
      <x:c r="E23" s="114" t="str">
        <x:v>Core ability dimension.</x:v>
      </x:c>
      <x:c r="F23" s="114" t="str">
        <x:v>Capability Lead</x:v>
      </x:c>
      <x:c r="G23" s="114" t="str">
        <x:v>Draft Complete</x:v>
      </x:c>
      <x:c r="H23" s="114" t="str">
        <x:v>Stage 2</x:v>
      </x:c>
      <x:c r="I23" s="333" t="str">
        <x:v>NICE skill/task statements</x:v>
      </x:c>
    </x:row>
    <x:row r="24">
      <x:c r="A24" s="337" t="str">
        <x:v>ONT-020</x:v>
      </x:c>
      <x:c r="B24" s="338" t="str">
        <x:v>Capability dimensions</x:v>
      </x:c>
      <x:c r="C24" s="338" t="str">
        <x:v>Autonomy</x:v>
      </x:c>
      <x:c r="D24" s="338" t="str">
        <x:v>Can complete the work with appropriate level of guidance and escalation.</x:v>
      </x:c>
      <x:c r="E24" s="338" t="str">
        <x:v>Critical to role-readiness.</x:v>
      </x:c>
      <x:c r="F24" s="338" t="str">
        <x:v>Capability Lead</x:v>
      </x:c>
      <x:c r="G24" s="338" t="str">
        <x:v>Draft Complete</x:v>
      </x:c>
      <x:c r="H24" s="338" t="str">
        <x:v>Stage 2</x:v>
      </x:c>
      <x:c r="I24" s="339" t="str">
        <x:v>SFIA responsibility levels</x:v>
      </x:c>
    </x:row>
    <x:row r="25">
      <x:c r="A25" s="332" t="str">
        <x:v>ONT-021</x:v>
      </x:c>
      <x:c r="B25" s="114" t="str">
        <x:v>Capability dimensions</x:v>
      </x:c>
      <x:c r="C25" s="114" t="str">
        <x:v>Quality and verification</x:v>
      </x:c>
      <x:c r="D25" s="114" t="str">
        <x:v>Produces correct, secure, maintainable and verified outcomes.</x:v>
      </x:c>
      <x:c r="E25" s="114" t="str">
        <x:v>Prevents output without quality from being overcredited.</x:v>
      </x:c>
      <x:c r="F25" s="114" t="str">
        <x:v>Domain Expert</x:v>
      </x:c>
      <x:c r="G25" s="114" t="str">
        <x:v>Draft Complete</x:v>
      </x:c>
      <x:c r="H25" s="114" t="str">
        <x:v>Stage 2</x:v>
      </x:c>
      <x:c r="I25" s="333" t="str">
        <x:v>Engineering standards</x:v>
      </x:c>
    </x:row>
    <x:row r="26">
      <x:c r="A26" s="337" t="str">
        <x:v>ONT-022</x:v>
      </x:c>
      <x:c r="B26" s="338" t="str">
        <x:v>Capability dimensions</x:v>
      </x:c>
      <x:c r="C26" s="338" t="str">
        <x:v>Transfer</x:v>
      </x:c>
      <x:c r="D26" s="338" t="str">
        <x:v>Can apply the capability across tools, domains or contexts rather than only copying a single worked example.</x:v>
      </x:c>
      <x:c r="E26" s="338" t="str">
        <x:v>Differentiates memorised procedure from capability.</x:v>
      </x:c>
      <x:c r="F26" s="338" t="str">
        <x:v>Capability Lead</x:v>
      </x:c>
      <x:c r="G26" s="338" t="str">
        <x:v>Draft Complete</x:v>
      </x:c>
      <x:c r="H26" s="338" t="str">
        <x:v>Stage 2</x:v>
      </x:c>
      <x:c r="I26" s="339" t="str">
        <x:v>Learning transfer principle</x:v>
      </x:c>
    </x:row>
    <x:row r="27">
      <x:c r="A27" s="332" t="str">
        <x:v>ONT-023</x:v>
      </x:c>
      <x:c r="B27" s="114" t="str">
        <x:v>Capability dimensions</x:v>
      </x:c>
      <x:c r="C27" s="114" t="str">
        <x:v>Recovery</x:v>
      </x:c>
      <x:c r="D27" s="114" t="str">
        <x:v>Can detect, explain and recover from mistakes or unexpected results.</x:v>
      </x:c>
      <x:c r="E27" s="114" t="str">
        <x:v>Validates mature capability under uncertainty.</x:v>
      </x:c>
      <x:c r="F27" s="114" t="str">
        <x:v>Capability Lead</x:v>
      </x:c>
      <x:c r="G27" s="114" t="str">
        <x:v>Draft Complete</x:v>
      </x:c>
      <x:c r="H27" s="114" t="str">
        <x:v>Stage 2</x:v>
      </x:c>
      <x:c r="I27" s="333" t="str">
        <x:v>Incident/debugging tasks</x:v>
      </x:c>
    </x:row>
    <x:row r="28">
      <x:c r="A28" s="340" t="str">
        <x:v>ONT-024</x:v>
      </x:c>
      <x:c r="B28" s="341" t="str">
        <x:v>Capability dimensions</x:v>
      </x:c>
      <x:c r="C28" s="341" t="str">
        <x:v>Mentoring</x:v>
      </x:c>
      <x:c r="D28" s="341" t="str">
        <x:v>Can help others perform the capability and improve team standards.</x:v>
      </x:c>
      <x:c r="E28" s="341" t="str">
        <x:v>Supports advanced/mastery levels.</x:v>
      </x:c>
      <x:c r="F28" s="341" t="str">
        <x:v>HR/L&amp;D</x:v>
      </x:c>
      <x:c r="G28" s="341" t="str">
        <x:v>Draft Complete</x:v>
      </x:c>
      <x:c r="H28" s="341" t="str">
        <x:v>Stage 2</x:v>
      </x:c>
      <x:c r="I28" s="342" t="str">
        <x:v>SFIA levels and L&amp;D design</x:v>
      </x:c>
    </x:row>
  </x:sheetData>
  <x:mergeCells>
    <x:mergeCell ref="A1:I1"/>
    <x:mergeCell ref="A2:I2"/>
  </x:mergeCells>
  <x:dataValidations count="1">
    <x:dataValidation type="list" sqref="G5:G28">
      <x:formula1>"Draft Complete,Needs Review,Approved,Deferred"</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26" hidden="0" customWidth="1"/>
    <x:col min="3" max="3" width="20" hidden="0" customWidth="1"/>
    <x:col min="4" max="4" width="50" hidden="0" customWidth="1"/>
    <x:col min="5" max="5" width="48" hidden="0" customWidth="1"/>
    <x:col min="6" max="6" width="28" hidden="0" customWidth="1"/>
    <x:col min="7" max="7" width="34" hidden="0" customWidth="1"/>
    <x:col min="8" max="8" width="40" hidden="0" customWidth="1"/>
    <x:col min="9" max="9" width="44" hidden="0" customWidth="1"/>
    <x:col min="10" max="10" width="12" hidden="0" customWidth="1"/>
    <x:col min="11" max="11" width="18" hidden="0" customWidth="1"/>
    <x:col min="12" max="12" width="32" hidden="0" customWidth="1"/>
  </x:cols>
  <x:sheetData>
    <x:row r="1" ht="30" customHeight="1">
      <x:c r="A1" s="294" t="str">
        <x:v>Stage 2 — Entity Dictionary</x:v>
      </x:c>
      <x:c r="B1" s="294"/>
      <x:c r="C1" s="294"/>
      <x:c r="D1" s="294"/>
      <x:c r="E1" s="294"/>
      <x:c r="F1" s="294"/>
      <x:c r="G1" s="294"/>
      <x:c r="H1" s="294"/>
      <x:c r="I1" s="294"/>
      <x:c r="J1" s="294"/>
      <x:c r="K1" s="294"/>
      <x:c r="L1" s="294"/>
    </x:row>
    <x:row r="2" ht="36" customHeight="1">
      <x:c r="A2" s="298" t="str">
        <x:v>Canonical entities for the Role Capability Contract, Task Execution Contract and evidence ontology. These are logical/domain entities, not necessarily one table per microservice.</x:v>
      </x:c>
      <x:c r="B2" s="298"/>
      <x:c r="C2" s="298"/>
      <x:c r="D2" s="298"/>
      <x:c r="E2" s="298"/>
      <x:c r="F2" s="298"/>
      <x:c r="G2" s="298"/>
      <x:c r="H2" s="298"/>
      <x:c r="I2" s="298"/>
      <x:c r="J2" s="298"/>
      <x:c r="K2" s="298"/>
      <x:c r="L2" s="298"/>
    </x:row>
    <x:row r="4" ht="30" customHeight="1">
      <x:c r="A4" s="310" t="str">
        <x:v>ID</x:v>
      </x:c>
      <x:c r="B4" s="311" t="str">
        <x:v>Entity</x:v>
      </x:c>
      <x:c r="C4" s="311" t="str">
        <x:v>Kind</x:v>
      </x:c>
      <x:c r="D4" s="311" t="str">
        <x:v>Definition</x:v>
      </x:c>
      <x:c r="E4" s="311" t="str">
        <x:v>Key attributes</x:v>
      </x:c>
      <x:c r="F4" s="311" t="str">
        <x:v>System of record</x:v>
      </x:c>
      <x:c r="G4" s="311" t="str">
        <x:v>Implementation contract</x:v>
      </x:c>
      <x:c r="H4" s="311" t="str">
        <x:v>Primary relationships</x:v>
      </x:c>
      <x:c r="I4" s="311" t="str">
        <x:v>Governance rule</x:v>
      </x:c>
      <x:c r="J4" s="311" t="str">
        <x:v>Priority</x:v>
      </x:c>
      <x:c r="K4" s="311" t="str">
        <x:v>Status</x:v>
      </x:c>
      <x:c r="L4" s="312" t="str">
        <x:v>Source / basis</x:v>
      </x:c>
    </x:row>
    <x:row r="5">
      <x:c r="A5" s="329" t="str">
        <x:v>ENT-001</x:v>
      </x:c>
      <x:c r="B5" s="330" t="str">
        <x:v>Role</x:v>
      </x:c>
      <x:c r="C5" s="330" t="str">
        <x:v>Aggregate root</x:v>
      </x:c>
      <x:c r="D5" s="330" t="str">
        <x:v>A named work role family such as Software Engineer or QA Engineer.</x:v>
      </x:c>
      <x:c r="E5" s="330" t="str">
        <x:v>role_id, tenant_id, name, family, domain, active_version_id</x:v>
      </x:c>
      <x:c r="F5" s="330" t="str">
        <x:v>Organisation/Role Service; Capability Domain</x:v>
      </x:c>
      <x:c r="G5" s="330" t="str">
        <x:v>Java entity + PostgreSQL table roles</x:v>
      </x:c>
      <x:c r="H5" s="330" t="str">
        <x:v>RoleVersion</x:v>
      </x:c>
      <x:c r="I5" s="330" t="str">
        <x:v>Role name itself is not a capability level.</x:v>
      </x:c>
      <x:c r="J5" s="330" t="str">
        <x:v>High</x:v>
      </x:c>
      <x:c r="K5" s="330" t="str">
        <x:v>Draft Complete</x:v>
      </x:c>
      <x:c r="L5" s="331" t="str">
        <x:v>SFIA/ESCO/O*NET</x:v>
      </x:c>
    </x:row>
    <x:row r="6">
      <x:c r="A6" s="337" t="str">
        <x:v>ENT-002</x:v>
      </x:c>
      <x:c r="B6" s="338" t="str">
        <x:v>RoleVersion</x:v>
      </x:c>
      <x:c r="C6" s="338" t="str">
        <x:v>Versioned aggregate</x:v>
      </x:c>
      <x:c r="D6" s="338" t="str">
        <x:v>A time-bound structured version of a role with outcomes, responsibilities, capabilities and evidence rubrics.</x:v>
      </x:c>
      <x:c r="E6" s="338" t="str">
        <x:v>role_version_id, role_id, version, effective_from, effective_to, status, approval_workflow_id</x:v>
      </x:c>
      <x:c r="F6" s="338" t="str">
        <x:v>Capability Domain</x:v>
      </x:c>
      <x:c r="G6" s="338" t="str">
        <x:v>Java entity + role_versions</x:v>
      </x:c>
      <x:c r="H6" s="338" t="str">
        <x:v>Role, Responsibility, Outcome, RoleCapabilityRequirement</x:v>
      </x:c>
      <x:c r="I6" s="338" t="str">
        <x:v>Assessment uses the version active at task assignment time.</x:v>
      </x:c>
      <x:c r="J6" s="338" t="str">
        <x:v>Critical</x:v>
      </x:c>
      <x:c r="K6" s="338" t="str">
        <x:v>Draft Complete</x:v>
      </x:c>
      <x:c r="L6" s="339" t="str">
        <x:v>Versioned role governance</x:v>
      </x:c>
    </x:row>
    <x:row r="7">
      <x:c r="A7" s="332" t="str">
        <x:v>ENT-003</x:v>
      </x:c>
      <x:c r="B7" s="114" t="str">
        <x:v>Responsibility</x:v>
      </x:c>
      <x:c r="C7" s="114" t="str">
        <x:v>Child entity</x:v>
      </x:c>
      <x:c r="D7" s="114" t="str">
        <x:v>A recurring area of accountability in a role.</x:v>
      </x:c>
      <x:c r="E7" s="114" t="str">
        <x:v>responsibility_id, role_version_id, statement, domain_area, criticality</x:v>
      </x:c>
      <x:c r="F7" s="114" t="str">
        <x:v>Capability Domain</x:v>
      </x:c>
      <x:c r="G7" s="114" t="str">
        <x:v>role_responsibilities</x:v>
      </x:c>
      <x:c r="H7" s="114" t="str">
        <x:v>RoleVersion, Outcome, Capability</x:v>
      </x:c>
      <x:c r="I7" s="114" t="str">
        <x:v>Must be observable or explicitly marked non-observable.</x:v>
      </x:c>
      <x:c r="J7" s="114" t="str">
        <x:v>High</x:v>
      </x:c>
      <x:c r="K7" s="114" t="str">
        <x:v>Draft Complete</x:v>
      </x:c>
      <x:c r="L7" s="333" t="str">
        <x:v>Job description transformation</x:v>
      </x:c>
    </x:row>
    <x:row r="8">
      <x:c r="A8" s="337" t="str">
        <x:v>ENT-004</x:v>
      </x:c>
      <x:c r="B8" s="338" t="str">
        <x:v>Outcome</x:v>
      </x:c>
      <x:c r="C8" s="338" t="str">
        <x:v>Child entity</x:v>
      </x:c>
      <x:c r="D8" s="338" t="str">
        <x:v>A result the role is expected to produce.</x:v>
      </x:c>
      <x:c r="E8" s="338" t="str">
        <x:v>outcome_id, role_version_id, description, quality_standard, evidence_type</x:v>
      </x:c>
      <x:c r="F8" s="338" t="str">
        <x:v>Capability Domain</x:v>
      </x:c>
      <x:c r="G8" s="338" t="str">
        <x:v>role_outcomes</x:v>
      </x:c>
      <x:c r="H8" s="338" t="str">
        <x:v>RoleVersion, TaskContract</x:v>
      </x:c>
      <x:c r="I8" s="338" t="str">
        <x:v>Outcome must connect to task types or review evidence.</x:v>
      </x:c>
      <x:c r="J8" s="338" t="str">
        <x:v>High</x:v>
      </x:c>
      <x:c r="K8" s="338" t="str">
        <x:v>Draft Complete</x:v>
      </x:c>
      <x:c r="L8" s="339" t="str">
        <x:v>Outcome-based assessment</x:v>
      </x:c>
    </x:row>
    <x:row r="9">
      <x:c r="A9" s="332" t="str">
        <x:v>ENT-005</x:v>
      </x:c>
      <x:c r="B9" s="114" t="str">
        <x:v>Capability</x:v>
      </x:c>
      <x:c r="C9" s="114" t="str">
        <x:v>Reference aggregate</x:v>
      </x:c>
      <x:c r="D9" s="114" t="str">
        <x:v>A demonstrable ability to perform a type of work at defined levels.</x:v>
      </x:c>
      <x:c r="E9" s="114" t="str">
        <x:v>capability_id, domain, name, description, parent_id, version, status</x:v>
      </x:c>
      <x:c r="F9" s="114" t="str">
        <x:v>Capability Domain</x:v>
      </x:c>
      <x:c r="G9" s="114" t="str">
        <x:v>capabilities</x:v>
      </x:c>
      <x:c r="H9" s="114" t="str">
        <x:v>CapabilityLevel, RoleCapabilityRequirement, CapabilityEvidence</x:v>
      </x:c>
      <x:c r="I9" s="114" t="str">
        <x:v>Capabilities are not personality traits.</x:v>
      </x:c>
      <x:c r="J9" s="114" t="str">
        <x:v>Critical</x:v>
      </x:c>
      <x:c r="K9" s="114" t="str">
        <x:v>Draft Complete</x:v>
      </x:c>
      <x:c r="L9" s="333" t="str">
        <x:v>SFIA/ESCO/NICE</x:v>
      </x:c>
    </x:row>
    <x:row r="10">
      <x:c r="A10" s="337" t="str">
        <x:v>ENT-006</x:v>
      </x:c>
      <x:c r="B10" s="338" t="str">
        <x:v>CapabilityLevel</x:v>
      </x:c>
      <x:c r="C10" s="338" t="str">
        <x:v>Reference entity</x:v>
      </x:c>
      <x:c r="D10" s="338" t="str">
        <x:v>Observable level descriptor from 0 Unverified to 5 Mastery.</x:v>
      </x:c>
      <x:c r="E10" s="338" t="str">
        <x:v>level_id, capability_id, level_number, label, descriptors_json</x:v>
      </x:c>
      <x:c r="F10" s="338" t="str">
        <x:v>Capability Domain</x:v>
      </x:c>
      <x:c r="G10" s="338" t="str">
        <x:v>capability_levels</x:v>
      </x:c>
      <x:c r="H10" s="338" t="str">
        <x:v>Capability</x:v>
      </x:c>
      <x:c r="I10" s="338" t="str">
        <x:v>Level requires descriptors for all required dimensions.</x:v>
      </x:c>
      <x:c r="J10" s="338" t="str">
        <x:v>Critical</x:v>
      </x:c>
      <x:c r="K10" s="338" t="str">
        <x:v>Draft Complete</x:v>
      </x:c>
      <x:c r="L10" s="339" t="str">
        <x:v>SFIA/NICE adapted</x:v>
      </x:c>
    </x:row>
    <x:row r="11">
      <x:c r="A11" s="332" t="str">
        <x:v>ENT-007</x:v>
      </x:c>
      <x:c r="B11" s="114" t="str">
        <x:v>BehaviouralIndicator</x:v>
      </x:c>
      <x:c r="C11" s="114" t="str">
        <x:v>Rubric entity</x:v>
      </x:c>
      <x:c r="D11" s="114" t="str">
        <x:v>Observable behaviour showing a capability dimension at a level.</x:v>
      </x:c>
      <x:c r="E11" s="114" t="str">
        <x:v>indicator_id, capability_level_id, dimension, positive_indicator, negative_indicator, evidence_examples</x:v>
      </x:c>
      <x:c r="F11" s="114" t="str">
        <x:v>Capability Domain</x:v>
      </x:c>
      <x:c r="G11" s="114" t="str">
        <x:v>capability_indicators</x:v>
      </x:c>
      <x:c r="H11" s="114" t="str">
        <x:v>CapabilityLevel</x:v>
      </x:c>
      <x:c r="I11" s="114" t="str">
        <x:v>Indicators must be role-relevant and non-discriminatory.</x:v>
      </x:c>
      <x:c r="J11" s="114" t="str">
        <x:v>High</x:v>
      </x:c>
      <x:c r="K11" s="114" t="str">
        <x:v>Draft Complete</x:v>
      </x:c>
      <x:c r="L11" s="333" t="str">
        <x:v>Rubric design</x:v>
      </x:c>
    </x:row>
    <x:row r="12">
      <x:c r="A12" s="337" t="str">
        <x:v>ENT-008</x:v>
      </x:c>
      <x:c r="B12" s="338" t="str">
        <x:v>ToolEnvironment</x:v>
      </x:c>
      <x:c r="C12" s="338" t="str">
        <x:v>Reference entity</x:v>
      </x:c>
      <x:c r="D12" s="338" t="str">
        <x:v>Tool, platform, language, framework, system or environment relevant to tasks or capabilities.</x:v>
      </x:c>
      <x:c r="E12" s="338" t="str">
        <x:v>tool_env_id, type, name, version_range, criticality, evidence_rules</x:v>
      </x:c>
      <x:c r="F12" s="338" t="str">
        <x:v>Capability + Task domains</x:v>
      </x:c>
      <x:c r="G12" s="338" t="str">
        <x:v>tool_environments</x:v>
      </x:c>
      <x:c r="H12" s="338" t="str">
        <x:v>RoleRequirement, TaskContract, EvidenceRequirement</x:v>
      </x:c>
      <x:c r="I12" s="338" t="str">
        <x:v>Tool familiarity is not the same as capability.</x:v>
      </x:c>
      <x:c r="J12" s="338" t="str">
        <x:v>Medium</x:v>
      </x:c>
      <x:c r="K12" s="338" t="str">
        <x:v>Draft Complete</x:v>
      </x:c>
      <x:c r="L12" s="339" t="str">
        <x:v>Software-dev specialisation</x:v>
      </x:c>
    </x:row>
    <x:row r="13">
      <x:c r="A13" s="332" t="str">
        <x:v>ENT-009</x:v>
      </x:c>
      <x:c r="B13" s="114" t="str">
        <x:v>RoleCapabilityRequirement</x:v>
      </x:c>
      <x:c r="C13" s="114" t="str">
        <x:v>Join/rule entity</x:v>
      </x:c>
      <x:c r="D13" s="114" t="str">
        <x:v>Required capability level, evidence and autonomy expectations for a role version.</x:v>
      </x:c>
      <x:c r="E13" s="114" t="str">
        <x:v>requirement_id, role_version_id, capability_id, required_level, autonomy_required, evidence_minimum, review_required</x:v>
      </x:c>
      <x:c r="F13" s="114" t="str">
        <x:v>Capability Domain</x:v>
      </x:c>
      <x:c r="G13" s="114" t="str">
        <x:v>role_capability_requirements</x:v>
      </x:c>
      <x:c r="H13" s="114" t="str">
        <x:v>RoleVersion, Capability</x:v>
      </x:c>
      <x:c r="I13" s="114" t="str">
        <x:v>This creates role requirement; it does not prove employee skill.</x:v>
      </x:c>
      <x:c r="J13" s="114" t="str">
        <x:v>Critical</x:v>
      </x:c>
      <x:c r="K13" s="114" t="str">
        <x:v>Draft Complete</x:v>
      </x:c>
      <x:c r="L13" s="333" t="str">
        <x:v>Core traceability</x:v>
      </x:c>
    </x:row>
    <x:row r="14">
      <x:c r="A14" s="337" t="str">
        <x:v>ENT-010</x:v>
      </x:c>
      <x:c r="B14" s="338" t="str">
        <x:v>PersonCapabilityState</x:v>
      </x:c>
      <x:c r="C14" s="338" t="str">
        <x:v>Aggregate</x:v>
      </x:c>
      <x:c r="D14" s="338" t="str">
        <x:v>Current evidence-backed capability state for a person in a capability.</x:v>
      </x:c>
      <x:c r="E14" s="338" t="str">
        <x:v>state_id, person_id, capability_id, current_level, confidence, consistency, recency, status, reviewer_id</x:v>
      </x:c>
      <x:c r="F14" s="338" t="str">
        <x:v>Capability Domain</x:v>
      </x:c>
      <x:c r="G14" s="338" t="str">
        <x:v>person_capability_states</x:v>
      </x:c>
      <x:c r="H14" s="338" t="str">
        <x:v>CapabilityEvidence, EmployeeClaim, ReviewDecision</x:v>
      </x:c>
      <x:c r="I14" s="338" t="str">
        <x:v>Must show confidence and evidence count.</x:v>
      </x:c>
      <x:c r="J14" s="338" t="str">
        <x:v>Critical</x:v>
      </x:c>
      <x:c r="K14" s="338" t="str">
        <x:v>Draft Complete</x:v>
      </x:c>
      <x:c r="L14" s="339" t="str">
        <x:v>Employee growth model</x:v>
      </x:c>
    </x:row>
    <x:row r="15">
      <x:c r="A15" s="332" t="str">
        <x:v>ENT-011</x:v>
      </x:c>
      <x:c r="B15" s="114" t="str">
        <x:v>EmployeeClaim</x:v>
      </x:c>
      <x:c r="C15" s="114" t="str">
        <x:v>Claim entity</x:v>
      </x:c>
      <x:c r="D15" s="114" t="str">
        <x:v>A self-declared or CV/interview-declared capability or experience claim.</x:v>
      </x:c>
      <x:c r="E15" s="114" t="str">
        <x:v>claim_id, person_id, capability_id, claimed_level, claim_source, claim_status, declared_at</x:v>
      </x:c>
      <x:c r="F15" s="114" t="str">
        <x:v>Capability Domain</x:v>
      </x:c>
      <x:c r="G15" s="114" t="str">
        <x:v>employee_claims</x:v>
      </x:c>
      <x:c r="H15" s="114" t="str">
        <x:v>Person, Capability, CapabilityEvidence</x:v>
      </x:c>
      <x:c r="I15" s="114" t="str">
        <x:v>Claim discrepancy is neutral; not dishonesty.</x:v>
      </x:c>
      <x:c r="J15" s="114" t="str">
        <x:v>Critical</x:v>
      </x:c>
      <x:c r="K15" s="114" t="str">
        <x:v>Draft Complete</x:v>
      </x:c>
      <x:c r="L15" s="333" t="str">
        <x:v>User requirement</x:v>
      </x:c>
    </x:row>
    <x:row r="16">
      <x:c r="A16" s="337" t="str">
        <x:v>ENT-012</x:v>
      </x:c>
      <x:c r="B16" s="338" t="str">
        <x:v>BaselineAssessment</x:v>
      </x:c>
      <x:c r="C16" s="338" t="str">
        <x:v>Assessment aggregate</x:v>
      </x:c>
      <x:c r="D16" s="338" t="str">
        <x:v>Structured initial evaluation before or during onboarding.</x:v>
      </x:c>
      <x:c r="E16" s="338" t="str">
        <x:v>assessment_id, person_id, role_version_id, method, tasks, assessor_id, result_status</x:v>
      </x:c>
      <x:c r="F16" s="338" t="str">
        <x:v>Capability/L&amp;D</x:v>
      </x:c>
      <x:c r="G16" s="338" t="str">
        <x:v>baseline_assessments</x:v>
      </x:c>
      <x:c r="H16" s="338" t="str">
        <x:v>EmployeeClaim, CapabilityEvidence</x:v>
      </x:c>
      <x:c r="I16" s="338" t="str">
        <x:v>Baseline starts a profile but is not permanent.</x:v>
      </x:c>
      <x:c r="J16" s="338" t="str">
        <x:v>High</x:v>
      </x:c>
      <x:c r="K16" s="338" t="str">
        <x:v>Draft Complete</x:v>
      </x:c>
      <x:c r="L16" s="339" t="str">
        <x:v>Onboarding model</x:v>
      </x:c>
    </x:row>
    <x:row r="17">
      <x:c r="A17" s="332" t="str">
        <x:v>ENT-013</x:v>
      </x:c>
      <x:c r="B17" s="114" t="str">
        <x:v>TaskContract</x:v>
      </x:c>
      <x:c r="C17" s="114" t="str">
        <x:v>Versioned aggregate</x:v>
      </x:c>
      <x:c r="D17" s="114" t="str">
        <x:v>Structured execution contract compiled from a HumanOS task.</x:v>
      </x:c>
      <x:c r="E17" s="114" t="str">
        <x:v>task_contract_id, task_id, version, objective, required_capabilities, status, approved_by, effective_at</x:v>
      </x:c>
      <x:c r="F17" s="114" t="str">
        <x:v>Task Assurance Domain</x:v>
      </x:c>
      <x:c r="G17" s="114" t="str">
        <x:v>task_contracts</x:v>
      </x:c>
      <x:c r="H17" s="114" t="str">
        <x:v>HumanOS Task, AcceptanceCriterion, EvidenceRequirement, QualityGate</x:v>
      </x:c>
      <x:c r="I17" s="114" t="str">
        <x:v>No task assurance without contract.</x:v>
      </x:c>
      <x:c r="J17" s="114" t="str">
        <x:v>Critical</x:v>
      </x:c>
      <x:c r="K17" s="114" t="str">
        <x:v>Draft Complete</x:v>
      </x:c>
      <x:c r="L17" s="333" t="str">
        <x:v>Task assurance model</x:v>
      </x:c>
    </x:row>
    <x:row r="18">
      <x:c r="A18" s="337" t="str">
        <x:v>ENT-014</x:v>
      </x:c>
      <x:c r="B18" s="338" t="str">
        <x:v>AcceptanceCriterion</x:v>
      </x:c>
      <x:c r="C18" s="338" t="str">
        <x:v>Child entity</x:v>
      </x:c>
      <x:c r="D18" s="338" t="str">
        <x:v>Specific condition that must be met to consider a task complete.</x:v>
      </x:c>
      <x:c r="E18" s="338" t="str">
        <x:v>criterion_id, task_contract_id, description, verification_method, required_evidence, status</x:v>
      </x:c>
      <x:c r="F18" s="338" t="str">
        <x:v>Task Assurance Domain</x:v>
      </x:c>
      <x:c r="G18" s="338" t="str">
        <x:v>acceptance_criteria</x:v>
      </x:c>
      <x:c r="H18" s="338" t="str">
        <x:v>TaskContract, EvidenceRequirement</x:v>
      </x:c>
      <x:c r="I18" s="338" t="str">
        <x:v>Criteria can be deterministic, reviewer-verified or AI-assisted.</x:v>
      </x:c>
      <x:c r="J18" s="338" t="str">
        <x:v>Critical</x:v>
      </x:c>
      <x:c r="K18" s="338" t="str">
        <x:v>Draft Complete</x:v>
      </x:c>
      <x:c r="L18" s="339" t="str">
        <x:v>Quality gate</x:v>
      </x:c>
    </x:row>
    <x:row r="19">
      <x:c r="A19" s="332" t="str">
        <x:v>ENT-015</x:v>
      </x:c>
      <x:c r="B19" s="114" t="str">
        <x:v>QualityGate</x:v>
      </x:c>
      <x:c r="C19" s="114" t="str">
        <x:v>Child entity</x:v>
      </x:c>
      <x:c r="D19" s="114" t="str">
        <x:v>Required check before completion, such as tests, review, security scan or customer validation.</x:v>
      </x:c>
      <x:c r="E19" s="114" t="str">
        <x:v>quality_gate_id, task_contract_id, gate_type, threshold, owner, blocking</x:v>
      </x:c>
      <x:c r="F19" s="114" t="str">
        <x:v>Task Assurance Domain</x:v>
      </x:c>
      <x:c r="G19" s="114" t="str">
        <x:v>quality_gates</x:v>
      </x:c>
      <x:c r="H19" s="114" t="str">
        <x:v>TaskContract, Artefact</x:v>
      </x:c>
      <x:c r="I19" s="114" t="str">
        <x:v>Gates can block completion when required.</x:v>
      </x:c>
      <x:c r="J19" s="114" t="str">
        <x:v>High</x:v>
      </x:c>
      <x:c r="K19" s="114" t="str">
        <x:v>Draft Complete</x:v>
      </x:c>
      <x:c r="L19" s="333" t="str">
        <x:v>Task quality model</x:v>
      </x:c>
    </x:row>
    <x:row r="20">
      <x:c r="A20" s="337" t="str">
        <x:v>ENT-016</x:v>
      </x:c>
      <x:c r="B20" s="338" t="str">
        <x:v>EvidenceRequirement</x:v>
      </x:c>
      <x:c r="C20" s="338" t="str">
        <x:v>Child entity</x:v>
      </x:c>
      <x:c r="D20" s="338" t="str">
        <x:v>Specifies what evidence proves or supports a criterion or capability.</x:v>
      </x:c>
      <x:c r="E20" s="338" t="str">
        <x:v>evidence_requirement_id, target_type, target_id, evidence_class, minimum_quality, privacy_class</x:v>
      </x:c>
      <x:c r="F20" s="338" t="str">
        <x:v>Task/Capability</x:v>
      </x:c>
      <x:c r="G20" s="338" t="str">
        <x:v>evidence_requirements</x:v>
      </x:c>
      <x:c r="H20" s="338" t="str">
        <x:v>AcceptanceCriterion, RoleRequirement, Capability</x:v>
      </x:c>
      <x:c r="I20" s="338" t="str">
        <x:v>Must state evidence class and minimum reliability.</x:v>
      </x:c>
      <x:c r="J20" s="338" t="str">
        <x:v>Critical</x:v>
      </x:c>
      <x:c r="K20" s="338" t="str">
        <x:v>Draft Complete</x:v>
      </x:c>
      <x:c r="L20" s="339" t="str">
        <x:v>Evidence hierarchy</x:v>
      </x:c>
    </x:row>
    <x:row r="21">
      <x:c r="A21" s="332" t="str">
        <x:v>ENT-017</x:v>
      </x:c>
      <x:c r="B21" s="114" t="str">
        <x:v>WorkEpisode</x:v>
      </x:c>
      <x:c r="C21" s="114" t="str">
        <x:v>Derived entity</x:v>
      </x:c>
      <x:c r="D21" s="114" t="str">
        <x:v>A time-bounded sequence of observed activity classified against a task.</x:v>
      </x:c>
      <x:c r="E21" s="114" t="str">
        <x:v>episode_id, session_id, task_id, start_at, end_at, classification, confidence, evidence_refs</x:v>
      </x:c>
      <x:c r="F21" s="114" t="str">
        <x:v>Evidence &amp; Task AI</x:v>
      </x:c>
      <x:c r="G21" s="114" t="str">
        <x:v>work_episodes</x:v>
      </x:c>
      <x:c r="H21" s="114" t="str">
        <x:v>ActivityEvent, TaskContract</x:v>
      </x:c>
      <x:c r="I21" s="114" t="str">
        <x:v>AI-derived and always challengeable.</x:v>
      </x:c>
      <x:c r="J21" s="114" t="str">
        <x:v>High</x:v>
      </x:c>
      <x:c r="K21" s="114" t="str">
        <x:v>Draft Complete</x:v>
      </x:c>
      <x:c r="L21" s="333" t="str">
        <x:v>Stage 7 dependency</x:v>
      </x:c>
    </x:row>
    <x:row r="22">
      <x:c r="A22" s="337" t="str">
        <x:v>ENT-018</x:v>
      </x:c>
      <x:c r="B22" s="338" t="str">
        <x:v>Artefact</x:v>
      </x:c>
      <x:c r="C22" s="338" t="str">
        <x:v>Evidence entity</x:v>
      </x:c>
      <x:c r="D22" s="338" t="str">
        <x:v>A produced or modified item such as code file, test result, document, build, PR or deployment record.</x:v>
      </x:c>
      <x:c r="E22" s="338" t="str">
        <x:v>artefact_id, type, source_system, uri, hash, classification, created_by_actor</x:v>
      </x:c>
      <x:c r="F22" s="338" t="str">
        <x:v>Evidence Domain</x:v>
      </x:c>
      <x:c r="G22" s="338" t="str">
        <x:v>artefacts</x:v>
      </x:c>
      <x:c r="H22" s="338" t="str">
        <x:v>EvidenceRequirement, CapabilityEvidence</x:v>
      </x:c>
      <x:c r="I22" s="338" t="str">
        <x:v>Artefact may be sensitive; store reference not content where possible.</x:v>
      </x:c>
      <x:c r="J22" s="338" t="str">
        <x:v>Critical</x:v>
      </x:c>
      <x:c r="K22" s="338" t="str">
        <x:v>Draft Complete</x:v>
      </x:c>
      <x:c r="L22" s="339" t="str">
        <x:v>Evidence model</x:v>
      </x:c>
    </x:row>
    <x:row r="23">
      <x:c r="A23" s="332" t="str">
        <x:v>ENT-019</x:v>
      </x:c>
      <x:c r="B23" s="114" t="str">
        <x:v>CapabilityEvidence</x:v>
      </x:c>
      <x:c r="C23" s="114" t="str">
        <x:v>Evidence aggregate</x:v>
      </x:c>
      <x:c r="D23" s="114" t="str">
        <x:v>Qualified evidence item used to update capability state.</x:v>
      </x:c>
      <x:c r="E23" s="114" t="str">
        <x:v>capability_evidence_id, person_id, capability_id, task_id, evidence_refs, score_vector, confidence, reviewer_status</x:v>
      </x:c>
      <x:c r="F23" s="114" t="str">
        <x:v>Capability Domain</x:v>
      </x:c>
      <x:c r="G23" s="114" t="str">
        <x:v>capability_evidence</x:v>
      </x:c>
      <x:c r="H23" s="114" t="str">
        <x:v>Artefact, WorkEpisode, ReviewDecision</x:v>
      </x:c>
      <x:c r="I23" s="114" t="str">
        <x:v>Requires context and lineage.</x:v>
      </x:c>
      <x:c r="J23" s="114" t="str">
        <x:v>Critical</x:v>
      </x:c>
      <x:c r="K23" s="114" t="str">
        <x:v>Draft Complete</x:v>
      </x:c>
      <x:c r="L23" s="333" t="str">
        <x:v>Capability update rule</x:v>
      </x:c>
    </x:row>
    <x:row r="24">
      <x:c r="A24" s="337" t="str">
        <x:v>ENT-020</x:v>
      </x:c>
      <x:c r="B24" s="338" t="str">
        <x:v>Gap</x:v>
      </x:c>
      <x:c r="C24" s="338" t="str">
        <x:v>Derived/review entity</x:v>
      </x:c>
      <x:c r="D24" s="338" t="str">
        <x:v>A potential capability or process gap explaining poor task progress or quality.</x:v>
      </x:c>
      <x:c r="E24" s="338" t="str">
        <x:v>gap_id, person_id, capability_id, task_id, gap_type, severity, confidence, review_status</x:v>
      </x:c>
      <x:c r="F24" s="338" t="str">
        <x:v>Capability/L&amp;D</x:v>
      </x:c>
      <x:c r="G24" s="338" t="str">
        <x:v>gaps</x:v>
      </x:c>
      <x:c r="H24" s="338" t="str">
        <x:v>CapabilityEvidence, TaskAssessment</x:v>
      </x:c>
      <x:c r="I24" s="338" t="str">
        <x:v>Gap is not a permanent label.</x:v>
      </x:c>
      <x:c r="J24" s="338" t="str">
        <x:v>High</x:v>
      </x:c>
      <x:c r="K24" s="338" t="str">
        <x:v>Draft Complete</x:v>
      </x:c>
      <x:c r="L24" s="339" t="str">
        <x:v>Learning loop</x:v>
      </x:c>
    </x:row>
    <x:row r="25">
      <x:c r="A25" s="332" t="str">
        <x:v>ENT-021</x:v>
      </x:c>
      <x:c r="B25" s="114" t="str">
        <x:v>LearningIntervention</x:v>
      </x:c>
      <x:c r="C25" s="114" t="str">
        <x:v>Learning entity</x:v>
      </x:c>
      <x:c r="D25" s="114" t="str">
        <x:v>A coaching, lesson, simulation, practice task or mentor action assigned to address a gap.</x:v>
      </x:c>
      <x:c r="E25" s="114" t="str">
        <x:v>intervention_id, gap_id, type, content_ref, assigned_at, completion_status, outcome_evidence_id</x:v>
      </x:c>
      <x:c r="F25" s="114" t="str">
        <x:v>Learning Domain</x:v>
      </x:c>
      <x:c r="G25" s="114" t="str">
        <x:v>learning_interventions</x:v>
      </x:c>
      <x:c r="H25" s="114" t="str">
        <x:v>Gap, CapabilityEvidence</x:v>
      </x:c>
      <x:c r="I25" s="114" t="str">
        <x:v>Completion does not equal capability improvement.</x:v>
      </x:c>
      <x:c r="J25" s="114" t="str">
        <x:v>High</x:v>
      </x:c>
      <x:c r="K25" s="114" t="str">
        <x:v>Draft Complete</x:v>
      </x:c>
      <x:c r="L25" s="333" t="str">
        <x:v>xAPI-inspired</x:v>
      </x:c>
    </x:row>
    <x:row r="26">
      <x:c r="A26" s="337" t="str">
        <x:v>ENT-022</x:v>
      </x:c>
      <x:c r="B26" s="338" t="str">
        <x:v>ReviewDecision</x:v>
      </x:c>
      <x:c r="C26" s="338" t="str">
        <x:v>Governance entity</x:v>
      </x:c>
      <x:c r="D26" s="338" t="str">
        <x:v>Human decision on an assessment, dispute, capability update or task-completion finding.</x:v>
      </x:c>
      <x:c r="E26" s="338" t="str">
        <x:v>review_decision_id, subject_type, subject_id, reviewer_id, decision, rationale, evidence_refs</x:v>
      </x:c>
      <x:c r="F26" s="338" t="str">
        <x:v>Governance &amp; Review</x:v>
      </x:c>
      <x:c r="G26" s="338" t="str">
        <x:v>review_decisions</x:v>
      </x:c>
      <x:c r="H26" s="338" t="str">
        <x:v>TaskAssessment, CapabilityState, Dispute</x:v>
      </x:c>
      <x:c r="I26" s="338" t="str">
        <x:v>Required for high-impact outcomes.</x:v>
      </x:c>
      <x:c r="J26" s="338" t="str">
        <x:v>Critical</x:v>
      </x:c>
      <x:c r="K26" s="338" t="str">
        <x:v>Draft Complete</x:v>
      </x:c>
      <x:c r="L26" s="339" t="str">
        <x:v>ICO human review</x:v>
      </x:c>
    </x:row>
    <x:row r="27">
      <x:c r="A27" s="334" t="str">
        <x:v>ENT-023</x:v>
      </x:c>
      <x:c r="B27" s="335" t="str">
        <x:v>RoleReadiness</x:v>
      </x:c>
      <x:c r="C27" s="335" t="str">
        <x:v>Derived entity</x:v>
      </x:c>
      <x:c r="D27" s="335" t="str">
        <x:v>Fit/progress state comparing a person's evidence-backed capability to a role version.</x:v>
      </x:c>
      <x:c r="E27" s="335" t="str">
        <x:v>role_readiness_id, person_id, role_version_id, readiness_percent, gaps, status, review_status</x:v>
      </x:c>
      <x:c r="F27" s="335" t="str">
        <x:v>Capability Domain</x:v>
      </x:c>
      <x:c r="G27" s="335" t="str">
        <x:v>role_readiness</x:v>
      </x:c>
      <x:c r="H27" s="335" t="str">
        <x:v>PersonCapabilityState, RoleRequirement</x:v>
      </x:c>
      <x:c r="I27" s="335" t="str">
        <x:v>Developmental in pilot; not automatic employment decision.</x:v>
      </x:c>
      <x:c r="J27" s="335" t="str">
        <x:v>Critical</x:v>
      </x:c>
      <x:c r="K27" s="335" t="str">
        <x:v>Draft Complete</x:v>
      </x:c>
      <x:c r="L27" s="336" t="str">
        <x:v>Role progression</x:v>
      </x:c>
    </x:row>
  </x:sheetData>
  <x:mergeCells>
    <x:mergeCell ref="A1:L1"/>
    <x:mergeCell ref="A2:L2"/>
  </x:mergeCells>
  <x:dataValidations count="2">
    <x:dataValidation type="list" sqref="J5:J27">
      <x:formula1>"Critical,High,Medium,Low"</x:formula1>
    </x:dataValidation>
    <x:dataValidation type="list" sqref="K5:K27">
      <x:formula1>"Draft Complete,Needs Review,Approved,Deferred"</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32" hidden="0" customWidth="1"/>
    <x:col min="5" max="5" width="16" hidden="0" customWidth="1"/>
    <x:col min="6" max="6" width="30" hidden="0" customWidth="1"/>
    <x:col min="7" max="7" width="48" hidden="0" customWidth="1"/>
    <x:col min="8" max="8" width="38" hidden="0" customWidth="1"/>
    <x:col min="9" max="9" width="12" hidden="0" customWidth="1"/>
    <x:col min="10" max="10" width="18" hidden="0" customWidth="1"/>
    <x:col min="11" max="11" width="28" hidden="0" customWidth="1"/>
  </x:cols>
  <x:sheetData>
    <x:row r="1" ht="30" customHeight="1">
      <x:c r="A1" s="294" t="str">
        <x:v>Stage 2 — Relationship Model</x:v>
      </x:c>
      <x:c r="B1" s="294"/>
      <x:c r="C1" s="294"/>
      <x:c r="D1" s="294"/>
      <x:c r="E1" s="294"/>
      <x:c r="F1" s="294"/>
      <x:c r="G1" s="294"/>
      <x:c r="H1" s="294"/>
      <x:c r="I1" s="294"/>
      <x:c r="J1" s="294"/>
      <x:c r="K1" s="294"/>
    </x:row>
    <x:row r="2" ht="36" customHeight="1">
      <x:c r="A2" s="298" t="str">
        <x:v>Traceability model connecting roles, capabilities, task contracts, evidence, learning and review. This is the spine of Role → Task → Evidence → Capability → Readiness.</x:v>
      </x:c>
      <x:c r="B2" s="298"/>
      <x:c r="C2" s="298"/>
      <x:c r="D2" s="298"/>
      <x:c r="E2" s="298"/>
      <x:c r="F2" s="298"/>
      <x:c r="G2" s="298"/>
      <x:c r="H2" s="298"/>
      <x:c r="I2" s="298"/>
      <x:c r="J2" s="298"/>
      <x:c r="K2" s="298"/>
    </x:row>
    <x:row r="4" ht="30" customHeight="1">
      <x:c r="A4" s="310" t="str">
        <x:v>ID</x:v>
      </x:c>
      <x:c r="B4" s="311" t="str">
        <x:v>Subject</x:v>
      </x:c>
      <x:c r="C4" s="311" t="str">
        <x:v>Relationship</x:v>
      </x:c>
      <x:c r="D4" s="311" t="str">
        <x:v>Object</x:v>
      </x:c>
      <x:c r="E4" s="311" t="str">
        <x:v>Cardinality</x:v>
      </x:c>
      <x:c r="F4" s="311" t="str">
        <x:v>Purpose</x:v>
      </x:c>
      <x:c r="G4" s="311" t="str">
        <x:v>Rule / constraint</x:v>
      </x:c>
      <x:c r="H4" s="311" t="str">
        <x:v>Implementation note</x:v>
      </x:c>
      <x:c r="I4" s="311" t="str">
        <x:v>Priority</x:v>
      </x:c>
      <x:c r="J4" s="311" t="str">
        <x:v>Status</x:v>
      </x:c>
      <x:c r="K4" s="312" t="str">
        <x:v>Source / basis</x:v>
      </x:c>
    </x:row>
    <x:row r="5">
      <x:c r="A5" s="329" t="str">
        <x:v>REL-001</x:v>
      </x:c>
      <x:c r="B5" s="330" t="str">
        <x:v>Role</x:v>
      </x:c>
      <x:c r="C5" s="330" t="str">
        <x:v>has versions</x:v>
      </x:c>
      <x:c r="D5" s="330" t="str">
        <x:v>RoleVersion</x:v>
      </x:c>
      <x:c r="E5" s="330" t="str">
        <x:v>1:N</x:v>
      </x:c>
      <x:c r="F5" s="330" t="str">
        <x:v>Role versioning</x:v>
      </x:c>
      <x:c r="G5" s="330" t="str">
        <x:v>Role is stable label; RoleVersion owns current requirements.</x:v>
      </x:c>
      <x:c r="H5" s="330" t="str">
        <x:v>Java FK role_versions.role_id</x:v>
      </x:c>
      <x:c r="I5" s="330" t="str">
        <x:v>Critical</x:v>
      </x:c>
      <x:c r="J5" s="330" t="str">
        <x:v>Draft Complete</x:v>
      </x:c>
      <x:c r="K5" s="331" t="str">
        <x:v>Core domain</x:v>
      </x:c>
    </x:row>
    <x:row r="6">
      <x:c r="A6" s="337" t="str">
        <x:v>REL-002</x:v>
      </x:c>
      <x:c r="B6" s="338" t="str">
        <x:v>RoleVersion</x:v>
      </x:c>
      <x:c r="C6" s="338" t="str">
        <x:v>contains</x:v>
      </x:c>
      <x:c r="D6" s="338" t="str">
        <x:v>Responsibility</x:v>
      </x:c>
      <x:c r="E6" s="338" t="str">
        <x:v>1:N</x:v>
      </x:c>
      <x:c r="F6" s="338" t="str">
        <x:v>Role requirement decomposition</x:v>
      </x:c>
      <x:c r="G6" s="338" t="str">
        <x:v>Responsibilities must trace to outcomes or capabilities.</x:v>
      </x:c>
      <x:c r="H6" s="338" t="str">
        <x:v>role_responsibilities.role_version_id</x:v>
      </x:c>
      <x:c r="I6" s="338" t="str">
        <x:v>High</x:v>
      </x:c>
      <x:c r="J6" s="338" t="str">
        <x:v>Draft Complete</x:v>
      </x:c>
      <x:c r="K6" s="339" t="str"/>
    </x:row>
    <x:row r="7">
      <x:c r="A7" s="332" t="str">
        <x:v>REL-003</x:v>
      </x:c>
      <x:c r="B7" s="114" t="str">
        <x:v>RoleVersion</x:v>
      </x:c>
      <x:c r="C7" s="114" t="str">
        <x:v>expects</x:v>
      </x:c>
      <x:c r="D7" s="114" t="str">
        <x:v>Outcome</x:v>
      </x:c>
      <x:c r="E7" s="114" t="str">
        <x:v>1:N</x:v>
      </x:c>
      <x:c r="F7" s="114" t="str">
        <x:v>Outcome basis</x:v>
      </x:c>
      <x:c r="G7" s="114" t="str">
        <x:v>Outcomes can link to task templates and review standards.</x:v>
      </x:c>
      <x:c r="H7" s="114" t="str">
        <x:v>role_outcomes.role_version_id</x:v>
      </x:c>
      <x:c r="I7" s="114" t="str">
        <x:v>High</x:v>
      </x:c>
      <x:c r="J7" s="114" t="str">
        <x:v>Draft Complete</x:v>
      </x:c>
      <x:c r="K7" s="333" t="str"/>
    </x:row>
    <x:row r="8">
      <x:c r="A8" s="337" t="str">
        <x:v>REL-004</x:v>
      </x:c>
      <x:c r="B8" s="338" t="str">
        <x:v>RoleVersion</x:v>
      </x:c>
      <x:c r="C8" s="338" t="str">
        <x:v>requires</x:v>
      </x:c>
      <x:c r="D8" s="338" t="str">
        <x:v>Capability via RoleCapabilityRequirement</x:v>
      </x:c>
      <x:c r="E8" s="338" t="str">
        <x:v>M:N</x:v>
      </x:c>
      <x:c r="F8" s="338" t="str">
        <x:v>Capability requirement</x:v>
      </x:c>
      <x:c r="G8" s="338" t="str">
        <x:v>Creates required level and evidence rule.</x:v>
      </x:c>
      <x:c r="H8" s="338" t="str">
        <x:v>role_capability_requirements</x:v>
      </x:c>
      <x:c r="I8" s="338" t="str">
        <x:v>Critical</x:v>
      </x:c>
      <x:c r="J8" s="338" t="str">
        <x:v>Draft Complete</x:v>
      </x:c>
      <x:c r="K8" s="339" t="str"/>
    </x:row>
    <x:row r="9">
      <x:c r="A9" s="332" t="str">
        <x:v>REL-005</x:v>
      </x:c>
      <x:c r="B9" s="114" t="str">
        <x:v>Capability</x:v>
      </x:c>
      <x:c r="C9" s="114" t="str">
        <x:v>has levels</x:v>
      </x:c>
      <x:c r="D9" s="114" t="str">
        <x:v>CapabilityLevel</x:v>
      </x:c>
      <x:c r="E9" s="114" t="str">
        <x:v>1:N</x:v>
      </x:c>
      <x:c r="F9" s="114" t="str">
        <x:v>Rubric</x:v>
      </x:c>
      <x:c r="G9" s="114" t="str">
        <x:v>Each level has observable descriptors and indicators.</x:v>
      </x:c>
      <x:c r="H9" s="114" t="str">
        <x:v>capability_levels.capability_id</x:v>
      </x:c>
      <x:c r="I9" s="114" t="str">
        <x:v>Critical</x:v>
      </x:c>
      <x:c r="J9" s="114" t="str">
        <x:v>Draft Complete</x:v>
      </x:c>
      <x:c r="K9" s="333" t="str"/>
    </x:row>
    <x:row r="10">
      <x:c r="A10" s="337" t="str">
        <x:v>REL-006</x:v>
      </x:c>
      <x:c r="B10" s="338" t="str">
        <x:v>CapabilityLevel</x:v>
      </x:c>
      <x:c r="C10" s="338" t="str">
        <x:v>has</x:v>
      </x:c>
      <x:c r="D10" s="338" t="str">
        <x:v>BehaviouralIndicator</x:v>
      </x:c>
      <x:c r="E10" s="338" t="str">
        <x:v>1:N</x:v>
      </x:c>
      <x:c r="F10" s="338" t="str">
        <x:v>Assessment detail</x:v>
      </x:c>
      <x:c r="G10" s="338" t="str">
        <x:v>Indicators are evidence prompts, not deterministic proof alone.</x:v>
      </x:c>
      <x:c r="H10" s="338" t="str">
        <x:v>capability_indicators.level_id</x:v>
      </x:c>
      <x:c r="I10" s="338" t="str">
        <x:v>High</x:v>
      </x:c>
      <x:c r="J10" s="338" t="str">
        <x:v>Draft Complete</x:v>
      </x:c>
      <x:c r="K10" s="339" t="str"/>
    </x:row>
    <x:row r="11">
      <x:c r="A11" s="332" t="str">
        <x:v>REL-007</x:v>
      </x:c>
      <x:c r="B11" s="114" t="str">
        <x:v>Person</x:v>
      </x:c>
      <x:c r="C11" s="114" t="str">
        <x:v>declares</x:v>
      </x:c>
      <x:c r="D11" s="114" t="str">
        <x:v>EmployeeClaim</x:v>
      </x:c>
      <x:c r="E11" s="114" t="str">
        <x:v>1:N</x:v>
      </x:c>
      <x:c r="F11" s="114" t="str">
        <x:v>Claim capture</x:v>
      </x:c>
      <x:c r="G11" s="114" t="str">
        <x:v>Claim remains a claim until evidence changes status.</x:v>
      </x:c>
      <x:c r="H11" s="114" t="str">
        <x:v>employee_claims.person_id</x:v>
      </x:c>
      <x:c r="I11" s="114" t="str">
        <x:v>Critical</x:v>
      </x:c>
      <x:c r="J11" s="114" t="str">
        <x:v>Draft Complete</x:v>
      </x:c>
      <x:c r="K11" s="333" t="str"/>
    </x:row>
    <x:row r="12">
      <x:c r="A12" s="337" t="str">
        <x:v>REL-008</x:v>
      </x:c>
      <x:c r="B12" s="338" t="str">
        <x:v>EmployeeClaim</x:v>
      </x:c>
      <x:c r="C12" s="338" t="str">
        <x:v>references</x:v>
      </x:c>
      <x:c r="D12" s="338" t="str">
        <x:v>Capability</x:v>
      </x:c>
      <x:c r="E12" s="338" t="str">
        <x:v>N:1</x:v>
      </x:c>
      <x:c r="F12" s="338" t="str">
        <x:v>Claim capability mapping</x:v>
      </x:c>
      <x:c r="G12" s="338" t="str">
        <x:v>Unmapped claims require taxonomy review.</x:v>
      </x:c>
      <x:c r="H12" s="338" t="str">
        <x:v>employee_claims.capability_id</x:v>
      </x:c>
      <x:c r="I12" s="338" t="str">
        <x:v>High</x:v>
      </x:c>
      <x:c r="J12" s="338" t="str">
        <x:v>Draft Complete</x:v>
      </x:c>
      <x:c r="K12" s="339" t="str"/>
    </x:row>
    <x:row r="13">
      <x:c r="A13" s="332" t="str">
        <x:v>REL-009</x:v>
      </x:c>
      <x:c r="B13" s="114" t="str">
        <x:v>BaselineAssessment</x:v>
      </x:c>
      <x:c r="C13" s="114" t="str">
        <x:v>produces</x:v>
      </x:c>
      <x:c r="D13" s="114" t="str">
        <x:v>CapabilityEvidence</x:v>
      </x:c>
      <x:c r="E13" s="114" t="str">
        <x:v>1:N</x:v>
      </x:c>
      <x:c r="F13" s="114" t="str">
        <x:v>Initial evidence</x:v>
      </x:c>
      <x:c r="G13" s="114" t="str">
        <x:v>Baseline evidence has lower weight until confirmed in live work.</x:v>
      </x:c>
      <x:c r="H13" s="114" t="str">
        <x:v>capability_evidence.assessment_id nullable</x:v>
      </x:c>
      <x:c r="I13" s="114" t="str">
        <x:v>High</x:v>
      </x:c>
      <x:c r="J13" s="114" t="str">
        <x:v>Draft Complete</x:v>
      </x:c>
      <x:c r="K13" s="333" t="str"/>
    </x:row>
    <x:row r="14">
      <x:c r="A14" s="337" t="str">
        <x:v>REL-010</x:v>
      </x:c>
      <x:c r="B14" s="338" t="str">
        <x:v>HumanOS Task</x:v>
      </x:c>
      <x:c r="C14" s="338" t="str">
        <x:v>compiled into</x:v>
      </x:c>
      <x:c r="D14" s="338" t="str">
        <x:v>TaskContract</x:v>
      </x:c>
      <x:c r="E14" s="338" t="str">
        <x:v>1:N versions</x:v>
      </x:c>
      <x:c r="F14" s="338" t="str">
        <x:v>Task assurance</x:v>
      </x:c>
      <x:c r="G14" s="338" t="str">
        <x:v>Assessment uses active contract version.</x:v>
      </x:c>
      <x:c r="H14" s="338" t="str">
        <x:v>task_contracts.task_id</x:v>
      </x:c>
      <x:c r="I14" s="338" t="str">
        <x:v>Critical</x:v>
      </x:c>
      <x:c r="J14" s="338" t="str">
        <x:v>Draft Complete</x:v>
      </x:c>
      <x:c r="K14" s="339" t="str"/>
    </x:row>
    <x:row r="15">
      <x:c r="A15" s="332" t="str">
        <x:v>REL-011</x:v>
      </x:c>
      <x:c r="B15" s="114" t="str">
        <x:v>TaskContract</x:v>
      </x:c>
      <x:c r="C15" s="114" t="str">
        <x:v>contains</x:v>
      </x:c>
      <x:c r="D15" s="114" t="str">
        <x:v>AcceptanceCriterion</x:v>
      </x:c>
      <x:c r="E15" s="114" t="str">
        <x:v>1:N</x:v>
      </x:c>
      <x:c r="F15" s="114" t="str">
        <x:v>Completion criteria</x:v>
      </x:c>
      <x:c r="G15" s="114" t="str">
        <x:v>Criterion must define verification method.</x:v>
      </x:c>
      <x:c r="H15" s="114" t="str">
        <x:v>acceptance_criteria.task_contract_id</x:v>
      </x:c>
      <x:c r="I15" s="114" t="str">
        <x:v>Critical</x:v>
      </x:c>
      <x:c r="J15" s="114" t="str">
        <x:v>Draft Complete</x:v>
      </x:c>
      <x:c r="K15" s="333" t="str"/>
    </x:row>
    <x:row r="16">
      <x:c r="A16" s="337" t="str">
        <x:v>REL-012</x:v>
      </x:c>
      <x:c r="B16" s="338" t="str">
        <x:v>TaskContract</x:v>
      </x:c>
      <x:c r="C16" s="338" t="str">
        <x:v>requires</x:v>
      </x:c>
      <x:c r="D16" s="338" t="str">
        <x:v>Capability</x:v>
      </x:c>
      <x:c r="E16" s="338" t="str">
        <x:v>M:N</x:v>
      </x:c>
      <x:c r="F16" s="338" t="str">
        <x:v>Capability trace</x:v>
      </x:c>
      <x:c r="G16" s="338" t="str">
        <x:v>Required capability does not imply evidence will be produced.</x:v>
      </x:c>
      <x:c r="H16" s="338" t="str">
        <x:v>task_required_capabilities</x:v>
      </x:c>
      <x:c r="I16" s="338" t="str">
        <x:v>Critical</x:v>
      </x:c>
      <x:c r="J16" s="338" t="str">
        <x:v>Draft Complete</x:v>
      </x:c>
      <x:c r="K16" s="339" t="str"/>
    </x:row>
    <x:row r="17">
      <x:c r="A17" s="332" t="str">
        <x:v>REL-013</x:v>
      </x:c>
      <x:c r="B17" s="114" t="str">
        <x:v>AcceptanceCriterion</x:v>
      </x:c>
      <x:c r="C17" s="114" t="str">
        <x:v>requires</x:v>
      </x:c>
      <x:c r="D17" s="114" t="str">
        <x:v>EvidenceRequirement</x:v>
      </x:c>
      <x:c r="E17" s="114" t="str">
        <x:v>1:N</x:v>
      </x:c>
      <x:c r="F17" s="114" t="str">
        <x:v>Evidence rule</x:v>
      </x:c>
      <x:c r="G17" s="114" t="str">
        <x:v>Criteria with no evidence requirement are not machine-assessable.</x:v>
      </x:c>
      <x:c r="H17" s="114" t="str">
        <x:v>evidence_requirements.target_type/id</x:v>
      </x:c>
      <x:c r="I17" s="114" t="str">
        <x:v>Critical</x:v>
      </x:c>
      <x:c r="J17" s="114" t="str">
        <x:v>Draft Complete</x:v>
      </x:c>
      <x:c r="K17" s="333" t="str"/>
    </x:row>
    <x:row r="18">
      <x:c r="A18" s="337" t="str">
        <x:v>REL-014</x:v>
      </x:c>
      <x:c r="B18" s="338" t="str">
        <x:v>QualityGate</x:v>
      </x:c>
      <x:c r="C18" s="338" t="str">
        <x:v>blocks or supports</x:v>
      </x:c>
      <x:c r="D18" s="338" t="str">
        <x:v>TaskContract completion</x:v>
      </x:c>
      <x:c r="E18" s="338" t="str">
        <x:v>N:1</x:v>
      </x:c>
      <x:c r="F18" s="338" t="str">
        <x:v>Completion state</x:v>
      </x:c>
      <x:c r="G18" s="338" t="str">
        <x:v>Blocking gates prevent verified completion.</x:v>
      </x:c>
      <x:c r="H18" s="338" t="str">
        <x:v>quality_gates.task_contract_id</x:v>
      </x:c>
      <x:c r="I18" s="338" t="str">
        <x:v>High</x:v>
      </x:c>
      <x:c r="J18" s="338" t="str">
        <x:v>Draft Complete</x:v>
      </x:c>
      <x:c r="K18" s="339" t="str"/>
    </x:row>
    <x:row r="19">
      <x:c r="A19" s="332" t="str">
        <x:v>REL-015</x:v>
      </x:c>
      <x:c r="B19" s="114" t="str">
        <x:v>ActivityEvent</x:v>
      </x:c>
      <x:c r="C19" s="114" t="str">
        <x:v>groups into</x:v>
      </x:c>
      <x:c r="D19" s="114" t="str">
        <x:v>WorkEpisode</x:v>
      </x:c>
      <x:c r="E19" s="114" t="str">
        <x:v>N:1 derived</x:v>
      </x:c>
      <x:c r="F19" s="114" t="str">
        <x:v>Episode segmentation</x:v>
      </x:c>
      <x:c r="G19" s="114" t="str">
        <x:v>Episodes are derived and challengeable.</x:v>
      </x:c>
      <x:c r="H19" s="114" t="str">
        <x:v>episode_event_links</x:v>
      </x:c>
      <x:c r="I19" s="114" t="str">
        <x:v>High</x:v>
      </x:c>
      <x:c r="J19" s="114" t="str">
        <x:v>Draft Complete</x:v>
      </x:c>
      <x:c r="K19" s="333" t="str">
        <x:v>Stage 7</x:v>
      </x:c>
    </x:row>
    <x:row r="20">
      <x:c r="A20" s="337" t="str">
        <x:v>REL-016</x:v>
      </x:c>
      <x:c r="B20" s="338" t="str">
        <x:v>WorkEpisode</x:v>
      </x:c>
      <x:c r="C20" s="338" t="str">
        <x:v>aligned to</x:v>
      </x:c>
      <x:c r="D20" s="338" t="str">
        <x:v>TaskContract</x:v>
      </x:c>
      <x:c r="E20" s="338" t="str">
        <x:v>N:1</x:v>
      </x:c>
      <x:c r="F20" s="338" t="str">
        <x:v>Task alignment</x:v>
      </x:c>
      <x:c r="G20" s="338" t="str">
        <x:v>May be on-task, supporting, blocked, unrelated or insufficient evidence.</x:v>
      </x:c>
      <x:c r="H20" s="338" t="str">
        <x:v>work_episodes.task_contract_id</x:v>
      </x:c>
      <x:c r="I20" s="338" t="str">
        <x:v>High</x:v>
      </x:c>
      <x:c r="J20" s="338" t="str">
        <x:v>Draft Complete</x:v>
      </x:c>
      <x:c r="K20" s="339" t="str"/>
    </x:row>
    <x:row r="21">
      <x:c r="A21" s="332" t="str">
        <x:v>REL-017</x:v>
      </x:c>
      <x:c r="B21" s="114" t="str">
        <x:v>Artefact</x:v>
      </x:c>
      <x:c r="C21" s="114" t="str">
        <x:v>satisfies</x:v>
      </x:c>
      <x:c r="D21" s="114" t="str">
        <x:v>EvidenceRequirement</x:v>
      </x:c>
      <x:c r="E21" s="114" t="str">
        <x:v>M:N</x:v>
      </x:c>
      <x:c r="F21" s="114" t="str">
        <x:v>Evidence satisfaction</x:v>
      </x:c>
      <x:c r="G21" s="114" t="str">
        <x:v>Evidence can satisfy a criterion with confidence and review status.</x:v>
      </x:c>
      <x:c r="H21" s="114" t="str">
        <x:v>evidence_satisfactions</x:v>
      </x:c>
      <x:c r="I21" s="114" t="str">
        <x:v>Critical</x:v>
      </x:c>
      <x:c r="J21" s="114" t="str">
        <x:v>Draft Complete</x:v>
      </x:c>
      <x:c r="K21" s="333" t="str"/>
    </x:row>
    <x:row r="22">
      <x:c r="A22" s="337" t="str">
        <x:v>REL-018</x:v>
      </x:c>
      <x:c r="B22" s="338" t="str">
        <x:v>WorkEpisode</x:v>
      </x:c>
      <x:c r="C22" s="338" t="str">
        <x:v>contributes to</x:v>
      </x:c>
      <x:c r="D22" s="338" t="str">
        <x:v>CapabilityEvidence</x:v>
      </x:c>
      <x:c r="E22" s="338" t="str">
        <x:v>M:N</x:v>
      </x:c>
      <x:c r="F22" s="338" t="str">
        <x:v>Capability support</x:v>
      </x:c>
      <x:c r="G22" s="338" t="str">
        <x:v>Episode alone is insufficient; outcome/artefact evidence preferred.</x:v>
      </x:c>
      <x:c r="H22" s="338" t="str">
        <x:v>capability_evidence_refs</x:v>
      </x:c>
      <x:c r="I22" s="338" t="str">
        <x:v>High</x:v>
      </x:c>
      <x:c r="J22" s="338" t="str">
        <x:v>Draft Complete</x:v>
      </x:c>
      <x:c r="K22" s="339" t="str"/>
    </x:row>
    <x:row r="23">
      <x:c r="A23" s="332" t="str">
        <x:v>REL-019</x:v>
      </x:c>
      <x:c r="B23" s="114" t="str">
        <x:v>CapabilityEvidence</x:v>
      </x:c>
      <x:c r="C23" s="114" t="str">
        <x:v>updates</x:v>
      </x:c>
      <x:c r="D23" s="114" t="str">
        <x:v>PersonCapabilityState</x:v>
      </x:c>
      <x:c r="E23" s="114" t="str">
        <x:v>N:1</x:v>
      </x:c>
      <x:c r="F23" s="114" t="str">
        <x:v>Capability state update</x:v>
      </x:c>
      <x:c r="G23" s="114" t="str">
        <x:v>Update requires scoring, thresholds and review status.</x:v>
      </x:c>
      <x:c r="H23" s="114" t="str">
        <x:v>person_capability_states</x:v>
      </x:c>
      <x:c r="I23" s="114" t="str">
        <x:v>Critical</x:v>
      </x:c>
      <x:c r="J23" s="114" t="str">
        <x:v>Draft Complete</x:v>
      </x:c>
      <x:c r="K23" s="333" t="str"/>
    </x:row>
    <x:row r="24">
      <x:c r="A24" s="337" t="str">
        <x:v>REL-020</x:v>
      </x:c>
      <x:c r="B24" s="338" t="str">
        <x:v>CapabilityEvidence</x:v>
      </x:c>
      <x:c r="C24" s="338" t="str">
        <x:v>may confirm/challenge</x:v>
      </x:c>
      <x:c r="D24" s="338" t="str">
        <x:v>EmployeeClaim</x:v>
      </x:c>
      <x:c r="E24" s="338" t="str">
        <x:v>N:M</x:v>
      </x:c>
      <x:c r="F24" s="338" t="str">
        <x:v>Claim reconciliation</x:v>
      </x:c>
      <x:c r="G24" s="338" t="str">
        <x:v>Discrepancy must be neutral and context-aware.</x:v>
      </x:c>
      <x:c r="H24" s="338" t="str">
        <x:v>claim_evidence_links</x:v>
      </x:c>
      <x:c r="I24" s="338" t="str">
        <x:v>Critical</x:v>
      </x:c>
      <x:c r="J24" s="338" t="str">
        <x:v>Draft Complete</x:v>
      </x:c>
      <x:c r="K24" s="339" t="str"/>
    </x:row>
    <x:row r="25">
      <x:c r="A25" s="332" t="str">
        <x:v>REL-021</x:v>
      </x:c>
      <x:c r="B25" s="114" t="str">
        <x:v>Gap</x:v>
      </x:c>
      <x:c r="C25" s="114" t="str">
        <x:v>is inferred from</x:v>
      </x:c>
      <x:c r="D25" s="114" t="str">
        <x:v>TaskAssessment/CapabilityEvidence</x:v>
      </x:c>
      <x:c r="E25" s="114" t="str">
        <x:v>N:1</x:v>
      </x:c>
      <x:c r="F25" s="114" t="str">
        <x:v>Gap diagnosis</x:v>
      </x:c>
      <x:c r="G25" s="114" t="str">
        <x:v>Gap requires cause classification and review when high-impact.</x:v>
      </x:c>
      <x:c r="H25" s="114" t="str">
        <x:v>gaps.task_assessment_id</x:v>
      </x:c>
      <x:c r="I25" s="114" t="str">
        <x:v>High</x:v>
      </x:c>
      <x:c r="J25" s="114" t="str">
        <x:v>Draft Complete</x:v>
      </x:c>
      <x:c r="K25" s="333" t="str"/>
    </x:row>
    <x:row r="26">
      <x:c r="A26" s="337" t="str">
        <x:v>REL-022</x:v>
      </x:c>
      <x:c r="B26" s="338" t="str">
        <x:v>Gap</x:v>
      </x:c>
      <x:c r="C26" s="338" t="str">
        <x:v>triggers</x:v>
      </x:c>
      <x:c r="D26" s="338" t="str">
        <x:v>LearningIntervention</x:v>
      </x:c>
      <x:c r="E26" s="338" t="str">
        <x:v>1:N</x:v>
      </x:c>
      <x:c r="F26" s="338" t="str">
        <x:v>Learning loop</x:v>
      </x:c>
      <x:c r="G26" s="338" t="str">
        <x:v>Intervention chosen by gap type, severity and employee context.</x:v>
      </x:c>
      <x:c r="H26" s="338" t="str">
        <x:v>learning_interventions.gap_id</x:v>
      </x:c>
      <x:c r="I26" s="338" t="str">
        <x:v>High</x:v>
      </x:c>
      <x:c r="J26" s="338" t="str">
        <x:v>Draft Complete</x:v>
      </x:c>
      <x:c r="K26" s="339" t="str"/>
    </x:row>
    <x:row r="27">
      <x:c r="A27" s="332" t="str">
        <x:v>REL-023</x:v>
      </x:c>
      <x:c r="B27" s="114" t="str">
        <x:v>LearningIntervention</x:v>
      </x:c>
      <x:c r="C27" s="114" t="str">
        <x:v>requires applied proof through</x:v>
      </x:c>
      <x:c r="D27" s="114" t="str">
        <x:v>CapabilityEvidence</x:v>
      </x:c>
      <x:c r="E27" s="114" t="str">
        <x:v>N:1 optional</x:v>
      </x:c>
      <x:c r="F27" s="114" t="str">
        <x:v>Applied learning</x:v>
      </x:c>
      <x:c r="G27" s="114" t="str">
        <x:v>Completion cannot raise level unless subsequent evidence supports it.</x:v>
      </x:c>
      <x:c r="H27" s="114" t="str">
        <x:v>learning_interventions.outcome_evidence_id</x:v>
      </x:c>
      <x:c r="I27" s="114" t="str">
        <x:v>Critical</x:v>
      </x:c>
      <x:c r="J27" s="114" t="str">
        <x:v>Draft Complete</x:v>
      </x:c>
      <x:c r="K27" s="333" t="str"/>
    </x:row>
    <x:row r="28">
      <x:c r="A28" s="337" t="str">
        <x:v>REL-024</x:v>
      </x:c>
      <x:c r="B28" s="338" t="str">
        <x:v>ReviewDecision</x:v>
      </x:c>
      <x:c r="C28" s="338" t="str">
        <x:v>governs</x:v>
      </x:c>
      <x:c r="D28" s="338" t="str">
        <x:v>TaskAssessment/CapabilityState/Gaps/Disputes</x:v>
      </x:c>
      <x:c r="E28" s="338" t="str">
        <x:v>N:M</x:v>
      </x:c>
      <x:c r="F28" s="338" t="str">
        <x:v>Human review</x:v>
      </x:c>
      <x:c r="G28" s="338" t="str">
        <x:v>High-impact changes require review decision and rationale.</x:v>
      </x:c>
      <x:c r="H28" s="338" t="str">
        <x:v>review_subject_links</x:v>
      </x:c>
      <x:c r="I28" s="338" t="str">
        <x:v>Critical</x:v>
      </x:c>
      <x:c r="J28" s="338" t="str">
        <x:v>Draft Complete</x:v>
      </x:c>
      <x:c r="K28" s="339" t="str"/>
    </x:row>
    <x:row r="29">
      <x:c r="A29" s="334" t="str">
        <x:v>REL-025</x:v>
      </x:c>
      <x:c r="B29" s="335" t="str">
        <x:v>RoleReadiness</x:v>
      </x:c>
      <x:c r="C29" s="335" t="str">
        <x:v>compares</x:v>
      </x:c>
      <x:c r="D29" s="335" t="str">
        <x:v>PersonCapabilityState to RoleCapabilityRequirement</x:v>
      </x:c>
      <x:c r="E29" s="335" t="str">
        <x:v>Derived M:N</x:v>
      </x:c>
      <x:c r="F29" s="335" t="str">
        <x:v>Role fit/progression</x:v>
      </x:c>
      <x:c r="G29" s="335" t="str">
        <x:v>Readiness is developmental unless HR policy approves other use.</x:v>
      </x:c>
      <x:c r="H29" s="335" t="str">
        <x:v>materialized view or table</x:v>
      </x:c>
      <x:c r="I29" s="335" t="str">
        <x:v>Critical</x:v>
      </x:c>
      <x:c r="J29" s="335" t="str">
        <x:v>Draft Complete</x:v>
      </x:c>
      <x:c r="K29" s="336" t="str"/>
    </x:row>
  </x:sheetData>
  <x:mergeCells>
    <x:mergeCell ref="A1:K1"/>
    <x:mergeCell ref="A2:K2"/>
  </x:mergeCells>
  <x:dataValidations count="2">
    <x:dataValidation type="list" sqref="I5:I29">
      <x:formula1>"Critical,High,Medium,Low"</x:formula1>
    </x:dataValidation>
    <x:dataValidation type="list" sqref="J5:J29">
      <x:formula1>"Draft Complete,Needs Review,Approved,Deferred"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8" hidden="0" customWidth="1"/>
    <x:col min="3" max="3" width="16" hidden="0" customWidth="1"/>
    <x:col min="4" max="4" width="36" hidden="0" customWidth="1"/>
    <x:col min="5" max="5" width="36" hidden="0" customWidth="1"/>
    <x:col min="6" max="6" width="42" hidden="0" customWidth="1"/>
    <x:col min="7" max="7" width="30" hidden="0" customWidth="1"/>
    <x:col min="8" max="8" width="36" hidden="0" customWidth="1"/>
    <x:col min="9" max="9" width="38" hidden="0" customWidth="1"/>
    <x:col min="10" max="10" width="36" hidden="0" customWidth="1"/>
    <x:col min="11" max="11" width="36" hidden="0" customWidth="1"/>
    <x:col min="12" max="12" width="34" hidden="0" customWidth="1"/>
    <x:col min="13" max="13" width="34" hidden="0" customWidth="1"/>
    <x:col min="14" max="14" width="42" hidden="0" customWidth="1"/>
    <x:col min="15" max="15" width="18" hidden="0" customWidth="1"/>
  </x:cols>
  <x:sheetData>
    <x:row r="1" ht="30" customHeight="1">
      <x:c r="A1" s="294" t="str">
        <x:v>Stage 2 — Capability-Level Rubric</x:v>
      </x:c>
      <x:c r="B1" s="294"/>
      <x:c r="C1" s="294"/>
      <x:c r="D1" s="294"/>
      <x:c r="E1" s="294"/>
      <x:c r="F1" s="294"/>
      <x:c r="G1" s="294"/>
      <x:c r="H1" s="294"/>
      <x:c r="I1" s="294"/>
      <x:c r="J1" s="294"/>
      <x:c r="K1" s="294"/>
      <x:c r="L1" s="294"/>
      <x:c r="M1" s="294"/>
      <x:c r="N1" s="294"/>
      <x:c r="O1" s="294"/>
    </x:row>
    <x:row r="2" ht="36" customHeight="1">
      <x:c r="A2" s="298" t="str">
        <x:v>Observable developmental levels for every capability. Levels are evidence-backed, confidence-scored and contextual; they are not personality traits or permanent labels.</x:v>
      </x:c>
      <x:c r="B2" s="298"/>
      <x:c r="C2" s="298"/>
      <x:c r="D2" s="298"/>
      <x:c r="E2" s="298"/>
      <x:c r="F2" s="298"/>
      <x:c r="G2" s="298"/>
      <x:c r="H2" s="298"/>
      <x:c r="I2" s="298"/>
      <x:c r="J2" s="298"/>
      <x:c r="K2" s="298"/>
      <x:c r="L2" s="298"/>
      <x:c r="M2" s="298"/>
      <x:c r="N2" s="298"/>
      <x:c r="O2" s="298"/>
    </x:row>
    <x:row r="4" ht="30" customHeight="1">
      <x:c r="A4" s="310" t="str">
        <x:v>ID</x:v>
      </x:c>
      <x:c r="B4" s="311" t="str">
        <x:v>Level</x:v>
      </x:c>
      <x:c r="C4" s="311" t="str">
        <x:v>Label</x:v>
      </x:c>
      <x:c r="D4" s="311" t="str">
        <x:v>Summary</x:v>
      </x:c>
      <x:c r="E4" s="311" t="str">
        <x:v>Knowledge</x:v>
      </x:c>
      <x:c r="F4" s="311" t="str">
        <x:v>Execution</x:v>
      </x:c>
      <x:c r="G4" s="311" t="str">
        <x:v>Autonomy</x:v>
      </x:c>
      <x:c r="H4" s="311" t="str">
        <x:v>Complexity</x:v>
      </x:c>
      <x:c r="I4" s="311" t="str">
        <x:v>Quality</x:v>
      </x:c>
      <x:c r="J4" s="311" t="str">
        <x:v>Transfer</x:v>
      </x:c>
      <x:c r="K4" s="311" t="str">
        <x:v>Error recovery</x:v>
      </x:c>
      <x:c r="L4" s="311" t="str">
        <x:v>Mentoring</x:v>
      </x:c>
      <x:c r="M4" s="311" t="str">
        <x:v>Recommended use</x:v>
      </x:c>
      <x:c r="N4" s="311" t="str">
        <x:v>Misuse guardrail</x:v>
      </x:c>
      <x:c r="O4" s="312" t="str">
        <x:v>Status</x:v>
      </x:c>
    </x:row>
    <x:row r="5">
      <x:c r="A5" s="329" t="str">
        <x:v>CAPLVL-0</x:v>
      </x:c>
      <x:c r="B5" s="330" t="n">
        <x:v>0</x:v>
      </x:c>
      <x:c r="C5" s="330" t="str">
        <x:v>Unverified</x:v>
      </x:c>
      <x:c r="D5" s="330" t="str">
        <x:v>No reliable work evidence yet.</x:v>
      </x:c>
      <x:c r="E5" s="330" t="str">
        <x:v>May have declared interest or claim but no verified knowledge evidence.</x:v>
      </x:c>
      <x:c r="F5" s="330" t="str">
        <x:v>No verified execution evidence.</x:v>
      </x:c>
      <x:c r="G5" s="330" t="str">
        <x:v>No autonomy conclusion.</x:v>
      </x:c>
      <x:c r="H5" s="330" t="str">
        <x:v>No complexity conclusion.</x:v>
      </x:c>
      <x:c r="I5" s="330" t="str">
        <x:v>No quality conclusion.</x:v>
      </x:c>
      <x:c r="J5" s="330" t="str">
        <x:v>No transfer evidence.</x:v>
      </x:c>
      <x:c r="K5" s="330" t="str">
        <x:v>No recovery evidence.</x:v>
      </x:c>
      <x:c r="L5" s="330" t="str">
        <x:v>No mentoring expectation.</x:v>
      </x:c>
      <x:c r="M5" s="330" t="str">
        <x:v>Employee claim can remain Not Yet Observed.</x:v>
      </x:c>
      <x:c r="N5" s="330" t="str">
        <x:v>Do not treat as incapable; gather evidence.</x:v>
      </x:c>
      <x:c r="O5" s="331" t="str">
        <x:v>Draft Complete</x:v>
      </x:c>
    </x:row>
    <x:row r="6">
      <x:c r="A6" s="337" t="str">
        <x:v>CAPLVL-1</x:v>
      </x:c>
      <x:c r="B6" s="338" t="n">
        <x:v>1</x:v>
      </x:c>
      <x:c r="C6" s="338" t="str">
        <x:v>Learning</x:v>
      </x:c>
      <x:c r="D6" s="338" t="str">
        <x:v>Needs instruction and close guidance.</x:v>
      </x:c>
      <x:c r="E6" s="338" t="str">
        <x:v>Understands basic concepts after explanation; gaps are expected.</x:v>
      </x:c>
      <x:c r="F6" s="338" t="str">
        <x:v>Completes very small tasks or exercises with step-by-step guidance.</x:v>
      </x:c>
      <x:c r="G6" s="338" t="str">
        <x:v>Requires direct supervision and frequent correction.</x:v>
      </x:c>
      <x:c r="H6" s="338" t="str">
        <x:v>Handles simple controlled tasks only.</x:v>
      </x:c>
      <x:c r="I6" s="338" t="str">
        <x:v>Quality inconsistent; verification mostly guided.</x:v>
      </x:c>
      <x:c r="J6" s="338" t="str">
        <x:v>Limited to taught examples.</x:v>
      </x:c>
      <x:c r="K6" s="338" t="str">
        <x:v>Needs help diagnosing and recovering from errors.</x:v>
      </x:c>
      <x:c r="L6" s="338" t="str">
        <x:v>Can share learning notes but not coach others.</x:v>
      </x:c>
      <x:c r="M6" s="338" t="str">
        <x:v>Learning intervention and supported practice.</x:v>
      </x:c>
      <x:c r="N6" s="338" t="str">
        <x:v>Do not assign independent production-critical task.</x:v>
      </x:c>
      <x:c r="O6" s="339" t="str">
        <x:v>Draft Complete</x:v>
      </x:c>
    </x:row>
    <x:row r="7">
      <x:c r="A7" s="332" t="str">
        <x:v>CAPLVL-2</x:v>
      </x:c>
      <x:c r="B7" s="114" t="n">
        <x:v>2</x:v>
      </x:c>
      <x:c r="C7" s="114" t="str">
        <x:v>Assisted</x:v>
      </x:c>
      <x:c r="D7" s="114" t="str">
        <x:v>Can complete routine work with support.</x:v>
      </x:c>
      <x:c r="E7" s="114" t="str">
        <x:v>Explains common concepts and relevant constraints.</x:v>
      </x:c>
      <x:c r="F7" s="114" t="str">
        <x:v>Completes routine tasks with checklists, peer/AI help or reviewer support.</x:v>
      </x:c>
      <x:c r="G7" s="114" t="str">
        <x:v>Works with periodic guidance; escalates predictable blockers.</x:v>
      </x:c>
      <x:c r="H7" s="114" t="str">
        <x:v>Handles standard low-to-medium complexity tasks.</x:v>
      </x:c>
      <x:c r="I7" s="114" t="str">
        <x:v>Meets quality when criteria are clear and review is available.</x:v>
      </x:c>
      <x:c r="J7" s="114" t="str">
        <x:v>Transfers to closely related tools/contexts.</x:v>
      </x:c>
      <x:c r="K7" s="114" t="str">
        <x:v>Can recover from common errors using known guidance.</x:v>
      </x:c>
      <x:c r="L7" s="114" t="str">
        <x:v>Can help peers with narrow known routines.</x:v>
      </x:c>
      <x:c r="M7" s="114" t="str">
        <x:v>Routine tasks with review; training to increase independence.</x:v>
      </x:c>
      <x:c r="N7" s="114" t="str">
        <x:v>Do not interpret use of support as failure if role level is 2.</x:v>
      </x:c>
      <x:c r="O7" s="333" t="str">
        <x:v>Draft Complete</x:v>
      </x:c>
    </x:row>
    <x:row r="8">
      <x:c r="A8" s="337" t="str">
        <x:v>CAPLVL-3</x:v>
      </x:c>
      <x:c r="B8" s="338" t="n">
        <x:v>3</x:v>
      </x:c>
      <x:c r="C8" s="338" t="str">
        <x:v>Independent</x:v>
      </x:c>
      <x:c r="D8" s="338" t="str">
        <x:v>Reliably completes standard role work independently.</x:v>
      </x:c>
      <x:c r="E8" s="338" t="str">
        <x:v>Explains core concepts, trade-offs and risks.</x:v>
      </x:c>
      <x:c r="F8" s="338" t="str">
        <x:v>Completes standard tasks end-to-end with appropriate verification.</x:v>
      </x:c>
      <x:c r="G8" s="338" t="str">
        <x:v>Works independently; asks focused clarification when needed.</x:v>
      </x:c>
      <x:c r="H8" s="338" t="str">
        <x:v>Handles normal production complexity for the role.</x:v>
      </x:c>
      <x:c r="I8" s="338" t="str">
        <x:v>Consistently passes quality gates and documents residual risks.</x:v>
      </x:c>
      <x:c r="J8" s="338" t="str">
        <x:v>Transfers across related projects/tools with minimal support.</x:v>
      </x:c>
      <x:c r="K8" s="338" t="str">
        <x:v>Diagnoses and recovers from typical unexpected errors.</x:v>
      </x:c>
      <x:c r="L8" s="338" t="str">
        <x:v>Can guide peers on standard tasks.</x:v>
      </x:c>
      <x:c r="M8" s="338" t="str">
        <x:v>Eligible for role requirement requiring independent execution.</x:v>
      </x:c>
      <x:c r="N8" s="338" t="str">
        <x:v>One success is insufficient; require repeated evidence.</x:v>
      </x:c>
      <x:c r="O8" s="339" t="str">
        <x:v>Draft Complete</x:v>
      </x:c>
    </x:row>
    <x:row r="9">
      <x:c r="A9" s="332" t="str">
        <x:v>CAPLVL-4</x:v>
      </x:c>
      <x:c r="B9" s="114" t="n">
        <x:v>4</x:v>
      </x:c>
      <x:c r="C9" s="114" t="str">
        <x:v>Advanced</x:v>
      </x:c>
      <x:c r="D9" s="114" t="str">
        <x:v>Handles complex and non-routine work and improves team methods.</x:v>
      </x:c>
      <x:c r="E9" s="114" t="str">
        <x:v>Explains deeper system interactions, edge cases and risk trade-offs.</x:v>
      </x:c>
      <x:c r="F9" s="114" t="str">
        <x:v>Solves complex tasks, ambiguous problems and cross-system issues.</x:v>
      </x:c>
      <x:c r="G9" s="114" t="str">
        <x:v>Works independently and coordinates others or dependencies.</x:v>
      </x:c>
      <x:c r="H9" s="114" t="str">
        <x:v>Handles high complexity, ambiguity, partial information and high risk with appropriate escalation.</x:v>
      </x:c>
      <x:c r="I9" s="114" t="str">
        <x:v>Creates high-quality solutions and improves verification standards.</x:v>
      </x:c>
      <x:c r="J9" s="114" t="str">
        <x:v>Transfers capability to new domains, frameworks or teams.</x:v>
      </x:c>
      <x:c r="K9" s="114" t="str">
        <x:v>Diagnoses subtle failures and designs preventive controls.</x:v>
      </x:c>
      <x:c r="L9" s="114" t="str">
        <x:v>Coaches others and reviews complex work.</x:v>
      </x:c>
      <x:c r="M9" s="114" t="str">
        <x:v>Can own complex project areas and mentor.</x:v>
      </x:c>
      <x:c r="N9" s="114" t="str">
        <x:v>Requires evidence across varied contexts.</x:v>
      </x:c>
      <x:c r="O9" s="333" t="str">
        <x:v>Draft Complete</x:v>
      </x:c>
    </x:row>
    <x:row r="10">
      <x:c r="A10" s="340" t="str">
        <x:v>CAPLVL-5</x:v>
      </x:c>
      <x:c r="B10" s="341" t="n">
        <x:v>5</x:v>
      </x:c>
      <x:c r="C10" s="341" t="str">
        <x:v>Mastery</x:v>
      </x:c>
      <x:c r="D10" s="341" t="str">
        <x:v>Defines standards and advances organisational capability.</x:v>
      </x:c>
      <x:c r="E10" s="341" t="str">
        <x:v>Creates mental models, standards and teaching material for the organisation.</x:v>
      </x:c>
      <x:c r="F10" s="341" t="str">
        <x:v>Solves novel, strategic or critical problems; establishes reusable methods.</x:v>
      </x:c>
      <x:c r="G10" s="341" t="str">
        <x:v>Leads without routine supervision; sets direction and quality norms.</x:v>
      </x:c>
      <x:c r="H10" s="341" t="str">
        <x:v>Handles novel high-impact complexity and uncertainty.</x:v>
      </x:c>
      <x:c r="I10" s="341" t="str">
        <x:v>Defines and audits quality gates; reduces systemic failure modes.</x:v>
      </x:c>
      <x:c r="J10" s="341" t="str">
        <x:v>Transfers across domains and creates frameworks for others.</x:v>
      </x:c>
      <x:c r="K10" s="341" t="str">
        <x:v>Anticipates, prevents and recovers from systemic errors.</x:v>
      </x:c>
      <x:c r="L10" s="341" t="str">
        <x:v>Develops others, standards and reusable HumanOS skills.</x:v>
      </x:c>
      <x:c r="M10" s="341" t="str">
        <x:v>Candidate for Skill Forge contribution and expert reviewer role.</x:v>
      </x:c>
      <x:c r="N10" s="341" t="str">
        <x:v>Must not be awarded from volume or title alone.</x:v>
      </x:c>
      <x:c r="O10" s="342" t="str">
        <x:v>Draft Complete</x:v>
      </x:c>
    </x:row>
  </x:sheetData>
  <x:mergeCells>
    <x:mergeCell ref="A1:O1"/>
    <x:mergeCell ref="A2:O2"/>
  </x:mergeCells>
  <x:dataValidations count="1">
    <x:dataValidation type="list" sqref="O5:O10">
      <x:formula1>"Draft Complete,Needs Review,Approved,Deferred"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22" hidden="0" customWidth="1"/>
    <x:col min="5" max="5" width="44" hidden="0" customWidth="1"/>
    <x:col min="6" max="6" width="46" hidden="0" customWidth="1"/>
    <x:col min="7" max="7" width="42" hidden="0" customWidth="1"/>
    <x:col min="8" max="8" width="48" hidden="0" customWidth="1"/>
    <x:col min="9" max="9" width="44" hidden="0" customWidth="1"/>
    <x:col min="10" max="10" width="30" hidden="0" customWidth="1"/>
    <x:col min="11" max="11" width="46" hidden="0" customWidth="1"/>
    <x:col min="12" max="12" width="18" hidden="0" customWidth="1"/>
    <x:col min="13" max="13" width="28" hidden="0" customWidth="1"/>
  </x:cols>
  <x:sheetData>
    <x:row r="1" ht="30" customHeight="1">
      <x:c r="A1" s="294" t="str">
        <x:v>Stage 2 — Role Templates</x:v>
      </x:c>
      <x:c r="B1" s="294"/>
      <x:c r="C1" s="294"/>
      <x:c r="D1" s="294"/>
      <x:c r="E1" s="294"/>
      <x:c r="F1" s="294"/>
      <x:c r="G1" s="294"/>
      <x:c r="H1" s="294"/>
      <x:c r="I1" s="294"/>
      <x:c r="J1" s="294"/>
      <x:c r="K1" s="294"/>
      <x:c r="L1" s="294"/>
      <x:c r="M1" s="294"/>
    </x:row>
    <x:row r="2" ht="36" customHeight="1">
      <x:c r="A2" s="298" t="str">
        <x:v>Initial software-development role examples. These are not HR-approved job descriptions; they demonstrate how role requirements become capability contracts.</x:v>
      </x:c>
      <x:c r="B2" s="298"/>
      <x:c r="C2" s="298"/>
      <x:c r="D2" s="298"/>
      <x:c r="E2" s="298"/>
      <x:c r="F2" s="298"/>
      <x:c r="G2" s="298"/>
      <x:c r="H2" s="298"/>
      <x:c r="I2" s="298"/>
      <x:c r="J2" s="298"/>
      <x:c r="K2" s="298"/>
      <x:c r="L2" s="298"/>
      <x:c r="M2" s="298"/>
    </x:row>
    <x:row r="4" ht="30" customHeight="1">
      <x:c r="A4" s="310" t="str">
        <x:v>Role ID</x:v>
      </x:c>
      <x:c r="B4" s="311" t="str">
        <x:v>Role template</x:v>
      </x:c>
      <x:c r="C4" s="311" t="str">
        <x:v>Role family</x:v>
      </x:c>
      <x:c r="D4" s="311" t="str">
        <x:v>Target level</x:v>
      </x:c>
      <x:c r="E4" s="311" t="str">
        <x:v>Purpose / outcomes</x:v>
      </x:c>
      <x:c r="F4" s="311" t="str">
        <x:v>Responsibilities</x:v>
      </x:c>
      <x:c r="G4" s="311" t="str">
        <x:v>Tools / environments</x:v>
      </x:c>
      <x:c r="H4" s="311" t="str">
        <x:v>Evidence of readiness</x:v>
      </x:c>
      <x:c r="I4" s="311" t="str">
        <x:v>Required capabilities</x:v>
      </x:c>
      <x:c r="J4" s="311" t="str">
        <x:v>Task complexity</x:v>
      </x:c>
      <x:c r="K4" s="311" t="str">
        <x:v>Fairness / misuse guardrail</x:v>
      </x:c>
      <x:c r="L4" s="311" t="str">
        <x:v>Status</x:v>
      </x:c>
      <x:c r="M4" s="312" t="str">
        <x:v>Source / basis</x:v>
      </x:c>
    </x:row>
    <x:row r="5">
      <x:c r="A5" s="329" t="str">
        <x:v>ROLE-DEV-001</x:v>
      </x:c>
      <x:c r="B5" s="330" t="str">
        <x:v>Software Engineer I</x:v>
      </x:c>
      <x:c r="C5" s="330" t="str">
        <x:v>Software Engineering</x:v>
      </x:c>
      <x:c r="D5" s="330" t="str">
        <x:v>Level 2 Assisted → Level 3 Independent</x:v>
      </x:c>
      <x:c r="E5" s="330" t="str">
        <x:v>Implement scoped features/bug fixes; write tests; use Git; review AI output; escalate blockers.</x:v>
      </x:c>
      <x:c r="F5" s="330" t="str">
        <x:v>Backend/API, frontend implementation, tests, Git workflow, AI supervision basics</x:v>
      </x:c>
      <x:c r="G5" s="330" t="str">
        <x:v>Python/Java/TypeScript; IDE; GitHub; CI; Codex/Claude Code under supervision</x:v>
      </x:c>
      <x:c r="H5" s="330" t="str">
        <x:v>Completed routine tasks with tests; PRs approved with minor changes; safe AI use; evidence of responding to feedback.</x:v>
      </x:c>
      <x:c r="I5" s="330" t="str">
        <x:v>Feature implementation L2–3; test-driven debugging L2–3; Git workflow L2–3; AI-agent supervision L2.</x:v>
      </x:c>
      <x:c r="J5" s="330" t="str">
        <x:v>Low–medium complexity; direct team support available.</x:v>
      </x:c>
      <x:c r="K5" s="330" t="str">
        <x:v>Gaps first create coaching/training; no adverse claim from single task.</x:v>
      </x:c>
      <x:c r="L5" s="330" t="str">
        <x:v>Draft Complete</x:v>
      </x:c>
      <x:c r="M5" s="331" t="str">
        <x:v>Stage 2 examples</x:v>
      </x:c>
    </x:row>
    <x:row r="6">
      <x:c r="A6" s="337" t="str">
        <x:v>ROLE-DEV-002</x:v>
      </x:c>
      <x:c r="B6" s="338" t="str">
        <x:v>Software Engineer II</x:v>
      </x:c>
      <x:c r="C6" s="338" t="str">
        <x:v>Software Engineering</x:v>
      </x:c>
      <x:c r="D6" s="338" t="str">
        <x:v>Level 3 Independent</x:v>
      </x:c>
      <x:c r="E6" s="338" t="str">
        <x:v>Deliver standard production tasks independently; diagnose defects; use AI agents responsibly; document trade-offs.</x:v>
      </x:c>
      <x:c r="F6" s="338" t="str">
        <x:v>API design, debugging, test discipline, secure coding basics, review readiness</x:v>
      </x:c>
      <x:c r="G6" s="338" t="str">
        <x:v>Project stack; CI/CD; observability; AI agents</x:v>
      </x:c>
      <x:c r="H6" s="338" t="str">
        <x:v>Repeated independent completion; targeted/full tests; low rework; good task evidence; clear PR explanations.</x:v>
      </x:c>
      <x:c r="I6" s="338" t="str">
        <x:v>Feature implementation L3; debugging L3; secure coding L2–3; AI supervision L3; task decomposition L3.</x:v>
      </x:c>
      <x:c r="J6" s="338" t="str">
        <x:v>Medium complexity; some ambiguity.</x:v>
      </x:c>
      <x:c r="K6" s="338" t="str">
        <x:v>Support requests are valid when requirements/access are incomplete.</x:v>
      </x:c>
      <x:c r="L6" s="338" t="str">
        <x:v>Draft Complete</x:v>
      </x:c>
      <x:c r="M6" s="339" t="str">
        <x:v>Stage 2 examples</x:v>
      </x:c>
    </x:row>
    <x:row r="7">
      <x:c r="A7" s="332" t="str">
        <x:v>ROLE-DEV-003</x:v>
      </x:c>
      <x:c r="B7" s="114" t="str">
        <x:v>Senior Software Engineer</x:v>
      </x:c>
      <x:c r="C7" s="114" t="str">
        <x:v>Software Engineering</x:v>
      </x:c>
      <x:c r="D7" s="114" t="str">
        <x:v>Level 4 Advanced</x:v>
      </x:c>
      <x:c r="E7" s="114" t="str">
        <x:v>Own complex features, architecture decisions, mentoring and quality improvement.</x:v>
      </x:c>
      <x:c r="F7" s="114" t="str">
        <x:v>Architecture, cross-service debugging, security, performance, review leadership, AI governance</x:v>
      </x:c>
      <x:c r="G7" s="114" t="str">
        <x:v>Distributed services; Java/Spring; Python services; databases; CI/CD; observability</x:v>
      </x:c>
      <x:c r="H7" s="114" t="str">
        <x:v>Solves complex issues; improves standards; mentors; reduces defects; converts patterns into reusable skills/playbooks.</x:v>
      </x:c>
      <x:c r="I7" s="114" t="str">
        <x:v>Architecture L4; secure coding L4; debugging L4; mentorship L3–4; Skill Forge contribution L3–4.</x:v>
      </x:c>
      <x:c r="J7" s="114" t="str">
        <x:v>High complexity; ambiguous requirements.</x:v>
      </x:c>
      <x:c r="K7" s="114" t="str">
        <x:v>Advanced role still needs task context and cannot be judged from speed alone.</x:v>
      </x:c>
      <x:c r="L7" s="114" t="str">
        <x:v>Draft Complete</x:v>
      </x:c>
      <x:c r="M7" s="333" t="str">
        <x:v>Stage 2 examples</x:v>
      </x:c>
    </x:row>
    <x:row r="8">
      <x:c r="A8" s="337" t="str">
        <x:v>ROLE-QA-001</x:v>
      </x:c>
      <x:c r="B8" s="338" t="str">
        <x:v>QA / Test Automation Engineer</x:v>
      </x:c>
      <x:c r="C8" s="338" t="str">
        <x:v>Quality Engineering</x:v>
      </x:c>
      <x:c r="D8" s="338" t="str">
        <x:v>Level 3 Independent</x:v>
      </x:c>
      <x:c r="E8" s="338" t="str">
        <x:v>Create, maintain and execute automated/manual quality gates; reproduce defects; validate acceptance criteria.</x:v>
      </x:c>
      <x:c r="F8" s="338" t="str">
        <x:v>Test design, automation, defect triage, acceptance criteria, evidence documentation</x:v>
      </x:c>
      <x:c r="G8" s="338" t="str">
        <x:v>Test frameworks; CI; browsers/devices; issue tracker; AI-assisted test generation</x:v>
      </x:c>
      <x:c r="H8" s="338" t="str">
        <x:v>Reliable reproduction; clear failing/passing evidence; automation merged; defects classified; false positives controlled.</x:v>
      </x:c>
      <x:c r="I8" s="338" t="str">
        <x:v>Test design L3; debugging L2–3; evidence documentation L3; AI supervision L2–3.</x:v>
      </x:c>
      <x:c r="J8" s="338" t="str">
        <x:v>Medium complexity; cross-browser/tool variation.</x:v>
      </x:c>
      <x:c r="K8" s="338" t="str">
        <x:v>Exploratory testing and careful observation are valid work even with low code output.</x:v>
      </x:c>
      <x:c r="L8" s="338" t="str">
        <x:v>Draft Complete</x:v>
      </x:c>
      <x:c r="M8" s="339" t="str">
        <x:v>Stage 2 examples</x:v>
      </x:c>
    </x:row>
    <x:row r="9">
      <x:c r="A9" s="332" t="str">
        <x:v>ROLE-OPS-001</x:v>
      </x:c>
      <x:c r="B9" s="114" t="str">
        <x:v>DevOps / Platform Engineer</x:v>
      </x:c>
      <x:c r="C9" s="114" t="str">
        <x:v>Platform Engineering</x:v>
      </x:c>
      <x:c r="D9" s="114" t="str">
        <x:v>Level 3–4</x:v>
      </x:c>
      <x:c r="E9" s="114" t="str">
        <x:v>Maintain environments, pipelines, deployment reliability, infrastructure automation and incident support.</x:v>
      </x:c>
      <x:c r="F9" s="114" t="str">
        <x:v>CI/CD, containers, cloud, observability, scripting, security, incident response</x:v>
      </x:c>
      <x:c r="G9" s="114" t="str">
        <x:v>Docker/Kubernetes/cloud; CI; Terraform; logs/metrics/traces; shell; AI agents</x:v>
      </x:c>
      <x:c r="H9" s="114" t="str">
        <x:v>Successful deployment/pipeline changes; rollback readiness; incident evidence; infra tests; audit trail.</x:v>
      </x:c>
      <x:c r="I9" s="114" t="str">
        <x:v>CI/CD L3; automation L3; incident response L3–4; secure operations L3.</x:v>
      </x:c>
      <x:c r="J9" s="114" t="str">
        <x:v>Medium–high complexity; production risk.</x:v>
      </x:c>
      <x:c r="K9" s="114" t="str">
        <x:v>Waiting on deployments/builds must be classified as automated execution/wait, not idle.</x:v>
      </x:c>
      <x:c r="L9" s="114" t="str">
        <x:v>Draft Complete</x:v>
      </x:c>
      <x:c r="M9" s="333" t="str">
        <x:v>Stage 2 examples</x:v>
      </x:c>
    </x:row>
    <x:row r="10">
      <x:c r="A10" s="340" t="str">
        <x:v>ROLE-LEAD-001</x:v>
      </x:c>
      <x:c r="B10" s="341" t="str">
        <x:v>Technical Lead</x:v>
      </x:c>
      <x:c r="C10" s="341" t="str">
        <x:v>Engineering Leadership</x:v>
      </x:c>
      <x:c r="D10" s="341" t="str">
        <x:v>Level 4 Advanced → Level 5 Mastery</x:v>
      </x:c>
      <x:c r="E10" s="341" t="str">
        <x:v>Plan work, decompose tasks, review outcomes, mentor engineers, ensure quality and improve team standards.</x:v>
      </x:c>
      <x:c r="F10" s="341" t="str">
        <x:v>Technical judgement, planning, review, coaching, architecture, delivery risk, AI-work governance</x:v>
      </x:c>
      <x:c r="G10" s="341" t="str">
        <x:v>HumanOS project/task tools; Git/CI; architecture docs; AI agents; dashboards</x:v>
      </x:c>
      <x:c r="H10" s="341" t="str">
        <x:v>Clear task contracts; effective review; reduction in rework; improved team capability; reusable patterns in Skill Forge.</x:v>
      </x:c>
      <x:c r="I10" s="341" t="str">
        <x:v>Task decomposition L4; review L4; mentorship L4; architecture L4; skill creation L3–5.</x:v>
      </x:c>
      <x:c r="J10" s="341" t="str">
        <x:v>High ambiguity and multi-person coordination.</x:v>
      </x:c>
      <x:c r="K10" s="341" t="str">
        <x:v>Lead performance should not be assessed solely from their own keyboard/screen output.</x:v>
      </x:c>
      <x:c r="L10" s="341" t="str">
        <x:v>Draft Complete</x:v>
      </x:c>
      <x:c r="M10" s="342" t="str">
        <x:v>Stage 2 examples</x:v>
      </x:c>
    </x:row>
  </x:sheetData>
  <x:mergeCells>
    <x:mergeCell ref="A1:M1"/>
    <x:mergeCell ref="A2:M2"/>
  </x:mergeCells>
  <x:dataValidations count="1">
    <x:dataValidation type="list" sqref="L5:L10">
      <x:formula1>"Draft Complete,Needs Review,Approved,Deferred"</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5" hidden="0" customWidth="1"/>
    <x:col min="2" max="2" width="32" hidden="0" customWidth="1"/>
    <x:col min="3" max="3" width="20" hidden="0" customWidth="1"/>
    <x:col min="4" max="4" width="44" hidden="0" customWidth="1"/>
    <x:col min="5" max="5" width="48" hidden="0" customWidth="1"/>
    <x:col min="6" max="6" width="54" hidden="0" customWidth="1"/>
    <x:col min="7" max="7" width="50" hidden="0" customWidth="1"/>
    <x:col min="8" max="8" width="36" hidden="0" customWidth="1"/>
    <x:col min="9" max="9" width="14" hidden="0" customWidth="1"/>
    <x:col min="10" max="10" width="44" hidden="0" customWidth="1"/>
    <x:col min="11" max="11" width="48" hidden="0" customWidth="1"/>
    <x:col min="12" max="12" width="18" hidden="0" customWidth="1"/>
    <x:col min="13" max="13" width="28" hidden="0" customWidth="1"/>
  </x:cols>
  <x:sheetData>
    <x:row r="1" ht="30" customHeight="1">
      <x:c r="A1" s="294" t="str">
        <x:v>Stage 2 — Task Contract Templates</x:v>
      </x:c>
      <x:c r="B1" s="294"/>
      <x:c r="C1" s="294"/>
      <x:c r="D1" s="294"/>
      <x:c r="E1" s="294"/>
      <x:c r="F1" s="294"/>
      <x:c r="G1" s="294"/>
      <x:c r="H1" s="294"/>
      <x:c r="I1" s="294"/>
      <x:c r="J1" s="294"/>
      <x:c r="K1" s="294"/>
      <x:c r="L1" s="294"/>
      <x:c r="M1" s="294"/>
    </x:row>
    <x:row r="2" ht="36" customHeight="1">
      <x:c r="A2" s="298" t="str">
        <x:v>Representative Task Execution Contracts. These examples show how HumanOS tasks become objective, reviewable and evidence-linked.</x:v>
      </x:c>
      <x:c r="B2" s="298"/>
      <x:c r="C2" s="298"/>
      <x:c r="D2" s="298"/>
      <x:c r="E2" s="298"/>
      <x:c r="F2" s="298"/>
      <x:c r="G2" s="298"/>
      <x:c r="H2" s="298"/>
      <x:c r="I2" s="298"/>
      <x:c r="J2" s="298"/>
      <x:c r="K2" s="298"/>
      <x:c r="L2" s="298"/>
      <x:c r="M2" s="298"/>
    </x:row>
    <x:row r="4" ht="30" customHeight="1">
      <x:c r="A4" s="310" t="str">
        <x:v>Task template ID</x:v>
      </x:c>
      <x:c r="B4" s="311" t="str">
        <x:v>Task template</x:v>
      </x:c>
      <x:c r="C4" s="311" t="str">
        <x:v>Domain</x:v>
      </x:c>
      <x:c r="D4" s="311" t="str">
        <x:v>Objective</x:v>
      </x:c>
      <x:c r="E4" s="311" t="str">
        <x:v>Required capabilities</x:v>
      </x:c>
      <x:c r="F4" s="311" t="str">
        <x:v>Acceptance criteria</x:v>
      </x:c>
      <x:c r="G4" s="311" t="str">
        <x:v>Evidence requirements</x:v>
      </x:c>
      <x:c r="H4" s="311" t="str">
        <x:v>Quality gates</x:v>
      </x:c>
      <x:c r="I4" s="311" t="str">
        <x:v>Difficulty</x:v>
      </x:c>
      <x:c r="J4" s="311" t="str">
        <x:v>Valid work methods</x:v>
      </x:c>
      <x:c r="K4" s="311" t="str">
        <x:v>Invalid / weak evidence</x:v>
      </x:c>
      <x:c r="L4" s="311" t="str">
        <x:v>Status</x:v>
      </x:c>
      <x:c r="M4" s="312" t="str">
        <x:v>Source / basis</x:v>
      </x:c>
    </x:row>
    <x:row r="5">
      <x:c r="A5" s="329" t="str">
        <x:v>TASK-API-001</x:v>
      </x:c>
      <x:c r="B5" s="330" t="str">
        <x:v>Fix refresh-token reuse vulnerability</x:v>
      </x:c>
      <x:c r="C5" s="330" t="str">
        <x:v>Security/backend</x:v>
      </x:c>
      <x:c r="D5" s="330" t="str">
        <x:v>Reject token reuse while preserving valid refresh flow.</x:v>
      </x:c>
      <x:c r="E5" s="330" t="str">
        <x:v>Authentication debugging L3; secure coding L3; test-driven debugging L3; AI supervision L2–3</x:v>
      </x:c>
      <x:c r="F5" s="330" t="str">
        <x:v>Reproduce defect; root cause documented; token reuse rejected; valid refresh still works; tests pass; no secrets in logs; PR explanation.</x:v>
      </x:c>
      <x:c r="G5" s="330" t="str">
        <x:v>Failing test before fix; code diff; targeted tests; regression tests; security log review; PR.</x:v>
      </x:c>
      <x:c r="H5" s="330" t="str">
        <x:v>Unit/integration tests; security review; code review.</x:v>
      </x:c>
      <x:c r="I5" s="330" t="str">
        <x:v>Medium–high</x:v>
      </x:c>
      <x:c r="J5" s="330" t="str">
        <x:v>On-task debugging, supporting research, AI-assisted patch, automated test wait.</x:v>
      </x:c>
      <x:c r="K5" s="330" t="str">
        <x:v>Changing expiry only without invalidation evidence; no regression tests; secrets in logs.</x:v>
      </x:c>
      <x:c r="L5" s="330" t="str">
        <x:v>Draft Complete</x:v>
      </x:c>
      <x:c r="M5" s="331" t="str">
        <x:v>Software-dev pilot</x:v>
      </x:c>
    </x:row>
    <x:row r="6">
      <x:c r="A6" s="337" t="str">
        <x:v>TASK-API-002</x:v>
      </x:c>
      <x:c r="B6" s="338" t="str">
        <x:v>Implement paginated API endpoint</x:v>
      </x:c>
      <x:c r="C6" s="338" t="str">
        <x:v>Backend/API</x:v>
      </x:c>
      <x:c r="D6" s="338" t="str">
        <x:v>Deliver endpoint with pagination, validation, tests and docs.</x:v>
      </x:c>
      <x:c r="E6" s="338" t="str">
        <x:v>API design L2–3; Java/Spring L2–3; testing L2–3; Git workflow L2</x:v>
      </x:c>
      <x:c r="F6" s="338" t="str">
        <x:v>Endpoint returns correct page; invalid params handled; performance acceptable; docs updated; tests pass.</x:v>
      </x:c>
      <x:c r="G6" s="338" t="str">
        <x:v>OpenAPI diff; code diff; unit/controller tests; performance notes; PR.</x:v>
      </x:c>
      <x:c r="H6" s="338" t="str">
        <x:v>API contract validation; test suite; review.</x:v>
      </x:c>
      <x:c r="I6" s="338" t="str">
        <x:v>Medium</x:v>
      </x:c>
      <x:c r="J6" s="338" t="str">
        <x:v>Implementation, documentation, test execution.</x:v>
      </x:c>
      <x:c r="K6" s="338" t="str">
        <x:v>Only happy-path test; undocumented query params; breaking existing clients.</x:v>
      </x:c>
      <x:c r="L6" s="338" t="str">
        <x:v>Draft Complete</x:v>
      </x:c>
      <x:c r="M6" s="339" t="str">
        <x:v>OpenAPI</x:v>
      </x:c>
    </x:row>
    <x:row r="7">
      <x:c r="A7" s="332" t="str">
        <x:v>TASK-API-003</x:v>
      </x:c>
      <x:c r="B7" s="114" t="str">
        <x:v>Diagnose intermittent 500 error</x:v>
      </x:c>
      <x:c r="C7" s="114" t="str">
        <x:v>Backend/debugging</x:v>
      </x:c>
      <x:c r="D7" s="114" t="str">
        <x:v>Identify cause, reproduce and fix or create supported escalation evidence.</x:v>
      </x:c>
      <x:c r="E7" s="114" t="str">
        <x:v>Debugging L3; observability L2–3; incident analysis L3</x:v>
      </x:c>
      <x:c r="F7" s="114" t="str">
        <x:v>Reproduction or trace evidence; root cause or narrowed hypothesis; fix/tests or escalation package.</x:v>
      </x:c>
      <x:c r="G7" s="114" t="str">
        <x:v>Logs/traces; failing request; timeline; code diff or incident note; test result.</x:v>
      </x:c>
      <x:c r="H7" s="114" t="str">
        <x:v>Reviewer verifies diagnosis; no speculative conclusion.</x:v>
      </x:c>
      <x:c r="I7" s="114" t="str">
        <x:v>Medium–high</x:v>
      </x:c>
      <x:c r="J7" s="114" t="str">
        <x:v>Reading logs is work; waiting for reproduction is not idle.</x:v>
      </x:c>
      <x:c r="K7" s="114" t="str">
        <x:v>Confident fix without evidence; broad unrelated changes.</x:v>
      </x:c>
      <x:c r="L7" s="114" t="str">
        <x:v>Draft Complete</x:v>
      </x:c>
      <x:c r="M7" s="333" t="str">
        <x:v>NIST NICE task/evidence model</x:v>
      </x:c>
    </x:row>
    <x:row r="8">
      <x:c r="A8" s="337" t="str">
        <x:v>TASK-FE-001</x:v>
      </x:c>
      <x:c r="B8" s="338" t="str">
        <x:v>Implement accessible form validation</x:v>
      </x:c>
      <x:c r="C8" s="338" t="str">
        <x:v>Frontend/UI</x:v>
      </x:c>
      <x:c r="D8" s="338" t="str">
        <x:v>Add validation while preserving accessibility and UX.</x:v>
      </x:c>
      <x:c r="E8" s="338" t="str">
        <x:v>Frontend implementation L2–3; accessibility L2–3; testing L2</x:v>
      </x:c>
      <x:c r="F8" s="338" t="str">
        <x:v>Keyboard navigation; screen-reader labels; validation messages; tests; design match.</x:v>
      </x:c>
      <x:c r="G8" s="338" t="str">
        <x:v>UI diff; screenshots; accessibility check; component tests; review.</x:v>
      </x:c>
      <x:c r="H8" s="338" t="str">
        <x:v>A11y check; browser/device check; code review.</x:v>
      </x:c>
      <x:c r="I8" s="338" t="str">
        <x:v>Medium</x:v>
      </x:c>
      <x:c r="J8" s="338" t="str">
        <x:v>UI interaction/testing generates visual evidence.</x:v>
      </x:c>
      <x:c r="K8" s="338" t="str">
        <x:v>Visual-only validation; inaccessible error messages.</x:v>
      </x:c>
      <x:c r="L8" s="338" t="str">
        <x:v>Draft Complete</x:v>
      </x:c>
      <x:c r="M8" s="339" t="str">
        <x:v>Accessibility guardrail</x:v>
      </x:c>
    </x:row>
    <x:row r="9">
      <x:c r="A9" s="332" t="str">
        <x:v>TASK-QA-001</x:v>
      </x:c>
      <x:c r="B9" s="114" t="str">
        <x:v>Create regression tests for login flow</x:v>
      </x:c>
      <x:c r="C9" s="114" t="str">
        <x:v>QA/testing</x:v>
      </x:c>
      <x:c r="D9" s="114" t="str">
        <x:v>Automate login flow regression tests and document coverage.</x:v>
      </x:c>
      <x:c r="E9" s="114" t="str">
        <x:v>Test design L3; automation L3; evidence documentation L3</x:v>
      </x:c>
      <x:c r="F9" s="114" t="str">
        <x:v>Tests cover success/failure; deterministic; CI-ready; results attached.</x:v>
      </x:c>
      <x:c r="G9" s="114" t="str">
        <x:v>Test files; CI run; failure/success screenshots if applicable; coverage note.</x:v>
      </x:c>
      <x:c r="H9" s="114" t="str">
        <x:v>CI pass; flaky-test review.</x:v>
      </x:c>
      <x:c r="I9" s="114" t="str">
        <x:v>Medium</x:v>
      </x:c>
      <x:c r="J9" s="114" t="str">
        <x:v>Test writing, running, diagnosing failures.</x:v>
      </x:c>
      <x:c r="K9" s="114" t="str">
        <x:v>Flaky tests accepted; no negative case.</x:v>
      </x:c>
      <x:c r="L9" s="114" t="str">
        <x:v>Draft Complete</x:v>
      </x:c>
      <x:c r="M9" s="333" t="str">
        <x:v>QA role</x:v>
      </x:c>
    </x:row>
    <x:row r="10">
      <x:c r="A10" s="337" t="str">
        <x:v>TASK-QA-002</x:v>
      </x:c>
      <x:c r="B10" s="338" t="str">
        <x:v>Reproduce customer-reported defect</x:v>
      </x:c>
      <x:c r="C10" s="338" t="str">
        <x:v>QA/debugging</x:v>
      </x:c>
      <x:c r="D10" s="338" t="str">
        <x:v>Convert vague report into reproducible evidence or ruled-out reproduction package.</x:v>
      </x:c>
      <x:c r="E10" s="338" t="str">
        <x:v>Defect triage L3; communication L2–3; evidence documentation L3</x:v>
      </x:c>
      <x:c r="F10" s="338" t="str">
        <x:v>Steps, environment, expected/actual, logs/screens, severity, reproducibility state.</x:v>
      </x:c>
      <x:c r="G10" s="338" t="str">
        <x:v>Repro video/screenshot; browser/device metadata; issue update; logs.</x:v>
      </x:c>
      <x:c r="H10" s="338" t="str">
        <x:v>Reviewer validates steps.</x:v>
      </x:c>
      <x:c r="I10" s="338" t="str">
        <x:v>Low–medium</x:v>
      </x:c>
      <x:c r="J10" s="338" t="str">
        <x:v>Exploratory activity is valid when evidence is collected.</x:v>
      </x:c>
      <x:c r="K10" s="338" t="str">
        <x:v>Closing as unreproducible without environment evidence.</x:v>
      </x:c>
      <x:c r="L10" s="338" t="str">
        <x:v>Draft Complete</x:v>
      </x:c>
      <x:c r="M10" s="339" t="str">
        <x:v>Task mining/task evidence</x:v>
      </x:c>
    </x:row>
    <x:row r="11">
      <x:c r="A11" s="332" t="str">
        <x:v>TASK-OPS-001</x:v>
      </x:c>
      <x:c r="B11" s="114" t="str">
        <x:v>Repair failing CI pipeline</x:v>
      </x:c>
      <x:c r="C11" s="114" t="str">
        <x:v>DevOps/CI</x:v>
      </x:c>
      <x:c r="D11" s="114" t="str">
        <x:v>Restore CI with root-cause explanation and preventive evidence.</x:v>
      </x:c>
      <x:c r="E11" s="114" t="str">
        <x:v>CI/CD L3; shell/debugging L3; automation L3</x:v>
      </x:c>
      <x:c r="F11" s="114" t="str">
        <x:v>Failure identified; fix scoped; CI passes; no secrets exposed; rollback/impact note.</x:v>
      </x:c>
      <x:c r="G11" s="114" t="str">
        <x:v>CI logs; command history; config diff; passing run; PR.</x:v>
      </x:c>
      <x:c r="H11" s="114" t="str">
        <x:v>CI pass; reviewer verifies config.</x:v>
      </x:c>
      <x:c r="I11" s="114" t="str">
        <x:v>Medium</x:v>
      </x:c>
      <x:c r="J11" s="114" t="str">
        <x:v>Automated execution wait is a valid work episode.</x:v>
      </x:c>
      <x:c r="K11" s="114" t="str">
        <x:v>Random dependency upgrades without root-cause evidence.</x:v>
      </x:c>
      <x:c r="L11" s="114" t="str">
        <x:v>Draft Complete</x:v>
      </x:c>
      <x:c r="M11" s="333" t="str">
        <x:v>DevOps role</x:v>
      </x:c>
    </x:row>
    <x:row r="12">
      <x:c r="A12" s="337" t="str">
        <x:v>TASK-OPS-002</x:v>
      </x:c>
      <x:c r="B12" s="338" t="str">
        <x:v>Add deployment rollback runbook</x:v>
      </x:c>
      <x:c r="C12" s="338" t="str">
        <x:v>Operations/documentation</x:v>
      </x:c>
      <x:c r="D12" s="338" t="str">
        <x:v>Create actionable runbook and validate with dry run or peer review.</x:v>
      </x:c>
      <x:c r="E12" s="338" t="str">
        <x:v>Ops documentation L3; risk management L2–3; review L3</x:v>
      </x:c>
      <x:c r="F12" s="338" t="str">
        <x:v>Steps, preconditions, failure modes, contacts, validation, rollback evidence.</x:v>
      </x:c>
      <x:c r="G12" s="338" t="str">
        <x:v>Runbook diff; dry-run log; reviewer sign-off.</x:v>
      </x:c>
      <x:c r="H12" s="338" t="str">
        <x:v>Peer review; dry-run success.</x:v>
      </x:c>
      <x:c r="I12" s="338" t="str">
        <x:v>Medium</x:v>
      </x:c>
      <x:c r="J12" s="338" t="str">
        <x:v>Documentation is an artefact; no code output expected.</x:v>
      </x:c>
      <x:c r="K12" s="338" t="str">
        <x:v>Runbook lacks validation or owner.</x:v>
      </x:c>
      <x:c r="L12" s="338" t="str">
        <x:v>Draft Complete</x:v>
      </x:c>
      <x:c r="M12" s="339" t="str">
        <x:v>Operational evidence</x:v>
      </x:c>
    </x:row>
    <x:row r="13">
      <x:c r="A13" s="332" t="str">
        <x:v>TASK-AI-001</x:v>
      </x:c>
      <x:c r="B13" s="114" t="str">
        <x:v>Use Codex to propose test fix and review output</x:v>
      </x:c>
      <x:c r="C13" s="114" t="str">
        <x:v>AI-assisted development</x:v>
      </x:c>
      <x:c r="D13" s="114" t="str">
        <x:v>Direct agent to investigate, produce patch, review scope and verify.</x:v>
      </x:c>
      <x:c r="E13" s="114" t="str">
        <x:v>AI supervision L3; debugging L2–3; test verification L3</x:v>
      </x:c>
      <x:c r="F13" s="114" t="str">
        <x:v>Prompt bounded; agent inspected before editing; patch reviewed; unrelated changes rejected; tests run.</x:v>
      </x:c>
      <x:c r="G13" s="114" t="str">
        <x:v>Prompt/tool logs; diff review; rejected changes; test result; PR comment.</x:v>
      </x:c>
      <x:c r="H13" s="114" t="str">
        <x:v>Human review; tests; scope check.</x:v>
      </x:c>
      <x:c r="I13" s="114" t="str">
        <x:v>Medium</x:v>
      </x:c>
      <x:c r="J13" s="114" t="str">
        <x:v>Human value is direction/review, not manual typing volume.</x:v>
      </x:c>
      <x:c r="K13" s="114" t="str">
        <x:v>Accepting broad agent patch unreviewed.</x:v>
      </x:c>
      <x:c r="L13" s="114" t="str">
        <x:v>Draft Complete</x:v>
      </x:c>
      <x:c r="M13" s="333" t="str">
        <x:v>Codex hooks</x:v>
      </x:c>
    </x:row>
    <x:row r="14">
      <x:c r="A14" s="337" t="str">
        <x:v>TASK-AI-002</x:v>
      </x:c>
      <x:c r="B14" s="338" t="str">
        <x:v>Create reusable team prompt for API debugging</x:v>
      </x:c>
      <x:c r="C14" s="338" t="str">
        <x:v>Skill/process improvement</x:v>
      </x:c>
      <x:c r="D14" s="338" t="str">
        <x:v>Convert successful debugging workflow into draft reusable prompt/skill.</x:v>
      </x:c>
      <x:c r="E14" s="338" t="str">
        <x:v>Skill creation L2–3; domain knowledge L3; documentation L3</x:v>
      </x:c>
      <x:c r="F14" s="338" t="str">
        <x:v>Trigger, inputs, steps, verification, failure handling, examples.</x:v>
      </x:c>
      <x:c r="G14" s="338" t="str">
        <x:v>Prompt/skill document; sample application; review decision.</x:v>
      </x:c>
      <x:c r="H14" s="338" t="str">
        <x:v>Skill review; no confidential leakage.</x:v>
      </x:c>
      <x:c r="I14" s="338" t="str">
        <x:v>Medium</x:v>
      </x:c>
      <x:c r="J14" s="338" t="str">
        <x:v>Skill Forge candidate, not automatic production skill.</x:v>
      </x:c>
      <x:c r="K14" s="338" t="str">
        <x:v>Contains project secrets or over-specific instructions.</x:v>
      </x:c>
      <x:c r="L14" s="338" t="str">
        <x:v>Draft Complete</x:v>
      </x:c>
      <x:c r="M14" s="339" t="str">
        <x:v>Task Observer/Skill Forge</x:v>
      </x:c>
    </x:row>
    <x:row r="15">
      <x:c r="A15" s="332" t="str">
        <x:v>TASK-DATA-001</x:v>
      </x:c>
      <x:c r="B15" s="114" t="str">
        <x:v>Build metric reconciliation report</x:v>
      </x:c>
      <x:c r="C15" s="114" t="str">
        <x:v>Analytics/data</x:v>
      </x:c>
      <x:c r="D15" s="114" t="str">
        <x:v>Reconcile two metric sources and explain differences.</x:v>
      </x:c>
      <x:c r="E15" s="114" t="str">
        <x:v>Data analysis L3; evidence documentation L3; communication L3</x:v>
      </x:c>
      <x:c r="F15" s="114" t="str">
        <x:v>Definitions compared; query/source evidence; discrepancy quantified; caveats and recommendation.</x:v>
      </x:c>
      <x:c r="G15" s="114" t="str">
        <x:v>Queries; source links; calculations; report.</x:v>
      </x:c>
      <x:c r="H15" s="114" t="str">
        <x:v>Peer review; reproducibility check.</x:v>
      </x:c>
      <x:c r="I15" s="114" t="str">
        <x:v>Medium</x:v>
      </x:c>
      <x:c r="J15" s="114" t="str">
        <x:v>Future vertical example beyond software code.</x:v>
      </x:c>
      <x:c r="K15" s="114" t="str">
        <x:v>Uncited numbers; unsupported causal claims.</x:v>
      </x:c>
      <x:c r="L15" s="114" t="str">
        <x:v>Draft Complete</x:v>
      </x:c>
      <x:c r="M15" s="333" t="str">
        <x:v>Data-analysis extension</x:v>
      </x:c>
    </x:row>
    <x:row r="16">
      <x:c r="A16" s="340" t="str">
        <x:v>TASK-SUP-001</x:v>
      </x:c>
      <x:c r="B16" s="341" t="str">
        <x:v>Resolve escalated customer support issue</x:v>
      </x:c>
      <x:c r="C16" s="341" t="str">
        <x:v>Support/future vertical</x:v>
      </x:c>
      <x:c r="D16" s="341" t="str">
        <x:v>Diagnose issue, communicate update and close with evidence.</x:v>
      </x:c>
      <x:c r="E16" s="341" t="str">
        <x:v>Support diagnosis L3; communication L3; product knowledge L2–3</x:v>
      </x:c>
      <x:c r="F16" s="341" t="str">
        <x:v>Customer issue understood; correct action; clear response; evidence and escalation if needed.</x:v>
      </x:c>
      <x:c r="G16" s="341" t="str">
        <x:v>Ticket notes; system logs; customer response; closure reason.</x:v>
      </x:c>
      <x:c r="H16" s="341" t="str">
        <x:v>QA/reviewer audit.</x:v>
      </x:c>
      <x:c r="I16" s="341" t="str">
        <x:v>Low–medium</x:v>
      </x:c>
      <x:c r="J16" s="341" t="str">
        <x:v>Domain-neutral task contract model should support this later.</x:v>
      </x:c>
      <x:c r="K16" s="341" t="str">
        <x:v>Blaming employee without system/access context.</x:v>
      </x:c>
      <x:c r="L16" s="341" t="str">
        <x:v>Draft Complete</x:v>
      </x:c>
      <x:c r="M16" s="342" t="str">
        <x:v>Cross-vertical extension</x:v>
      </x:c>
    </x:row>
  </x:sheetData>
  <x:mergeCells>
    <x:mergeCell ref="A1:M1"/>
    <x:mergeCell ref="A2:M2"/>
  </x:mergeCells>
  <x:dataValidations count="2">
    <x:dataValidation type="list" sqref="I5:I16">
      <x:formula1>"Low,Low–medium,Medium,Medium–high,High"</x:formula1>
    </x:dataValidation>
    <x:dataValidation type="list" sqref="L5:L16">
      <x:formula1>"Draft Complete,Needs Review,Approved,Deferred"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52" hidden="0" customWidth="1"/>
    <x:col min="6" max="6" width="48" hidden="0" customWidth="1"/>
    <x:col min="7" max="7" width="24" hidden="0" customWidth="1"/>
    <x:col min="8" max="8" width="18" hidden="0" customWidth="1"/>
    <x:col min="9" max="9" width="30" hidden="0" customWidth="1"/>
  </x:cols>
  <x:sheetData>
    <x:row r="1" ht="30" customHeight="1">
      <x:c r="A1" s="294" t="str">
        <x:v>Stage 2 — Evidence Scoring and Capability Update Rules</x:v>
      </x:c>
      <x:c r="B1" s="294"/>
      <x:c r="C1" s="294"/>
      <x:c r="D1" s="294"/>
      <x:c r="E1" s="294"/>
      <x:c r="F1" s="294"/>
      <x:c r="G1" s="294"/>
      <x:c r="H1" s="294"/>
      <x:c r="I1" s="294"/>
    </x:row>
    <x:row r="2" ht="36" customHeight="1">
      <x:c r="A2" s="298" t="str">
        <x:v>Scoring model for evidence weighting, confidence, recency, independence and fairness. Numeric factors are planning defaults and must be calibrated in pilot data.</x:v>
      </x:c>
      <x:c r="B2" s="298"/>
      <x:c r="C2" s="298"/>
      <x:c r="D2" s="298"/>
      <x:c r="E2" s="298"/>
      <x:c r="F2" s="298"/>
      <x:c r="G2" s="298"/>
      <x:c r="H2" s="298"/>
      <x:c r="I2" s="298"/>
    </x:row>
    <x:row r="4" ht="30" customHeight="1">
      <x:c r="A4" s="310" t="str">
        <x:v>ID</x:v>
      </x:c>
      <x:c r="B4" s="311" t="str">
        <x:v>Scoring area</x:v>
      </x:c>
      <x:c r="C4" s="311" t="str">
        <x:v>Rule / factor</x:v>
      </x:c>
      <x:c r="D4" s="311" t="str">
        <x:v>Default weight</x:v>
      </x:c>
      <x:c r="E4" s="311" t="str">
        <x:v>Evidence examples</x:v>
      </x:c>
      <x:c r="F4" s="311" t="str">
        <x:v>Interpretation</x:v>
      </x:c>
      <x:c r="G4" s="311" t="str">
        <x:v>Used by</x:v>
      </x:c>
      <x:c r="H4" s="311" t="str">
        <x:v>Status</x:v>
      </x:c>
      <x:c r="I4" s="312" t="str">
        <x:v>Source / basis</x:v>
      </x:c>
    </x:row>
    <x:row r="5">
      <x:c r="A5" s="329" t="str">
        <x:v>SCORE-001</x:v>
      </x:c>
      <x:c r="B5" s="330" t="str">
        <x:v>Evidence class reliability</x:v>
      </x:c>
      <x:c r="C5" s="330" t="str">
        <x:v>Authoritative artefact/system result</x:v>
      </x:c>
      <x:c r="D5" s="343" t="n">
        <x:v>1</x:v>
      </x:c>
      <x:c r="E5" s="330" t="str">
        <x:v>Test pass/fail, commit hash, PR review, deployment result, database transaction.</x:v>
      </x:c>
      <x:c r="F5" s="330" t="str">
        <x:v>Strongest outcome evidence; still needs scope/context.</x:v>
      </x:c>
      <x:c r="G5" s="330" t="str">
        <x:v>Task Assurance / Capability</x:v>
      </x:c>
      <x:c r="H5" s="330" t="str">
        <x:v>Draft Complete</x:v>
      </x:c>
      <x:c r="I5" s="331" t="str">
        <x:v>Stage 0 evidence hierarchy</x:v>
      </x:c>
    </x:row>
    <x:row r="6">
      <x:c r="A6" s="337" t="str">
        <x:v>SCORE-002</x:v>
      </x:c>
      <x:c r="B6" s="338" t="str">
        <x:v>Evidence class reliability</x:v>
      </x:c>
      <x:c r="C6" s="338" t="str">
        <x:v>Tool-semantic event</x:v>
      </x:c>
      <x:c r="D6" s="344" t="n">
        <x:v>0.85</x:v>
      </x:c>
      <x:c r="E6" s="338" t="str">
        <x:v>Terminal command, IDE diagnostic, agent tool call, browser task metadata.</x:v>
      </x:c>
      <x:c r="F6" s="338" t="str">
        <x:v>Useful provenance; can be incomplete or spoofed without corroboration.</x:v>
      </x:c>
      <x:c r="G6" s="338" t="str">
        <x:v>Task Assurance</x:v>
      </x:c>
      <x:c r="H6" s="338" t="str">
        <x:v>Draft Complete</x:v>
      </x:c>
      <x:c r="I6" s="339" t="str">
        <x:v>Codex hooks/OTel</x:v>
      </x:c>
    </x:row>
    <x:row r="7">
      <x:c r="A7" s="332" t="str">
        <x:v>SCORE-003</x:v>
      </x:c>
      <x:c r="B7" s="114" t="str">
        <x:v>Evidence class reliability</x:v>
      </x:c>
      <x:c r="C7" s="114" t="str">
        <x:v>OS/device event</x:v>
      </x:c>
      <x:c r="D7" s="345" t="n">
        <x:v>0.7</x:v>
      </x:c>
      <x:c r="E7" s="114" t="str">
        <x:v>Foreground app, process, file event, input event metadata.</x:v>
      </x:c>
      <x:c r="F7" s="114" t="str">
        <x:v>Good context; weak for quality/intent by itself.</x:v>
      </x:c>
      <x:c r="G7" s="114" t="str">
        <x:v>Evidence graph</x:v>
      </x:c>
      <x:c r="H7" s="114" t="str">
        <x:v>Draft Complete</x:v>
      </x:c>
      <x:c r="I7" s="333" t="str">
        <x:v>ActivityWatch/OS APIs</x:v>
      </x:c>
    </x:row>
    <x:row r="8">
      <x:c r="A8" s="337" t="str">
        <x:v>SCORE-004</x:v>
      </x:c>
      <x:c r="B8" s="338" t="str">
        <x:v>Evidence class reliability</x:v>
      </x:c>
      <x:c r="C8" s="338" t="str">
        <x:v>Accessibility/UI text state</x:v>
      </x:c>
      <x:c r="D8" s="344" t="n">
        <x:v>0.65</x:v>
      </x:c>
      <x:c r="E8" s="338" t="str">
        <x:v>Focused control value, UI tree, visible labels.</x:v>
      </x:c>
      <x:c r="F8" s="338" t="str">
        <x:v>Useful for opaque apps; app support varies.</x:v>
      </x:c>
      <x:c r="G8" s="338" t="str">
        <x:v>Evidence graph</x:v>
      </x:c>
      <x:c r="H8" s="338" t="str">
        <x:v>Draft Complete</x:v>
      </x:c>
      <x:c r="I8" s="339" t="str">
        <x:v>UI Automation/AX</x:v>
      </x:c>
    </x:row>
    <x:row r="9">
      <x:c r="A9" s="332" t="str">
        <x:v>SCORE-005</x:v>
      </x:c>
      <x:c r="B9" s="114" t="str">
        <x:v>Evidence class reliability</x:v>
      </x:c>
      <x:c r="C9" s="114" t="str">
        <x:v>Visual/OCR evidence</x:v>
      </x:c>
      <x:c r="D9" s="345" t="n">
        <x:v>0.55</x:v>
      </x:c>
      <x:c r="E9" s="114" t="str">
        <x:v>Screenshot, changed region, OCR text.</x:v>
      </x:c>
      <x:c r="F9" s="114" t="str">
        <x:v>Supports reconstruction; privacy-sensitive and sometimes ambiguous.</x:v>
      </x:c>
      <x:c r="G9" s="114" t="str">
        <x:v>Evidence graph</x:v>
      </x:c>
      <x:c r="H9" s="114" t="str">
        <x:v>Draft Complete</x:v>
      </x:c>
      <x:c r="I9" s="333" t="str">
        <x:v>Screenpipe/OpenAdapt</x:v>
      </x:c>
    </x:row>
    <x:row r="10">
      <x:c r="A10" s="337" t="str">
        <x:v>SCORE-006</x:v>
      </x:c>
      <x:c r="B10" s="338" t="str">
        <x:v>Evidence class reliability</x:v>
      </x:c>
      <x:c r="C10" s="338" t="str">
        <x:v>Human statement/review</x:v>
      </x:c>
      <x:c r="D10" s="344" t="n">
        <x:v>0.6</x:v>
      </x:c>
      <x:c r="E10" s="338" t="str">
        <x:v>Employee explanation, peer review, manager note.</x:v>
      </x:c>
      <x:c r="F10" s="338" t="str">
        <x:v>High contextual value; subjective and needs source/rationale.</x:v>
      </x:c>
      <x:c r="G10" s="338" t="str">
        <x:v>Governance</x:v>
      </x:c>
      <x:c r="H10" s="338" t="str">
        <x:v>Draft Complete</x:v>
      </x:c>
      <x:c r="I10" s="339" t="str">
        <x:v>Human review</x:v>
      </x:c>
    </x:row>
    <x:row r="11">
      <x:c r="A11" s="332" t="str">
        <x:v>SCORE-007</x:v>
      </x:c>
      <x:c r="B11" s="114" t="str">
        <x:v>Evidence class reliability</x:v>
      </x:c>
      <x:c r="C11" s="114" t="str">
        <x:v>AI inference</x:v>
      </x:c>
      <x:c r="D11" s="345" t="n">
        <x:v>0.35</x:v>
      </x:c>
      <x:c r="E11" s="114" t="str">
        <x:v>Model task alignment, gap classification, quality assessment.</x:v>
      </x:c>
      <x:c r="F11" s="114" t="str">
        <x:v>Always requires evidence links and review for high impact.</x:v>
      </x:c>
      <x:c r="G11" s="114" t="str">
        <x:v>AI Evaluators</x:v>
      </x:c>
      <x:c r="H11" s="114" t="str">
        <x:v>Draft Complete</x:v>
      </x:c>
      <x:c r="I11" s="333" t="str">
        <x:v>NIST AI RMF</x:v>
      </x:c>
    </x:row>
    <x:row r="12">
      <x:c r="A12" s="337" t="str">
        <x:v>SCORE-008</x:v>
      </x:c>
      <x:c r="B12" s="338" t="str">
        <x:v>Task difficulty multiplier</x:v>
      </x:c>
      <x:c r="C12" s="338" t="str">
        <x:v>Low</x:v>
      </x:c>
      <x:c r="D12" s="344" t="n">
        <x:v>0.7</x:v>
      </x:c>
      <x:c r="E12" s="338" t="str">
        <x:v>Known routine task with clear inputs and low risk.</x:v>
      </x:c>
      <x:c r="F12" s="338" t="str">
        <x:v>Lower evidence weight for capability progression.</x:v>
      </x:c>
      <x:c r="G12" s="338" t="str">
        <x:v>Capability Scoring</x:v>
      </x:c>
      <x:c r="H12" s="338" t="str">
        <x:v>Draft Complete</x:v>
      </x:c>
      <x:c r="I12" s="339" t="str">
        <x:v>Assessment design</x:v>
      </x:c>
    </x:row>
    <x:row r="13">
      <x:c r="A13" s="332" t="str">
        <x:v>SCORE-009</x:v>
      </x:c>
      <x:c r="B13" s="114" t="str">
        <x:v>Task difficulty multiplier</x:v>
      </x:c>
      <x:c r="C13" s="114" t="str">
        <x:v>Medium</x:v>
      </x:c>
      <x:c r="D13" s="345" t="n">
        <x:v>1</x:v>
      </x:c>
      <x:c r="E13" s="114" t="str">
        <x:v>Standard role task with normal complexity.</x:v>
      </x:c>
      <x:c r="F13" s="114" t="str">
        <x:v>Default difficulty multiplier.</x:v>
      </x:c>
      <x:c r="G13" s="114" t="str">
        <x:v>Capability Scoring</x:v>
      </x:c>
      <x:c r="H13" s="114" t="str">
        <x:v>Draft Complete</x:v>
      </x:c>
      <x:c r="I13" s="333" t="str"/>
    </x:row>
    <x:row r="14">
      <x:c r="A14" s="337" t="str">
        <x:v>SCORE-010</x:v>
      </x:c>
      <x:c r="B14" s="338" t="str">
        <x:v>Task difficulty multiplier</x:v>
      </x:c>
      <x:c r="C14" s="338" t="str">
        <x:v>High</x:v>
      </x:c>
      <x:c r="D14" s="344" t="n">
        <x:v>1.3</x:v>
      </x:c>
      <x:c r="E14" s="338" t="str">
        <x:v>Ambiguous, cross-system, high-risk or novel task.</x:v>
      </x:c>
      <x:c r="F14" s="338" t="str">
        <x:v>Higher weight only when outcome quality is strong.</x:v>
      </x:c>
      <x:c r="G14" s="338" t="str">
        <x:v>Capability Scoring</x:v>
      </x:c>
      <x:c r="H14" s="338" t="str">
        <x:v>Draft Complete</x:v>
      </x:c>
      <x:c r="I14" s="339" t="str"/>
    </x:row>
    <x:row r="15">
      <x:c r="A15" s="332" t="str">
        <x:v>SCORE-011</x:v>
      </x:c>
      <x:c r="B15" s="114" t="str">
        <x:v>Outcome quality factor</x:v>
      </x:c>
      <x:c r="C15" s="114" t="str">
        <x:v>Verified complete</x:v>
      </x:c>
      <x:c r="D15" s="345" t="n">
        <x:v>1</x:v>
      </x:c>
      <x:c r="E15" s="114" t="str">
        <x:v>Required criteria and quality gates satisfied.</x:v>
      </x:c>
      <x:c r="F15" s="114" t="str">
        <x:v>Supports capability evidence.</x:v>
      </x:c>
      <x:c r="G15" s="114" t="str">
        <x:v>Capability Scoring</x:v>
      </x:c>
      <x:c r="H15" s="114" t="str">
        <x:v>Draft Complete</x:v>
      </x:c>
      <x:c r="I15" s="333" t="str"/>
    </x:row>
    <x:row r="16">
      <x:c r="A16" s="337" t="str">
        <x:v>SCORE-012</x:v>
      </x:c>
      <x:c r="B16" s="338" t="str">
        <x:v>Outcome quality factor</x:v>
      </x:c>
      <x:c r="C16" s="338" t="str">
        <x:v>Partially verified</x:v>
      </x:c>
      <x:c r="D16" s="344" t="n">
        <x:v>0.55</x:v>
      </x:c>
      <x:c r="E16" s="338" t="str">
        <x:v>Some criteria complete but missing important evidence.</x:v>
      </x:c>
      <x:c r="F16" s="338" t="str">
        <x:v>May show progress but not full capability.</x:v>
      </x:c>
      <x:c r="G16" s="338" t="str">
        <x:v>Capability Scoring</x:v>
      </x:c>
      <x:c r="H16" s="338" t="str">
        <x:v>Draft Complete</x:v>
      </x:c>
      <x:c r="I16" s="339" t="str"/>
    </x:row>
    <x:row r="17">
      <x:c r="A17" s="332" t="str">
        <x:v>SCORE-013</x:v>
      </x:c>
      <x:c r="B17" s="114" t="str">
        <x:v>Outcome quality factor</x:v>
      </x:c>
      <x:c r="C17" s="114" t="str">
        <x:v>Failed with useful diagnosis</x:v>
      </x:c>
      <x:c r="D17" s="345" t="n">
        <x:v>0.25</x:v>
      </x:c>
      <x:c r="E17" s="114" t="str">
        <x:v>Task not completed but root cause/blocker evidence is strong.</x:v>
      </x:c>
      <x:c r="F17" s="114" t="str">
        <x:v>Can show debugging/communication capability.</x:v>
      </x:c>
      <x:c r="G17" s="114" t="str">
        <x:v>Capability Scoring</x:v>
      </x:c>
      <x:c r="H17" s="114" t="str">
        <x:v>Draft Complete</x:v>
      </x:c>
      <x:c r="I17" s="333" t="str"/>
    </x:row>
    <x:row r="18">
      <x:c r="A18" s="337" t="str">
        <x:v>SCORE-014</x:v>
      </x:c>
      <x:c r="B18" s="338" t="str">
        <x:v>Outcome quality factor</x:v>
      </x:c>
      <x:c r="C18" s="338" t="str">
        <x:v>Failed without evidence</x:v>
      </x:c>
      <x:c r="D18" s="344" t="n">
        <x:v>-0.25</x:v>
      </x:c>
      <x:c r="E18" s="338" t="str">
        <x:v>No valid output, no diagnosis, repeated unsupported changes.</x:v>
      </x:c>
      <x:c r="F18" s="338" t="str">
        <x:v>Gap candidate; never permanent alone.</x:v>
      </x:c>
      <x:c r="G18" s="338" t="str">
        <x:v>Capability Scoring</x:v>
      </x:c>
      <x:c r="H18" s="338" t="str">
        <x:v>Draft Complete</x:v>
      </x:c>
      <x:c r="I18" s="339" t="str"/>
    </x:row>
    <x:row r="19">
      <x:c r="A19" s="332" t="str">
        <x:v>SCORE-015</x:v>
      </x:c>
      <x:c r="B19" s="114" t="str">
        <x:v>Independence factor</x:v>
      </x:c>
      <x:c r="C19" s="114" t="str">
        <x:v>Independent</x:v>
      </x:c>
      <x:c r="D19" s="345" t="n">
        <x:v>1</x:v>
      </x:c>
      <x:c r="E19" s="114" t="str">
        <x:v>Completed with normal clarification only.</x:v>
      </x:c>
      <x:c r="F19" s="114" t="str">
        <x:v>Required for level 3+ evidence.</x:v>
      </x:c>
      <x:c r="G19" s="114" t="str">
        <x:v>Capability Scoring</x:v>
      </x:c>
      <x:c r="H19" s="114" t="str">
        <x:v>Draft Complete</x:v>
      </x:c>
      <x:c r="I19" s="333" t="str"/>
    </x:row>
    <x:row r="20">
      <x:c r="A20" s="337" t="str">
        <x:v>SCORE-016</x:v>
      </x:c>
      <x:c r="B20" s="338" t="str">
        <x:v>Independence factor</x:v>
      </x:c>
      <x:c r="C20" s="338" t="str">
        <x:v>Assisted</x:v>
      </x:c>
      <x:c r="D20" s="344" t="n">
        <x:v>0.7</x:v>
      </x:c>
      <x:c r="E20" s="338" t="str">
        <x:v>Completed with checklists, coaching or peer/AI guidance.</x:v>
      </x:c>
      <x:c r="F20" s="338" t="str">
        <x:v>Valid evidence for level 2–3 depending role expectation.</x:v>
      </x:c>
      <x:c r="G20" s="338" t="str">
        <x:v>Capability Scoring</x:v>
      </x:c>
      <x:c r="H20" s="338" t="str">
        <x:v>Draft Complete</x:v>
      </x:c>
      <x:c r="I20" s="339" t="str"/>
    </x:row>
    <x:row r="21">
      <x:c r="A21" s="332" t="str">
        <x:v>SCORE-017</x:v>
      </x:c>
      <x:c r="B21" s="114" t="str">
        <x:v>Independence factor</x:v>
      </x:c>
      <x:c r="C21" s="114" t="str">
        <x:v>Directed</x:v>
      </x:c>
      <x:c r="D21" s="345" t="n">
        <x:v>0.4</x:v>
      </x:c>
      <x:c r="E21" s="114" t="str">
        <x:v>Step-by-step help needed.</x:v>
      </x:c>
      <x:c r="F21" s="114" t="str">
        <x:v>Primarily learning evidence.</x:v>
      </x:c>
      <x:c r="G21" s="114" t="str">
        <x:v>Capability Scoring</x:v>
      </x:c>
      <x:c r="H21" s="114" t="str">
        <x:v>Draft Complete</x:v>
      </x:c>
      <x:c r="I21" s="333" t="str"/>
    </x:row>
    <x:row r="22">
      <x:c r="A22" s="337" t="str">
        <x:v>SCORE-018</x:v>
      </x:c>
      <x:c r="B22" s="338" t="str">
        <x:v>Guidance penalty</x:v>
      </x:c>
      <x:c r="C22" s="338" t="str">
        <x:v>Repeated same guidance after training</x:v>
      </x:c>
      <x:c r="D22" s="344" t="n">
        <x:v>-0.3</x:v>
      </x:c>
      <x:c r="E22" s="338" t="str">
        <x:v>Same avoidable error repeats after appropriate support.</x:v>
      </x:c>
      <x:c r="F22" s="338" t="str">
        <x:v>Possible gap evidence but needs context.</x:v>
      </x:c>
      <x:c r="G22" s="338" t="str">
        <x:v>Capability Scoring</x:v>
      </x:c>
      <x:c r="H22" s="338" t="str">
        <x:v>Draft Complete</x:v>
      </x:c>
      <x:c r="I22" s="339" t="str"/>
    </x:row>
    <x:row r="23">
      <x:c r="A23" s="332" t="str">
        <x:v>SCORE-019</x:v>
      </x:c>
      <x:c r="B23" s="114" t="str">
        <x:v>Recency factor</x:v>
      </x:c>
      <x:c r="C23" s="114" t="str">
        <x:v>Current</x:v>
      </x:c>
      <x:c r="D23" s="345" t="n">
        <x:v>1</x:v>
      </x:c>
      <x:c r="E23" s="114" t="str">
        <x:v>Evidence within current review period or last 90 days for fast-changing tech.</x:v>
      </x:c>
      <x:c r="F23" s="114" t="str">
        <x:v>Full recency weight.</x:v>
      </x:c>
      <x:c r="G23" s="114" t="str">
        <x:v>Capability Scoring</x:v>
      </x:c>
      <x:c r="H23" s="114" t="str">
        <x:v>Draft Complete</x:v>
      </x:c>
      <x:c r="I23" s="333" t="str"/>
    </x:row>
    <x:row r="24">
      <x:c r="A24" s="337" t="str">
        <x:v>SCORE-020</x:v>
      </x:c>
      <x:c r="B24" s="338" t="str">
        <x:v>Recency factor</x:v>
      </x:c>
      <x:c r="C24" s="338" t="str">
        <x:v>Stale</x:v>
      </x:c>
      <x:c r="D24" s="344" t="n">
        <x:v>0.5</x:v>
      </x:c>
      <x:c r="E24" s="338" t="str">
        <x:v>Evidence older than review threshold or based on obsolete tool/version.</x:v>
      </x:c>
      <x:c r="F24" s="338" t="str">
        <x:v>Requires reassessment.</x:v>
      </x:c>
      <x:c r="G24" s="338" t="str">
        <x:v>Capability Scoring</x:v>
      </x:c>
      <x:c r="H24" s="338" t="str">
        <x:v>Draft Complete</x:v>
      </x:c>
      <x:c r="I24" s="339" t="str"/>
    </x:row>
    <x:row r="25">
      <x:c r="A25" s="332" t="str">
        <x:v>SCORE-021</x:v>
      </x:c>
      <x:c r="B25" s="114" t="str">
        <x:v>Consistency rule</x:v>
      </x:c>
      <x:c r="C25" s="114" t="str">
        <x:v>3+ aligned evidence items</x:v>
      </x:c>
      <x:c r="D25" s="345" t="n">
        <x:v>1</x:v>
      </x:c>
      <x:c r="E25" s="114" t="str">
        <x:v>Multiple qualified items across comparable tasks.</x:v>
      </x:c>
      <x:c r="F25" s="114" t="str">
        <x:v>Minimum threshold for stable capability update.</x:v>
      </x:c>
      <x:c r="G25" s="114" t="str">
        <x:v>Capability Scoring</x:v>
      </x:c>
      <x:c r="H25" s="114" t="str">
        <x:v>Draft Complete</x:v>
      </x:c>
      <x:c r="I25" s="333" t="str"/>
    </x:row>
    <x:row r="26">
      <x:c r="A26" s="337" t="str">
        <x:v>SCORE-022</x:v>
      </x:c>
      <x:c r="B26" s="338" t="str">
        <x:v>Consistency rule</x:v>
      </x:c>
      <x:c r="C26" s="338" t="str">
        <x:v>Contradictory evidence</x:v>
      </x:c>
      <x:c r="D26" s="344"/>
      <x:c r="E26" s="338" t="str">
        <x:v>Evidence shows mixed outcomes.</x:v>
      </x:c>
      <x:c r="F26" s="338" t="str">
        <x:v>Do not average blindly; route to review and context analysis.</x:v>
      </x:c>
      <x:c r="G26" s="338" t="str">
        <x:v>Capability Review</x:v>
      </x:c>
      <x:c r="H26" s="338" t="str">
        <x:v>Draft Complete</x:v>
      </x:c>
      <x:c r="I26" s="339" t="str"/>
    </x:row>
    <x:row r="27">
      <x:c r="A27" s="332" t="str">
        <x:v>SCORE-023</x:v>
      </x:c>
      <x:c r="B27" s="114" t="str">
        <x:v>Fairness guardrail</x:v>
      </x:c>
      <x:c r="C27" s="114" t="str">
        <x:v>Environmental blocker</x:v>
      </x:c>
      <x:c r="D27" s="345"/>
      <x:c r="E27" s="114" t="str">
        <x:v>Missing access, broken environment, unclear requirements or external dependency.</x:v>
      </x:c>
      <x:c r="F27" s="114" t="str">
        <x:v>Exclude or reclassify negative evidence.</x:v>
      </x:c>
      <x:c r="G27" s="114" t="str">
        <x:v>Capability Review</x:v>
      </x:c>
      <x:c r="H27" s="114" t="str">
        <x:v>Draft Complete</x:v>
      </x:c>
      <x:c r="I27" s="333" t="str"/>
    </x:row>
    <x:row r="28">
      <x:c r="A28" s="337" t="str">
        <x:v>SCORE-024</x:v>
      </x:c>
      <x:c r="B28" s="338" t="str">
        <x:v>Fairness guardrail</x:v>
      </x:c>
      <x:c r="C28" s="338" t="str">
        <x:v>Accessibility accommodation</x:v>
      </x:c>
      <x:c r="D28" s="344"/>
      <x:c r="E28" s="338" t="str">
        <x:v>Different input method, workflow, timing or environment due to accommodation.</x:v>
      </x:c>
      <x:c r="F28" s="338" t="str">
        <x:v>Do not lower capability; evaluate outcome and agreed criteria.</x:v>
      </x:c>
      <x:c r="G28" s="338" t="str">
        <x:v>Capability Review</x:v>
      </x:c>
      <x:c r="H28" s="338" t="str">
        <x:v>Draft Complete</x:v>
      </x:c>
      <x:c r="I28" s="339" t="str"/>
    </x:row>
    <x:row r="29">
      <x:c r="A29" s="332" t="str">
        <x:v>SCORE-025</x:v>
      </x:c>
      <x:c r="B29" s="114" t="str">
        <x:v>Capability update threshold</x:v>
      </x:c>
      <x:c r="C29" s="114" t="str">
        <x:v>Level increase candidate</x:v>
      </x:c>
      <x:c r="D29" s="345"/>
      <x:c r="E29" s="114" t="str">
        <x:v>3+ positive items, sufficient difficulty, independence compatible with target level, no unresolved contradictory evidence.</x:v>
      </x:c>
      <x:c r="F29" s="114" t="str">
        <x:v>Create review decision; not automatic high-impact update.</x:v>
      </x:c>
      <x:c r="G29" s="114" t="str">
        <x:v>Capability Domain</x:v>
      </x:c>
      <x:c r="H29" s="114" t="str">
        <x:v>Draft Complete</x:v>
      </x:c>
      <x:c r="I29" s="333" t="str"/>
    </x:row>
    <x:row r="30">
      <x:c r="A30" s="340" t="str">
        <x:v>SCORE-026</x:v>
      </x:c>
      <x:c r="B30" s="341" t="str">
        <x:v>Capability update threshold</x:v>
      </x:c>
      <x:c r="C30" s="341" t="str">
        <x:v>Gap candidate</x:v>
      </x:c>
      <x:c r="D30" s="346"/>
      <x:c r="E30" s="341" t="str">
        <x:v>Repeated comparable misses after adequate context/support, with clear evidence and no environmental blocker.</x:v>
      </x:c>
      <x:c r="F30" s="341" t="str">
        <x:v>Trigger coaching/training and review.</x:v>
      </x:c>
      <x:c r="G30" s="341" t="str">
        <x:v>Capability Domain</x:v>
      </x:c>
      <x:c r="H30" s="341" t="str">
        <x:v>Draft Complete</x:v>
      </x:c>
      <x:c r="I30" s="342" t="str"/>
    </x:row>
  </x:sheetData>
  <x:mergeCells>
    <x:mergeCell ref="A1:I1"/>
    <x:mergeCell ref="A2:I2"/>
  </x:mergeCells>
  <x:dataValidations count="1">
    <x:dataValidation type="list" sqref="H5:H30">
      <x:formula1>"Draft Complete,Needs Review,Approved,Deferred"</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4" hidden="0" customWidth="1"/>
    <x:col min="3" max="3" width="60" hidden="0" customWidth="1"/>
    <x:col min="4" max="4" width="50" hidden="0" customWidth="1"/>
    <x:col min="5" max="5" width="48" hidden="0" customWidth="1"/>
    <x:col min="6" max="6" width="20" hidden="0" customWidth="1"/>
    <x:col min="7" max="7" width="24" hidden="0" customWidth="1"/>
    <x:col min="8" max="8" width="48" hidden="0" customWidth="1"/>
    <x:col min="9" max="9" width="18" hidden="0" customWidth="1"/>
  </x:cols>
  <x:sheetData>
    <x:row r="1" ht="30" customHeight="1">
      <x:c r="A1" s="294" t="str">
        <x:v>Stage 2 — Worked Examples</x:v>
      </x:c>
      <x:c r="B1" s="294"/>
      <x:c r="C1" s="294"/>
      <x:c r="D1" s="294"/>
      <x:c r="E1" s="294"/>
      <x:c r="F1" s="294"/>
      <x:c r="G1" s="294"/>
      <x:c r="H1" s="294"/>
      <x:c r="I1" s="294"/>
    </x:row>
    <x:row r="2" ht="36" customHeight="1">
      <x:c r="A2" s="298" t="str">
        <x:v>Concrete examples showing valid and invalid task, claim and capability interpretation. These become initial test cases for Stage 7–8 evaluators.</x:v>
      </x:c>
      <x:c r="B2" s="298"/>
      <x:c r="C2" s="298"/>
      <x:c r="D2" s="298"/>
      <x:c r="E2" s="298"/>
      <x:c r="F2" s="298"/>
      <x:c r="G2" s="298"/>
      <x:c r="H2" s="298"/>
      <x:c r="I2" s="298"/>
    </x:row>
    <x:row r="4" ht="30" customHeight="1">
      <x:c r="A4" s="310" t="str">
        <x:v>ID</x:v>
      </x:c>
      <x:c r="B4" s="311" t="str">
        <x:v>Example type</x:v>
      </x:c>
      <x:c r="C4" s="311" t="str">
        <x:v>Scenario</x:v>
      </x:c>
      <x:c r="D4" s="311" t="str">
        <x:v>Correct interpretation</x:v>
      </x:c>
      <x:c r="E4" s="311" t="str">
        <x:v>Evidence needed</x:v>
      </x:c>
      <x:c r="F4" s="311" t="str">
        <x:v>Confidence if evidence present</x:v>
      </x:c>
      <x:c r="G4" s="311" t="str">
        <x:v>Assessment type</x:v>
      </x:c>
      <x:c r="H4" s="311" t="str">
        <x:v>Guardrail / next action</x:v>
      </x:c>
      <x:c r="I4" s="312" t="str">
        <x:v>Status</x:v>
      </x:c>
    </x:row>
    <x:row r="5">
      <x:c r="A5" s="329" t="str">
        <x:v>EX-001</x:v>
      </x:c>
      <x:c r="B5" s="330" t="str">
        <x:v>Valid task completion</x:v>
      </x:c>
      <x:c r="C5" s="330" t="str">
        <x:v>Software Engineer II fixes refresh-token reuse with failing test, scoped patch, targeted and regression tests, PR review and no secrets in logs.</x:v>
      </x:c>
      <x:c r="D5" s="330" t="str">
        <x:v>Capability evidence candidate for authentication debugging L3 and test-driven debugging L3.</x:v>
      </x:c>
      <x:c r="E5" s="330" t="str">
        <x:v>Authoritative tests + code diff + review + agent prompt/tool logs.</x:v>
      </x:c>
      <x:c r="F5" s="330" t="str">
        <x:v>High</x:v>
      </x:c>
      <x:c r="G5" s="330" t="str">
        <x:v>Valid</x:v>
      </x:c>
      <x:c r="H5" s="330" t="str">
        <x:v>3+ similar tasks required for stable state increase.</x:v>
      </x:c>
      <x:c r="I5" s="331" t="str">
        <x:v>Draft Complete</x:v>
      </x:c>
    </x:row>
    <x:row r="6">
      <x:c r="A6" s="337" t="str">
        <x:v>EX-002</x:v>
      </x:c>
      <x:c r="B6" s="338" t="str">
        <x:v>Invalid capability conclusion</x:v>
      </x:c>
      <x:c r="C6" s="338" t="str">
        <x:v>Employee fails one unfamiliar Xcode simulator task due to missing local SDK and no access to required certificate.</x:v>
      </x:c>
      <x:c r="D6" s="338" t="str">
        <x:v>Do not reduce capability; classify environmental blocker and tool-access gap.</x:v>
      </x:c>
      <x:c r="E6" s="338" t="str">
        <x:v>Device logs, access request, task context, employee explanation.</x:v>
      </x:c>
      <x:c r="F6" s="338" t="str">
        <x:v>High</x:v>
      </x:c>
      <x:c r="G6" s="338" t="str">
        <x:v>Invalid negative</x:v>
      </x:c>
      <x:c r="H6" s="338" t="str">
        <x:v>Capability model must exclude environmental blockers.</x:v>
      </x:c>
      <x:c r="I6" s="339" t="str">
        <x:v>Draft Complete</x:v>
      </x:c>
    </x:row>
    <x:row r="7">
      <x:c r="A7" s="332" t="str">
        <x:v>EX-003</x:v>
      </x:c>
      <x:c r="B7" s="114" t="str">
        <x:v>Claim-evidence discrepancy</x:v>
      </x:c>
      <x:c r="C7" s="114" t="str">
        <x:v>Employee claimed independent Kubernetes experience but three comparable tasks required direct step-by-step support despite correct access and clear requirements.</x:v>
      </x:c>
      <x:c r="D7" s="114" t="str">
        <x:v>Open neutral claim-evidence discrepancy; assign training/reassessment; do not call lying.</x:v>
      </x:c>
      <x:c r="E7" s="114" t="str">
        <x:v>Task evidence, reviewer notes, coaching history, access checks.</x:v>
      </x:c>
      <x:c r="F7" s="114" t="str">
        <x:v>Medium</x:v>
      </x:c>
      <x:c r="G7" s="114" t="str">
        <x:v>Valid gap candidate</x:v>
      </x:c>
      <x:c r="H7" s="114" t="str">
        <x:v>Human review required before role impact.</x:v>
      </x:c>
      <x:c r="I7" s="333" t="str">
        <x:v>Draft Complete</x:v>
      </x:c>
    </x:row>
    <x:row r="8">
      <x:c r="A8" s="337" t="str">
        <x:v>EX-004</x:v>
      </x:c>
      <x:c r="B8" s="338" t="str">
        <x:v>AI agent overreach</x:v>
      </x:c>
      <x:c r="C8" s="338" t="str">
        <x:v>Codex changed six files; employee reviewed diff and rejected four unrelated changes before committing scoped fix.</x:v>
      </x:c>
      <x:c r="D8" s="338" t="str">
        <x:v>Positive AI-supervision evidence despite low manual typing volume.</x:v>
      </x:c>
      <x:c r="E8" s="338" t="str">
        <x:v>Agent tool log, git diff, rejected files, final tests.</x:v>
      </x:c>
      <x:c r="F8" s="338" t="str">
        <x:v>High</x:v>
      </x:c>
      <x:c r="G8" s="338" t="str">
        <x:v>Valid positive</x:v>
      </x:c>
      <x:c r="H8" s="338" t="str">
        <x:v>Employee value is review/judgement.</x:v>
      </x:c>
      <x:c r="I8" s="339" t="str">
        <x:v>Draft Complete</x:v>
      </x:c>
    </x:row>
    <x:row r="9">
      <x:c r="A9" s="332" t="str">
        <x:v>EX-005</x:v>
      </x:c>
      <x:c r="B9" s="114" t="str">
        <x:v>False idle risk</x:v>
      </x:c>
      <x:c r="C9" s="114" t="str">
        <x:v>Employee appears inactive for 14 minutes while full CI job runs after they initiated it and monitored logs.</x:v>
      </x:c>
      <x:c r="D9" s="114" t="str">
        <x:v>Automated execution wait, not idle; may count as valid task time.</x:v>
      </x:c>
      <x:c r="E9" s="114" t="str">
        <x:v>Terminal command, process tree, CI run, no unrelated apps.</x:v>
      </x:c>
      <x:c r="F9" s="114" t="str">
        <x:v>High</x:v>
      </x:c>
      <x:c r="G9" s="114" t="str">
        <x:v>Valid work context</x:v>
      </x:c>
      <x:c r="H9" s="114" t="str">
        <x:v>Idle classification must check automation state.</x:v>
      </x:c>
      <x:c r="I9" s="333" t="str">
        <x:v>Draft Complete</x:v>
      </x:c>
    </x:row>
    <x:row r="10">
      <x:c r="A10" s="337" t="str">
        <x:v>EX-006</x:v>
      </x:c>
      <x:c r="B10" s="338" t="str">
        <x:v>Training completion not enough</x:v>
      </x:c>
      <x:c r="C10" s="338" t="str">
        <x:v>Employee completes secure logging lesson but next task still logs token values and misses review comments.</x:v>
      </x:c>
      <x:c r="D10" s="338" t="str">
        <x:v>Training completed; capability not increased; gap remains and intervention must change.</x:v>
      </x:c>
      <x:c r="E10" s="338" t="str">
        <x:v>LMS record, code diff, review comment, security scan.</x:v>
      </x:c>
      <x:c r="F10" s="338" t="str">
        <x:v>High</x:v>
      </x:c>
      <x:c r="G10" s="338" t="str">
        <x:v>Valid negative</x:v>
      </x:c>
      <x:c r="H10" s="338" t="str">
        <x:v>Applied evidence required.</x:v>
      </x:c>
      <x:c r="I10" s="339" t="str">
        <x:v>Draft Complete</x:v>
      </x:c>
    </x:row>
    <x:row r="11">
      <x:c r="A11" s="332" t="str">
        <x:v>EX-007</x:v>
      </x:c>
      <x:c r="B11" s="114" t="str">
        <x:v>Alternative valid method</x:v>
      </x:c>
      <x:c r="C11" s="114" t="str">
        <x:v>Senior engineer fixes bug by writing a diagnostic script and log analysis before changing code; task template expected failing unit test first.</x:v>
      </x:c>
      <x:c r="D11" s="114" t="str">
        <x:v>Accept as valid method if evidence satisfies objective and quality gates.</x:v>
      </x:c>
      <x:c r="E11" s="114" t="str">
        <x:v>Script artefact, logs, patch, tests, reviewer note.</x:v>
      </x:c>
      <x:c r="F11" s="114" t="str">
        <x:v>Medium</x:v>
      </x:c>
      <x:c r="G11" s="114" t="str">
        <x:v>Valid alternative</x:v>
      </x:c>
      <x:c r="H11" s="114" t="str">
        <x:v>Contract must not enforce one path unnecessarily.</x:v>
      </x:c>
      <x:c r="I11" s="333" t="str">
        <x:v>Draft Complete</x:v>
      </x:c>
    </x:row>
    <x:row r="12">
      <x:c r="A12" s="337" t="str">
        <x:v>EX-008</x:v>
      </x:c>
      <x:c r="B12" s="338" t="str">
        <x:v>Unverified claim</x:v>
      </x:c>
      <x:c r="C12" s="338" t="str">
        <x:v>Employee states they know Rust but no Rust task, assessment or code review exists.</x:v>
      </x:c>
      <x:c r="D12" s="338" t="str">
        <x:v>Claim status stays Declared/Not Yet Observed; no negative conclusion.</x:v>
      </x:c>
      <x:c r="E12" s="338" t="str">
        <x:v>Self-assessment only.</x:v>
      </x:c>
      <x:c r="F12" s="338" t="str">
        <x:v>High</x:v>
      </x:c>
      <x:c r="G12" s="338" t="str">
        <x:v>Invalid proof</x:v>
      </x:c>
      <x:c r="H12" s="338" t="str">
        <x:v>Claims are not evidence.</x:v>
      </x:c>
      <x:c r="I12" s="339" t="str">
        <x:v>Draft Complete</x:v>
      </x:c>
    </x:row>
    <x:row r="13">
      <x:c r="A13" s="332" t="str">
        <x:v>EX-009</x:v>
      </x:c>
      <x:c r="B13" s="114" t="str">
        <x:v>Capability transfer</x:v>
      </x:c>
      <x:c r="C13" s="114" t="str">
        <x:v>QA engineer applies browser-test debugging method to mobile emulator after one guidance session and creates stable tests.</x:v>
      </x:c>
      <x:c r="D13" s="114" t="str">
        <x:v>Evidence for transfer dimension and potential level progression.</x:v>
      </x:c>
      <x:c r="E13" s="114" t="str">
        <x:v>Test files, emulator logs, CI, reviewer note.</x:v>
      </x:c>
      <x:c r="F13" s="114" t="str">
        <x:v>Medium</x:v>
      </x:c>
      <x:c r="G13" s="114" t="str">
        <x:v>Valid positive</x:v>
      </x:c>
      <x:c r="H13" s="114" t="str">
        <x:v>Transfer requires new context evidence.</x:v>
      </x:c>
      <x:c r="I13" s="333" t="str">
        <x:v>Draft Complete</x:v>
      </x:c>
    </x:row>
    <x:row r="14">
      <x:c r="A14" s="337" t="str">
        <x:v>EX-010</x:v>
      </x:c>
      <x:c r="B14" s="338" t="str">
        <x:v>Manager requirement failure</x:v>
      </x:c>
      <x:c r="C14" s="338" t="str">
        <x:v>Task says 'fix payment issue' with no reproduction, customer ID, logs or expected behaviour; employee spends time gathering information.</x:v>
      </x:c>
      <x:c r="D14" s="338" t="str">
        <x:v>Do not mark off-task or incapable; mark requirement ambiguity and manager/process gap.</x:v>
      </x:c>
      <x:c r="E14" s="338" t="str">
        <x:v>Task text, questions, missing inputs, employee explanation.</x:v>
      </x:c>
      <x:c r="F14" s="338" t="str">
        <x:v>High</x:v>
      </x:c>
      <x:c r="G14" s="338" t="str">
        <x:v>Invalid negative</x:v>
      </x:c>
      <x:c r="H14" s="338" t="str">
        <x:v>Task contract quality matters.</x:v>
      </x:c>
      <x:c r="I14" s="339" t="str">
        <x:v>Draft Complete</x:v>
      </x:c>
    </x:row>
    <x:row r="15">
      <x:c r="A15" s="332" t="str">
        <x:v>EX-011</x:v>
      </x:c>
      <x:c r="B15" s="114" t="str">
        <x:v>Accessibility accommodation</x:v>
      </x:c>
      <x:c r="C15" s="114" t="str">
        <x:v>Employee uses voice input and longer review pauses but completes task with strong quality evidence.</x:v>
      </x:c>
      <x:c r="D15" s="114" t="str">
        <x:v>No reduction in autonomy/capability due to alternate input method.</x:v>
      </x:c>
      <x:c r="E15" s="114" t="str">
        <x:v>Outcome artefacts, agreed accommodation context, review.</x:v>
      </x:c>
      <x:c r="F15" s="114" t="str">
        <x:v>High</x:v>
      </x:c>
      <x:c r="G15" s="114" t="str">
        <x:v>Valid positive</x:v>
      </x:c>
      <x:c r="H15" s="114" t="str">
        <x:v>Do not infer capability from input style.</x:v>
      </x:c>
      <x:c r="I15" s="333" t="str">
        <x:v>Draft Complete</x:v>
      </x:c>
    </x:row>
    <x:row r="16">
      <x:c r="A16" s="340" t="str">
        <x:v>EX-012</x:v>
      </x:c>
      <x:c r="B16" s="341" t="str">
        <x:v>Skill Forge candidate</x:v>
      </x:c>
      <x:c r="C16" s="341" t="str">
        <x:v>A repeated debugging prompt pattern reduces time-to-root-cause across five tasks and reviewers approve it.</x:v>
      </x:c>
      <x:c r="D16" s="341" t="str">
        <x:v>Create draft HumanOS skill; do not auto-activate until evaluation/canary.</x:v>
      </x:c>
      <x:c r="E16" s="341" t="str">
        <x:v>Prompt versions, task outcomes, review decisions.</x:v>
      </x:c>
      <x:c r="F16" s="341" t="str">
        <x:v>Medium</x:v>
      </x:c>
      <x:c r="G16" s="341" t="str">
        <x:v>Valid skill candidate</x:v>
      </x:c>
      <x:c r="H16" s="341" t="str">
        <x:v>Stage 11 governance.</x:v>
      </x:c>
      <x:c r="I16" s="342" t="str">
        <x:v>Draft Complete</x:v>
      </x:c>
    </x:row>
  </x:sheetData>
  <x:mergeCells>
    <x:mergeCell ref="A1:I1"/>
    <x:mergeCell ref="A2:I2"/>
  </x:mergeCells>
  <x:dataValidations count="2">
    <x:dataValidation type="list" sqref="F5:F16">
      <x:formula1>"High,Medium,Low"</x:formula1>
    </x:dataValidation>
    <x:dataValidation type="list" sqref="I5:I16">
      <x:formula1>"Draft Complete,Needs Review,Approved,Deferred"</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46" hidden="0" customWidth="1"/>
    <x:col min="5" max="5" width="24" hidden="0" customWidth="1"/>
    <x:col min="6" max="6" width="20" hidden="0" customWidth="1"/>
    <x:col min="7" max="7" width="42" hidden="0" customWidth="1"/>
    <x:col min="8" max="8" width="42" hidden="0" customWidth="1"/>
    <x:col min="9" max="9" width="48" hidden="0" customWidth="1"/>
    <x:col min="10" max="10" width="18" hidden="0" customWidth="1"/>
    <x:col min="11" max="11" width="28" hidden="0" customWidth="1"/>
  </x:cols>
  <x:sheetData>
    <x:row r="1" ht="30" customHeight="1">
      <x:c r="A1" s="294" t="str">
        <x:v>Stage 2 — APIs and Events</x:v>
      </x:c>
      <x:c r="B1" s="294"/>
      <x:c r="C1" s="294"/>
      <x:c r="D1" s="294"/>
      <x:c r="E1" s="294"/>
      <x:c r="F1" s="294"/>
      <x:c r="G1" s="294"/>
      <x:c r="H1" s="294"/>
      <x:c r="I1" s="294"/>
      <x:c r="J1" s="294"/>
      <x:c r="K1" s="294"/>
    </x:row>
    <x:row r="2" ht="36" customHeight="1">
      <x:c r="A2" s="298" t="str">
        <x:v>Implementation contracts for Role Capability Contracts, Task Execution Contracts, claims, evidence and capability updates. REST APIs are Java/Spring; AI scoring is Python behind governed APIs.</x:v>
      </x:c>
      <x:c r="B2" s="298"/>
      <x:c r="C2" s="298"/>
      <x:c r="D2" s="298"/>
      <x:c r="E2" s="298"/>
      <x:c r="F2" s="298"/>
      <x:c r="G2" s="298"/>
      <x:c r="H2" s="298"/>
      <x:c r="I2" s="298"/>
      <x:c r="J2" s="298"/>
      <x:c r="K2" s="298"/>
    </x:row>
    <x:row r="4" ht="30" customHeight="1">
      <x:c r="A4" s="310" t="str">
        <x:v>ID</x:v>
      </x:c>
      <x:c r="B4" s="311" t="str">
        <x:v>Contract type</x:v>
      </x:c>
      <x:c r="C4" s="311" t="str">
        <x:v>Name / endpoint</x:v>
      </x:c>
      <x:c r="D4" s="311" t="str">
        <x:v>Purpose</x:v>
      </x:c>
      <x:c r="E4" s="311" t="str">
        <x:v>Owning service</x:v>
      </x:c>
      <x:c r="F4" s="311" t="str">
        <x:v>Runtime</x:v>
      </x:c>
      <x:c r="G4" s="311" t="str">
        <x:v>Input / payload</x:v>
      </x:c>
      <x:c r="H4" s="311" t="str">
        <x:v>Output / consumer</x:v>
      </x:c>
      <x:c r="I4" s="311" t="str">
        <x:v>Security / governance</x:v>
      </x:c>
      <x:c r="J4" s="311" t="str">
        <x:v>Status</x:v>
      </x:c>
      <x:c r="K4" s="312" t="str">
        <x:v>Source / standard</x:v>
      </x:c>
    </x:row>
    <x:row r="5">
      <x:c r="A5" s="329" t="str">
        <x:v>API-201</x:v>
      </x:c>
      <x:c r="B5" s="330" t="str">
        <x:v>REST</x:v>
      </x:c>
      <x:c r="C5" s="330" t="str">
        <x:v>GET /wi/capabilities</x:v>
      </x:c>
      <x:c r="D5" s="330" t="str">
        <x:v>List capability definitions and filters.</x:v>
      </x:c>
      <x:c r="E5" s="330" t="str">
        <x:v>Capability Domain</x:v>
      </x:c>
      <x:c r="F5" s="330" t="str">
        <x:v>Java/Spring</x:v>
      </x:c>
      <x:c r="G5" s="330" t="str">
        <x:v>Capability</x:v>
      </x:c>
      <x:c r="H5" s="330" t="str">
        <x:v>Capability definitions</x:v>
      </x:c>
      <x:c r="I5" s="330" t="str">
        <x:v>No sensitive employee evidence.</x:v>
      </x:c>
      <x:c r="J5" s="330" t="str">
        <x:v>Draft Complete</x:v>
      </x:c>
      <x:c r="K5" s="331" t="str">
        <x:v>OpenAPI 3.1</x:v>
      </x:c>
    </x:row>
    <x:row r="6">
      <x:c r="A6" s="337" t="str">
        <x:v>API-202</x:v>
      </x:c>
      <x:c r="B6" s="338" t="str">
        <x:v>REST</x:v>
      </x:c>
      <x:c r="C6" s="338" t="str">
        <x:v>POST /wi/capabilities</x:v>
      </x:c>
      <x:c r="D6" s="338" t="str">
        <x:v>Create/update capability definition through governed workflow.</x:v>
      </x:c>
      <x:c r="E6" s="338" t="str">
        <x:v>Capability Domain</x:v>
      </x:c>
      <x:c r="F6" s="338" t="str">
        <x:v>Java/Spring</x:v>
      </x:c>
      <x:c r="G6" s="338" t="str">
        <x:v>Capability request</x:v>
      </x:c>
      <x:c r="H6" s="338" t="str">
        <x:v>Capability version</x:v>
      </x:c>
      <x:c r="I6" s="338" t="str">
        <x:v>Requires Capability Admin and audit.</x:v>
      </x:c>
      <x:c r="J6" s="338" t="str">
        <x:v>Draft Complete</x:v>
      </x:c>
      <x:c r="K6" s="339" t="str">
        <x:v>OpenAPI 3.1</x:v>
      </x:c>
    </x:row>
    <x:row r="7">
      <x:c r="A7" s="332" t="str">
        <x:v>API-203</x:v>
      </x:c>
      <x:c r="B7" s="114" t="str">
        <x:v>REST</x:v>
      </x:c>
      <x:c r="C7" s="114" t="str">
        <x:v>GET /wi/roles/{roleId}/versions/{version}</x:v>
      </x:c>
      <x:c r="D7" s="114" t="str">
        <x:v>Retrieve Role Capability Contract.</x:v>
      </x:c>
      <x:c r="E7" s="114" t="str">
        <x:v>Capability Domain</x:v>
      </x:c>
      <x:c r="F7" s="114" t="str">
        <x:v>Java/Spring</x:v>
      </x:c>
      <x:c r="G7" s="114" t="str">
        <x:v>RoleVersion</x:v>
      </x:c>
      <x:c r="H7" s="114" t="str">
        <x:v>Role contract JSON</x:v>
      </x:c>
      <x:c r="I7" s="114" t="str">
        <x:v>Role contracts are versioned.</x:v>
      </x:c>
      <x:c r="J7" s="114" t="str">
        <x:v>Draft Complete</x:v>
      </x:c>
      <x:c r="K7" s="333" t="str"/>
    </x:row>
    <x:row r="8">
      <x:c r="A8" s="337" t="str">
        <x:v>API-204</x:v>
      </x:c>
      <x:c r="B8" s="338" t="str">
        <x:v>REST</x:v>
      </x:c>
      <x:c r="C8" s="338" t="str">
        <x:v>POST /wi/roles/{roleId}/versions</x:v>
      </x:c>
      <x:c r="D8" s="338" t="str">
        <x:v>Create new role version from job description transformation.</x:v>
      </x:c>
      <x:c r="E8" s="338" t="str">
        <x:v>Capability Domain</x:v>
      </x:c>
      <x:c r="F8" s="338" t="str">
        <x:v>Java/Spring + optional Python extraction</x:v>
      </x:c>
      <x:c r="G8" s="338" t="str">
        <x:v>JobDescriptionVersion + proposed contract</x:v>
      </x:c>
      <x:c r="H8" s="338" t="str">
        <x:v>Draft RoleVersion</x:v>
      </x:c>
      <x:c r="I8" s="338" t="str">
        <x:v>Human approval required before active.</x:v>
      </x:c>
      <x:c r="J8" s="338" t="str">
        <x:v>Draft Complete</x:v>
      </x:c>
      <x:c r="K8" s="339" t="str"/>
    </x:row>
    <x:row r="9">
      <x:c r="A9" s="332" t="str">
        <x:v>API-205</x:v>
      </x:c>
      <x:c r="B9" s="114" t="str">
        <x:v>REST</x:v>
      </x:c>
      <x:c r="C9" s="114" t="str">
        <x:v>POST /wi/claims</x:v>
      </x:c>
      <x:c r="D9" s="114" t="str">
        <x:v>Record employee capability claim.</x:v>
      </x:c>
      <x:c r="E9" s="114" t="str">
        <x:v>Capability Domain</x:v>
      </x:c>
      <x:c r="F9" s="114" t="str">
        <x:v>Java/Spring</x:v>
      </x:c>
      <x:c r="G9" s="114" t="str">
        <x:v>EmployeeClaim</x:v>
      </x:c>
      <x:c r="H9" s="114" t="str">
        <x:v>Claim ID/status</x:v>
      </x:c>
      <x:c r="I9" s="114" t="str">
        <x:v>Employee can see and correct.</x:v>
      </x:c>
      <x:c r="J9" s="114" t="str">
        <x:v>Draft Complete</x:v>
      </x:c>
      <x:c r="K9" s="333" t="str"/>
    </x:row>
    <x:row r="10">
      <x:c r="A10" s="337" t="str">
        <x:v>API-206</x:v>
      </x:c>
      <x:c r="B10" s="338" t="str">
        <x:v>REST</x:v>
      </x:c>
      <x:c r="C10" s="338" t="str">
        <x:v>GET /wi/persons/{personId}/capabilities</x:v>
      </x:c>
      <x:c r="D10" s="338" t="str">
        <x:v>Retrieve employee capability states and evidence summaries.</x:v>
      </x:c>
      <x:c r="E10" s="338" t="str">
        <x:v>Capability Domain</x:v>
      </x:c>
      <x:c r="F10" s="338" t="str">
        <x:v>Java/Spring</x:v>
      </x:c>
      <x:c r="G10" s="338" t="str">
        <x:v>Person ID</x:v>
      </x:c>
      <x:c r="H10" s="338" t="str">
        <x:v>Capability state list</x:v>
      </x:c>
      <x:c r="I10" s="338" t="str">
        <x:v>Purpose-limited access; employee self-access.</x:v>
      </x:c>
      <x:c r="J10" s="338" t="str">
        <x:v>Draft Complete</x:v>
      </x:c>
      <x:c r="K10" s="339" t="str"/>
    </x:row>
    <x:row r="11">
      <x:c r="A11" s="332" t="str">
        <x:v>API-207</x:v>
      </x:c>
      <x:c r="B11" s="114" t="str">
        <x:v>REST</x:v>
      </x:c>
      <x:c r="C11" s="114" t="str">
        <x:v>POST /wi/baseline-assessments</x:v>
      </x:c>
      <x:c r="D11" s="114" t="str">
        <x:v>Create baseline assessment record and tasks.</x:v>
      </x:c>
      <x:c r="E11" s="114" t="str">
        <x:v>Capability/L&amp;D</x:v>
      </x:c>
      <x:c r="F11" s="114" t="str">
        <x:v>Java/Spring</x:v>
      </x:c>
      <x:c r="G11" s="114" t="str">
        <x:v>BaselineAssessment</x:v>
      </x:c>
      <x:c r="H11" s="114" t="str">
        <x:v>Assessment plan</x:v>
      </x:c>
      <x:c r="I11" s="114" t="str">
        <x:v>Participant notice and review required.</x:v>
      </x:c>
      <x:c r="J11" s="114" t="str">
        <x:v>Draft Complete</x:v>
      </x:c>
      <x:c r="K11" s="333" t="str"/>
    </x:row>
    <x:row r="12">
      <x:c r="A12" s="337" t="str">
        <x:v>API-208</x:v>
      </x:c>
      <x:c r="B12" s="338" t="str">
        <x:v>REST</x:v>
      </x:c>
      <x:c r="C12" s="338" t="str">
        <x:v>POST /wi/tasks/{taskId}/contracts</x:v>
      </x:c>
      <x:c r="D12" s="338" t="str">
        <x:v>Create Task Execution Contract from HumanOS task.</x:v>
      </x:c>
      <x:c r="E12" s="338" t="str">
        <x:v>Task Assurance</x:v>
      </x:c>
      <x:c r="F12" s="338" t="str">
        <x:v>Java/Spring + optional Python extraction</x:v>
      </x:c>
      <x:c r="G12" s="338" t="str">
        <x:v>HumanOS Task + draft criteria</x:v>
      </x:c>
      <x:c r="H12" s="338" t="str">
        <x:v>TaskContract</x:v>
      </x:c>
      <x:c r="I12" s="338" t="str">
        <x:v>Reviewer approval required for use.</x:v>
      </x:c>
      <x:c r="J12" s="338" t="str">
        <x:v>Draft Complete</x:v>
      </x:c>
      <x:c r="K12" s="339" t="str"/>
    </x:row>
    <x:row r="13">
      <x:c r="A13" s="332" t="str">
        <x:v>API-209</x:v>
      </x:c>
      <x:c r="B13" s="114" t="str">
        <x:v>REST</x:v>
      </x:c>
      <x:c r="C13" s="114" t="str">
        <x:v>GET /wi/tasks/{taskId}/contracts/current</x:v>
      </x:c>
      <x:c r="D13" s="114" t="str">
        <x:v>Get current active Task Execution Contract.</x:v>
      </x:c>
      <x:c r="E13" s="114" t="str">
        <x:v>Task Assurance</x:v>
      </x:c>
      <x:c r="F13" s="114" t="str">
        <x:v>Java/Spring</x:v>
      </x:c>
      <x:c r="G13" s="114" t="str">
        <x:v>Task ID</x:v>
      </x:c>
      <x:c r="H13" s="114" t="str">
        <x:v>TaskContract JSON</x:v>
      </x:c>
      <x:c r="I13" s="114" t="str">
        <x:v>Used by Stage 7 assurance.</x:v>
      </x:c>
      <x:c r="J13" s="114" t="str">
        <x:v>Draft Complete</x:v>
      </x:c>
      <x:c r="K13" s="333" t="str"/>
    </x:row>
    <x:row r="14">
      <x:c r="A14" s="337" t="str">
        <x:v>API-210</x:v>
      </x:c>
      <x:c r="B14" s="338" t="str">
        <x:v>REST</x:v>
      </x:c>
      <x:c r="C14" s="338" t="str">
        <x:v>POST /wi/evidence/qualify</x:v>
      </x:c>
      <x:c r="D14" s="338" t="str">
        <x:v>Create qualified capability evidence from artefacts/episodes/review.</x:v>
      </x:c>
      <x:c r="E14" s="338" t="str">
        <x:v>Capability Domain</x:v>
      </x:c>
      <x:c r="F14" s="338" t="str">
        <x:v>Java/Spring</x:v>
      </x:c>
      <x:c r="G14" s="338" t="str">
        <x:v>Evidence references + scoring vector</x:v>
      </x:c>
      <x:c r="H14" s="338" t="str">
        <x:v>CapabilityEvidence candidate</x:v>
      </x:c>
      <x:c r="I14" s="338" t="str">
        <x:v>High-impact changes require review.</x:v>
      </x:c>
      <x:c r="J14" s="338" t="str">
        <x:v>Draft Complete</x:v>
      </x:c>
      <x:c r="K14" s="339" t="str"/>
    </x:row>
    <x:row r="15">
      <x:c r="A15" s="332" t="str">
        <x:v>API-211</x:v>
      </x:c>
      <x:c r="B15" s="114" t="str">
        <x:v>REST</x:v>
      </x:c>
      <x:c r="C15" s="114" t="str">
        <x:v>POST /wi/capability-scoring/evaluate</x:v>
      </x:c>
      <x:c r="D15" s="114" t="str">
        <x:v>Request AI/Python scoring recommendation for evidence.</x:v>
      </x:c>
      <x:c r="E15" s="114" t="str">
        <x:v>Capability Scoring</x:v>
      </x:c>
      <x:c r="F15" s="114" t="str">
        <x:v>Python/FastAPI</x:v>
      </x:c>
      <x:c r="G15" s="114" t="str">
        <x:v>Evidence summary + rubric refs</x:v>
      </x:c>
      <x:c r="H15" s="114" t="str">
        <x:v>Score recommendation</x:v>
      </x:c>
      <x:c r="I15" s="114" t="str">
        <x:v>No final state write; model/skill version recorded.</x:v>
      </x:c>
      <x:c r="J15" s="114" t="str">
        <x:v>Draft Complete</x:v>
      </x:c>
      <x:c r="K15" s="333" t="str"/>
    </x:row>
    <x:row r="16">
      <x:c r="A16" s="337" t="str">
        <x:v>API-212</x:v>
      </x:c>
      <x:c r="B16" s="338" t="str">
        <x:v>REST</x:v>
      </x:c>
      <x:c r="C16" s="338" t="str">
        <x:v>POST /wi/reviews</x:v>
      </x:c>
      <x:c r="D16" s="338" t="str">
        <x:v>Create review request for capability/task/gap decision.</x:v>
      </x:c>
      <x:c r="E16" s="338" t="str">
        <x:v>Governance &amp; Review</x:v>
      </x:c>
      <x:c r="F16" s="338" t="str">
        <x:v>Java/Spring</x:v>
      </x:c>
      <x:c r="G16" s="338" t="str">
        <x:v>Review subject and evidence refs</x:v>
      </x:c>
      <x:c r="H16" s="338" t="str">
        <x:v>Review workflow ID</x:v>
      </x:c>
      <x:c r="I16" s="338" t="str">
        <x:v>Meaningful human review standard.</x:v>
      </x:c>
      <x:c r="J16" s="338" t="str">
        <x:v>Draft Complete</x:v>
      </x:c>
      <x:c r="K16" s="339" t="str"/>
    </x:row>
    <x:row r="17">
      <x:c r="A17" s="332" t="str">
        <x:v>API-213</x:v>
      </x:c>
      <x:c r="B17" s="114" t="str">
        <x:v>Event</x:v>
      </x:c>
      <x:c r="C17" s="114" t="str">
        <x:v>role.version.proposed</x:v>
      </x:c>
      <x:c r="D17" s="114" t="str">
        <x:v>A new RoleVersion draft is created.</x:v>
      </x:c>
      <x:c r="E17" s="114" t="str">
        <x:v>Capability Domain</x:v>
      </x:c>
      <x:c r="F17" s="114" t="str">
        <x:v>CloudEvents-style</x:v>
      </x:c>
      <x:c r="G17" s="114" t="str">
        <x:v>RoleVersion</x:v>
      </x:c>
      <x:c r="H17" s="114" t="str">
        <x:v>Workflow review consumers</x:v>
      </x:c>
      <x:c r="I17" s="114" t="str">
        <x:v>No employee data.</x:v>
      </x:c>
      <x:c r="J17" s="114" t="str">
        <x:v>Draft Complete</x:v>
      </x:c>
      <x:c r="K17" s="333" t="str">
        <x:v>CloudEvents</x:v>
      </x:c>
    </x:row>
    <x:row r="18">
      <x:c r="A18" s="337" t="str">
        <x:v>API-214</x:v>
      </x:c>
      <x:c r="B18" s="338" t="str">
        <x:v>Event</x:v>
      </x:c>
      <x:c r="C18" s="338" t="str">
        <x:v>role.version.approved</x:v>
      </x:c>
      <x:c r="D18" s="338" t="str">
        <x:v>Role contract becomes active for a role.</x:v>
      </x:c>
      <x:c r="E18" s="338" t="str">
        <x:v>Capability Domain</x:v>
      </x:c>
      <x:c r="F18" s="338" t="str">
        <x:v>CloudEvents-style</x:v>
      </x:c>
      <x:c r="G18" s="338" t="str">
        <x:v>RoleVersion ID</x:v>
      </x:c>
      <x:c r="H18" s="338" t="str">
        <x:v>Task/compiler and reporting</x:v>
      </x:c>
      <x:c r="I18" s="338" t="str">
        <x:v>Version effective date required.</x:v>
      </x:c>
      <x:c r="J18" s="338" t="str">
        <x:v>Draft Complete</x:v>
      </x:c>
      <x:c r="K18" s="339" t="str"/>
    </x:row>
    <x:row r="19">
      <x:c r="A19" s="332" t="str">
        <x:v>API-215</x:v>
      </x:c>
      <x:c r="B19" s="114" t="str">
        <x:v>Event</x:v>
      </x:c>
      <x:c r="C19" s="114" t="str">
        <x:v>employee.claim.created</x:v>
      </x:c>
      <x:c r="D19" s="114" t="str">
        <x:v>Employee capability claim recorded.</x:v>
      </x:c>
      <x:c r="E19" s="114" t="str">
        <x:v>Capability Domain</x:v>
      </x:c>
      <x:c r="F19" s="114" t="str">
        <x:v>CloudEvents-style</x:v>
      </x:c>
      <x:c r="G19" s="114" t="str">
        <x:v>EmployeeClaim metadata</x:v>
      </x:c>
      <x:c r="H19" s="114" t="str">
        <x:v>Capability state/readiness</x:v>
      </x:c>
      <x:c r="I19" s="114" t="str">
        <x:v>Employee-visible.</x:v>
      </x:c>
      <x:c r="J19" s="114" t="str">
        <x:v>Draft Complete</x:v>
      </x:c>
      <x:c r="K19" s="333" t="str"/>
    </x:row>
    <x:row r="20">
      <x:c r="A20" s="337" t="str">
        <x:v>API-216</x:v>
      </x:c>
      <x:c r="B20" s="338" t="str">
        <x:v>Event</x:v>
      </x:c>
      <x:c r="C20" s="338" t="str">
        <x:v>task.contract.proposed</x:v>
      </x:c>
      <x:c r="D20" s="338" t="str">
        <x:v>Task Execution Contract draft created.</x:v>
      </x:c>
      <x:c r="E20" s="338" t="str">
        <x:v>Task Assurance</x:v>
      </x:c>
      <x:c r="F20" s="338" t="str">
        <x:v>CloudEvents-style</x:v>
      </x:c>
      <x:c r="G20" s="338" t="str">
        <x:v>TaskContract metadata</x:v>
      </x:c>
      <x:c r="H20" s="338" t="str">
        <x:v>Workflow reviewers</x:v>
      </x:c>
      <x:c r="I20" s="338" t="str">
        <x:v>Task criteria need approval.</x:v>
      </x:c>
      <x:c r="J20" s="338" t="str">
        <x:v>Draft Complete</x:v>
      </x:c>
      <x:c r="K20" s="339" t="str"/>
    </x:row>
    <x:row r="21">
      <x:c r="A21" s="332" t="str">
        <x:v>API-217</x:v>
      </x:c>
      <x:c r="B21" s="114" t="str">
        <x:v>Event</x:v>
      </x:c>
      <x:c r="C21" s="114" t="str">
        <x:v>task.contract.approved</x:v>
      </x:c>
      <x:c r="D21" s="114" t="str">
        <x:v>Task contract approved for assurance.</x:v>
      </x:c>
      <x:c r="E21" s="114" t="str">
        <x:v>Task Assurance</x:v>
      </x:c>
      <x:c r="F21" s="114" t="str">
        <x:v>CloudEvents-style</x:v>
      </x:c>
      <x:c r="G21" s="114" t="str">
        <x:v>TaskContract ID/version</x:v>
      </x:c>
      <x:c r="H21" s="114" t="str">
        <x:v>Device agent context, Task Assurance Engine</x:v>
      </x:c>
      <x:c r="I21" s="114" t="str">
        <x:v>Agent may use minimal task metadata only.</x:v>
      </x:c>
      <x:c r="J21" s="114" t="str">
        <x:v>Draft Complete</x:v>
      </x:c>
      <x:c r="K21" s="333" t="str"/>
    </x:row>
    <x:row r="22">
      <x:c r="A22" s="337" t="str">
        <x:v>API-218</x:v>
      </x:c>
      <x:c r="B22" s="338" t="str">
        <x:v>Event</x:v>
      </x:c>
      <x:c r="C22" s="338" t="str">
        <x:v>evidence.requirement.satisfied</x:v>
      </x:c>
      <x:c r="D22" s="338" t="str">
        <x:v>A criterion/evidence requirement is satisfied or partially satisfied.</x:v>
      </x:c>
      <x:c r="E22" s="338" t="str">
        <x:v>Task Assurance</x:v>
      </x:c>
      <x:c r="F22" s="338" t="str">
        <x:v>CloudEvents-style</x:v>
      </x:c>
      <x:c r="G22" s="338" t="str">
        <x:v>Requirement ID + evidence refs + confidence</x:v>
      </x:c>
      <x:c r="H22" s="338" t="str">
        <x:v>Task/capability assessment</x:v>
      </x:c>
      <x:c r="I22" s="338" t="str">
        <x:v>Evidence refs not raw content.</x:v>
      </x:c>
      <x:c r="J22" s="338" t="str">
        <x:v>Draft Complete</x:v>
      </x:c>
      <x:c r="K22" s="339" t="str"/>
    </x:row>
    <x:row r="23">
      <x:c r="A23" s="332" t="str">
        <x:v>API-219</x:v>
      </x:c>
      <x:c r="B23" s="114" t="str">
        <x:v>Event</x:v>
      </x:c>
      <x:c r="C23" s="114" t="str">
        <x:v>capability.evidence.created</x:v>
      </x:c>
      <x:c r="D23" s="114" t="str">
        <x:v>Qualified evidence candidate created.</x:v>
      </x:c>
      <x:c r="E23" s="114" t="str">
        <x:v>Capability Domain</x:v>
      </x:c>
      <x:c r="F23" s="114" t="str">
        <x:v>CloudEvents-style</x:v>
      </x:c>
      <x:c r="G23" s="114" t="str">
        <x:v>CapabilityEvidence metadata</x:v>
      </x:c>
      <x:c r="H23" s="114" t="str">
        <x:v>Scoring/review/readiness</x:v>
      </x:c>
      <x:c r="I23" s="114" t="str">
        <x:v>Status may be candidate/pending/approved.</x:v>
      </x:c>
      <x:c r="J23" s="114" t="str">
        <x:v>Draft Complete</x:v>
      </x:c>
      <x:c r="K23" s="333" t="str"/>
    </x:row>
    <x:row r="24">
      <x:c r="A24" s="337" t="str">
        <x:v>API-220</x:v>
      </x:c>
      <x:c r="B24" s="338" t="str">
        <x:v>Event</x:v>
      </x:c>
      <x:c r="C24" s="338" t="str">
        <x:v>capability.state.updated</x:v>
      </x:c>
      <x:c r="D24" s="338" t="str">
        <x:v>Person capability state changes after review/rules.</x:v>
      </x:c>
      <x:c r="E24" s="338" t="str">
        <x:v>Capability Domain</x:v>
      </x:c>
      <x:c r="F24" s="338" t="str">
        <x:v>CloudEvents-style</x:v>
      </x:c>
      <x:c r="G24" s="338" t="str">
        <x:v>Person, capability, old/new level, confidence</x:v>
      </x:c>
      <x:c r="H24" s="338" t="str">
        <x:v>Reporting/learning</x:v>
      </x:c>
      <x:c r="I24" s="338" t="str">
        <x:v>High-impact updates require review decision.</x:v>
      </x:c>
      <x:c r="J24" s="338" t="str">
        <x:v>Draft Complete</x:v>
      </x:c>
      <x:c r="K24" s="339" t="str"/>
    </x:row>
    <x:row r="25">
      <x:c r="A25" s="332" t="str">
        <x:v>API-221</x:v>
      </x:c>
      <x:c r="B25" s="114" t="str">
        <x:v>Event</x:v>
      </x:c>
      <x:c r="C25" s="114" t="str">
        <x:v>claim.discrepancy.opened</x:v>
      </x:c>
      <x:c r="D25" s="114" t="str">
        <x:v>Claim and evidence appear misaligned.</x:v>
      </x:c>
      <x:c r="E25" s="114" t="str">
        <x:v>Capability Domain</x:v>
      </x:c>
      <x:c r="F25" s="114" t="str">
        <x:v>CloudEvents-style</x:v>
      </x:c>
      <x:c r="G25" s="114" t="str">
        <x:v>Claim ID, evidence summary, neutral reason</x:v>
      </x:c>
      <x:c r="H25" s="114" t="str">
        <x:v>Learning/review workflow</x:v>
      </x:c>
      <x:c r="I25" s="114" t="str">
        <x:v>Do not call deception.</x:v>
      </x:c>
      <x:c r="J25" s="114" t="str">
        <x:v>Draft Complete</x:v>
      </x:c>
      <x:c r="K25" s="333" t="str"/>
    </x:row>
    <x:row r="26">
      <x:c r="A26" s="337" t="str">
        <x:v>API-222</x:v>
      </x:c>
      <x:c r="B26" s="338" t="str">
        <x:v>Event</x:v>
      </x:c>
      <x:c r="C26" s="338" t="str">
        <x:v>gap.detected</x:v>
      </x:c>
      <x:c r="D26" s="338" t="str">
        <x:v>Potential capability/process gap detected.</x:v>
      </x:c>
      <x:c r="E26" s="338" t="str">
        <x:v>Capability/Growth</x:v>
      </x:c>
      <x:c r="F26" s="338" t="str">
        <x:v>CloudEvents-style</x:v>
      </x:c>
      <x:c r="G26" s="338" t="str">
        <x:v>Gap candidate metadata</x:v>
      </x:c>
      <x:c r="H26" s="338" t="str">
        <x:v>Learning/coaching/review</x:v>
      </x:c>
      <x:c r="I26" s="338" t="str">
        <x:v>Cause classification and confidence required.</x:v>
      </x:c>
      <x:c r="J26" s="338" t="str">
        <x:v>Draft Complete</x:v>
      </x:c>
      <x:c r="K26" s="339" t="str"/>
    </x:row>
    <x:row r="27">
      <x:c r="A27" s="332" t="str">
        <x:v>API-223</x:v>
      </x:c>
      <x:c r="B27" s="114" t="str">
        <x:v>Event</x:v>
      </x:c>
      <x:c r="C27" s="114" t="str">
        <x:v>learning.intervention.assigned</x:v>
      </x:c>
      <x:c r="D27" s="114" t="str">
        <x:v>Training or coaching intervention assigned.</x:v>
      </x:c>
      <x:c r="E27" s="114" t="str">
        <x:v>Learning Domain</x:v>
      </x:c>
      <x:c r="F27" s="114" t="str">
        <x:v>CloudEvents-style</x:v>
      </x:c>
      <x:c r="G27" s="114" t="str">
        <x:v>Intervention ID/type</x:v>
      </x:c>
      <x:c r="H27" s="114" t="str">
        <x:v>Employee portal/notification</x:v>
      </x:c>
      <x:c r="I27" s="114" t="str">
        <x:v>Employee can see rationale.</x:v>
      </x:c>
      <x:c r="J27" s="114" t="str">
        <x:v>Draft Complete</x:v>
      </x:c>
      <x:c r="K27" s="333" t="str"/>
    </x:row>
    <x:row r="28">
      <x:c r="A28" s="337" t="str">
        <x:v>API-224</x:v>
      </x:c>
      <x:c r="B28" s="338" t="str">
        <x:v>JSON Schema</x:v>
      </x:c>
      <x:c r="C28" s="338" t="str">
        <x:v>RoleCapabilityContract.schema.json</x:v>
      </x:c>
      <x:c r="D28" s="338" t="str">
        <x:v>Schema for role version contracts.</x:v>
      </x:c>
      <x:c r="E28" s="338" t="str">
        <x:v>Capability Domain</x:v>
      </x:c>
      <x:c r="F28" s="338" t="str">
        <x:v>JSON Schema 2020-12</x:v>
      </x:c>
      <x:c r="G28" s="338" t="str">
        <x:v>Role contract JSON</x:v>
      </x:c>
      <x:c r="H28" s="338" t="str">
        <x:v>Validation result</x:v>
      </x:c>
      <x:c r="I28" s="338" t="str">
        <x:v>Must validate before approval.</x:v>
      </x:c>
      <x:c r="J28" s="338" t="str">
        <x:v>Draft Complete</x:v>
      </x:c>
      <x:c r="K28" s="339" t="str">
        <x:v>JSON Schema 2020-12</x:v>
      </x:c>
    </x:row>
    <x:row r="29">
      <x:c r="A29" s="332" t="str">
        <x:v>API-225</x:v>
      </x:c>
      <x:c r="B29" s="114" t="str">
        <x:v>JSON Schema</x:v>
      </x:c>
      <x:c r="C29" s="114" t="str">
        <x:v>TaskExecutionContract.schema.json</x:v>
      </x:c>
      <x:c r="D29" s="114" t="str">
        <x:v>Schema for task contracts.</x:v>
      </x:c>
      <x:c r="E29" s="114" t="str">
        <x:v>Task Assurance</x:v>
      </x:c>
      <x:c r="F29" s="114" t="str">
        <x:v>JSON Schema 2020-12</x:v>
      </x:c>
      <x:c r="G29" s="114" t="str">
        <x:v>Task contract JSON</x:v>
      </x:c>
      <x:c r="H29" s="114" t="str">
        <x:v>Validation result</x:v>
      </x:c>
      <x:c r="I29" s="114" t="str">
        <x:v>Must validate before use.</x:v>
      </x:c>
      <x:c r="J29" s="114" t="str">
        <x:v>Draft Complete</x:v>
      </x:c>
      <x:c r="K29" s="333" t="str">
        <x:v>JSON Schema 2020-12</x:v>
      </x:c>
    </x:row>
    <x:row r="30">
      <x:c r="A30" s="340" t="str">
        <x:v>API-226</x:v>
      </x:c>
      <x:c r="B30" s="341" t="str">
        <x:v>JSON Schema</x:v>
      </x:c>
      <x:c r="C30" s="341" t="str">
        <x:v>CapabilityEvidence.schema.json</x:v>
      </x:c>
      <x:c r="D30" s="341" t="str">
        <x:v>Schema for capability evidence candidates.</x:v>
      </x:c>
      <x:c r="E30" s="341" t="str">
        <x:v>Capability Domain</x:v>
      </x:c>
      <x:c r="F30" s="341" t="str">
        <x:v>JSON Schema 2020-12</x:v>
      </x:c>
      <x:c r="G30" s="341" t="str">
        <x:v>Evidence candidate JSON</x:v>
      </x:c>
      <x:c r="H30" s="341" t="str">
        <x:v>Validation result</x:v>
      </x:c>
      <x:c r="I30" s="341" t="str">
        <x:v>Evidence refs required.</x:v>
      </x:c>
      <x:c r="J30" s="341" t="str">
        <x:v>Draft Complete</x:v>
      </x:c>
      <x:c r="K30" s="342" t="str"/>
    </x:row>
  </x:sheetData>
  <x:mergeCells>
    <x:mergeCell ref="A1:K1"/>
    <x:mergeCell ref="A2:K2"/>
  </x:mergeCells>
  <x:dataValidations count="1">
    <x:dataValidation type="list" sqref="J5:J30">
      <x:formula1>"Draft Complete,Needs Review,Approved,Deferred"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4" hidden="0" customWidth="1"/>
    <x:col min="8" max="8" width="12" hidden="0" customWidth="1"/>
    <x:col min="9" max="9" width="18" hidden="0" customWidth="1"/>
    <x:col min="10" max="10" width="12" hidden="0" customWidth="1"/>
    <x:col min="11" max="11" width="12" hidden="0" customWidth="1"/>
    <x:col min="12" max="12" width="28" hidden="0" customWidth="1"/>
    <x:col min="13" max="13" width="48" hidden="0" customWidth="1"/>
    <x:col min="14" max="14" width="26" hidden="0" customWidth="1"/>
  </x:cols>
  <x:sheetData>
    <x:row r="1" ht="30" customHeight="1">
      <x:c r="A1" s="294" t="str">
        <x:v>Stage 2 — Implementation Backlog</x:v>
      </x:c>
      <x:c r="B1" s="294"/>
      <x:c r="C1" s="294"/>
      <x:c r="D1" s="294"/>
      <x:c r="E1" s="294"/>
      <x:c r="F1" s="294"/>
      <x:c r="G1" s="294"/>
      <x:c r="H1" s="294"/>
      <x:c r="I1" s="294"/>
      <x:c r="J1" s="294"/>
      <x:c r="K1" s="294"/>
      <x:c r="L1" s="294"/>
      <x:c r="M1" s="294"/>
      <x:c r="N1" s="294"/>
    </x:row>
    <x:row r="2" ht="36" customHeight="1">
      <x:c r="A2" s="298" t="str">
        <x:v>Implementation-ready backlog for the ontology, role contracts, task contracts, schemas, APIs, events, scoring prototype and review workflows.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S2-BL-001</x:v>
      </x:c>
      <x:c r="B5" s="330" t="str">
        <x:v>Ontology</x:v>
      </x:c>
      <x:c r="C5" s="330" t="str">
        <x:v>Create canonical entity schema files</x:v>
      </x:c>
      <x:c r="D5" s="330" t="str">
        <x:v>Implement Role, RoleVersion, Capability, TaskContract and CapabilityEvidence JSON Schemas.</x:v>
      </x:c>
      <x:c r="E5" s="330" t="str">
        <x:v>Capability Architect</x:v>
      </x:c>
      <x:c r="F5" s="330" t="str">
        <x:v>Backend/Data</x:v>
      </x:c>
      <x:c r="G5" s="330" t="str">
        <x:v>None</x:v>
      </x:c>
      <x:c r="H5" s="330" t="str">
        <x:v>Critical</x:v>
      </x:c>
      <x:c r="I5" s="330" t="str">
        <x:v>Not Started</x:v>
      </x:c>
      <x:c r="J5" s="347" t="n">
        <x:f>IF(I5="Approved",1,IF(I5="Draft Complete",0.8,IF(I5="In Review",0.6,IF(I5="In Progress",0.4,IF(I5="Blocked",0,0)))))</x:f>
        <x:v>0</x:v>
      </x:c>
      <x:c r="K5" s="330" t="n">
        <x:v>8</x:v>
      </x:c>
      <x:c r="L5" s="330" t="str">
        <x:v>JSON Schema package</x:v>
      </x:c>
      <x:c r="M5" s="330" t="str">
        <x:v>Schemas validate positive/negative examples.</x:v>
      </x:c>
      <x:c r="N5" s="331" t="str">
        <x:v>JSON Schema 2020-12</x:v>
      </x:c>
    </x:row>
    <x:row r="6">
      <x:c r="A6" s="337" t="str">
        <x:v>S2-BL-002</x:v>
      </x:c>
      <x:c r="B6" s="338" t="str">
        <x:v>Ontology</x:v>
      </x:c>
      <x:c r="C6" s="338" t="str">
        <x:v>Define PostgreSQL logical schema</x:v>
      </x:c>
      <x:c r="D6" s="338" t="str">
        <x:v>Translate entity dictionary into tables, constraints and indexes.</x:v>
      </x:c>
      <x:c r="E6" s="338" t="str">
        <x:v>Data Architect</x:v>
      </x:c>
      <x:c r="F6" s="338" t="str">
        <x:v>Backend</x:v>
      </x:c>
      <x:c r="G6" s="338" t="str">
        <x:v>S2-BL-001</x:v>
      </x:c>
      <x:c r="H6" s="338" t="str">
        <x:v>Critical</x:v>
      </x:c>
      <x:c r="I6" s="338" t="str">
        <x:v>Not Started</x:v>
      </x:c>
      <x:c r="J6" s="348" t="n">
        <x:f>IF(I6="Approved",1,IF(I6="Draft Complete",0.8,IF(I6="In Review",0.6,IF(I6="In Progress",0.4,IF(I6="Blocked",0,0)))))</x:f>
        <x:v>0</x:v>
      </x:c>
      <x:c r="K6" s="338" t="n">
        <x:v>5</x:v>
      </x:c>
      <x:c r="L6" s="338" t="str">
        <x:v>DDL draft</x:v>
      </x:c>
      <x:c r="M6" s="338" t="str">
        <x:v>DDL represents relationships and versioning without one table per trivial concept.</x:v>
      </x:c>
      <x:c r="N6" s="339" t="str">
        <x:v>PostgreSQL</x:v>
      </x:c>
    </x:row>
    <x:row r="7">
      <x:c r="A7" s="332" t="str">
        <x:v>S2-BL-003</x:v>
      </x:c>
      <x:c r="B7" s="114" t="str">
        <x:v>Capability</x:v>
      </x:c>
      <x:c r="C7" s="114" t="str">
        <x:v>Build capability catalogue seed</x:v>
      </x:c>
      <x:c r="D7" s="114" t="str">
        <x:v>Seed software-development capability taxonomy and generic core dimensions.</x:v>
      </x:c>
      <x:c r="E7" s="114" t="str">
        <x:v>Capability Lead</x:v>
      </x:c>
      <x:c r="F7" s="114" t="str">
        <x:v>Domain Experts/HR</x:v>
      </x:c>
      <x:c r="G7" s="114" t="str">
        <x:v>S2-BL-001</x:v>
      </x:c>
      <x:c r="H7" s="114" t="str">
        <x:v>High</x:v>
      </x:c>
      <x:c r="I7" s="114" t="str">
        <x:v>Not Started</x:v>
      </x:c>
      <x:c r="J7" s="135" t="n">
        <x:f>IF(I7="Approved",1,IF(I7="Draft Complete",0.8,IF(I7="In Review",0.6,IF(I7="In Progress",0.4,IF(I7="Blocked",0,0)))))</x:f>
        <x:v>0</x:v>
      </x:c>
      <x:c r="K7" s="114" t="n">
        <x:v>6</x:v>
      </x:c>
      <x:c r="L7" s="114" t="str">
        <x:v>Capability seed data</x:v>
      </x:c>
      <x:c r="M7" s="114" t="str">
        <x:v>Includes capability IDs, dimensions, levels and indicators.</x:v>
      </x:c>
      <x:c r="N7" s="333" t="str">
        <x:v>SFIA/NICE/ESCO</x:v>
      </x:c>
    </x:row>
    <x:row r="8">
      <x:c r="A8" s="337" t="str">
        <x:v>S2-BL-004</x:v>
      </x:c>
      <x:c r="B8" s="338" t="str">
        <x:v>Role contracts</x:v>
      </x:c>
      <x:c r="C8" s="338" t="str">
        <x:v>Transform four role templates into RoleVersion contracts</x:v>
      </x:c>
      <x:c r="D8" s="338" t="str">
        <x:v>Use Software Engineer I/II/Senior, QA, DevOps and Tech Lead examples as structured contracts.</x:v>
      </x:c>
      <x:c r="E8" s="338" t="str">
        <x:v>HR/Product</x:v>
      </x:c>
      <x:c r="F8" s="338" t="str">
        <x:v>Domain Experts</x:v>
      </x:c>
      <x:c r="G8" s="338" t="str">
        <x:v>S2-BL-003</x:v>
      </x:c>
      <x:c r="H8" s="338" t="str">
        <x:v>High</x:v>
      </x:c>
      <x:c r="I8" s="338" t="str">
        <x:v>Not Started</x:v>
      </x:c>
      <x:c r="J8" s="348" t="n">
        <x:f>IF(I8="Approved",1,IF(I8="Draft Complete",0.8,IF(I8="In Review",0.6,IF(I8="In Progress",0.4,IF(I8="Blocked",0,0)))))</x:f>
        <x:v>0</x:v>
      </x:c>
      <x:c r="K8" s="338" t="n">
        <x:v>5</x:v>
      </x:c>
      <x:c r="L8" s="338" t="str">
        <x:v>Role contracts</x:v>
      </x:c>
      <x:c r="M8" s="338" t="str">
        <x:v>Each role traces outcomes/responsibilities to capability requirements.</x:v>
      </x:c>
      <x:c r="N8" s="339" t="str">
        <x:v>Role Templates</x:v>
      </x:c>
    </x:row>
    <x:row r="9">
      <x:c r="A9" s="332" t="str">
        <x:v>S2-BL-005</x:v>
      </x:c>
      <x:c r="B9" s="114" t="str">
        <x:v>Task contracts</x:v>
      </x:c>
      <x:c r="C9" s="114" t="str">
        <x:v>Create twelve task contract templates</x:v>
      </x:c>
      <x:c r="D9" s="114" t="str">
        <x:v>Convert task examples into TaskExecutionContract JSON with criteria, gates and evidence.</x:v>
      </x:c>
      <x:c r="E9" s="114" t="str">
        <x:v>Task Product Lead</x:v>
      </x:c>
      <x:c r="F9" s="114" t="str">
        <x:v>Engineering Leads</x:v>
      </x:c>
      <x:c r="G9" s="114" t="str">
        <x:v>S2-BL-001</x:v>
      </x:c>
      <x:c r="H9" s="114" t="str">
        <x:v>Critical</x:v>
      </x:c>
      <x:c r="I9" s="114" t="str">
        <x:v>Not Started</x:v>
      </x:c>
      <x:c r="J9" s="135" t="n">
        <x:f>IF(I9="Approved",1,IF(I9="Draft Complete",0.8,IF(I9="In Review",0.6,IF(I9="In Progress",0.4,IF(I9="Blocked",0,0)))))</x:f>
        <x:v>0</x:v>
      </x:c>
      <x:c r="K9" s="114" t="n">
        <x:v>6</x:v>
      </x:c>
      <x:c r="L9" s="114" t="str">
        <x:v>Task contract library</x:v>
      </x:c>
      <x:c r="M9" s="114" t="str">
        <x:v>Each criterion has verification method and evidence requirement.</x:v>
      </x:c>
      <x:c r="N9" s="333" t="str">
        <x:v>Task Contract Templates</x:v>
      </x:c>
    </x:row>
    <x:row r="10">
      <x:c r="A10" s="337" t="str">
        <x:v>S2-BL-006</x:v>
      </x:c>
      <x:c r="B10" s="338" t="str">
        <x:v>Scoring</x:v>
      </x:c>
      <x:c r="C10" s="338" t="str">
        <x:v>Implement evidence scoring prototype</x:v>
      </x:c>
      <x:c r="D10" s="338" t="str">
        <x:v>Python scoring function returning confidence, factor breakdown and warnings.</x:v>
      </x:c>
      <x:c r="E10" s="338" t="str">
        <x:v>AI Evaluation Lead</x:v>
      </x:c>
      <x:c r="F10" s="338" t="str">
        <x:v>Python/Capability</x:v>
      </x:c>
      <x:c r="G10" s="338" t="str">
        <x:v>S2-BL-001,S2-BL-003</x:v>
      </x:c>
      <x:c r="H10" s="338" t="str">
        <x:v>Critical</x:v>
      </x:c>
      <x:c r="I10" s="338" t="str">
        <x:v>Not Started</x:v>
      </x:c>
      <x:c r="J10" s="348" t="n">
        <x:f>IF(I10="Approved",1,IF(I10="Draft Complete",0.8,IF(I10="In Review",0.6,IF(I10="In Progress",0.4,IF(I10="Blocked",0,0)))))</x:f>
        <x:v>0</x:v>
      </x:c>
      <x:c r="K10" s="338" t="n">
        <x:v>8</x:v>
      </x:c>
      <x:c r="L10" s="338" t="str">
        <x:v>Scoring prototype</x:v>
      </x:c>
      <x:c r="M10" s="338" t="str">
        <x:v>Produces no final state change; handles contradictions and blockers.</x:v>
      </x:c>
      <x:c r="N10" s="339" t="str">
        <x:v>Evidence Scoring</x:v>
      </x:c>
    </x:row>
    <x:row r="11">
      <x:c r="A11" s="332" t="str">
        <x:v>S2-BL-007</x:v>
      </x:c>
      <x:c r="B11" s="114" t="str">
        <x:v>Review</x:v>
      </x:c>
      <x:c r="C11" s="114" t="str">
        <x:v>Define capability review workflow</x:v>
      </x:c>
      <x:c r="D11" s="114" t="str">
        <x:v>Human review states, reviewer roles, reason codes and decision lineage.</x:v>
      </x:c>
      <x:c r="E11" s="114" t="str">
        <x:v>Governance Product Owner</x:v>
      </x:c>
      <x:c r="F11" s="114" t="str">
        <x:v>HR/DPO/Workflow</x:v>
      </x:c>
      <x:c r="G11" s="114" t="str">
        <x:v>S2-BL-006</x:v>
      </x:c>
      <x:c r="H11" s="114" t="str">
        <x:v>Critical</x:v>
      </x:c>
      <x:c r="I11" s="114" t="str">
        <x:v>Not Started</x:v>
      </x:c>
      <x:c r="J11" s="135" t="n">
        <x:f>IF(I11="Approved",1,IF(I11="Draft Complete",0.8,IF(I11="In Review",0.6,IF(I11="In Progress",0.4,IF(I11="Blocked",0,0)))))</x:f>
        <x:v>0</x:v>
      </x:c>
      <x:c r="K11" s="114" t="n">
        <x:v>4</x:v>
      </x:c>
      <x:c r="L11" s="114" t="str">
        <x:v>Workflow spec</x:v>
      </x:c>
      <x:c r="M11" s="114" t="str">
        <x:v>High-impact update cannot bypass review.</x:v>
      </x:c>
      <x:c r="N11" s="333" t="str">
        <x:v>ICO human review</x:v>
      </x:c>
    </x:row>
    <x:row r="12">
      <x:c r="A12" s="337" t="str">
        <x:v>S2-BL-008</x:v>
      </x:c>
      <x:c r="B12" s="338" t="str">
        <x:v>API</x:v>
      </x:c>
      <x:c r="C12" s="338" t="str">
        <x:v>Draft OpenAPI 3.1 specifications</x:v>
      </x:c>
      <x:c r="D12" s="338" t="str">
        <x:v>Define Java/Spring API contracts for capability, claims, roles and task contracts.</x:v>
      </x:c>
      <x:c r="E12" s="338" t="str">
        <x:v>Backend Lead</x:v>
      </x:c>
      <x:c r="F12" s="338" t="str">
        <x:v>Architecture/API</x:v>
      </x:c>
      <x:c r="G12" s="338" t="str">
        <x:v>S2-BL-001</x:v>
      </x:c>
      <x:c r="H12" s="338" t="str">
        <x:v>High</x:v>
      </x:c>
      <x:c r="I12" s="338" t="str">
        <x:v>Not Started</x:v>
      </x:c>
      <x:c r="J12" s="348" t="n">
        <x:f>IF(I12="Approved",1,IF(I12="Draft Complete",0.8,IF(I12="In Review",0.6,IF(I12="In Progress",0.4,IF(I12="Blocked",0,0)))))</x:f>
        <x:v>0</x:v>
      </x:c>
      <x:c r="K12" s="338" t="n">
        <x:v>6</x:v>
      </x:c>
      <x:c r="L12" s="338" t="str">
        <x:v>OpenAPI spec</x:v>
      </x:c>
      <x:c r="M12" s="338" t="str">
        <x:v>APIs validate with generated clients and security scopes.</x:v>
      </x:c>
      <x:c r="N12" s="339" t="str">
        <x:v>OpenAPI 3.1</x:v>
      </x:c>
    </x:row>
    <x:row r="13">
      <x:c r="A13" s="332" t="str">
        <x:v>S2-BL-009</x:v>
      </x:c>
      <x:c r="B13" s="114" t="str">
        <x:v>Events</x:v>
      </x:c>
      <x:c r="C13" s="114" t="str">
        <x:v>Define CloudEvents domain events</x:v>
      </x:c>
      <x:c r="D13" s="114" t="str">
        <x:v>Create schemas for role.version, task.contract, capability.evidence and learning events.</x:v>
      </x:c>
      <x:c r="E13" s="114" t="str">
        <x:v>Data Architect</x:v>
      </x:c>
      <x:c r="F13" s="114" t="str">
        <x:v>Backend/Event</x:v>
      </x:c>
      <x:c r="G13" s="114" t="str">
        <x:v>S2-BL-001</x:v>
      </x:c>
      <x:c r="H13" s="114" t="str">
        <x:v>High</x:v>
      </x:c>
      <x:c r="I13" s="114" t="str">
        <x:v>Not Started</x:v>
      </x:c>
      <x:c r="J13" s="135" t="n">
        <x:f>IF(I13="Approved",1,IF(I13="Draft Complete",0.8,IF(I13="In Review",0.6,IF(I13="In Progress",0.4,IF(I13="Blocked",0,0)))))</x:f>
        <x:v>0</x:v>
      </x:c>
      <x:c r="K13" s="114" t="n">
        <x:v>4</x:v>
      </x:c>
      <x:c r="L13" s="114" t="str">
        <x:v>Event schema package</x:v>
      </x:c>
      <x:c r="M13" s="114" t="str">
        <x:v>Events use content references not raw sensitive content.</x:v>
      </x:c>
      <x:c r="N13" s="333" t="str">
        <x:v>CloudEvents</x:v>
      </x:c>
    </x:row>
    <x:row r="14">
      <x:c r="A14" s="337" t="str">
        <x:v>S2-BL-010</x:v>
      </x:c>
      <x:c r="B14" s="338" t="str">
        <x:v>Examples</x:v>
      </x:c>
      <x:c r="C14" s="338" t="str">
        <x:v>Create evaluator test corpus</x:v>
      </x:c>
      <x:c r="D14" s="338" t="str">
        <x:v>Convert worked examples into labelled positive/negative/edge cases.</x:v>
      </x:c>
      <x:c r="E14" s="338" t="str">
        <x:v>AI Evaluation Lead</x:v>
      </x:c>
      <x:c r="F14" s="338" t="str">
        <x:v>Domain Reviewers</x:v>
      </x:c>
      <x:c r="G14" s="338" t="str">
        <x:v>S2-BL-006</x:v>
      </x:c>
      <x:c r="H14" s="338" t="str">
        <x:v>High</x:v>
      </x:c>
      <x:c r="I14" s="338" t="str">
        <x:v>Not Started</x:v>
      </x:c>
      <x:c r="J14" s="348" t="n">
        <x:f>IF(I14="Approved",1,IF(I14="Draft Complete",0.8,IF(I14="In Review",0.6,IF(I14="In Progress",0.4,IF(I14="Blocked",0,0)))))</x:f>
        <x:v>0</x:v>
      </x:c>
      <x:c r="K14" s="338" t="n">
        <x:v>5</x:v>
      </x:c>
      <x:c r="L14" s="338" t="str">
        <x:v>Initial test corpus</x:v>
      </x:c>
      <x:c r="M14" s="338" t="str">
        <x:v>Examples cover blockers, accommodations, AI overreach and claim gaps.</x:v>
      </x:c>
      <x:c r="N14" s="339" t="str">
        <x:v>Worked Examples</x:v>
      </x:c>
    </x:row>
    <x:row r="15">
      <x:c r="A15" s="332" t="str">
        <x:v>S2-BL-011</x:v>
      </x:c>
      <x:c r="B15" s="114" t="str">
        <x:v>Fairness</x:v>
      </x:c>
      <x:c r="C15" s="114" t="str">
        <x:v>Run fairness and misuse review</x:v>
      </x:c>
      <x:c r="D15" s="114" t="str">
        <x:v>Review ontology for protected-trait, accessibility, activity-volume and single-task harms.</x:v>
      </x:c>
      <x:c r="E15" s="114" t="str">
        <x:v>DPO/HR</x:v>
      </x:c>
      <x:c r="F15" s="114" t="str">
        <x:v>Product/AI</x:v>
      </x:c>
      <x:c r="G15" s="114" t="str">
        <x:v>S2-BL-010</x:v>
      </x:c>
      <x:c r="H15" s="114" t="str">
        <x:v>Critical</x:v>
      </x:c>
      <x:c r="I15" s="114" t="str">
        <x:v>Not Started</x:v>
      </x:c>
      <x:c r="J15" s="135" t="n">
        <x:f>IF(I15="Approved",1,IF(I15="Draft Complete",0.8,IF(I15="In Review",0.6,IF(I15="In Progress",0.4,IF(I15="Blocked",0,0)))))</x:f>
        <x:v>0</x:v>
      </x:c>
      <x:c r="K15" s="114" t="n">
        <x:v>4</x:v>
      </x:c>
      <x:c r="L15" s="114" t="str">
        <x:v>Fairness review</x:v>
      </x:c>
      <x:c r="M15" s="114" t="str">
        <x:v>All non-negotiable rules are tested.</x:v>
      </x:c>
      <x:c r="N15" s="333" t="str">
        <x:v>Stage 2 rules</x:v>
      </x:c>
    </x:row>
    <x:row r="16">
      <x:c r="A16" s="337" t="str">
        <x:v>S2-BL-012</x:v>
      </x:c>
      <x:c r="B16" s="338" t="str">
        <x:v>Traceability</x:v>
      </x:c>
      <x:c r="C16" s="338" t="str">
        <x:v>Build role-task-capability-evidence trace matrix</x:v>
      </x:c>
      <x:c r="D16" s="338" t="str">
        <x:v>Validate every role requirement and task criterion has evidence trace.</x:v>
      </x:c>
      <x:c r="E16" s="338" t="str">
        <x:v>Capability Product Lead</x:v>
      </x:c>
      <x:c r="F16" s="338" t="str">
        <x:v>Data/QA</x:v>
      </x:c>
      <x:c r="G16" s="338" t="str">
        <x:v>S2-BL-004,S2-BL-005</x:v>
      </x:c>
      <x:c r="H16" s="338" t="str">
        <x:v>Critical</x:v>
      </x:c>
      <x:c r="I16" s="338" t="str">
        <x:v>Not Started</x:v>
      </x:c>
      <x:c r="J16" s="348" t="n">
        <x:f>IF(I16="Approved",1,IF(I16="Draft Complete",0.8,IF(I16="In Review",0.6,IF(I16="In Progress",0.4,IF(I16="Blocked",0,0)))))</x:f>
        <x:v>0</x:v>
      </x:c>
      <x:c r="K16" s="338" t="n">
        <x:v>4</x:v>
      </x:c>
      <x:c r="L16" s="338" t="str">
        <x:v>Traceability matrix</x:v>
      </x:c>
      <x:c r="M16" s="338" t="str">
        <x:v>No orphan requirement or criterion.</x:v>
      </x:c>
      <x:c r="N16" s="339" t="str">
        <x:v>Validation requirement</x:v>
      </x:c>
    </x:row>
    <x:row r="17">
      <x:c r="A17" s="332" t="str">
        <x:v>S2-BL-013</x:v>
      </x:c>
      <x:c r="B17" s="114" t="str">
        <x:v>Migration</x:v>
      </x:c>
      <x:c r="C17" s="114" t="str">
        <x:v>Map to existing HumanOS services</x:v>
      </x:c>
      <x:c r="D17" s="114" t="str">
        <x:v>Confirm entity ownership and integration boundaries with role/task/workflow/audit services.</x:v>
      </x:c>
      <x:c r="E17" s="114" t="str">
        <x:v>Enterprise Architect</x:v>
      </x:c>
      <x:c r="F17" s="114" t="str">
        <x:v>Platform Leads</x:v>
      </x:c>
      <x:c r="G17" s="114" t="str">
        <x:v>S2-BL-002</x:v>
      </x:c>
      <x:c r="H17" s="114" t="str">
        <x:v>High</x:v>
      </x:c>
      <x:c r="I17" s="114" t="str">
        <x:v>Not Started</x:v>
      </x:c>
      <x:c r="J17" s="135" t="n">
        <x:f>IF(I17="Approved",1,IF(I17="Draft Complete",0.8,IF(I17="In Review",0.6,IF(I17="In Progress",0.4,IF(I17="Blocked",0,0)))))</x:f>
        <x:v>0</x:v>
      </x:c>
      <x:c r="K17" s="114" t="n">
        <x:v>3</x:v>
      </x:c>
      <x:c r="L17" s="114" t="str">
        <x:v>Integration map</x:v>
      </x:c>
      <x:c r="M17" s="114" t="str">
        <x:v>No duplicate HumanOS foundation service.</x:v>
      </x:c>
      <x:c r="N17" s="333" t="str">
        <x:v>HumanOS architecture</x:v>
      </x:c>
    </x:row>
    <x:row r="18">
      <x:c r="A18" s="340" t="str">
        <x:v>S2-BL-014</x:v>
      </x:c>
      <x:c r="B18" s="341" t="str">
        <x:v>Documentation</x:v>
      </x:c>
      <x:c r="C18" s="341" t="str">
        <x:v>Write Stage 2 implementation package</x:v>
      </x:c>
      <x:c r="D18" s="341" t="str">
        <x:v>Consolidate ontology, schemas, APIs, events, examples, decisions and gate evidence.</x:v>
      </x:c>
      <x:c r="E18" s="341" t="str">
        <x:v>Programme Lead</x:v>
      </x:c>
      <x:c r="F18" s="341" t="str">
        <x:v>All owners</x:v>
      </x:c>
      <x:c r="G18" s="341" t="str">
        <x:v>S2-BL-001:S2-BL-013</x:v>
      </x:c>
      <x:c r="H18" s="341" t="str">
        <x:v>High</x:v>
      </x:c>
      <x:c r="I18" s="341" t="str">
        <x:v>Not Started</x:v>
      </x:c>
      <x:c r="J18" s="349" t="n">
        <x:f>IF(I18="Approved",1,IF(I18="Draft Complete",0.8,IF(I18="In Review",0.6,IF(I18="In Progress",0.4,IF(I18="Blocked",0,0)))))</x:f>
        <x:v>0</x:v>
      </x:c>
      <x:c r="K18" s="341" t="n">
        <x:v>3</x:v>
      </x:c>
      <x:c r="L18" s="341" t="str">
        <x:v>Stage 2 package</x:v>
      </x:c>
      <x:c r="M18" s="341" t="str">
        <x:v>Ready for architecture, HR, DPO and product review.</x:v>
      </x:c>
      <x:c r="N18" s="342" t="str">
        <x:v>Stage 2 Gate</x:v>
      </x:c>
    </x:row>
  </x:sheetData>
  <x:mergeCells>
    <x:mergeCell ref="A1:N1"/>
    <x:mergeCell ref="A2:N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2" hidden="0" customWidth="1"/>
    <x:col min="2" max="2" width="56" hidden="0" customWidth="1"/>
    <x:col min="3" max="3" width="22"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34" hidden="0" customWidth="1"/>
  </x:cols>
  <x:sheetData>
    <x:row r="1" ht="30" customHeight="1">
      <x:c r="A1" s="294" t="str">
        <x:v>Stage 2 — Risk Register</x:v>
      </x:c>
      <x:c r="B1" s="294"/>
      <x:c r="C1" s="294"/>
      <x:c r="D1" s="294"/>
      <x:c r="E1" s="294"/>
      <x:c r="F1" s="294"/>
      <x:c r="G1" s="294"/>
      <x:c r="H1" s="294"/>
      <x:c r="I1" s="294"/>
      <x:c r="J1" s="294"/>
    </x:row>
    <x:row r="2" ht="36" customHeight="1">
      <x:c r="A2" s="298" t="str">
        <x:v>Ontology, fairness, implementation and governance risks specific to Stage 2.</x:v>
      </x:c>
      <x:c r="B2" s="298"/>
      <x:c r="C2" s="298"/>
      <x:c r="D2" s="298"/>
      <x:c r="E2" s="298"/>
      <x:c r="F2" s="298"/>
      <x:c r="G2" s="298"/>
      <x:c r="H2" s="298"/>
      <x:c r="I2" s="298"/>
      <x:c r="J2" s="298"/>
    </x:row>
    <x:row r="4" ht="30" customHeight="1">
      <x:c r="A4" s="310" t="str">
        <x:v>Risk ID</x:v>
      </x:c>
      <x:c r="B4" s="311" t="str">
        <x:v>Risk</x:v>
      </x:c>
      <x:c r="C4" s="311" t="str">
        <x:v>Category</x:v>
      </x:c>
      <x:c r="D4" s="311" t="str">
        <x:v>Likelihood</x:v>
      </x:c>
      <x:c r="E4" s="311" t="str">
        <x:v>Impact</x:v>
      </x:c>
      <x:c r="F4" s="311" t="str">
        <x:v>Score</x:v>
      </x:c>
      <x:c r="G4" s="311" t="str">
        <x:v>Mitigation</x:v>
      </x:c>
      <x:c r="H4" s="311" t="str">
        <x:v>Owner</x:v>
      </x:c>
      <x:c r="I4" s="311" t="str">
        <x:v>Status</x:v>
      </x:c>
      <x:c r="J4" s="312" t="str">
        <x:v>Notes</x:v>
      </x:c>
    </x:row>
    <x:row r="5">
      <x:c r="A5" s="329" t="str">
        <x:v>S2-R-001</x:v>
      </x:c>
      <x:c r="B5" s="330" t="str">
        <x:v>Capability model overstates certainty from insufficient evidence.</x:v>
      </x:c>
      <x:c r="C5" s="330" t="str">
        <x:v>Employment/Fairness</x:v>
      </x:c>
      <x:c r="D5" s="330" t="n">
        <x:v>4</x:v>
      </x:c>
      <x:c r="E5" s="330" t="n">
        <x:v>5</x:v>
      </x:c>
      <x:c r="F5" s="330" t="n">
        <x:f>D5*E5</x:f>
        <x:v>20</x:v>
      </x:c>
      <x:c r="G5" s="330" t="str">
        <x:v>Require multiple evidence items, confidence, recency, contradiction handling and review.</x:v>
      </x:c>
      <x:c r="H5" s="330" t="str">
        <x:v>Capability Lead/DPO</x:v>
      </x:c>
      <x:c r="I5" s="330" t="str">
        <x:v>Open</x:v>
      </x:c>
      <x:c r="J5" s="331" t="str">
        <x:v>Gate blocking if unresolved.</x:v>
      </x:c>
    </x:row>
    <x:row r="6">
      <x:c r="A6" s="337" t="str">
        <x:v>S2-R-002</x:v>
      </x:c>
      <x:c r="B6" s="338" t="str">
        <x:v>Job description is vague, outdated or unrealistic and creates unfair task/capability expectations.</x:v>
      </x:c>
      <x:c r="C6" s="338" t="str">
        <x:v>Product/HR</x:v>
      </x:c>
      <x:c r="D6" s="338" t="n">
        <x:v>4</x:v>
      </x:c>
      <x:c r="E6" s="338" t="n">
        <x:v>4</x:v>
      </x:c>
      <x:c r="F6" s="338" t="n">
        <x:f>D6*E6</x:f>
        <x:v>16</x:v>
      </x:c>
      <x:c r="G6" s="338" t="str">
        <x:v>Human-approved role contracts and task criteria; manager/process gap category.</x:v>
      </x:c>
      <x:c r="H6" s="338" t="str">
        <x:v>HR/Product</x:v>
      </x:c>
      <x:c r="I6" s="338" t="str">
        <x:v>Open</x:v>
      </x:c>
      <x:c r="J6" s="339" t="str"/>
    </x:row>
    <x:row r="7">
      <x:c r="A7" s="332" t="str">
        <x:v>S2-R-003</x:v>
      </x:c>
      <x:c r="B7" s="114" t="str">
        <x:v>Software-development ontology does not extend to future verticals.</x:v>
      </x:c>
      <x:c r="C7" s="114" t="str">
        <x:v>Architecture</x:v>
      </x:c>
      <x:c r="D7" s="114" t="n">
        <x:v>3</x:v>
      </x:c>
      <x:c r="E7" s="114" t="n">
        <x:v>4</x:v>
      </x:c>
      <x:c r="F7" s="114" t="n">
        <x:f>D7*E7</x:f>
        <x:v>12</x:v>
      </x:c>
      <x:c r="G7" s="114" t="str">
        <x:v>Domain-neutral core and future-vertical examples in task templates.</x:v>
      </x:c>
      <x:c r="H7" s="114" t="str">
        <x:v>Enterprise Architect</x:v>
      </x:c>
      <x:c r="I7" s="114" t="str">
        <x:v>Open</x:v>
      </x:c>
      <x:c r="J7" s="333" t="str"/>
    </x:row>
    <x:row r="8">
      <x:c r="A8" s="337" t="str">
        <x:v>S2-R-004</x:v>
      </x:c>
      <x:c r="B8" s="338" t="str">
        <x:v>Capability scoring becomes opaque or unchallengeable.</x:v>
      </x:c>
      <x:c r="C8" s="338" t="str">
        <x:v>AI Governance</x:v>
      </x:c>
      <x:c r="D8" s="338" t="n">
        <x:v>3</x:v>
      </x:c>
      <x:c r="E8" s="338" t="n">
        <x:v>5</x:v>
      </x:c>
      <x:c r="F8" s="338" t="n">
        <x:f>D8*E8</x:f>
        <x:v>15</x:v>
      </x:c>
      <x:c r="G8" s="338" t="str">
        <x:v>Score vector, evidence links, model/version, employee access and human review.</x:v>
      </x:c>
      <x:c r="H8" s="338" t="str">
        <x:v>AI Governance</x:v>
      </x:c>
      <x:c r="I8" s="338" t="str">
        <x:v>Open</x:v>
      </x:c>
      <x:c r="J8" s="339" t="str"/>
    </x:row>
    <x:row r="9">
      <x:c r="A9" s="332" t="str">
        <x:v>S2-R-005</x:v>
      </x:c>
      <x:c r="B9" s="114" t="str">
        <x:v>Training completion is incorrectly treated as proof of capability.</x:v>
      </x:c>
      <x:c r="C9" s="114" t="str">
        <x:v>L&amp;D/Product</x:v>
      </x:c>
      <x:c r="D9" s="114" t="n">
        <x:v>3</x:v>
      </x:c>
      <x:c r="E9" s="114" t="n">
        <x:v>4</x:v>
      </x:c>
      <x:c r="F9" s="114" t="n">
        <x:f>D9*E9</x:f>
        <x:v>12</x:v>
      </x:c>
      <x:c r="G9" s="114" t="str">
        <x:v>Applied-work evidence rule and separate LearningIntervention completion state.</x:v>
      </x:c>
      <x:c r="H9" s="114" t="str">
        <x:v>L&amp;D Lead</x:v>
      </x:c>
      <x:c r="I9" s="114" t="str">
        <x:v>Open</x:v>
      </x:c>
      <x:c r="J9" s="333" t="str"/>
    </x:row>
    <x:row r="10">
      <x:c r="A10" s="337" t="str">
        <x:v>S2-R-006</x:v>
      </x:c>
      <x:c r="B10" s="338" t="str">
        <x:v>Accessibility accommodations or alternate methods are penalised.</x:v>
      </x:c>
      <x:c r="C10" s="338" t="str">
        <x:v>Fairness/Inclusion</x:v>
      </x:c>
      <x:c r="D10" s="338" t="n">
        <x:v>3</x:v>
      </x:c>
      <x:c r="E10" s="338" t="n">
        <x:v>5</x:v>
      </x:c>
      <x:c r="F10" s="338" t="n">
        <x:f>D10*E10</x:f>
        <x:v>15</x:v>
      </x:c>
      <x:c r="G10" s="338" t="str">
        <x:v>Outcome-over-activity rule, accommodation context and valid-method examples.</x:v>
      </x:c>
      <x:c r="H10" s="338" t="str">
        <x:v>HR/DPO/Product</x:v>
      </x:c>
      <x:c r="I10" s="338" t="str">
        <x:v>Open</x:v>
      </x:c>
      <x:c r="J10" s="339" t="str"/>
    </x:row>
    <x:row r="11">
      <x:c r="A11" s="332" t="str">
        <x:v>S2-R-007</x:v>
      </x:c>
      <x:c r="B11" s="114" t="str">
        <x:v>Implementation duplicates existing HumanOS role/task/workflow services.</x:v>
      </x:c>
      <x:c r="C11" s="114" t="str">
        <x:v>Architecture</x:v>
      </x:c>
      <x:c r="D11" s="114" t="n">
        <x:v>3</x:v>
      </x:c>
      <x:c r="E11" s="114" t="n">
        <x:v>4</x:v>
      </x:c>
      <x:c r="F11" s="114" t="n">
        <x:f>D11*E11</x:f>
        <x:v>12</x:v>
      </x:c>
      <x:c r="G11" s="114" t="str">
        <x:v>System-of-record map and integration decisions.</x:v>
      </x:c>
      <x:c r="H11" s="114" t="str">
        <x:v>Enterprise Architect</x:v>
      </x:c>
      <x:c r="I11" s="114" t="str">
        <x:v>Open</x:v>
      </x:c>
      <x:c r="J11" s="333" t="str"/>
    </x:row>
    <x:row r="12">
      <x:c r="A12" s="340" t="str">
        <x:v>S2-R-008</x:v>
      </x:c>
      <x:c r="B12" s="341" t="str">
        <x:v>External skills frameworks are copied rigidly and do not fit Nessovo work.</x:v>
      </x:c>
      <x:c r="C12" s="341" t="str">
        <x:v>Product</x:v>
      </x:c>
      <x:c r="D12" s="341" t="n">
        <x:v>2</x:v>
      </x:c>
      <x:c r="E12" s="341" t="n">
        <x:v>3</x:v>
      </x:c>
      <x:c r="F12" s="341" t="n">
        <x:f>D12*E12</x:f>
        <x:v>6</x:v>
      </x:c>
      <x:c r="G12" s="341" t="str">
        <x:v>Use SFIA/NICE/ESCO/O*NET as references/mappings, not sole ontology.</x:v>
      </x:c>
      <x:c r="H12" s="341" t="str">
        <x:v>Capability Lead</x:v>
      </x:c>
      <x:c r="I12" s="341" t="str">
        <x:v>Open</x:v>
      </x:c>
      <x:c r="J12" s="342" t="str"/>
    </x:row>
  </x:sheetData>
  <x:mergeCells>
    <x:mergeCell ref="A1:J1"/>
    <x:mergeCell ref="A2:J2"/>
  </x:mergeCells>
  <x:dataValidations count="1">
    <x:dataValidation type="list" sqref="I5:I12">
      <x:formula1>"Open,Mitigating,Accepted,Closed,Blocked"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42" hidden="0" customWidth="1"/>
    <x:col min="5" max="5" width="54" hidden="0" customWidth="1"/>
    <x:col min="6" max="6" width="34" hidden="0" customWidth="1"/>
    <x:col min="7" max="7" width="42" hidden="0" customWidth="1"/>
    <x:col min="8" max="8" width="38" hidden="0" customWidth="1"/>
    <x:col min="9" max="9" width="30" hidden="0" customWidth="1"/>
    <x:col min="10" max="10" width="24" hidden="0" customWidth="1"/>
    <x:col min="11" max="11" width="28" hidden="0" customWidth="1"/>
  </x:cols>
  <x:sheetData>
    <x:row r="1" ht="30" customHeight="1">
      <x:c r="A1" s="294" t="str">
        <x:v>Stage 2 — Architecture and Product Decisions</x:v>
      </x:c>
      <x:c r="B1" s="294"/>
      <x:c r="C1" s="294"/>
      <x:c r="D1" s="294"/>
      <x:c r="E1" s="294"/>
      <x:c r="F1" s="294"/>
      <x:c r="G1" s="294"/>
      <x:c r="H1" s="294"/>
      <x:c r="I1" s="294"/>
      <x:c r="J1" s="294"/>
      <x:c r="K1" s="294"/>
    </x:row>
    <x:row r="2" ht="36" customHeight="1">
      <x:c r="A2" s="298" t="str">
        <x:v>Decision register for the ontology, capability model, task contracts and implementation responsibilities.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S2-ADR-001</x:v>
      </x:c>
      <x:c r="B5" s="330" t="str">
        <x:v>Claim is not evidence</x:v>
      </x:c>
      <x:c r="C5" s="330" t="str">
        <x:v>Accepted in principle</x:v>
      </x:c>
      <x:c r="D5" s="330" t="str">
        <x:v>Employee claims/CVs are inputs to evidence search, not proof.</x:v>
      </x:c>
      <x:c r="E5" s="330" t="str">
        <x:v>Use EmployeeClaim status model and neutral discrepancy language.</x:v>
      </x:c>
      <x:c r="F5" s="330" t="str">
        <x:v>Honesty classification; manager judgement only.</x:v>
      </x:c>
      <x:c r="G5" s="330" t="str">
        <x:v>Prevents harm and supports fair development.</x:v>
      </x:c>
      <x:c r="H5" s="330" t="str">
        <x:v>Needs HR/legal review.</x:v>
      </x:c>
      <x:c r="I5" s="330" t="str">
        <x:v>Stage 2 Gate</x:v>
      </x:c>
      <x:c r="J5" s="330" t="str">
        <x:v>Capability Lead/HR</x:v>
      </x:c>
      <x:c r="K5" s="331" t="str">
        <x:v>User rule</x:v>
      </x:c>
    </x:row>
    <x:row r="6">
      <x:c r="A6" s="337" t="str">
        <x:v>S2-ADR-002</x:v>
      </x:c>
      <x:c r="B6" s="338" t="str">
        <x:v>Five-level capability model</x:v>
      </x:c>
      <x:c r="C6" s="338" t="str">
        <x:v>Accepted in principle</x:v>
      </x:c>
      <x:c r="D6" s="338" t="str">
        <x:v>Need developmental levels but not over-complex ratings.</x:v>
      </x:c>
      <x:c r="E6" s="338" t="str">
        <x:v>Use Level 0–5: Unverified, Learning, Assisted, Independent, Advanced, Mastery.</x:v>
      </x:c>
      <x:c r="F6" s="338" t="str">
        <x:v>SFIA levels exactly; 10-level gamified score.</x:v>
      </x:c>
      <x:c r="G6" s="338" t="str">
        <x:v>Readable, game-like, still professional.</x:v>
      </x:c>
      <x:c r="H6" s="338" t="str">
        <x:v>Need calibration and external mapping.</x:v>
      </x:c>
      <x:c r="I6" s="338" t="str">
        <x:v>Pilot data.</x:v>
      </x:c>
      <x:c r="J6" s="338" t="str">
        <x:v>Capability Lead</x:v>
      </x:c>
      <x:c r="K6" s="339" t="str">
        <x:v>SFIA/NICE adapted</x:v>
      </x:c>
    </x:row>
    <x:row r="7">
      <x:c r="A7" s="332" t="str">
        <x:v>S2-ADR-003</x:v>
      </x:c>
      <x:c r="B7" s="114" t="str">
        <x:v>Evidence-weighted capability state</x:v>
      </x:c>
      <x:c r="C7" s="114" t="str">
        <x:v>Accepted in principle</x:v>
      </x:c>
      <x:c r="D7" s="114" t="str">
        <x:v>Capabilities must reflect quality, difficulty and independence.</x:v>
      </x:c>
      <x:c r="E7" s="114" t="str">
        <x:v>Use scoring vector and human review for stable changes.</x:v>
      </x:c>
      <x:c r="F7" s="114" t="str">
        <x:v>Simple points; manager-only ratings.</x:v>
      </x:c>
      <x:c r="G7" s="114" t="str">
        <x:v>Transparent and challengeable.</x:v>
      </x:c>
      <x:c r="H7" s="114" t="str">
        <x:v>More complex implementation.</x:v>
      </x:c>
      <x:c r="I7" s="114" t="str">
        <x:v>Evaluator tests.</x:v>
      </x:c>
      <x:c r="J7" s="114" t="str">
        <x:v>AI/Capability</x:v>
      </x:c>
      <x:c r="K7" s="333" t="str">
        <x:v>Evidence Scoring</x:v>
      </x:c>
    </x:row>
    <x:row r="8">
      <x:c r="A8" s="337" t="str">
        <x:v>S2-ADR-004</x:v>
      </x:c>
      <x:c r="B8" s="338" t="str">
        <x:v>Domain-neutral core with vertical extensions</x:v>
      </x:c>
      <x:c r="C8" s="338" t="str">
        <x:v>Accepted in principle</x:v>
      </x:c>
      <x:c r="D8" s="338" t="str">
        <x:v>HumanOS will cover multiple verticals.</x:v>
      </x:c>
      <x:c r="E8" s="338" t="str">
        <x:v>Core entities are role/task/evidence/capability; verticals add templates/adapters/evaluators.</x:v>
      </x:c>
      <x:c r="F8" s="338" t="str">
        <x:v>Software-dev-only schema.</x:v>
      </x:c>
      <x:c r="G8" s="338" t="str">
        <x:v>Future-proof architecture.</x:v>
      </x:c>
      <x:c r="H8" s="338" t="str">
        <x:v>Abstract model may be harder to explain.</x:v>
      </x:c>
      <x:c r="I8" s="338" t="str">
        <x:v>Future vertical worked examples.</x:v>
      </x:c>
      <x:c r="J8" s="338" t="str">
        <x:v>Enterprise Architect</x:v>
      </x:c>
      <x:c r="K8" s="339" t="str">
        <x:v>ESCO/O*NET</x:v>
      </x:c>
    </x:row>
    <x:row r="9">
      <x:c r="A9" s="332" t="str">
        <x:v>S2-ADR-005</x:v>
      </x:c>
      <x:c r="B9" s="114" t="str">
        <x:v>Task contract before assurance</x:v>
      </x:c>
      <x:c r="C9" s="114" t="str">
        <x:v>Accepted in principle</x:v>
      </x:c>
      <x:c r="D9" s="114" t="str">
        <x:v>Without acceptance criteria the system cannot fairly assess task quality.</x:v>
      </x:c>
      <x:c r="E9" s="114" t="str">
        <x:v>Require TaskExecutionContract for task assurance.</x:v>
      </x:c>
      <x:c r="F9" s="114" t="str">
        <x:v>Free-form task analysis only.</x:v>
      </x:c>
      <x:c r="G9" s="114" t="str">
        <x:v>Fairness and verifiability.</x:v>
      </x:c>
      <x:c r="H9" s="114" t="str">
        <x:v>Managers must write/approve better task criteria.</x:v>
      </x:c>
      <x:c r="I9" s="114" t="str">
        <x:v>Traceability tests.</x:v>
      </x:c>
      <x:c r="J9" s="114" t="str">
        <x:v>Task Product Lead</x:v>
      </x:c>
      <x:c r="K9" s="333" t="str">
        <x:v>Task Contract Templates</x:v>
      </x:c>
    </x:row>
    <x:row r="10">
      <x:c r="A10" s="337" t="str">
        <x:v>S2-ADR-006</x:v>
      </x:c>
      <x:c r="B10" s="338" t="str">
        <x:v>Java owns state, Python recommends scores</x:v>
      </x:c>
      <x:c r="C10" s="338" t="str">
        <x:v>Accepted in principle</x:v>
      </x:c>
      <x:c r="D10" s="338" t="str">
        <x:v>Durable state must be governed; AI changes evolve rapidly.</x:v>
      </x:c>
      <x:c r="E10" s="338" t="str">
        <x:v>Java domain services own capability/task state; Python returns recommendations.</x:v>
      </x:c>
      <x:c r="F10" s="338" t="str">
        <x:v>Python owns final state; all deterministic Java.</x:v>
      </x:c>
      <x:c r="G10" s="338" t="str">
        <x:v>Auditability and AI iteration.</x:v>
      </x:c>
      <x:c r="H10" s="338" t="str">
        <x:v>More integration contracts.</x:v>
      </x:c>
      <x:c r="I10" s="338" t="str">
        <x:v>API contract tests.</x:v>
      </x:c>
      <x:c r="J10" s="338" t="str">
        <x:v>CTO/AI Architect</x:v>
      </x:c>
      <x:c r="K10" s="339" t="str">
        <x:v>Architecture constraint</x:v>
      </x:c>
    </x:row>
    <x:row r="11">
      <x:c r="A11" s="334" t="str">
        <x:v>S2-ADR-007</x:v>
      </x:c>
      <x:c r="B11" s="335" t="str">
        <x:v>Applied learning rule</x:v>
      </x:c>
      <x:c r="C11" s="335" t="str">
        <x:v>Accepted in principle</x:v>
      </x:c>
      <x:c r="D11" s="335" t="str">
        <x:v>Training completion alone does not prove capability.</x:v>
      </x:c>
      <x:c r="E11" s="335" t="str">
        <x:v>LearningIntervention completion is separate from CapabilityEvidence improvement.</x:v>
      </x:c>
      <x:c r="F11" s="335" t="str">
        <x:v>LMS completion auto-increases capability.</x:v>
      </x:c>
      <x:c r="G11" s="335" t="str">
        <x:v>Avoids performative training.</x:v>
      </x:c>
      <x:c r="H11" s="335" t="str">
        <x:v>Needs subsequent task evidence.</x:v>
      </x:c>
      <x:c r="I11" s="335" t="str">
        <x:v>Worked examples and Stage 9 integration.</x:v>
      </x:c>
      <x:c r="J11" s="335" t="str">
        <x:v>L&amp;D/Product</x:v>
      </x:c>
      <x:c r="K11" s="336" t="str">
        <x:v>Learning loop</x:v>
      </x:c>
    </x:row>
  </x:sheetData>
  <x:mergeCells>
    <x:mergeCell ref="A1:K1"/>
    <x:mergeCell ref="A2:K2"/>
  </x:mergeCells>
  <x:dataValidations count="1">
    <x:dataValidation type="list" sqref="C5:C11">
      <x:formula1>"Proposed,Accepted in principle,Accepted,Rejected,Deferred"</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54"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2 — Go / No-Go Gate</x:v>
      </x:c>
      <x:c r="B1" s="294"/>
      <x:c r="C1" s="294"/>
      <x:c r="D1" s="294"/>
      <x:c r="E1" s="294"/>
      <x:c r="F1" s="294"/>
      <x:c r="G1" s="294"/>
      <x:c r="H1" s="294"/>
      <x:c r="I1" s="294"/>
    </x:row>
    <x:row r="2" ht="36" customHeight="1">
      <x:c r="A2" s="298" t="str">
        <x:v>Readiness criteria for the Role Capability Contract, Task Execution Contract and evidence ontology.</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S2-G-001</x:v>
      </x:c>
      <x:c r="B5" s="330" t="str">
        <x:v>Ontology completeness</x:v>
      </x:c>
      <x:c r="C5" s="330" t="str">
        <x:v>Yes</x:v>
      </x:c>
      <x:c r="D5" s="330" t="str">
        <x:v>All required canonical entities are defined with attributes, owners and relationships.</x:v>
      </x:c>
      <x:c r="E5" s="330" t="str">
        <x:v>Entity Dictionary + Relationship Model</x:v>
      </x:c>
      <x:c r="F5" s="330" t="str">
        <x:v>Draft Ready</x:v>
      </x:c>
      <x:c r="G5" s="347" t="n">
        <x:f>IF(F5="Met",1,IF(F5="Draft Ready",0.8,IF(F5="In Review",0.6,IF(F5="Owner Input",0.3,IF(F5="Blocked",0,0)))))</x:f>
        <x:v>0.8</x:v>
      </x:c>
      <x:c r="H5" s="330" t="str">
        <x:v>No required entity missing.</x:v>
      </x:c>
      <x:c r="I5" s="331" t="str">
        <x:v>Capability Lead</x:v>
      </x:c>
      <x:c r="K5" s="329" t="str">
        <x:v>Stage 2 readiness</x:v>
      </x:c>
      <x:c r="L5" s="350" t="n">
        <x:f>AVERAGE(G5:G18)</x:f>
        <x:v>0.7571428571428572</x:v>
      </x:c>
    </x:row>
    <x:row r="6">
      <x:c r="A6" s="337" t="str">
        <x:v>S2-G-002</x:v>
      </x:c>
      <x:c r="B6" s="338" t="str">
        <x:v>Capability levels</x:v>
      </x:c>
      <x:c r="C6" s="338" t="str">
        <x:v>Yes</x:v>
      </x:c>
      <x:c r="D6" s="338" t="str">
        <x:v>Capability levels include knowledge, execution, autonomy, complexity, quality, transfer, recovery and mentoring descriptors.</x:v>
      </x:c>
      <x:c r="E6" s="338" t="str">
        <x:v>Capability-Level Rubric</x:v>
      </x:c>
      <x:c r="F6" s="338" t="str">
        <x:v>Draft Ready</x:v>
      </x:c>
      <x:c r="G6" s="348" t="n">
        <x:f>IF(F6="Met",1,IF(F6="Draft Ready",0.8,IF(F6="In Review",0.6,IF(F6="Owner Input",0.3,IF(F6="Blocked",0,0)))))</x:f>
        <x:v>0.8</x:v>
      </x:c>
      <x:c r="H6" s="338" t="str">
        <x:v>No dimension missing.</x:v>
      </x:c>
      <x:c r="I6" s="339" t="str">
        <x:v>Capability Lead</x:v>
      </x:c>
      <x:c r="K6" s="332" t="str">
        <x:v>Mandatory not started/blocked</x:v>
      </x:c>
      <x:c r="L6" s="333" t="n">
        <x:f>COUNTIFS(C5:C18,"Yes",F5:F18,"Not Started")+COUNTIFS(C5:C18,"Yes",F5:F18,"Blocked")</x:f>
        <x:v>1</x:v>
      </x:c>
    </x:row>
    <x:row r="7">
      <x:c r="A7" s="332" t="str">
        <x:v>S2-G-003</x:v>
      </x:c>
      <x:c r="B7" s="114" t="str">
        <x:v>Traceability</x:v>
      </x:c>
      <x:c r="C7" s="114" t="str">
        <x:v>Yes</x:v>
      </x:c>
      <x:c r="D7" s="114" t="str">
        <x:v>Every role requirement traces to capability; every task criterion traces to evidence requirement.</x:v>
      </x:c>
      <x:c r="E7" s="114" t="str">
        <x:v>Traceability matrix / examples</x:v>
      </x:c>
      <x:c r="F7" s="114" t="str">
        <x:v>Draft Ready</x:v>
      </x:c>
      <x:c r="G7" s="135" t="n">
        <x:f>IF(F7="Met",1,IF(F7="Draft Ready",0.8,IF(F7="In Review",0.6,IF(F7="Owner Input",0.3,IF(F7="Blocked",0,0)))))</x:f>
        <x:v>0.8</x:v>
      </x:c>
      <x:c r="H7" s="114" t="str">
        <x:v>No orphan criteria.</x:v>
      </x:c>
      <x:c r="I7" s="333" t="str">
        <x:v>Data/QA</x:v>
      </x:c>
      <x:c r="K7" s="332" t="str">
        <x:v>Met/draft-ready items</x:v>
      </x:c>
      <x:c r="L7" s="333" t="n">
        <x:f>COUNTIF(F5:F18,"Met")+COUNTIF(F5:F18,"Draft Ready")</x:f>
        <x:v>12</x:v>
      </x:c>
    </x:row>
    <x:row r="8">
      <x:c r="A8" s="337" t="str">
        <x:v>S2-G-004</x:v>
      </x:c>
      <x:c r="B8" s="338" t="str">
        <x:v>Role templates</x:v>
      </x:c>
      <x:c r="C8" s="338" t="str">
        <x:v>Yes</x:v>
      </x:c>
      <x:c r="D8" s="338" t="str">
        <x:v>At least four role profiles are drafted.</x:v>
      </x:c>
      <x:c r="E8" s="338" t="str">
        <x:v>Role Templates</x:v>
      </x:c>
      <x:c r="F8" s="338" t="str">
        <x:v>Met</x:v>
      </x:c>
      <x:c r="G8" s="348" t="n">
        <x:f>IF(F8="Met",1,IF(F8="Draft Ready",0.8,IF(F8="In Review",0.6,IF(F8="Owner Input",0.3,IF(F8="Blocked",0,0)))))</x:f>
        <x:v>1</x:v>
      </x:c>
      <x:c r="H8" s="338" t="str">
        <x:v>Fewer than four roles.</x:v>
      </x:c>
      <x:c r="I8" s="339" t="str">
        <x:v>HR/Product</x:v>
      </x:c>
      <x:c r="K8" s="334" t="str">
        <x:v>Formal decision count</x:v>
      </x:c>
      <x:c r="L8" s="336" t="n">
        <x:f>0</x:f>
        <x:v>0</x:v>
      </x:c>
    </x:row>
    <x:row r="9">
      <x:c r="A9" s="332" t="str">
        <x:v>S2-G-005</x:v>
      </x:c>
      <x:c r="B9" s="114" t="str">
        <x:v>Task contracts</x:v>
      </x:c>
      <x:c r="C9" s="114" t="str">
        <x:v>Yes</x:v>
      </x:c>
      <x:c r="D9" s="114" t="str">
        <x:v>At least twelve task contracts are drafted.</x:v>
      </x:c>
      <x:c r="E9" s="114" t="str">
        <x:v>Task Contract Templates</x:v>
      </x:c>
      <x:c r="F9" s="114" t="str">
        <x:v>Met</x:v>
      </x:c>
      <x:c r="G9" s="135" t="n">
        <x:f>IF(F9="Met",1,IF(F9="Draft Ready",0.8,IF(F9="In Review",0.6,IF(F9="Owner Input",0.3,IF(F9="Blocked",0,0)))))</x:f>
        <x:v>1</x:v>
      </x:c>
      <x:c r="H9" s="114" t="str">
        <x:v>Fewer than twelve task examples.</x:v>
      </x:c>
      <x:c r="I9" s="333" t="str">
        <x:v>Product/Domain Experts</x:v>
      </x:c>
    </x:row>
    <x:row r="10">
      <x:c r="A10" s="337" t="str">
        <x:v>S2-G-006</x:v>
      </x:c>
      <x:c r="B10" s="338" t="str">
        <x:v>Evidence scoring</x:v>
      </x:c>
      <x:c r="C10" s="338" t="str">
        <x:v>Yes</x:v>
      </x:c>
      <x:c r="D10" s="338" t="str">
        <x:v>Evidence weighting, confidence, recency, consistency, task difficulty and guidance dependence are defined.</x:v>
      </x:c>
      <x:c r="E10" s="338" t="str">
        <x:v>Evidence Scoring</x:v>
      </x:c>
      <x:c r="F10" s="338" t="str">
        <x:v>Draft Ready</x:v>
      </x:c>
      <x:c r="G10" s="348" t="n">
        <x:f>IF(F10="Met",1,IF(F10="Draft Ready",0.8,IF(F10="In Review",0.6,IF(F10="Owner Input",0.3,IF(F10="Blocked",0,0)))))</x:f>
        <x:v>0.8</x:v>
      </x:c>
      <x:c r="H10" s="338" t="str">
        <x:v>Scoring not explainable.</x:v>
      </x:c>
      <x:c r="I10" s="339" t="str">
        <x:v>AI Evaluation</x:v>
      </x:c>
    </x:row>
    <x:row r="11">
      <x:c r="A11" s="332" t="str">
        <x:v>S2-G-007</x:v>
      </x:c>
      <x:c r="B11" s="114" t="str">
        <x:v>Claim workflow</x:v>
      </x:c>
      <x:c r="C11" s="114" t="str">
        <x:v>Yes</x:v>
      </x:c>
      <x:c r="D11" s="114" t="str">
        <x:v>Claim statuses and claim-evidence discrepancy workflow use neutral language and human review.</x:v>
      </x:c>
      <x:c r="E11" s="114" t="str">
        <x:v>Entity Dictionary / Decisions</x:v>
      </x:c>
      <x:c r="F11" s="114" t="str">
        <x:v>Draft Ready</x:v>
      </x:c>
      <x:c r="G11" s="135" t="n">
        <x:f>IF(F11="Met",1,IF(F11="Draft Ready",0.8,IF(F11="In Review",0.6,IF(F11="Owner Input",0.3,IF(F11="Blocked",0,0)))))</x:f>
        <x:v>0.8</x:v>
      </x:c>
      <x:c r="H11" s="114" t="str">
        <x:v>Discrepancy labelled as dishonesty.</x:v>
      </x:c>
      <x:c r="I11" s="333" t="str">
        <x:v>HR/DPO</x:v>
      </x:c>
    </x:row>
    <x:row r="12">
      <x:c r="A12" s="337" t="str">
        <x:v>S2-G-008</x:v>
      </x:c>
      <x:c r="B12" s="338" t="str">
        <x:v>Fairness controls</x:v>
      </x:c>
      <x:c r="C12" s="338" t="str">
        <x:v>Yes</x:v>
      </x:c>
      <x:c r="D12" s="338" t="str">
        <x:v>Accessibility, alternate methods, blockers and single-task limits are represented.</x:v>
      </x:c>
      <x:c r="E12" s="338" t="str">
        <x:v>Worked Examples / Risks</x:v>
      </x:c>
      <x:c r="F12" s="338" t="str">
        <x:v>Draft Ready</x:v>
      </x:c>
      <x:c r="G12" s="348" t="n">
        <x:f>IF(F12="Met",1,IF(F12="Draft Ready",0.8,IF(F12="In Review",0.6,IF(F12="Owner Input",0.3,IF(F12="Blocked",0,0)))))</x:f>
        <x:v>0.8</x:v>
      </x:c>
      <x:c r="H12" s="338" t="str">
        <x:v>Accessibility or blockers penalised.</x:v>
      </x:c>
      <x:c r="I12" s="339" t="str">
        <x:v>DPO/HR</x:v>
      </x:c>
    </x:row>
    <x:row r="13">
      <x:c r="A13" s="332" t="str">
        <x:v>S2-G-009</x:v>
      </x:c>
      <x:c r="B13" s="114" t="str">
        <x:v>Implementation contracts</x:v>
      </x:c>
      <x:c r="C13" s="114" t="str">
        <x:v>Yes</x:v>
      </x:c>
      <x:c r="D13" s="114" t="str">
        <x:v>JSON Schemas, OpenAPI resources and CloudEvents-style events are specified.</x:v>
      </x:c>
      <x:c r="E13" s="114" t="str">
        <x:v>APIs and Events</x:v>
      </x:c>
      <x:c r="F13" s="114" t="str">
        <x:v>Draft Ready</x:v>
      </x:c>
      <x:c r="G13" s="135" t="n">
        <x:f>IF(F13="Met",1,IF(F13="Draft Ready",0.8,IF(F13="In Review",0.6,IF(F13="Owner Input",0.3,IF(F13="Blocked",0,0)))))</x:f>
        <x:v>0.8</x:v>
      </x:c>
      <x:c r="H13" s="114" t="str">
        <x:v>No implementable API/event contract.</x:v>
      </x:c>
      <x:c r="I13" s="333" t="str">
        <x:v>Backend/Data</x:v>
      </x:c>
    </x:row>
    <x:row r="14">
      <x:c r="A14" s="337" t="str">
        <x:v>S2-G-010</x:v>
      </x:c>
      <x:c r="B14" s="338" t="str">
        <x:v>HumanOS fit</x:v>
      </x:c>
      <x:c r="C14" s="338" t="str">
        <x:v>Yes</x:v>
      </x:c>
      <x:c r="D14" s="338" t="str">
        <x:v>System-of-record boundaries with existing HumanOS services are defined.</x:v>
      </x:c>
      <x:c r="E14" s="338" t="str">
        <x:v>Architecture/Backlog</x:v>
      </x:c>
      <x:c r="F14" s="338" t="str">
        <x:v>In Review</x:v>
      </x:c>
      <x:c r="G14" s="348" t="n">
        <x:f>IF(F14="Met",1,IF(F14="Draft Ready",0.8,IF(F14="In Review",0.6,IF(F14="Owner Input",0.3,IF(F14="Blocked",0,0)))))</x:f>
        <x:v>0.6</x:v>
      </x:c>
      <x:c r="H14" s="338" t="str">
        <x:v>Duplicate foundation service.</x:v>
      </x:c>
      <x:c r="I14" s="339" t="str">
        <x:v>Enterprise Architect</x:v>
      </x:c>
    </x:row>
    <x:row r="15">
      <x:c r="A15" s="332" t="str">
        <x:v>S2-G-011</x:v>
      </x:c>
      <x:c r="B15" s="114" t="str">
        <x:v>Evaluator test cases</x:v>
      </x:c>
      <x:c r="C15" s="114" t="str">
        <x:v>Yes</x:v>
      </x:c>
      <x:c r="D15" s="114" t="str">
        <x:v>Worked examples can become evaluator tests for valid/invalid assessment decisions.</x:v>
      </x:c>
      <x:c r="E15" s="114" t="str">
        <x:v>Worked Examples</x:v>
      </x:c>
      <x:c r="F15" s="114" t="str">
        <x:v>Draft Ready</x:v>
      </x:c>
      <x:c r="G15" s="135" t="n">
        <x:f>IF(F15="Met",1,IF(F15="Draft Ready",0.8,IF(F15="In Review",0.6,IF(F15="Owner Input",0.3,IF(F15="Blocked",0,0)))))</x:f>
        <x:v>0.8</x:v>
      </x:c>
      <x:c r="H15" s="114" t="str">
        <x:v>No negative/fairness examples.</x:v>
      </x:c>
      <x:c r="I15" s="333" t="str">
        <x:v>AI Evaluation</x:v>
      </x:c>
    </x:row>
    <x:row r="16">
      <x:c r="A16" s="337" t="str">
        <x:v>S2-G-012</x:v>
      </x:c>
      <x:c r="B16" s="338" t="str">
        <x:v>Review and audit</x:v>
      </x:c>
      <x:c r="C16" s="338" t="str">
        <x:v>Yes</x:v>
      </x:c>
      <x:c r="D16" s="338" t="str">
        <x:v>Human review, employee correction, appeal, audit and lineage controls are included.</x:v>
      </x:c>
      <x:c r="E16" s="338" t="str">
        <x:v>APIs/Events/Governance</x:v>
      </x:c>
      <x:c r="F16" s="338" t="str">
        <x:v>Draft Ready</x:v>
      </x:c>
      <x:c r="G16" s="348" t="n">
        <x:f>IF(F16="Met",1,IF(F16="Draft Ready",0.8,IF(F16="In Review",0.6,IF(F16="Owner Input",0.3,IF(F16="Blocked",0,0)))))</x:f>
        <x:v>0.8</x:v>
      </x:c>
      <x:c r="H16" s="338" t="str">
        <x:v>High-impact change can bypass review.</x:v>
      </x:c>
      <x:c r="I16" s="339" t="str">
        <x:v>Governance</x:v>
      </x:c>
    </x:row>
    <x:row r="17">
      <x:c r="A17" s="332" t="str">
        <x:v>S2-G-013</x:v>
      </x:c>
      <x:c r="B17" s="114" t="str">
        <x:v>Stage 2 backlog</x:v>
      </x:c>
      <x:c r="C17" s="114" t="str">
        <x:v>Yes</x:v>
      </x:c>
      <x:c r="D17" s="114" t="str">
        <x:v>Implementation backlog has owners, dependencies, effort, deliverables and acceptance criteria.</x:v>
      </x:c>
      <x:c r="E17" s="114" t="str">
        <x:v>Stage 2 Backlog</x:v>
      </x:c>
      <x:c r="F17" s="114" t="str">
        <x:v>Draft Ready</x:v>
      </x:c>
      <x:c r="G17" s="135" t="n">
        <x:f>IF(F17="Met",1,IF(F17="Draft Ready",0.8,IF(F17="In Review",0.6,IF(F17="Owner Input",0.3,IF(F17="Blocked",0,0)))))</x:f>
        <x:v>0.8</x:v>
      </x:c>
      <x:c r="H17" s="114" t="str">
        <x:v>No executable backlog.</x:v>
      </x:c>
      <x:c r="I17" s="333" t="str">
        <x:v>Programme</x:v>
      </x:c>
    </x:row>
    <x:row r="18">
      <x:c r="A18" s="340" t="str">
        <x:v>S2-G-014</x:v>
      </x:c>
      <x:c r="B18" s="341" t="str">
        <x:v>Stage 2 formal decision</x:v>
      </x:c>
      <x:c r="C18" s="341" t="str">
        <x:v>Yes</x:v>
      </x:c>
      <x:c r="D18" s="341" t="str">
        <x:v>Product, HR, DPO, Architecture and Engineering review the ontology and record gate decision.</x:v>
      </x:c>
      <x:c r="E18" s="341" t="str">
        <x:v>Review minutes and decision</x:v>
      </x:c>
      <x:c r="F18" s="341" t="str">
        <x:v>Not Started</x:v>
      </x:c>
      <x:c r="G18" s="349" t="n">
        <x:f>IF(F18="Met",1,IF(F18="Draft Ready",0.8,IF(F18="In Review",0.6,IF(F18="Owner Input",0.3,IF(F18="Blocked",0,0)))))</x:f>
        <x:v>0</x:v>
      </x:c>
      <x:c r="H18" s="341" t="str">
        <x:v>No formal gate decision.</x:v>
      </x:c>
      <x:c r="I18" s="342"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54" hidden="0" customWidth="1"/>
    <x:col min="5" max="5" width="64" hidden="0" customWidth="1"/>
    <x:col min="6" max="6" width="12" hidden="0" customWidth="1"/>
    <x:col min="7" max="7" width="44" hidden="0" customWidth="1"/>
  </x:cols>
  <x:sheetData>
    <x:row r="1" ht="30" customHeight="1">
      <x:c r="A1" s="294" t="str">
        <x:v>Stage 2 — Source Register</x:v>
      </x:c>
      <x:c r="B1" s="294"/>
      <x:c r="C1" s="294"/>
      <x:c r="D1" s="294"/>
      <x:c r="E1" s="294"/>
      <x:c r="F1" s="294"/>
      <x:c r="G1" s="294"/>
    </x:row>
    <x:row r="2" ht="36" customHeight="1">
      <x:c r="A2" s="298" t="str">
        <x:v>Stage 2 research and standards sources for skills, tasks, schemas, APIs, events, learning evidence and AI governance.</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S2-SRC-001</x:v>
      </x:c>
      <x:c r="B5" s="330" t="str">
        <x:v>SFIA Foundation</x:v>
      </x:c>
      <x:c r="C5" s="330" t="str">
        <x:v>Skills framework</x:v>
      </x:c>
      <x:c r="D5" s="330" t="str">
        <x:v>Responsibility levels, professional skill descriptions and role-mapping inspiration.</x:v>
      </x:c>
      <x:c r="E5" s="330" t="str">
        <x:v>https://sfia-online.org/</x:v>
      </x:c>
      <x:c r="F5" s="330" t="str">
        <x:v>High</x:v>
      </x:c>
      <x:c r="G5" s="331" t="str">
        <x:v>Use as mapping/reference, not sole ontology.</x:v>
      </x:c>
    </x:row>
    <x:row r="6">
      <x:c r="A6" s="337" t="str">
        <x:v>S2-SRC-002</x:v>
      </x:c>
      <x:c r="B6" s="338" t="str">
        <x:v>NIST NICE Framework</x:v>
      </x:c>
      <x:c r="C6" s="338" t="str">
        <x:v>Workforce framework</x:v>
      </x:c>
      <x:c r="D6" s="338" t="str">
        <x:v>Task, Knowledge and Skill statements; work roles; competency areas.</x:v>
      </x:c>
      <x:c r="E6" s="338" t="str">
        <x:v>https://www.nist.gov/itl/applied-cybersecurity/nice/nice-framework-resource-center</x:v>
      </x:c>
      <x:c r="F6" s="338" t="str">
        <x:v>High</x:v>
      </x:c>
      <x:c r="G6" s="339" t="str">
        <x:v>Strong cybersecurity/software-role reference.</x:v>
      </x:c>
    </x:row>
    <x:row r="7">
      <x:c r="A7" s="332" t="str">
        <x:v>S2-SRC-003</x:v>
      </x:c>
      <x:c r="B7" s="114" t="str">
        <x:v>NIST NICE Current Versions</x:v>
      </x:c>
      <x:c r="C7" s="114" t="str">
        <x:v>Framework data</x:v>
      </x:c>
      <x:c r="D7" s="114" t="str">
        <x:v>Current NICE components with Work Role, Task, Knowledge and Skill data.</x:v>
      </x:c>
      <x:c r="E7" s="114" t="str">
        <x:v>https://www.nist.gov/itl/applied-cybersecurity/nice/nice-framework-resource-center/nice-framework-current-versions</x:v>
      </x:c>
      <x:c r="F7" s="114" t="str">
        <x:v>High</x:v>
      </x:c>
      <x:c r="G7" s="333" t="str">
        <x:v>NICE Framework Components current version 2.2.0 as of April 28 2025.</x:v>
      </x:c>
    </x:row>
    <x:row r="8">
      <x:c r="A8" s="337" t="str">
        <x:v>S2-SRC-004</x:v>
      </x:c>
      <x:c r="B8" s="338" t="str">
        <x:v>ESCO</x:v>
      </x:c>
      <x:c r="C8" s="338" t="str">
        <x:v>Skills/occupations taxonomy</x:v>
      </x:c>
      <x:c r="D8" s="338" t="str">
        <x:v>European multilingual classification of skills, competences and occupations.</x:v>
      </x:c>
      <x:c r="E8" s="338" t="str">
        <x:v>https://esco.ec.europa.eu/en/about-esco</x:v>
      </x:c>
      <x:c r="F8" s="338" t="str">
        <x:v>High</x:v>
      </x:c>
      <x:c r="G8" s="339" t="str">
        <x:v>Useful for future cross-vertical mappings.</x:v>
      </x:c>
    </x:row>
    <x:row r="9">
      <x:c r="A9" s="332" t="str">
        <x:v>S2-SRC-005</x:v>
      </x:c>
      <x:c r="B9" s="114" t="str">
        <x:v>ESCO Skills &amp; Competences</x:v>
      </x:c>
      <x:c r="C9" s="114" t="str">
        <x:v>Taxonomy data</x:v>
      </x:c>
      <x:c r="D9" s="114" t="str">
        <x:v>Skills pillar and knowledge/skill concepts.</x:v>
      </x:c>
      <x:c r="E9" s="114" t="str">
        <x:v>https://esco.ec.europa.eu/en/classification/skill-main</x:v>
      </x:c>
      <x:c r="F9" s="114" t="str">
        <x:v>Medium</x:v>
      </x:c>
      <x:c r="G9" s="333" t="str">
        <x:v>Use for broader business verticals.</x:v>
      </x:c>
    </x:row>
    <x:row r="10">
      <x:c r="A10" s="337" t="str">
        <x:v>S2-SRC-006</x:v>
      </x:c>
      <x:c r="B10" s="338" t="str">
        <x:v>O*NET OnLine</x:v>
      </x:c>
      <x:c r="C10" s="338" t="str">
        <x:v>Occupational data</x:v>
      </x:c>
      <x:c r="D10" s="338" t="str">
        <x:v>Task, skills, knowledge, abilities and tools for occupation mapping.</x:v>
      </x:c>
      <x:c r="E10" s="338" t="str">
        <x:v>https://www.onetonline.org/</x:v>
      </x:c>
      <x:c r="F10" s="338" t="str">
        <x:v>Medium</x:v>
      </x:c>
      <x:c r="G10" s="339" t="str">
        <x:v>Use as external reference only.</x:v>
      </x:c>
    </x:row>
    <x:row r="11">
      <x:c r="A11" s="332" t="str">
        <x:v>S2-SRC-007</x:v>
      </x:c>
      <x:c r="B11" s="114" t="str">
        <x:v>OpenAPI 3.1.1</x:v>
      </x:c>
      <x:c r="C11" s="114" t="str">
        <x:v>API specification</x:v>
      </x:c>
      <x:c r="D11" s="114" t="str">
        <x:v>Language-agnostic REST API specification.</x:v>
      </x:c>
      <x:c r="E11" s="114" t="str">
        <x:v>https://spec.openapis.org/oas/v3.1.1.html</x:v>
      </x:c>
      <x:c r="F11" s="114" t="str">
        <x:v>High</x:v>
      </x:c>
      <x:c r="G11" s="333" t="str">
        <x:v>Use for Java/Spring API contracts.</x:v>
      </x:c>
    </x:row>
    <x:row r="12">
      <x:c r="A12" s="337" t="str">
        <x:v>S2-SRC-008</x:v>
      </x:c>
      <x:c r="B12" s="338" t="str">
        <x:v>JSON Schema 2020-12</x:v>
      </x:c>
      <x:c r="C12" s="338" t="str">
        <x:v>Schema standard</x:v>
      </x:c>
      <x:c r="D12" s="338" t="str">
        <x:v>Structural validation of JSON documents.</x:v>
      </x:c>
      <x:c r="E12" s="338" t="str">
        <x:v>https://json-schema.org/draft/2020-12/json-schema-validation</x:v>
      </x:c>
      <x:c r="F12" s="338" t="str">
        <x:v>High</x:v>
      </x:c>
      <x:c r="G12" s="339" t="str">
        <x:v>Use for role/task/evidence schemas.</x:v>
      </x:c>
    </x:row>
    <x:row r="13">
      <x:c r="A13" s="332" t="str">
        <x:v>S2-SRC-009</x:v>
      </x:c>
      <x:c r="B13" s="114" t="str">
        <x:v>CloudEvents</x:v>
      </x:c>
      <x:c r="C13" s="114" t="str">
        <x:v>Event standard</x:v>
      </x:c>
      <x:c r="D13" s="114" t="str">
        <x:v>Common event metadata for interoperability.</x:v>
      </x:c>
      <x:c r="E13" s="114" t="str">
        <x:v>https://cloudevents.io/</x:v>
      </x:c>
      <x:c r="F13" s="114" t="str">
        <x:v>High</x:v>
      </x:c>
      <x:c r="G13" s="333" t="str">
        <x:v>Use CloudEvents-style event envelopes.</x:v>
      </x:c>
    </x:row>
    <x:row r="14">
      <x:c r="A14" s="337" t="str">
        <x:v>S2-SRC-010</x:v>
      </x:c>
      <x:c r="B14" s="338" t="str">
        <x:v>xAPI / ADL</x:v>
      </x:c>
      <x:c r="C14" s="338" t="str">
        <x:v>Learning evidence</x:v>
      </x:c>
      <x:c r="D14" s="338" t="str">
        <x:v>Learning experience statements for training and activity evidence patterns.</x:v>
      </x:c>
      <x:c r="E14" s="338" t="str">
        <x:v>https://adlnet.gov/projects/xapi/</x:v>
      </x:c>
      <x:c r="F14" s="338" t="str">
        <x:v>Medium</x:v>
      </x:c>
      <x:c r="G14" s="339" t="str">
        <x:v>Reference for learning intervention evidence.</x:v>
      </x:c>
    </x:row>
    <x:row r="15">
      <x:c r="A15" s="332" t="str">
        <x:v>S2-SRC-011</x:v>
      </x:c>
      <x:c r="B15" s="114" t="str">
        <x:v>NIST AI RMF</x:v>
      </x:c>
      <x:c r="C15" s="114" t="str">
        <x:v>AI governance</x:v>
      </x:c>
      <x:c r="D15" s="114" t="str">
        <x:v>Govern, map, measure and manage AI risk.</x:v>
      </x:c>
      <x:c r="E15" s="114" t="str">
        <x:v>https://www.nist.gov/itl/ai-risk-management-framework</x:v>
      </x:c>
      <x:c r="F15" s="114" t="str">
        <x:v>High</x:v>
      </x:c>
      <x:c r="G15" s="333" t="str">
        <x:v>Use for evaluator and capability scoring governance.</x:v>
      </x:c>
    </x:row>
    <x:row r="16">
      <x:c r="A16" s="340" t="str">
        <x:v>S2-SRC-012</x:v>
      </x:c>
      <x:c r="B16" s="341" t="str">
        <x:v>ICO human review</x:v>
      </x:c>
      <x:c r="C16" s="341" t="str">
        <x:v>Regulatory guidance</x:v>
      </x:c>
      <x:c r="D16" s="341" t="str">
        <x:v>Meaningful human review for AI-supported decisions.</x:v>
      </x:c>
      <x:c r="E16" s="341" t="str">
        <x:v>https://ico.org.uk/for-organisations/advice-and-services/audits/data-protection-audit-framework/toolkits/artificial-intelligence/human-review/</x:v>
      </x:c>
      <x:c r="F16" s="341" t="str">
        <x:v>Critical</x:v>
      </x:c>
      <x:c r="G16" s="342" t="str">
        <x:v>Stage 2 high-impact capability decisions.</x:v>
      </x:c>
    </x:row>
  </x:sheetData>
  <x:mergeCells>
    <x:mergeCell ref="A1:G1"/>
    <x:mergeCell ref="A2:G2"/>
  </x:mergeCells>
  <x:dataValidations count="1">
    <x:dataValidation type="list" sqref="F5:F16">
      <x:formula1>"Critical,High,Medium,Low"</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4" hidden="0" customWidth="1"/>
    <x:col min="2" max="2" width="26" hidden="0" customWidth="1"/>
    <x:col min="3" max="3" width="38" hidden="0" customWidth="1"/>
    <x:col min="4" max="4" width="54" hidden="0" customWidth="1"/>
    <x:col min="5" max="5" width="34" hidden="0" customWidth="1"/>
    <x:col min="6" max="6" width="34" hidden="0" customWidth="1"/>
    <x:col min="7" max="7" width="50" hidden="0" customWidth="1"/>
    <x:col min="8" max="8" width="12" hidden="0" customWidth="1"/>
    <x:col min="9" max="9" width="18" hidden="0" customWidth="1"/>
    <x:col min="10" max="10" width="12" hidden="0" customWidth="1"/>
  </x:cols>
  <x:sheetData>
    <x:row r="1" ht="30" customHeight="1">
      <x:c r="A1" s="294" t="str">
        <x:v>Stage 3 — Device Agent Architecture</x:v>
      </x:c>
      <x:c r="B1" s="294"/>
      <x:c r="C1" s="294"/>
      <x:c r="D1" s="294"/>
      <x:c r="E1" s="294"/>
      <x:c r="F1" s="294"/>
      <x:c r="G1" s="294"/>
      <x:c r="H1" s="294"/>
      <x:c r="I1" s="294"/>
      <x:c r="J1" s="294"/>
    </x:row>
    <x:row r="2" ht="36" customHeight="1">
      <x:c r="A2" s="298" t="str">
        <x:v>Endpoint architecture for a policy-controlled, visible, secure and extensible company-managed device agent.</x:v>
      </x:c>
      <x:c r="B2" s="298"/>
      <x:c r="C2" s="298"/>
      <x:c r="D2" s="298"/>
      <x:c r="E2" s="298"/>
      <x:c r="F2" s="298"/>
      <x:c r="G2" s="298"/>
      <x:c r="H2" s="298"/>
      <x:c r="I2" s="298"/>
      <x:c r="J2" s="298"/>
    </x:row>
    <x:row r="4" ht="30" customHeight="1">
      <x:c r="A4" s="310" t="str">
        <x:v>ID</x:v>
      </x:c>
      <x:c r="B4" s="311" t="str">
        <x:v>Component</x:v>
      </x:c>
      <x:c r="C4" s="311" t="str">
        <x:v>Boundary</x:v>
      </x:c>
      <x:c r="D4" s="311" t="str">
        <x:v>Responsibility</x:v>
      </x:c>
      <x:c r="E4" s="311" t="str">
        <x:v>Runtime / implementation</x:v>
      </x:c>
      <x:c r="F4" s="311" t="str">
        <x:v>Integrates with</x:v>
      </x:c>
      <x:c r="G4" s="311" t="str">
        <x:v>Non-negotiable rule</x:v>
      </x:c>
      <x:c r="H4" s="311" t="str">
        <x:v>Priority</x:v>
      </x:c>
      <x:c r="I4" s="311" t="str">
        <x:v>Status</x:v>
      </x:c>
      <x:c r="J4" s="312" t="str">
        <x:v>Stage</x:v>
      </x:c>
    </x:row>
    <x:row r="5">
      <x:c r="A5" s="329" t="str">
        <x:v>AG-ARC-001</x:v>
      </x:c>
      <x:c r="B5" s="330" t="str">
        <x:v>Endpoint Agent Boundary</x:v>
      </x:c>
      <x:c r="C5" s="330" t="str">
        <x:v>Company-managed endpoint binary, not a cloud microservice.</x:v>
      </x:c>
      <x:c r="D5" s="330" t="str">
        <x:v>Runs locally; enforces policy; collects only authorised events; stores encrypted journal; uploads signed batches.</x:v>
      </x:c>
      <x:c r="E5" s="330" t="str">
        <x:v>Rust shared core + OS-native bridges</x:v>
      </x:c>
      <x:c r="F5" s="330" t="str">
        <x:v>Device Control &amp; Policy Gateway; Telemetry Ingestion</x:v>
      </x:c>
      <x:c r="G5" s="330" t="str">
        <x:v>No covert mode; visible state required.</x:v>
      </x:c>
      <x:c r="H5" s="330" t="str">
        <x:v>Critical</x:v>
      </x:c>
      <x:c r="I5" s="330" t="str">
        <x:v>Draft Complete</x:v>
      </x:c>
      <x:c r="J5" s="331" t="str">
        <x:v>Stage 3</x:v>
      </x:c>
    </x:row>
    <x:row r="6">
      <x:c r="A6" s="337" t="str">
        <x:v>AG-ARC-002</x:v>
      </x:c>
      <x:c r="B6" s="338" t="str">
        <x:v>Shared Core</x:v>
      </x:c>
      <x:c r="C6" s="338" t="str">
        <x:v>Cross-platform core for policy, session state, journal, redaction, batching and health.</x:v>
      </x:c>
      <x:c r="D6" s="338" t="str">
        <x:v>Defines invariant behaviour independent of OS-specific APIs.</x:v>
      </x:c>
      <x:c r="E6" s="338" t="str">
        <x:v>Rust</x:v>
      </x:c>
      <x:c r="F6" s="338" t="str">
        <x:v>Native bridges; browser extension; adapter SDK</x:v>
      </x:c>
      <x:c r="G6" s="338" t="str">
        <x:v>Memory-safe long-running core; no Python/Electron for capture.</x:v>
      </x:c>
      <x:c r="H6" s="338" t="str">
        <x:v>Critical</x:v>
      </x:c>
      <x:c r="I6" s="338" t="str">
        <x:v>Draft Complete</x:v>
      </x:c>
      <x:c r="J6" s="339" t="str">
        <x:v>Stage 3</x:v>
      </x:c>
    </x:row>
    <x:row r="7">
      <x:c r="A7" s="332" t="str">
        <x:v>AG-ARC-003</x:v>
      </x:c>
      <x:c r="B7" s="114" t="str">
        <x:v>Windows Bridge</x:v>
      </x:c>
      <x:c r="C7" s="114" t="str">
        <x:v>Windows-specific event, UI, capture and installation integration.</x:v>
      </x:c>
      <x:c r="D7" s="114" t="str">
        <x:v>Foreground app/window, process/file events, UI Automation, raw input/hook spike, Windows Graphics Capture spike.</x:v>
      </x:c>
      <x:c r="E7" s="114" t="str">
        <x:v>Rust FFI + C#/C++ as required</x:v>
      </x:c>
      <x:c r="F7" s="114" t="str">
        <x:v>Windows APIs</x:v>
      </x:c>
      <x:c r="G7" s="114" t="str">
        <x:v>Must respect Windows signing, permissions and performance constraints.</x:v>
      </x:c>
      <x:c r="H7" s="114" t="str">
        <x:v>Critical</x:v>
      </x:c>
      <x:c r="I7" s="114" t="str">
        <x:v>Draft Complete</x:v>
      </x:c>
      <x:c r="J7" s="333" t="str">
        <x:v>Stage 3</x:v>
      </x:c>
    </x:row>
    <x:row r="8">
      <x:c r="A8" s="337" t="str">
        <x:v>AG-ARC-004</x:v>
      </x:c>
      <x:c r="B8" s="338" t="str">
        <x:v>macOS Bridge</x:v>
      </x:c>
      <x:c r="C8" s="338" t="str">
        <x:v>macOS-specific capture, accessibility, process and packaging integration.</x:v>
      </x:c>
      <x:c r="D8" s="338" t="str">
        <x:v>ScreenCaptureKit spike, Accessibility/AX, Endpoint Security spike, notarized distribution.</x:v>
      </x:c>
      <x:c r="E8" s="338" t="str">
        <x:v>Swift/Objective-C + Rust FFI</x:v>
      </x:c>
      <x:c r="F8" s="338" t="str">
        <x:v>macOS APIs</x:v>
      </x:c>
      <x:c r="G8" s="338" t="str">
        <x:v>Requires user/admin TCC permissions; signed/notarized distribution.</x:v>
      </x:c>
      <x:c r="H8" s="338" t="str">
        <x:v>Critical</x:v>
      </x:c>
      <x:c r="I8" s="338" t="str">
        <x:v>Draft Complete</x:v>
      </x:c>
      <x:c r="J8" s="339" t="str">
        <x:v>Stage 3</x:v>
      </x:c>
    </x:row>
    <x:row r="9">
      <x:c r="A9" s="332" t="str">
        <x:v>AG-ARC-005</x:v>
      </x:c>
      <x:c r="B9" s="114" t="str">
        <x:v>Linux Bridge</x:v>
      </x:c>
      <x:c r="C9" s="114" t="str">
        <x:v>Deferred/capability-scoped support.</x:v>
      </x:c>
      <x:c r="D9" s="114" t="str">
        <x:v>Document X11/Wayland limitations and future portal integration; no initial parity claim.</x:v>
      </x:c>
      <x:c r="E9" s="114" t="str">
        <x:v>Rust + portal/compositor adapters later</x:v>
      </x:c>
      <x:c r="F9" s="114" t="str">
        <x:v>XDG portals, compositor APIs</x:v>
      </x:c>
      <x:c r="G9" s="114" t="str">
        <x:v>Linux excluded from first employee pilot unless specific environment is validated.</x:v>
      </x:c>
      <x:c r="H9" s="114" t="str">
        <x:v>Medium</x:v>
      </x:c>
      <x:c r="I9" s="114" t="str">
        <x:v>Draft Complete</x:v>
      </x:c>
      <x:c r="J9" s="333" t="str">
        <x:v>Later</x:v>
      </x:c>
    </x:row>
    <x:row r="10">
      <x:c r="A10" s="337" t="str">
        <x:v>AG-ARC-006</x:v>
      </x:c>
      <x:c r="B10" s="338" t="str">
        <x:v>Browser Extension</x:v>
      </x:c>
      <x:c r="C10" s="338" t="str">
        <x:v>Browser semantic adapter.</x:v>
      </x:c>
      <x:c r="D10" s="338" t="str">
        <x:v>Active tab/domain/title/navigation, approved URLs, task bookmarks and native messaging to agent.</x:v>
      </x:c>
      <x:c r="E10" s="338" t="str">
        <x:v>TypeScript extension</x:v>
      </x:c>
      <x:c r="F10" s="338" t="str">
        <x:v>Chrome/Edge native messaging</x:v>
      </x:c>
      <x:c r="G10" s="338" t="str">
        <x:v>URL path/query/content only allowlisted.</x:v>
      </x:c>
      <x:c r="H10" s="338" t="str">
        <x:v>High</x:v>
      </x:c>
      <x:c r="I10" s="338" t="str">
        <x:v>Draft Complete</x:v>
      </x:c>
      <x:c r="J10" s="339" t="str">
        <x:v>Stage 6</x:v>
      </x:c>
    </x:row>
    <x:row r="11">
      <x:c r="A11" s="332" t="str">
        <x:v>AG-ARC-007</x:v>
      </x:c>
      <x:c r="B11" s="114" t="str">
        <x:v>Adapter SDK</x:v>
      </x:c>
      <x:c r="C11" s="114" t="str">
        <x:v>Tool/IDE/AI agent integration point.</x:v>
      </x:c>
      <x:c r="D11" s="114" t="str">
        <x:v>Normalises shell, Git, Codex, Claude Code, IDE and simulator events to local core.</x:v>
      </x:c>
      <x:c r="E11" s="114" t="str">
        <x:v>Rust/TypeScript/Python/Java SDKs</x:v>
      </x:c>
      <x:c r="F11" s="114" t="str">
        <x:v>Local agent IPC</x:v>
      </x:c>
      <x:c r="G11" s="114" t="str">
        <x:v>Adapter cannot bypass policy or redaction.</x:v>
      </x:c>
      <x:c r="H11" s="114" t="str">
        <x:v>High</x:v>
      </x:c>
      <x:c r="I11" s="114" t="str">
        <x:v>Draft Complete</x:v>
      </x:c>
      <x:c r="J11" s="333" t="str">
        <x:v>Stage 6</x:v>
      </x:c>
    </x:row>
    <x:row r="12">
      <x:c r="A12" s="337" t="str">
        <x:v>AG-ARC-008</x:v>
      </x:c>
      <x:c r="B12" s="338" t="str">
        <x:v>Policy Engine</x:v>
      </x:c>
      <x:c r="C12" s="338" t="str">
        <x:v>Signed policy validation and local decisions.</x:v>
      </x:c>
      <x:c r="D12" s="338" t="str">
        <x:v>Checks tenant, person, device, task, hours, app/domain/display, capture capability and retention rules.</x:v>
      </x:c>
      <x:c r="E12" s="338" t="str">
        <x:v>Rust policy evaluator; optional OPA bundle spike</x:v>
      </x:c>
      <x:c r="F12" s="338" t="str">
        <x:v>HumanOS Policy Service</x:v>
      </x:c>
      <x:c r="G12" s="338" t="str">
        <x:v>Fail safe when invalid/expired/unavailable.</x:v>
      </x:c>
      <x:c r="H12" s="338" t="str">
        <x:v>Critical</x:v>
      </x:c>
      <x:c r="I12" s="338" t="str">
        <x:v>Draft Complete</x:v>
      </x:c>
      <x:c r="J12" s="339" t="str">
        <x:v>Stage 3</x:v>
      </x:c>
    </x:row>
    <x:row r="13">
      <x:c r="A13" s="332" t="str">
        <x:v>AG-ARC-009</x:v>
      </x:c>
      <x:c r="B13" s="114" t="str">
        <x:v>Session Controller</x:v>
      </x:c>
      <x:c r="C13" s="114" t="str">
        <x:v>User-visible work-day and task-session state machine.</x:v>
      </x:c>
      <x:c r="D13" s="114" t="str">
        <x:v>Start/pause/switch/stop tasks; private/excluded mode; offline/disabled/revoked states.</x:v>
      </x:c>
      <x:c r="E13" s="114" t="str">
        <x:v>Rust core + native UI</x:v>
      </x:c>
      <x:c r="F13" s="114" t="str">
        <x:v>HumanOS task/session APIs</x:v>
      </x:c>
      <x:c r="G13" s="114" t="str">
        <x:v>No capture outside approved state.</x:v>
      </x:c>
      <x:c r="H13" s="114" t="str">
        <x:v>Critical</x:v>
      </x:c>
      <x:c r="I13" s="114" t="str">
        <x:v>Draft Complete</x:v>
      </x:c>
      <x:c r="J13" s="333" t="str">
        <x:v>Stage 3</x:v>
      </x:c>
    </x:row>
    <x:row r="14">
      <x:c r="A14" s="337" t="str">
        <x:v>AG-ARC-010</x:v>
      </x:c>
      <x:c r="B14" s="338" t="str">
        <x:v>Secure Field / Secret Guard</x:v>
      </x:c>
      <x:c r="C14" s="338" t="str">
        <x:v>Suppress sensitive inputs/screens/content before persistence.</x:v>
      </x:c>
      <x:c r="D14" s="338" t="str">
        <x:v>OS secure-control detection; secret scanning; exclusion rules; suppression audit event.</x:v>
      </x:c>
      <x:c r="E14" s="338" t="str">
        <x:v>Rust + native APIs + local rules/models</x:v>
      </x:c>
      <x:c r="F14" s="338" t="str">
        <x:v>Policy bundle</x:v>
      </x:c>
      <x:c r="G14" s="338" t="str">
        <x:v>Zero known password/secret retention is pilot-blocking.</x:v>
      </x:c>
      <x:c r="H14" s="338" t="str">
        <x:v>Critical</x:v>
      </x:c>
      <x:c r="I14" s="338" t="str">
        <x:v>Draft Complete</x:v>
      </x:c>
      <x:c r="J14" s="339" t="str">
        <x:v>Stage 3/5</x:v>
      </x:c>
    </x:row>
    <x:row r="15">
      <x:c r="A15" s="332" t="str">
        <x:v>AG-ARC-011</x:v>
      </x:c>
      <x:c r="B15" s="114" t="str">
        <x:v>Local Journal</x:v>
      </x:c>
      <x:c r="C15" s="114" t="str">
        <x:v>Encrypted append-only event and object cache.</x:v>
      </x:c>
      <x:c r="D15" s="114" t="str">
        <x:v>WAL, sequence, checksums, content addressing, quota, crash recovery, compaction and upload status.</x:v>
      </x:c>
      <x:c r="E15" s="114" t="str">
        <x:v>Rust + SQLite/SQLCipher-style storage</x:v>
      </x:c>
      <x:c r="F15" s="114" t="str">
        <x:v>OS secure storage/KMS</x:v>
      </x:c>
      <x:c r="G15" s="114" t="str">
        <x:v>Bounded local storage and per-session keys.</x:v>
      </x:c>
      <x:c r="H15" s="114" t="str">
        <x:v>Critical</x:v>
      </x:c>
      <x:c r="I15" s="114" t="str">
        <x:v>Draft Complete</x:v>
      </x:c>
      <x:c r="J15" s="333" t="str">
        <x:v>Stage 3</x:v>
      </x:c>
    </x:row>
    <x:row r="16">
      <x:c r="A16" s="337" t="str">
        <x:v>AG-ARC-012</x:v>
      </x:c>
      <x:c r="B16" s="338" t="str">
        <x:v>Batcher/Uploader</x:v>
      </x:c>
      <x:c r="C16" s="338" t="str">
        <x:v>Reliable, signed, idempotent upload.</x:v>
      </x:c>
      <x:c r="D16" s="338" t="str">
        <x:v>Batch events; compress; sign; retry/backoff; ack; de-duplicate; telemetry-gap reporting.</x:v>
      </x:c>
      <x:c r="E16" s="338" t="str">
        <x:v>Rust</x:v>
      </x:c>
      <x:c r="F16" s="338" t="str">
        <x:v>Telemetry Ingestion</x:v>
      </x:c>
      <x:c r="G16" s="338" t="str">
        <x:v>No raw candidate evidence upload before policy/redaction.</x:v>
      </x:c>
      <x:c r="H16" s="338" t="str">
        <x:v>Critical</x:v>
      </x:c>
      <x:c r="I16" s="338" t="str">
        <x:v>Draft Complete</x:v>
      </x:c>
      <x:c r="J16" s="339" t="str">
        <x:v>Stage 3</x:v>
      </x:c>
    </x:row>
    <x:row r="17">
      <x:c r="A17" s="332" t="str">
        <x:v>AG-ARC-013</x:v>
      </x:c>
      <x:c r="B17" s="114" t="str">
        <x:v>Health and Diagnostics</x:v>
      </x:c>
      <x:c r="C17" s="114" t="str">
        <x:v>Agent health without leaking evidence.</x:v>
      </x:c>
      <x:c r="D17" s="114" t="str">
        <x:v>Version, policy status, queue depth, upload latency, sensor availability, permission state and errors.</x:v>
      </x:c>
      <x:c r="E17" s="114" t="str">
        <x:v>Rust + Java API consumer</x:v>
      </x:c>
      <x:c r="F17" s="114" t="str">
        <x:v>Device Control Gateway</x:v>
      </x:c>
      <x:c r="G17" s="114" t="str">
        <x:v>No raw evidence in diagnostics.</x:v>
      </x:c>
      <x:c r="H17" s="114" t="str">
        <x:v>High</x:v>
      </x:c>
      <x:c r="I17" s="114" t="str">
        <x:v>Draft Complete</x:v>
      </x:c>
      <x:c r="J17" s="333" t="str">
        <x:v>Stage 3</x:v>
      </x:c>
    </x:row>
    <x:row r="18">
      <x:c r="A18" s="337" t="str">
        <x:v>AG-ARC-014</x:v>
      </x:c>
      <x:c r="B18" s="338" t="str">
        <x:v>Update/Rollback</x:v>
      </x:c>
      <x:c r="C18" s="338" t="str">
        <x:v>Secure endpoint software lifecycle.</x:v>
      </x:c>
      <x:c r="D18" s="338" t="str">
        <x:v>Signed updates, canaries, rollback, SBOM, dependency scan, signing-key incident path.</x:v>
      </x:c>
      <x:c r="E18" s="338" t="str">
        <x:v>Platform CI/CD + native installer</x:v>
      </x:c>
      <x:c r="F18" s="338" t="str">
        <x:v>MDM/update service</x:v>
      </x:c>
      <x:c r="G18" s="338" t="str">
        <x:v>Update path cannot bypass policy or compromise devices.</x:v>
      </x:c>
      <x:c r="H18" s="338" t="str">
        <x:v>Critical</x:v>
      </x:c>
      <x:c r="I18" s="338" t="str">
        <x:v>Draft Complete</x:v>
      </x:c>
      <x:c r="J18" s="339" t="str">
        <x:v>Stage 3</x:v>
      </x:c>
    </x:row>
    <x:row r="19">
      <x:c r="A19" s="334" t="str">
        <x:v>AG-ARC-015</x:v>
      </x:c>
      <x:c r="B19" s="335" t="str">
        <x:v>Employee UI</x:v>
      </x:c>
      <x:c r="C19" s="335" t="str">
        <x:v>Tray/menu/task panel and support access.</x:v>
      </x:c>
      <x:c r="D19" s="335" t="str">
        <x:v>Visible monitoring state, active task, sensors, last upload, pause, report issue, correction links.</x:v>
      </x:c>
      <x:c r="E19" s="335" t="str">
        <x:v>Tauri/native UI; web shell possible, not capture owner</x:v>
      </x:c>
      <x:c r="F19" s="335" t="str">
        <x:v>HumanOS frontend APIs</x:v>
      </x:c>
      <x:c r="G19" s="335" t="str">
        <x:v>Employee transparency and accessibility are core functions.</x:v>
      </x:c>
      <x:c r="H19" s="335" t="str">
        <x:v>Critical</x:v>
      </x:c>
      <x:c r="I19" s="335" t="str">
        <x:v>Draft Complete</x:v>
      </x:c>
      <x:c r="J19" s="336" t="str">
        <x:v>Stage 3</x:v>
      </x:c>
    </x:row>
  </x:sheetData>
  <x:mergeCells>
    <x:mergeCell ref="A1:J1"/>
    <x:mergeCell ref="A2:J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48" hidden="0" customWidth="1"/>
    <x:col min="5" max="5" width="48" hidden="0" customWidth="1"/>
    <x:col min="6" max="6" width="12" hidden="0" customWidth="1"/>
    <x:col min="7" max="7" width="50" hidden="0" customWidth="1"/>
    <x:col min="8" max="8" width="24" hidden="0" customWidth="1"/>
    <x:col min="9" max="9" width="36" hidden="0" customWidth="1"/>
  </x:cols>
  <x:sheetData>
    <x:row r="1" ht="30" customHeight="1">
      <x:c r="A1" s="294" t="str">
        <x:v>Stage 3 — OS Capability and Permission Matrix</x:v>
      </x:c>
      <x:c r="B1" s="294"/>
      <x:c r="C1" s="294"/>
      <x:c r="D1" s="294"/>
      <x:c r="E1" s="294"/>
      <x:c r="F1" s="294"/>
      <x:c r="G1" s="294"/>
      <x:c r="H1" s="294"/>
      <x:c r="I1" s="294"/>
    </x:row>
    <x:row r="2" ht="36" customHeight="1">
      <x:c r="A2" s="298" t="str">
        <x:v>Platform capability matrix for Windows, macOS and Linux. Linux is intentionally deferred until a specific managed desktop environment is validated.</x:v>
      </x:c>
      <x:c r="B2" s="298"/>
      <x:c r="C2" s="298"/>
      <x:c r="D2" s="298"/>
      <x:c r="E2" s="298"/>
      <x:c r="F2" s="298"/>
      <x:c r="G2" s="298"/>
      <x:c r="H2" s="298"/>
      <x:c r="I2" s="298"/>
    </x:row>
    <x:row r="4" ht="30" customHeight="1">
      <x:c r="A4" s="310" t="str">
        <x:v>ID</x:v>
      </x:c>
      <x:c r="B4" s="311" t="str">
        <x:v>Capability</x:v>
      </x:c>
      <x:c r="C4" s="311" t="str">
        <x:v>Windows position</x:v>
      </x:c>
      <x:c r="D4" s="311" t="str">
        <x:v>macOS position</x:v>
      </x:c>
      <x:c r="E4" s="311" t="str">
        <x:v>Linux position</x:v>
      </x:c>
      <x:c r="F4" s="311" t="str">
        <x:v>Priority</x:v>
      </x:c>
      <x:c r="G4" s="311" t="str">
        <x:v>Privacy/security note</x:v>
      </x:c>
      <x:c r="H4" s="311" t="str">
        <x:v>Stage position</x:v>
      </x:c>
      <x:c r="I4" s="312" t="str">
        <x:v>Source / basis</x:v>
      </x:c>
    </x:row>
    <x:row r="5">
      <x:c r="A5" s="329" t="str">
        <x:v>OS-001</x:v>
      </x:c>
      <x:c r="B5" s="330" t="str">
        <x:v>Foreground application/window</x:v>
      </x:c>
      <x:c r="C5" s="330" t="str">
        <x:v>Supported via Win32/UIA/ETW APIs; exact implementation spike required.</x:v>
      </x:c>
      <x:c r="D5" s="330" t="str">
        <x:v>Supported via NSWorkspace/AX/window APIs; permission handling needed.</x:v>
      </x:c>
      <x:c r="E5" s="330" t="str">
        <x:v>X11 feasible; Wayland compositor-specific/limited.</x:v>
      </x:c>
      <x:c r="F5" s="330" t="str">
        <x:v>High</x:v>
      </x:c>
      <x:c r="G5" s="330" t="str">
        <x:v>No content capture by itself; window titles may be sensitive.</x:v>
      </x:c>
      <x:c r="H5" s="330" t="str">
        <x:v>Stage 3 spike</x:v>
      </x:c>
      <x:c r="I5" s="331" t="str">
        <x:v>Microsoft UIA; Apple Accessibility; XDG limitations</x:v>
      </x:c>
    </x:row>
    <x:row r="6">
      <x:c r="A6" s="337" t="str">
        <x:v>OS-002</x:v>
      </x:c>
      <x:c r="B6" s="338" t="str">
        <x:v>Application process events</x:v>
      </x:c>
      <x:c r="C6" s="338" t="str">
        <x:v>ETW/WMI/process APIs; robust options available.</x:v>
      </x:c>
      <x:c r="D6" s="338" t="str">
        <x:v>Endpoint Security can notify process execution; alternatives exist.</x:v>
      </x:c>
      <x:c r="E6" s="338" t="str">
        <x:v>procfs/auditd/fanotify/eBPF depending distribution.</x:v>
      </x:c>
      <x:c r="F6" s="338" t="str">
        <x:v>High</x:v>
      </x:c>
      <x:c r="G6" s="338" t="str">
        <x:v>Do not collect command line secrets without redaction.</x:v>
      </x:c>
      <x:c r="H6" s="338" t="str">
        <x:v>Stage 3 spike</x:v>
      </x:c>
      <x:c r="I6" s="339" t="str">
        <x:v>ETW/Endpoint Security</x:v>
      </x:c>
    </x:row>
    <x:row r="7">
      <x:c r="A7" s="332" t="str">
        <x:v>OS-003</x:v>
      </x:c>
      <x:c r="B7" s="114" t="str">
        <x:v>UI accessibility tree</x:v>
      </x:c>
      <x:c r="C7" s="114" t="str">
        <x:v>UI Automation exposes AutomationElement tree and control patterns.</x:v>
      </x:c>
      <x:c r="D7" s="114" t="str">
        <x:v>AXUIElement/Accessibility APIs expose accessible hierarchy with TCC permission.</x:v>
      </x:c>
      <x:c r="E7" s="114" t="str">
        <x:v>AT-SPI on desktop; inconsistent app support.</x:v>
      </x:c>
      <x:c r="F7" s="114" t="str">
        <x:v>High</x:v>
      </x:c>
      <x:c r="G7" s="114" t="str">
        <x:v>Accessibility data can contain text; policy required.</x:v>
      </x:c>
      <x:c r="H7" s="114" t="str">
        <x:v>Stage 5 capability after Stage 3 permissions</x:v>
      </x:c>
      <x:c r="I7" s="333" t="str">
        <x:v>Microsoft UIA; Apple AX</x:v>
      </x:c>
    </x:row>
    <x:row r="8">
      <x:c r="A8" s="337" t="str">
        <x:v>OS-004</x:v>
      </x:c>
      <x:c r="B8" s="338" t="str">
        <x:v>Screen capture / screenshots</x:v>
      </x:c>
      <x:c r="C8" s="338" t="str">
        <x:v>Windows Graphics Capture and other APIs; permissions/selection patterns required.</x:v>
      </x:c>
      <x:c r="D8" s="338" t="str">
        <x:v>ScreenCaptureKit supports high-performance display/window/app capture with user permissions.</x:v>
      </x:c>
      <x:c r="E8" s="338" t="str">
        <x:v>Portal-based capture on Wayland; environment-dependent.</x:v>
      </x:c>
      <x:c r="F8" s="338" t="str">
        <x:v>High</x:v>
      </x:c>
      <x:c r="G8" s="338" t="str">
        <x:v>No continuous capture in Stage 3; event-driven later; secure exclusions first.</x:v>
      </x:c>
      <x:c r="H8" s="338" t="str">
        <x:v>Stage 5 spike planned</x:v>
      </x:c>
      <x:c r="I8" s="339" t="str">
        <x:v>Windows Graphics Capture; ScreenCaptureKit; XDG ScreenCast</x:v>
      </x:c>
    </x:row>
    <x:row r="9">
      <x:c r="A9" s="332" t="str">
        <x:v>OS-005</x:v>
      </x:c>
      <x:c r="B9" s="114" t="str">
        <x:v>Mouse/keyboard input metadata</x:v>
      </x:c>
      <x:c r="C9" s="114" t="str">
        <x:v>Raw Input preferred in many cases; low-level hooks have strict timeout risks.</x:v>
      </x:c>
      <x:c r="D9" s="114" t="str">
        <x:v>CGEvent taps/Input Monitoring require permissions and careful design.</x:v>
      </x:c>
      <x:c r="E9" s="114" t="str">
        <x:v>Wayland restricts global input capture; X11 less restricted but risky.</x:v>
      </x:c>
      <x:c r="F9" s="114" t="str">
        <x:v>High</x:v>
      </x:c>
      <x:c r="G9" s="114" t="str">
        <x:v>Stage 3 only architecture/spike; no unrestricted keylogging.</x:v>
      </x:c>
      <x:c r="H9" s="114" t="str">
        <x:v>Stage 5 spike planned</x:v>
      </x:c>
      <x:c r="I9" s="333" t="str">
        <x:v>Microsoft Raw Input/LowLevelMouseProc</x:v>
      </x:c>
    </x:row>
    <x:row r="10">
      <x:c r="A10" s="337" t="str">
        <x:v>OS-006</x:v>
      </x:c>
      <x:c r="B10" s="338" t="str">
        <x:v>Secure-field detection</x:v>
      </x:c>
      <x:c r="C10" s="338" t="str">
        <x:v>Can combine UIA control patterns, password properties, browser field hints and redaction rules; not perfect.</x:v>
      </x:c>
      <x:c r="D10" s="338" t="str">
        <x:v>AX secure text fields and TCC-aware app/field detection; not perfect.</x:v>
      </x:c>
      <x:c r="E10" s="338" t="str">
        <x:v>Toolkit-dependent; difficult under Wayland.</x:v>
      </x:c>
      <x:c r="F10" s="338" t="str">
        <x:v>Critical</x:v>
      </x:c>
      <x:c r="G10" s="338" t="str">
        <x:v>Zero known password retention is blocking; fall back to suppressing uncertain controls.</x:v>
      </x:c>
      <x:c r="H10" s="338" t="str">
        <x:v>Stage 3 design + Stage 5 test</x:v>
      </x:c>
      <x:c r="I10" s="339" t="str">
        <x:v>Privacy engineering</x:v>
      </x:c>
    </x:row>
    <x:row r="11">
      <x:c r="A11" s="332" t="str">
        <x:v>OS-007</x:v>
      </x:c>
      <x:c r="B11" s="114" t="str">
        <x:v>File-system events</x:v>
      </x:c>
      <x:c r="C11" s="114" t="str">
        <x:v>ReadDirectoryChangesW/USN/ETW options; project-root allowlist.</x:v>
      </x:c>
      <x:c r="D11" s="114" t="str">
        <x:v>FSEvents/Endpoint Security; project-root allowlist.</x:v>
      </x:c>
      <x:c r="E11" s="114" t="str">
        <x:v>inotify/fanotify; project-root allowlist.</x:v>
      </x:c>
      <x:c r="F11" s="114" t="str">
        <x:v>High</x:v>
      </x:c>
      <x:c r="G11" s="114" t="str">
        <x:v>Approved roots only; no personal-folder scanning.</x:v>
      </x:c>
      <x:c r="H11" s="114" t="str">
        <x:v>Stage 3/5</x:v>
      </x:c>
      <x:c r="I11" s="333" t="str">
        <x:v>OS APIs</x:v>
      </x:c>
    </x:row>
    <x:row r="12">
      <x:c r="A12" s="337" t="str">
        <x:v>OS-008</x:v>
      </x:c>
      <x:c r="B12" s="338" t="str">
        <x:v>Clipboard metadata</x:v>
      </x:c>
      <x:c r="C12" s="338" t="str">
        <x:v>Windows clipboard listeners; content off by default.</x:v>
      </x:c>
      <x:c r="D12" s="338" t="str">
        <x:v>Pasteboard APIs; content off by default.</x:v>
      </x:c>
      <x:c r="E12" s="338" t="str">
        <x:v>Toolkit/desktop-dependent.</x:v>
      </x:c>
      <x:c r="F12" s="338" t="str">
        <x:v>Medium</x:v>
      </x:c>
      <x:c r="G12" s="338" t="str">
        <x:v>Event metadata only unless separately approved.</x:v>
      </x:c>
      <x:c r="H12" s="338" t="str">
        <x:v>Stage 5 deferred</x:v>
      </x:c>
      <x:c r="I12" s="339" t="str">
        <x:v>Purpose matrix</x:v>
      </x:c>
    </x:row>
    <x:row r="13">
      <x:c r="A13" s="332" t="str">
        <x:v>OS-009</x:v>
      </x:c>
      <x:c r="B13" s="114" t="str">
        <x:v>Browser semantic events</x:v>
      </x:c>
      <x:c r="C13" s="114" t="str">
        <x:v>Chrome/Edge extension + native messaging.</x:v>
      </x:c>
      <x:c r="D13" s="114" t="str">
        <x:v>Chrome/Edge/Safari differences; Safari deferred unless required.</x:v>
      </x:c>
      <x:c r="E13" s="114" t="str">
        <x:v>Chrome/Firefox extension; native host where allowed.</x:v>
      </x:c>
      <x:c r="F13" s="114" t="str">
        <x:v>High</x:v>
      </x:c>
      <x:c r="G13" s="114" t="str">
        <x:v>URL path/query only allowlisted.</x:v>
      </x:c>
      <x:c r="H13" s="114" t="str">
        <x:v>Stage 6</x:v>
      </x:c>
      <x:c r="I13" s="333" t="str">
        <x:v>Chrome docs</x:v>
      </x:c>
    </x:row>
    <x:row r="14">
      <x:c r="A14" s="337" t="str">
        <x:v>OS-010</x:v>
      </x:c>
      <x:c r="B14" s="338" t="str">
        <x:v>Terminal command semantics</x:v>
      </x:c>
      <x:c r="C14" s="338" t="str">
        <x:v>Shell integration/PTY adapters; process tree correlation.</x:v>
      </x:c>
      <x:c r="D14" s="338" t="str">
        <x:v>Shell integration/PTY adapters.</x:v>
      </x:c>
      <x:c r="E14" s="338" t="str">
        <x:v>Shell integration/PTY adapters.</x:v>
      </x:c>
      <x:c r="F14" s="338" t="str">
        <x:v>High</x:v>
      </x:c>
      <x:c r="G14" s="338" t="str">
        <x:v>Redact env vars/secrets; prefer supported shells.</x:v>
      </x:c>
      <x:c r="H14" s="338" t="str">
        <x:v>Stage 6</x:v>
      </x:c>
      <x:c r="I14" s="339" t="str">
        <x:v>Shell/PTY design</x:v>
      </x:c>
    </x:row>
    <x:row r="15">
      <x:c r="A15" s="332" t="str">
        <x:v>OS-011</x:v>
      </x:c>
      <x:c r="B15" s="114" t="str">
        <x:v>Code signing / app trust</x:v>
      </x:c>
      <x:c r="C15" s="114" t="str">
        <x:v>MSIX/EXE signing; trusted certificate/timestamping; enterprise deployment/MDM.</x:v>
      </x:c>
      <x:c r="D15" s="114" t="str">
        <x:v>Developer ID signing + notarization; hardened runtime; TCC user/admin grants.</x:v>
      </x:c>
      <x:c r="E15" s="114" t="str">
        <x:v>Package signing depends distro; enterprise repo signing.</x:v>
      </x:c>
      <x:c r="F15" s="114" t="str">
        <x:v>Critical</x:v>
      </x:c>
      <x:c r="G15" s="114" t="str">
        <x:v>Unsigned agents cannot be pilot endpoints.</x:v>
      </x:c>
      <x:c r="H15" s="114" t="str">
        <x:v>Stage 3</x:v>
      </x:c>
      <x:c r="I15" s="333" t="str">
        <x:v>Microsoft signing; Apple Developer ID</x:v>
      </x:c>
    </x:row>
    <x:row r="16">
      <x:c r="A16" s="337" t="str">
        <x:v>OS-012</x:v>
      </x:c>
      <x:c r="B16" s="338" t="str">
        <x:v>Endpoint management</x:v>
      </x:c>
      <x:c r="C16" s="338" t="str">
        <x:v>Intune/MDM/GPO/SCCM depending Nessovo IT stack.</x:v>
      </x:c>
      <x:c r="D16" s="338" t="str">
        <x:v>MDM profiles for permissions where available plus user/admin consent.</x:v>
      </x:c>
      <x:c r="E16" s="338" t="str">
        <x:v>Fleet tools vary.</x:v>
      </x:c>
      <x:c r="F16" s="338" t="str">
        <x:v>High</x:v>
      </x:c>
      <x:c r="G16" s="338" t="str">
        <x:v>Manual-only install unacceptable for pilot scale.</x:v>
      </x:c>
      <x:c r="H16" s="338" t="str">
        <x:v>Stage 3</x:v>
      </x:c>
      <x:c r="I16" s="339" t="str">
        <x:v>IT inventory required</x:v>
      </x:c>
    </x:row>
    <x:row r="17">
      <x:c r="A17" s="332" t="str">
        <x:v>OS-013</x:v>
      </x:c>
      <x:c r="B17" s="114" t="str">
        <x:v>Local secure key storage</x:v>
      </x:c>
      <x:c r="C17" s="114" t="str">
        <x:v>Windows DPAPI/TPM/credential store options.</x:v>
      </x:c>
      <x:c r="D17" s="114" t="str">
        <x:v>Keychain/Secure Enclave where suitable.</x:v>
      </x:c>
      <x:c r="E17" s="114" t="str">
        <x:v>Kernel keyring/TPM/secret-service options.</x:v>
      </x:c>
      <x:c r="F17" s="114" t="str">
        <x:v>Critical</x:v>
      </x:c>
      <x:c r="G17" s="114" t="str">
        <x:v>Keys must not be hardcoded or stored in config.</x:v>
      </x:c>
      <x:c r="H17" s="114" t="str">
        <x:v>Stage 3</x:v>
      </x:c>
      <x:c r="I17" s="333" t="str">
        <x:v>Security requirement</x:v>
      </x:c>
    </x:row>
    <x:row r="18">
      <x:c r="A18" s="337" t="str">
        <x:v>OS-014</x:v>
      </x:c>
      <x:c r="B18" s="338" t="str">
        <x:v>Audio capture</x:v>
      </x:c>
      <x:c r="C18" s="338" t="str">
        <x:v>Technically possible but excluded from v1.</x:v>
      </x:c>
      <x:c r="D18" s="338" t="str">
        <x:v>ScreenCaptureKit can include audio, but excluded from v1.</x:v>
      </x:c>
      <x:c r="E18" s="338" t="str">
        <x:v>Possible via portals/Pulse/PipeWire but excluded.</x:v>
      </x:c>
      <x:c r="F18" s="338" t="str">
        <x:v>Low</x:v>
      </x:c>
      <x:c r="G18" s="338" t="str">
        <x:v>Disabled; future DPIA required.</x:v>
      </x:c>
      <x:c r="H18" s="338" t="str">
        <x:v>Excluded v1</x:v>
      </x:c>
      <x:c r="I18" s="339" t="str">
        <x:v>Stage 0 policy</x:v>
      </x:c>
    </x:row>
    <x:row r="19">
      <x:c r="A19" s="334" t="str">
        <x:v>OS-015</x:v>
      </x:c>
      <x:c r="B19" s="335" t="str">
        <x:v>Linux parity</x:v>
      </x:c>
      <x:c r="C19" s="335" t="str">
        <x:v>N/A</x:v>
      </x:c>
      <x:c r="D19" s="335" t="str">
        <x:v>N/A</x:v>
      </x:c>
      <x:c r="E19" s="335" t="str">
        <x:v>Not initially supported due to Wayland/compositor variability.</x:v>
      </x:c>
      <x:c r="F19" s="335" t="str">
        <x:v>Medium</x:v>
      </x:c>
      <x:c r="G19" s="335" t="str">
        <x:v>Do not overpromise Linux capture parity.</x:v>
      </x:c>
      <x:c r="H19" s="335" t="str">
        <x:v>Later</x:v>
      </x:c>
      <x:c r="I19" s="336" t="str">
        <x:v>XDG portals</x:v>
      </x:c>
    </x:row>
  </x:sheetData>
  <x:mergeCells>
    <x:mergeCell ref="A1:I1"/>
    <x:mergeCell ref="A2:I2"/>
  </x:mergeCells>
  <x:dataValidations count="2">
    <x:dataValidation type="list" sqref="F5:F19">
      <x:formula1>"Critical,High,Medium,Low"</x:formula1>
    </x:dataValidation>
    <x:dataValidation type="list" sqref="H5:H19">
      <x:formula1>"Stage 3,Stage 3 spike,Stage 3 design + Stage 5 test,Stage 5 spike planned,Stage 3/5,Stage 5 deferred,Stage 6,Excluded v1,Later"</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26" hidden="0" customWidth="1"/>
    <x:col min="3" max="3" width="48" hidden="0" customWidth="1"/>
    <x:col min="4" max="4" width="36" hidden="0" customWidth="1"/>
    <x:col min="5" max="5" width="36" hidden="0" customWidth="1"/>
    <x:col min="6" max="6" width="52" hidden="0" customWidth="1"/>
    <x:col min="7" max="7" width="24" hidden="0" customWidth="1"/>
    <x:col min="8" max="8" width="12" hidden="0" customWidth="1"/>
    <x:col min="9" max="9" width="18" hidden="0" customWidth="1"/>
  </x:cols>
  <x:sheetData>
    <x:row r="1" ht="30" customHeight="1">
      <x:c r="A1" s="294" t="str">
        <x:v>Stage 3 — Agent Module Specification</x:v>
      </x:c>
      <x:c r="B1" s="294"/>
      <x:c r="C1" s="294"/>
      <x:c r="D1" s="294"/>
      <x:c r="E1" s="294"/>
      <x:c r="F1" s="294"/>
      <x:c r="G1" s="294"/>
      <x:c r="H1" s="294"/>
      <x:c r="I1" s="294"/>
    </x:row>
    <x:row r="2" ht="36" customHeight="1">
      <x:c r="A2" s="298" t="str">
        <x:v>Device-agent modules, contracts and control responsibilities.</x:v>
      </x:c>
      <x:c r="B2" s="298"/>
      <x:c r="C2" s="298"/>
      <x:c r="D2" s="298"/>
      <x:c r="E2" s="298"/>
      <x:c r="F2" s="298"/>
      <x:c r="G2" s="298"/>
      <x:c r="H2" s="298"/>
      <x:c r="I2" s="298"/>
    </x:row>
    <x:row r="4" ht="30" customHeight="1">
      <x:c r="A4" s="310" t="str">
        <x:v>ID</x:v>
      </x:c>
      <x:c r="B4" s="311" t="str">
        <x:v>Module</x:v>
      </x:c>
      <x:c r="C4" s="311" t="str">
        <x:v>Responsibility</x:v>
      </x:c>
      <x:c r="D4" s="311" t="str">
        <x:v>Inputs</x:v>
      </x:c>
      <x:c r="E4" s="311" t="str">
        <x:v>Outputs</x:v>
      </x:c>
      <x:c r="F4" s="311" t="str">
        <x:v>Security/privacy requirements</x:v>
      </x:c>
      <x:c r="G4" s="311" t="str">
        <x:v>Owner</x:v>
      </x:c>
      <x:c r="H4" s="311" t="str">
        <x:v>Priority</x:v>
      </x:c>
      <x:c r="I4" s="312" t="str">
        <x:v>Status</x:v>
      </x:c>
    </x:row>
    <x:row r="5">
      <x:c r="A5" s="329" t="str">
        <x:v>MOD-001</x:v>
      </x:c>
      <x:c r="B5" s="330" t="str">
        <x:v>Bootstrap/Installer</x:v>
      </x:c>
      <x:c r="C5" s="330" t="str">
        <x:v>Install, register service/agent, verify signature, create first-run state and launch employee UI.</x:v>
      </x:c>
      <x:c r="D5" s="330" t="str">
        <x:v>Device package, deployment policy</x:v>
      </x:c>
      <x:c r="E5" s="330" t="str">
        <x:v>Installed agent with unregistered state</x:v>
      </x:c>
      <x:c r="F5" s="330" t="str">
        <x:v>Windows/macOS signed installer; uninstall logs</x:v>
      </x:c>
      <x:c r="G5" s="330" t="str">
        <x:v>CISO/IT</x:v>
      </x:c>
      <x:c r="H5" s="330" t="str">
        <x:v>Critical</x:v>
      </x:c>
      <x:c r="I5" s="331" t="str">
        <x:v>Draft Complete</x:v>
      </x:c>
    </x:row>
    <x:row r="6">
      <x:c r="A6" s="337" t="str">
        <x:v>MOD-002</x:v>
      </x:c>
      <x:c r="B6" s="338" t="str">
        <x:v>Device Identity</x:v>
      </x:c>
      <x:c r="C6" s="338" t="str">
        <x:v>Create or receive device identity, certificate, device ID and tenant binding.</x:v>
      </x:c>
      <x:c r="D6" s="338" t="str">
        <x:v>Registration token/MDM identity</x:v>
      </x:c>
      <x:c r="E6" s="338" t="str">
        <x:v>Device credential and registration event</x:v>
      </x:c>
      <x:c r="F6" s="338" t="str">
        <x:v>mTLS certificate and revocation path</x:v>
      </x:c>
      <x:c r="G6" s="338" t="str">
        <x:v>Platform Security</x:v>
      </x:c>
      <x:c r="H6" s="338" t="str">
        <x:v>Critical</x:v>
      </x:c>
      <x:c r="I6" s="339" t="str">
        <x:v>Draft Complete</x:v>
      </x:c>
    </x:row>
    <x:row r="7">
      <x:c r="A7" s="332" t="str">
        <x:v>MOD-003</x:v>
      </x:c>
      <x:c r="B7" s="114" t="str">
        <x:v>Policy Cache/Evaluator</x:v>
      </x:c>
      <x:c r="C7" s="114" t="str">
        <x:v>Validate signed policy bundles and make local allow/deny/redact decisions.</x:v>
      </x:c>
      <x:c r="D7" s="114" t="str">
        <x:v>Policy bundle, session state, app/domain/task context</x:v>
      </x:c>
      <x:c r="E7" s="114" t="str">
        <x:v>Decision and audit event</x:v>
      </x:c>
      <x:c r="F7" s="114" t="str">
        <x:v>Fail safe on invalid/expired policy</x:v>
      </x:c>
      <x:c r="G7" s="114" t="str">
        <x:v>Security/DPO</x:v>
      </x:c>
      <x:c r="H7" s="114" t="str">
        <x:v>Critical</x:v>
      </x:c>
      <x:c r="I7" s="333" t="str">
        <x:v>Draft Complete</x:v>
      </x:c>
    </x:row>
    <x:row r="8">
      <x:c r="A8" s="337" t="str">
        <x:v>MOD-004</x:v>
      </x:c>
      <x:c r="B8" s="338" t="str">
        <x:v>Session Controller</x:v>
      </x:c>
      <x:c r="C8" s="338" t="str">
        <x:v>Manage work-day/task-session lifecycle and visible capture state.</x:v>
      </x:c>
      <x:c r="D8" s="338" t="str">
        <x:v>User action, HumanOS task list, policy</x:v>
      </x:c>
      <x:c r="E8" s="338" t="str">
        <x:v>Session state events</x:v>
      </x:c>
      <x:c r="F8" s="338" t="str">
        <x:v>No capture outside approved state</x:v>
      </x:c>
      <x:c r="G8" s="338" t="str">
        <x:v>Product/Desktop</x:v>
      </x:c>
      <x:c r="H8" s="338" t="str">
        <x:v>Critical</x:v>
      </x:c>
      <x:c r="I8" s="339" t="str">
        <x:v>Draft Complete</x:v>
      </x:c>
    </x:row>
    <x:row r="9">
      <x:c r="A9" s="332" t="str">
        <x:v>MOD-005</x:v>
      </x:c>
      <x:c r="B9" s="114" t="str">
        <x:v>Employee UI</x:v>
      </x:c>
      <x:c r="C9" s="114" t="str">
        <x:v>Tray/menu/desktop UI for status, tasks, pause/private state, support and issue reporting.</x:v>
      </x:c>
      <x:c r="D9" s="114" t="str">
        <x:v>Session state, policy, health</x:v>
      </x:c>
      <x:c r="E9" s="114" t="str">
        <x:v>Visible status and controls</x:v>
      </x:c>
      <x:c r="F9" s="114" t="str">
        <x:v>Accessible UI and no dark patterns</x:v>
      </x:c>
      <x:c r="G9" s="114" t="str">
        <x:v>Product/UX</x:v>
      </x:c>
      <x:c r="H9" s="114" t="str">
        <x:v>Critical</x:v>
      </x:c>
      <x:c r="I9" s="333" t="str">
        <x:v>Draft Complete</x:v>
      </x:c>
    </x:row>
    <x:row r="10">
      <x:c r="A10" s="337" t="str">
        <x:v>MOD-006</x:v>
      </x:c>
      <x:c r="B10" s="338" t="str">
        <x:v>Adapter Host</x:v>
      </x:c>
      <x:c r="C10" s="338" t="str">
        <x:v>Load and supervise allowed adapters for browser, shell, IDE and AI tools.</x:v>
      </x:c>
      <x:c r="D10" s="338" t="str">
        <x:v>Adapter manifests and policy</x:v>
      </x:c>
      <x:c r="E10" s="338" t="str">
        <x:v>Normalised adapter events</x:v>
      </x:c>
      <x:c r="F10" s="338" t="str">
        <x:v>Adapter cannot bypass policy or write raw evidence directly</x:v>
      </x:c>
      <x:c r="G10" s="338" t="str">
        <x:v>Integrations</x:v>
      </x:c>
      <x:c r="H10" s="338" t="str">
        <x:v>High</x:v>
      </x:c>
      <x:c r="I10" s="339" t="str">
        <x:v>Draft Complete</x:v>
      </x:c>
    </x:row>
    <x:row r="11">
      <x:c r="A11" s="332" t="str">
        <x:v>MOD-007</x:v>
      </x:c>
      <x:c r="B11" s="114" t="str">
        <x:v>Event Normaliser</x:v>
      </x:c>
      <x:c r="C11" s="114" t="str">
        <x:v>Convert OS/adapter signals into local schema with sequence and context.</x:v>
      </x:c>
      <x:c r="D11" s="114" t="str">
        <x:v>Raw approved signals</x:v>
      </x:c>
      <x:c r="E11" s="114" t="str">
        <x:v>Normalised local events</x:v>
      </x:c>
      <x:c r="F11" s="114" t="str">
        <x:v>No sensitive data retained before policy/redaction</x:v>
      </x:c>
      <x:c r="G11" s="114" t="str">
        <x:v>Data/Desktop</x:v>
      </x:c>
      <x:c r="H11" s="114" t="str">
        <x:v>Critical</x:v>
      </x:c>
      <x:c r="I11" s="333" t="str">
        <x:v>Draft Complete</x:v>
      </x:c>
    </x:row>
    <x:row r="12">
      <x:c r="A12" s="337" t="str">
        <x:v>MOD-008</x:v>
      </x:c>
      <x:c r="B12" s="338" t="str">
        <x:v>Secure Field Guard</x:v>
      </x:c>
      <x:c r="C12" s="338" t="str">
        <x:v>Suppress secure controls, secrets, excluded apps/domains/displays and uncertain sensitive areas.</x:v>
      </x:c>
      <x:c r="D12" s="338" t="str">
        <x:v>Candidate evidence, UI metadata, policy</x:v>
      </x:c>
      <x:c r="E12" s="338" t="str">
        <x:v>Redacted/suppressed evidence and suppression event</x:v>
      </x:c>
      <x:c r="F12" s="338" t="str">
        <x:v>Default to suppress on uncertainty for sensitive fields</x:v>
      </x:c>
      <x:c r="G12" s="338" t="str">
        <x:v>CISO/DPO</x:v>
      </x:c>
      <x:c r="H12" s="338" t="str">
        <x:v>Critical</x:v>
      </x:c>
      <x:c r="I12" s="339" t="str">
        <x:v>Draft Complete</x:v>
      </x:c>
    </x:row>
    <x:row r="13">
      <x:c r="A13" s="332" t="str">
        <x:v>MOD-009</x:v>
      </x:c>
      <x:c r="B13" s="114" t="str">
        <x:v>Local Journal</x:v>
      </x:c>
      <x:c r="C13" s="114" t="str">
        <x:v>Persist events and content refs in encrypted append-only local store.</x:v>
      </x:c>
      <x:c r="D13" s="114" t="str">
        <x:v>Normalised/redacted events</x:v>
      </x:c>
      <x:c r="E13" s="114" t="str">
        <x:v>Durable queued events</x:v>
      </x:c>
      <x:c r="F13" s="114" t="str">
        <x:v>WAL/checksum/quota/crash recovery</x:v>
      </x:c>
      <x:c r="G13" s="114" t="str">
        <x:v>Desktop/Data</x:v>
      </x:c>
      <x:c r="H13" s="114" t="str">
        <x:v>Critical</x:v>
      </x:c>
      <x:c r="I13" s="333" t="str">
        <x:v>Draft Complete</x:v>
      </x:c>
    </x:row>
    <x:row r="14">
      <x:c r="A14" s="337" t="str">
        <x:v>MOD-010</x:v>
      </x:c>
      <x:c r="B14" s="338" t="str">
        <x:v>Evidence Object Cache</x:v>
      </x:c>
      <x:c r="C14" s="338" t="str">
        <x:v>Store local content-addressed screenshots/snippets pending upload or deletion.</x:v>
      </x:c>
      <x:c r="D14" s="338" t="str">
        <x:v>Redacted content objects</x:v>
      </x:c>
      <x:c r="E14" s="338" t="str">
        <x:v>Object reference + hash</x:v>
      </x:c>
      <x:c r="F14" s="338" t="str">
        <x:v>Short TTL and encryption; raw candidate suppression</x:v>
      </x:c>
      <x:c r="G14" s="338" t="str">
        <x:v>Desktop/Data</x:v>
      </x:c>
      <x:c r="H14" s="338" t="str">
        <x:v>High</x:v>
      </x:c>
      <x:c r="I14" s="339" t="str">
        <x:v>Draft Complete</x:v>
      </x:c>
    </x:row>
    <x:row r="15">
      <x:c r="A15" s="332" t="str">
        <x:v>MOD-011</x:v>
      </x:c>
      <x:c r="B15" s="114" t="str">
        <x:v>Batcher/Uploader</x:v>
      </x:c>
      <x:c r="C15" s="114" t="str">
        <x:v>Batch, sign, compress, transmit, retry and confirm event upload.</x:v>
      </x:c>
      <x:c r="D15" s="114" t="str">
        <x:v>Journaled events and objects</x:v>
      </x:c>
      <x:c r="E15" s="114" t="str">
        <x:v>Acknowledged batches or retry state</x:v>
      </x:c>
      <x:c r="F15" s="114" t="str">
        <x:v>Idempotency, backoff and no raw upload before redaction</x:v>
      </x:c>
      <x:c r="G15" s="114" t="str">
        <x:v>Platform/Data</x:v>
      </x:c>
      <x:c r="H15" s="114" t="str">
        <x:v>Critical</x:v>
      </x:c>
      <x:c r="I15" s="333" t="str">
        <x:v>Draft Complete</x:v>
      </x:c>
    </x:row>
    <x:row r="16">
      <x:c r="A16" s="337" t="str">
        <x:v>MOD-012</x:v>
      </x:c>
      <x:c r="B16" s="338" t="str">
        <x:v>Health/Diagnostics</x:v>
      </x:c>
      <x:c r="C16" s="338" t="str">
        <x:v>Report non-sensitive health, permission, policy and upload state.</x:v>
      </x:c>
      <x:c r="D16" s="338" t="str">
        <x:v>Runtime status</x:v>
      </x:c>
      <x:c r="E16" s="338" t="str">
        <x:v>Health events/dashboard</x:v>
      </x:c>
      <x:c r="F16" s="338" t="str">
        <x:v>No raw evidence in logs/telemetry</x:v>
      </x:c>
      <x:c r="G16" s="338" t="str">
        <x:v>SRE/Desktop</x:v>
      </x:c>
      <x:c r="H16" s="338" t="str">
        <x:v>High</x:v>
      </x:c>
      <x:c r="I16" s="339" t="str">
        <x:v>Draft Complete</x:v>
      </x:c>
    </x:row>
    <x:row r="17">
      <x:c r="A17" s="332" t="str">
        <x:v>MOD-013</x:v>
      </x:c>
      <x:c r="B17" s="114" t="str">
        <x:v>Update/Rollback</x:v>
      </x:c>
      <x:c r="C17" s="114" t="str">
        <x:v>Apply signed updates, staged rollouts, rollback and compatibility checks.</x:v>
      </x:c>
      <x:c r="D17" s="114" t="str">
        <x:v>Update manifest and artefact</x:v>
      </x:c>
      <x:c r="E17" s="114" t="str">
        <x:v>Updated/rolled-back agent</x:v>
      </x:c>
      <x:c r="F17" s="114" t="str">
        <x:v>Signature, SBOM and provenance validation</x:v>
      </x:c>
      <x:c r="G17" s="114" t="str">
        <x:v>DevSecOps/Desktop</x:v>
      </x:c>
      <x:c r="H17" s="114" t="str">
        <x:v>Critical</x:v>
      </x:c>
      <x:c r="I17" s="333" t="str">
        <x:v>Draft Complete</x:v>
      </x:c>
    </x:row>
    <x:row r="18">
      <x:c r="A18" s="337" t="str">
        <x:v>MOD-014</x:v>
      </x:c>
      <x:c r="B18" s="338" t="str">
        <x:v>Audit Emitter</x:v>
      </x:c>
      <x:c r="C18" s="338" t="str">
        <x:v>Emit local audit for policy decisions, state changes, suppression, upload and admin actions.</x:v>
      </x:c>
      <x:c r="D18" s="338" t="str">
        <x:v>Internal module actions</x:v>
      </x:c>
      <x:c r="E18" s="338" t="str">
        <x:v>Audit events</x:v>
      </x:c>
      <x:c r="F18" s="338" t="str">
        <x:v>Immutable, signed, privacy-minimised audit</x:v>
      </x:c>
      <x:c r="G18" s="338" t="str">
        <x:v>Audit/Security</x:v>
      </x:c>
      <x:c r="H18" s="338" t="str">
        <x:v>Critical</x:v>
      </x:c>
      <x:c r="I18" s="339" t="str">
        <x:v>Draft Complete</x:v>
      </x:c>
    </x:row>
    <x:row r="19">
      <x:c r="A19" s="334" t="str">
        <x:v>MOD-015</x:v>
      </x:c>
      <x:c r="B19" s="335" t="str">
        <x:v>Telemetry Gap Reporter</x:v>
      </x:c>
      <x:c r="C19" s="335" t="str">
        <x:v>Report missed permissions, sensor failure, offline gaps, clock drift and dropped events.</x:v>
      </x:c>
      <x:c r="D19" s="335" t="str">
        <x:v>Health/session/journal state</x:v>
      </x:c>
      <x:c r="E19" s="335" t="str">
        <x:v>Gap events</x:v>
      </x:c>
      <x:c r="F19" s="335" t="str">
        <x:v>Prevents silent false timelines</x:v>
      </x:c>
      <x:c r="G19" s="335" t="str">
        <x:v>Data/SRE</x:v>
      </x:c>
      <x:c r="H19" s="335" t="str">
        <x:v>High</x:v>
      </x:c>
      <x:c r="I19" s="336" t="str">
        <x:v>Draft Complete</x:v>
      </x:c>
    </x:row>
  </x:sheetData>
  <x:mergeCells>
    <x:mergeCell ref="A1:I1"/>
    <x:mergeCell ref="A2:I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4" hidden="0" customWidth="1"/>
    <x:col min="3" max="3" width="46" hidden="0" customWidth="1"/>
    <x:col min="4" max="4" width="36" hidden="0" customWidth="1"/>
    <x:col min="5" max="5" width="36" hidden="0" customWidth="1"/>
    <x:col min="6" max="6" width="48" hidden="0" customWidth="1"/>
    <x:col min="7" max="7" width="34" hidden="0" customWidth="1"/>
    <x:col min="8" max="8" width="42" hidden="0" customWidth="1"/>
    <x:col min="9" max="9" width="18" hidden="0" customWidth="1"/>
  </x:cols>
  <x:sheetData>
    <x:row r="1" ht="30" customHeight="1">
      <x:c r="A1" s="294" t="str">
        <x:v>Stage 3 — Work-Day and Task-Session State Machine</x:v>
      </x:c>
      <x:c r="B1" s="294"/>
      <x:c r="C1" s="294"/>
      <x:c r="D1" s="294"/>
      <x:c r="E1" s="294"/>
      <x:c r="F1" s="294"/>
      <x:c r="G1" s="294"/>
      <x:c r="H1" s="294"/>
      <x:c r="I1" s="294"/>
    </x:row>
    <x:row r="2" ht="36" customHeight="1">
      <x:c r="A2" s="298" t="str">
        <x:v>Mandatory endpoint state model. Future capture modules cannot operate outside approved state and policy.</x:v>
      </x:c>
      <x:c r="B2" s="298"/>
      <x:c r="C2" s="298"/>
      <x:c r="D2" s="298"/>
      <x:c r="E2" s="298"/>
      <x:c r="F2" s="298"/>
      <x:c r="G2" s="298"/>
      <x:c r="H2" s="298"/>
      <x:c r="I2" s="298"/>
    </x:row>
    <x:row r="4" ht="30" customHeight="1">
      <x:c r="A4" s="310" t="str">
        <x:v>ID</x:v>
      </x:c>
      <x:c r="B4" s="311" t="str">
        <x:v>State</x:v>
      </x:c>
      <x:c r="C4" s="311" t="str">
        <x:v>Definition</x:v>
      </x:c>
      <x:c r="D4" s="311" t="str">
        <x:v>Entry trigger</x:v>
      </x:c>
      <x:c r="E4" s="311" t="str">
        <x:v>Exit transition</x:v>
      </x:c>
      <x:c r="F4" s="311" t="str">
        <x:v>Capture permission</x:v>
      </x:c>
      <x:c r="G4" s="311" t="str">
        <x:v>Allowed actions</x:v>
      </x:c>
      <x:c r="H4" s="311" t="str">
        <x:v>Guardrail</x:v>
      </x:c>
      <x:c r="I4" s="312" t="str">
        <x:v>Status</x:v>
      </x:c>
    </x:row>
    <x:row r="5">
      <x:c r="A5" s="329" t="str">
        <x:v>STATE-001</x:v>
      </x:c>
      <x:c r="B5" s="330" t="str">
        <x:v>Unregistered</x:v>
      </x:c>
      <x:c r="C5" s="330" t="str">
        <x:v>Installed but not linked to tenant/device identity.</x:v>
      </x:c>
      <x:c r="D5" s="330" t="str">
        <x:v>Install complete</x:v>
      </x:c>
      <x:c r="E5" s="330" t="str">
        <x:v>Registration workflow</x:v>
      </x:c>
      <x:c r="F5" s="330" t="str">
        <x:v>No capture; only registration UI/health.</x:v>
      </x:c>
      <x:c r="G5" s="330" t="str">
        <x:v>Register, uninstall</x:v>
      </x:c>
      <x:c r="H5" s="330" t="str">
        <x:v>Registration token required.</x:v>
      </x:c>
      <x:c r="I5" s="331" t="str">
        <x:v>Draft Complete</x:v>
      </x:c>
    </x:row>
    <x:row r="6">
      <x:c r="A6" s="337" t="str">
        <x:v>STATE-002</x:v>
      </x:c>
      <x:c r="B6" s="338" t="str">
        <x:v>Registered</x:v>
      </x:c>
      <x:c r="C6" s="338" t="str">
        <x:v>Device identity exists; policy not yet valid or session not started.</x:v>
      </x:c>
      <x:c r="D6" s="338" t="str">
        <x:v>Registration success</x:v>
      </x:c>
      <x:c r="E6" s="338" t="str">
        <x:v>Policy sync</x:v>
      </x:c>
      <x:c r="F6" s="338" t="str">
        <x:v>No sensitive capture; health only.</x:v>
      </x:c>
      <x:c r="G6" s="338" t="str">
        <x:v>Sync policy, sign out, uninstall</x:v>
      </x:c>
      <x:c r="H6" s="338" t="str">
        <x:v>mTLS certificate active.</x:v>
      </x:c>
      <x:c r="I6" s="339" t="str">
        <x:v>Draft Complete</x:v>
      </x:c>
    </x:row>
    <x:row r="7">
      <x:c r="A7" s="332" t="str">
        <x:v>STATE-003</x:v>
      </x:c>
      <x:c r="B7" s="114" t="str">
        <x:v>Policy unavailable</x:v>
      </x:c>
      <x:c r="C7" s="114" t="str">
        <x:v>Cannot fetch or verify current policy.</x:v>
      </x:c>
      <x:c r="D7" s="114" t="str">
        <x:v>Network failure or invalid policy</x:v>
      </x:c>
      <x:c r="E7" s="114" t="str">
        <x:v>Ready after valid policy</x:v>
      </x:c>
      <x:c r="F7" s="114" t="str">
        <x:v>Fail safe; no sensitive capture.</x:v>
      </x:c>
      <x:c r="G7" s="114" t="str">
        <x:v>Retry, show status, contact support</x:v>
      </x:c>
      <x:c r="H7" s="114" t="str">
        <x:v>No policy = no capture.</x:v>
      </x:c>
      <x:c r="I7" s="333" t="str">
        <x:v>Draft Complete</x:v>
      </x:c>
    </x:row>
    <x:row r="8">
      <x:c r="A8" s="337" t="str">
        <x:v>STATE-004</x:v>
      </x:c>
      <x:c r="B8" s="338" t="str">
        <x:v>Ready</x:v>
      </x:c>
      <x:c r="C8" s="338" t="str">
        <x:v>Valid policy, user authenticated, no active work session.</x:v>
      </x:c>
      <x:c r="D8" s="338" t="str">
        <x:v>Policy valid and user context resolved</x:v>
      </x:c>
      <x:c r="E8" s="338" t="str">
        <x:v>Work session active</x:v>
      </x:c>
      <x:c r="F8" s="338" t="str">
        <x:v>No active task capture; allowed task list fetch.</x:v>
      </x:c>
      <x:c r="G8" s="338" t="str">
        <x:v>Start work, sync tasks, pause</x:v>
      </x:c>
      <x:c r="H8" s="338" t="str">
        <x:v>Visible idle/ready state.</x:v>
      </x:c>
      <x:c r="I8" s="339" t="str">
        <x:v>Draft Complete</x:v>
      </x:c>
    </x:row>
    <x:row r="9">
      <x:c r="A9" s="332" t="str">
        <x:v>STATE-005</x:v>
      </x:c>
      <x:c r="B9" s="114" t="str">
        <x:v>Work session active</x:v>
      </x:c>
      <x:c r="C9" s="114" t="str">
        <x:v>Working day/session active but no task selected or task is general.</x:v>
      </x:c>
      <x:c r="D9" s="114" t="str">
        <x:v>User starts work session</x:v>
      </x:c>
      <x:c r="E9" s="114" t="str">
        <x:v>Task active / paused / stopped</x:v>
      </x:c>
      <x:c r="F9" s="114" t="str">
        <x:v>Only policy-approved low-intrusion context unless task starts.</x:v>
      </x:c>
      <x:c r="G9" s="114" t="str">
        <x:v>Select task, pause, stop</x:v>
      </x:c>
      <x:c r="H9" s="114" t="str">
        <x:v>Capture level depends policy.</x:v>
      </x:c>
      <x:c r="I9" s="333" t="str">
        <x:v>Draft Complete</x:v>
      </x:c>
    </x:row>
    <x:row r="10">
      <x:c r="A10" s="337" t="str">
        <x:v>STATE-006</x:v>
      </x:c>
      <x:c r="B10" s="338" t="str">
        <x:v>Task active</x:v>
      </x:c>
      <x:c r="C10" s="338" t="str">
        <x:v>Approved task selected and active.</x:v>
      </x:c>
      <x:c r="D10" s="338" t="str">
        <x:v>Task selected and task contract available</x:v>
      </x:c>
      <x:c r="E10" s="338" t="str">
        <x:v>Paused / private / offline / stopped</x:v>
      </x:c>
      <x:c r="F10" s="338" t="str">
        <x:v>Task-scoped capture according to policy.</x:v>
      </x:c>
      <x:c r="G10" s="338" t="str">
        <x:v>Switch task, pause, report issue, stop</x:v>
      </x:c>
      <x:c r="H10" s="338" t="str">
        <x:v>Visible task and sensors.</x:v>
      </x:c>
      <x:c r="I10" s="339" t="str">
        <x:v>Draft Complete</x:v>
      </x:c>
    </x:row>
    <x:row r="11">
      <x:c r="A11" s="332" t="str">
        <x:v>STATE-007</x:v>
      </x:c>
      <x:c r="B11" s="114" t="str">
        <x:v>Paused</x:v>
      </x:c>
      <x:c r="C11" s="114" t="str">
        <x:v>User paused capture under policy.</x:v>
      </x:c>
      <x:c r="D11" s="114" t="str">
        <x:v>User pause or scheduled break</x:v>
      </x:c>
      <x:c r="E11" s="114" t="str">
        <x:v>Task active / ready</x:v>
      </x:c>
      <x:c r="F11" s="114" t="str">
        <x:v>No new capture except pause audit/health.</x:v>
      </x:c>
      <x:c r="G11" s="114" t="str">
        <x:v>Resume, stop</x:v>
      </x:c>
      <x:c r="H11" s="114" t="str">
        <x:v>Pause reason optional and policy-defined.</x:v>
      </x:c>
      <x:c r="I11" s="333" t="str">
        <x:v>Draft Complete</x:v>
      </x:c>
    </x:row>
    <x:row r="12">
      <x:c r="A12" s="337" t="str">
        <x:v>STATE-008</x:v>
      </x:c>
      <x:c r="B12" s="338" t="str">
        <x:v>Private/excluded</x:v>
      </x:c>
      <x:c r="C12" s="338" t="str">
        <x:v>Current app/domain/display/control is excluded.</x:v>
      </x:c>
      <x:c r="D12" s="338" t="str">
        <x:v>Policy match or user private mode</x:v>
      </x:c>
      <x:c r="E12" s="338" t="str">
        <x:v>Previous active state after exclusion ends</x:v>
      </x:c>
      <x:c r="F12" s="338" t="str">
        <x:v>Suppress sensitive content; emit excluded-state metadata only if permitted.</x:v>
      </x:c>
      <x:c r="G12" s="338" t="str">
        <x:v>Return, report issue</x:v>
      </x:c>
      <x:c r="H12" s="338" t="str">
        <x:v>Must avoid raw content storage.</x:v>
      </x:c>
      <x:c r="I12" s="339" t="str">
        <x:v>Draft Complete</x:v>
      </x:c>
    </x:row>
    <x:row r="13">
      <x:c r="A13" s="332" t="str">
        <x:v>STATE-009</x:v>
      </x:c>
      <x:c r="B13" s="114" t="str">
        <x:v>Offline</x:v>
      </x:c>
      <x:c r="C13" s="114" t="str">
        <x:v>Network unavailable; local policy still valid.</x:v>
      </x:c>
      <x:c r="D13" s="114" t="str">
        <x:v>Upload failure/network loss</x:v>
      </x:c>
      <x:c r="E13" s="114" t="str">
        <x:v>Previous state after reconnect</x:v>
      </x:c>
      <x:c r="F13" s="114" t="str">
        <x:v>Capture continues only within valid cached policy; journal queue bounded.</x:v>
      </x:c>
      <x:c r="G13" s="114" t="str">
        <x:v>Continue, pause, stop</x:v>
      </x:c>
      <x:c r="H13" s="114" t="str">
        <x:v>Offline expiry enforced.</x:v>
      </x:c>
      <x:c r="I13" s="333" t="str">
        <x:v>Draft Complete</x:v>
      </x:c>
    </x:row>
    <x:row r="14">
      <x:c r="A14" s="337" t="str">
        <x:v>STATE-010</x:v>
      </x:c>
      <x:c r="B14" s="338" t="str">
        <x:v>Policy expired</x:v>
      </x:c>
      <x:c r="C14" s="338" t="str">
        <x:v>Cached policy validity ended.</x:v>
      </x:c>
      <x:c r="D14" s="338" t="str">
        <x:v>Policy TTL reached</x:v>
      </x:c>
      <x:c r="E14" s="338" t="str">
        <x:v>Policy unavailable / ready after refresh</x:v>
      </x:c>
      <x:c r="F14" s="338" t="str">
        <x:v>Fail safe; stop sensitive capture.</x:v>
      </x:c>
      <x:c r="G14" s="338" t="str">
        <x:v>Retry sync, contact support</x:v>
      </x:c>
      <x:c r="H14" s="338" t="str">
        <x:v>No sensitive capture.</x:v>
      </x:c>
      <x:c r="I14" s="339" t="str">
        <x:v>Draft Complete</x:v>
      </x:c>
    </x:row>
    <x:row r="15">
      <x:c r="A15" s="332" t="str">
        <x:v>STATE-011</x:v>
      </x:c>
      <x:c r="B15" s="114" t="str">
        <x:v>Update required</x:v>
      </x:c>
      <x:c r="C15" s="114" t="str">
        <x:v>Agent version below minimum or security update required.</x:v>
      </x:c>
      <x:c r="D15" s="114" t="str">
        <x:v>Policy or control plane requires update</x:v>
      </x:c>
      <x:c r="E15" s="114" t="str">
        <x:v>Ready after update</x:v>
      </x:c>
      <x:c r="F15" s="114" t="str">
        <x:v>Capture may be restricted or disabled.</x:v>
      </x:c>
      <x:c r="G15" s="114" t="str">
        <x:v>Update, rollback support</x:v>
      </x:c>
      <x:c r="H15" s="114" t="str">
        <x:v>Signed update only.</x:v>
      </x:c>
      <x:c r="I15" s="333" t="str">
        <x:v>Draft Complete</x:v>
      </x:c>
    </x:row>
    <x:row r="16">
      <x:c r="A16" s="337" t="str">
        <x:v>STATE-012</x:v>
      </x:c>
      <x:c r="B16" s="338" t="str">
        <x:v>Disabled</x:v>
      </x:c>
      <x:c r="C16" s="338" t="str">
        <x:v>Capture disabled by policy/admin/emergency stop.</x:v>
      </x:c>
      <x:c r="D16" s="338" t="str">
        <x:v>Admin/DPO/CISO stop command</x:v>
      </x:c>
      <x:c r="E16" s="338" t="str">
        <x:v>Ready after re-enable</x:v>
      </x:c>
      <x:c r="F16" s="338" t="str">
        <x:v>No capture; health/audit only.</x:v>
      </x:c>
      <x:c r="G16" s="338" t="str">
        <x:v>Re-enable if authorised</x:v>
      </x:c>
      <x:c r="H16" s="338" t="str">
        <x:v>Emergency stop respected.</x:v>
      </x:c>
      <x:c r="I16" s="339" t="str">
        <x:v>Draft Complete</x:v>
      </x:c>
    </x:row>
    <x:row r="17">
      <x:c r="A17" s="334" t="str">
        <x:v>STATE-013</x:v>
      </x:c>
      <x:c r="B17" s="335" t="str">
        <x:v>Revoked</x:v>
      </x:c>
      <x:c r="C17" s="335" t="str">
        <x:v>Device certificate or agent trust revoked.</x:v>
      </x:c>
      <x:c r="D17" s="335" t="str">
        <x:v>Revocation command/cert status</x:v>
      </x:c>
      <x:c r="E17" s="335" t="str">
        <x:v>Unregistered after re-enrolment</x:v>
      </x:c>
      <x:c r="F17" s="335" t="str">
        <x:v>No capture or upload except revocation acknowledgement.</x:v>
      </x:c>
      <x:c r="G17" s="335" t="str">
        <x:v>Re-enrol/uninstall</x:v>
      </x:c>
      <x:c r="H17" s="335" t="str">
        <x:v>Treat queued evidence according to policy.</x:v>
      </x:c>
      <x:c r="I17" s="336" t="str">
        <x:v>Draft Complete</x:v>
      </x:c>
    </x:row>
  </x:sheetData>
  <x:mergeCells>
    <x:mergeCell ref="A1:I1"/>
    <x:mergeCell ref="A2:I2"/>
  </x:mergeCells>
  <x:dataValidations count="1">
    <x:dataValidation type="list" sqref="I5:I17">
      <x:formula1>"Draft Complete,Needs Review,Approved,Deferred"</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32" hidden="0" customWidth="1"/>
    <x:col min="5" max="5" width="36" hidden="0" customWidth="1"/>
    <x:col min="6" max="6" width="52" hidden="0" customWidth="1"/>
    <x:col min="7" max="7" width="12" hidden="0" customWidth="1"/>
    <x:col min="8" max="8" width="18" hidden="0" customWidth="1"/>
  </x:cols>
  <x:sheetData>
    <x:row r="1" ht="30" customHeight="1">
      <x:c r="A1" s="294" t="str">
        <x:v>Stage 3 — Device Identity and Key Model</x:v>
      </x:c>
      <x:c r="B1" s="294"/>
      <x:c r="C1" s="294"/>
      <x:c r="D1" s="294"/>
      <x:c r="E1" s="294"/>
      <x:c r="F1" s="294"/>
      <x:c r="G1" s="294"/>
      <x:c r="H1" s="294"/>
    </x:row>
    <x:row r="2" ht="36" customHeight="1">
      <x:c r="A2" s="298" t="str">
        <x:v>Identity, certificate, key and revocation model for trusted endpoint operation and signed evidence batches.</x:v>
      </x:c>
      <x:c r="B2" s="298"/>
      <x:c r="C2" s="298"/>
      <x:c r="D2" s="298"/>
      <x:c r="E2" s="298"/>
      <x:c r="F2" s="298"/>
      <x:c r="G2" s="298"/>
      <x:c r="H2" s="298"/>
    </x:row>
    <x:row r="4" ht="30" customHeight="1">
      <x:c r="A4" s="310" t="str">
        <x:v>ID</x:v>
      </x:c>
      <x:c r="B4" s="311" t="str">
        <x:v>Control</x:v>
      </x:c>
      <x:c r="C4" s="311" t="str">
        <x:v>Definition</x:v>
      </x:c>
      <x:c r="D4" s="311" t="str">
        <x:v>Authority / system</x:v>
      </x:c>
      <x:c r="E4" s="311" t="str">
        <x:v>Output / state</x:v>
      </x:c>
      <x:c r="F4" s="311" t="str">
        <x:v>Security rule</x:v>
      </x:c>
      <x:c r="G4" s="311" t="str">
        <x:v>Priority</x:v>
      </x:c>
      <x:c r="H4" s="312" t="str">
        <x:v>Status</x:v>
      </x:c>
    </x:row>
    <x:row r="5">
      <x:c r="A5" s="329" t="str">
        <x:v>IDK-001</x:v>
      </x:c>
      <x:c r="B5" s="330" t="str">
        <x:v>Device enrolment</x:v>
      </x:c>
      <x:c r="C5" s="330" t="str">
        <x:v>Device receives enrolment token or MDM-provisioned identity and registers with HumanOS.</x:v>
      </x:c>
      <x:c r="D5" s="330" t="str">
        <x:v>IT/MDM + Device Control Gateway</x:v>
      </x:c>
      <x:c r="E5" s="330" t="str">
        <x:v>Device record, certificate request, tenant binding</x:v>
      </x:c>
      <x:c r="F5" s="330" t="str">
        <x:v>One-time token expires quickly; no capture before registration.</x:v>
      </x:c>
      <x:c r="G5" s="330" t="str">
        <x:v>Critical</x:v>
      </x:c>
      <x:c r="H5" s="331" t="str">
        <x:v>Draft Complete</x:v>
      </x:c>
    </x:row>
    <x:row r="6">
      <x:c r="A6" s="337" t="str">
        <x:v>IDK-002</x:v>
      </x:c>
      <x:c r="B6" s="338" t="str">
        <x:v>Device certificate</x:v>
      </x:c>
      <x:c r="C6" s="338" t="str">
        <x:v>Mutual TLS certificate binds device to tenant and agent instance.</x:v>
      </x:c>
      <x:c r="D6" s="338" t="str">
        <x:v>HumanOS PKI/KMS</x:v>
      </x:c>
      <x:c r="E6" s="338" t="str">
        <x:v>Client certificate + chain; revocation status</x:v>
      </x:c>
      <x:c r="F6" s="338" t="str">
        <x:v>Certificate rotation and revocation are mandatory.</x:v>
      </x:c>
      <x:c r="G6" s="338" t="str">
        <x:v>Critical</x:v>
      </x:c>
      <x:c r="H6" s="339" t="str">
        <x:v>Draft Complete</x:v>
      </x:c>
    </x:row>
    <x:row r="7">
      <x:c r="A7" s="332" t="str">
        <x:v>IDK-003</x:v>
      </x:c>
      <x:c r="B7" s="114" t="str">
        <x:v>Person-session binding</x:v>
      </x:c>
      <x:c r="C7" s="114" t="str">
        <x:v>Agent resolves authenticated person and approved work session without hardcoding identity.</x:v>
      </x:c>
      <x:c r="D7" s="114" t="str">
        <x:v>HumanOS IAM/Session API</x:v>
      </x:c>
      <x:c r="E7" s="114" t="str">
        <x:v>Session token/ref + person ID reference</x:v>
      </x:c>
      <x:c r="F7" s="114" t="str">
        <x:v>Person identity stored as internal ID; no local HR data copy.</x:v>
      </x:c>
      <x:c r="G7" s="114" t="str">
        <x:v>Critical</x:v>
      </x:c>
      <x:c r="H7" s="333" t="str">
        <x:v>Draft Complete</x:v>
      </x:c>
    </x:row>
    <x:row r="8">
      <x:c r="A8" s="337" t="str">
        <x:v>IDK-004</x:v>
      </x:c>
      <x:c r="B8" s="338" t="str">
        <x:v>Policy signing key</x:v>
      </x:c>
      <x:c r="C8" s="338" t="str">
        <x:v>Policy bundles are signed by HumanOS policy authority.</x:v>
      </x:c>
      <x:c r="D8" s="338" t="str">
        <x:v>Policy Service/KMS</x:v>
      </x:c>
      <x:c r="E8" s="338" t="str">
        <x:v>Policy signature and key ID</x:v>
      </x:c>
      <x:c r="F8" s="338" t="str">
        <x:v>Agent rejects unsigned/unknown/expired policy.</x:v>
      </x:c>
      <x:c r="G8" s="338" t="str">
        <x:v>Critical</x:v>
      </x:c>
      <x:c r="H8" s="339" t="str">
        <x:v>Draft Complete</x:v>
      </x:c>
    </x:row>
    <x:row r="9">
      <x:c r="A9" s="332" t="str">
        <x:v>IDK-005</x:v>
      </x:c>
      <x:c r="B9" s="114" t="str">
        <x:v>Local evidence key</x:v>
      </x:c>
      <x:c r="C9" s="114" t="str">
        <x:v>Per-device and per-session keys encrypt journal and content cache.</x:v>
      </x:c>
      <x:c r="D9" s="114" t="str">
        <x:v>OS secure store + KMS envelope</x:v>
      </x:c>
      <x:c r="E9" s="114" t="str">
        <x:v>Encrypted journal and object cache</x:v>
      </x:c>
      <x:c r="F9" s="114" t="str">
        <x:v>Keys stored in DPAPI/Keychain/TPM-equivalent where possible.</x:v>
      </x:c>
      <x:c r="G9" s="114" t="str">
        <x:v>Critical</x:v>
      </x:c>
      <x:c r="H9" s="333" t="str">
        <x:v>Draft Complete</x:v>
      </x:c>
    </x:row>
    <x:row r="10">
      <x:c r="A10" s="337" t="str">
        <x:v>IDK-006</x:v>
      </x:c>
      <x:c r="B10" s="338" t="str">
        <x:v>Batch signing key</x:v>
      </x:c>
      <x:c r="C10" s="338" t="str">
        <x:v>Agent signs every event batch for integrity and origin.</x:v>
      </x:c>
      <x:c r="D10" s="338" t="str">
        <x:v>Device key derived/issued under device identity</x:v>
      </x:c>
      <x:c r="E10" s="338" t="str">
        <x:v>Batch signature + key ID</x:v>
      </x:c>
      <x:c r="F10" s="338" t="str">
        <x:v>Prevents spoofing and tampering; rotate on compromise.</x:v>
      </x:c>
      <x:c r="G10" s="338" t="str">
        <x:v>Critical</x:v>
      </x:c>
      <x:c r="H10" s="339" t="str">
        <x:v>Draft Complete</x:v>
      </x:c>
    </x:row>
    <x:row r="11">
      <x:c r="A11" s="332" t="str">
        <x:v>IDK-007</x:v>
      </x:c>
      <x:c r="B11" s="114" t="str">
        <x:v>Key rotation</x:v>
      </x:c>
      <x:c r="C11" s="114" t="str">
        <x:v>Rotate device and evidence keys according to policy or compromise events.</x:v>
      </x:c>
      <x:c r="D11" s="114" t="str">
        <x:v>Control Gateway/KMS</x:v>
      </x:c>
      <x:c r="E11" s="114" t="str">
        <x:v>New keys + audit events</x:v>
      </x:c>
      <x:c r="F11" s="114" t="str">
        <x:v>Rotation must not expose old data; queued evidence handled safely.</x:v>
      </x:c>
      <x:c r="G11" s="114" t="str">
        <x:v>High</x:v>
      </x:c>
      <x:c r="H11" s="333" t="str">
        <x:v>Draft Complete</x:v>
      </x:c>
    </x:row>
    <x:row r="12">
      <x:c r="A12" s="337" t="str">
        <x:v>IDK-008</x:v>
      </x:c>
      <x:c r="B12" s="338" t="str">
        <x:v>Revocation</x:v>
      </x:c>
      <x:c r="C12" s="338" t="str">
        <x:v>Disable device certificate, capture policy and upload when a device is lost, compromised or employee leaves.</x:v>
      </x:c>
      <x:c r="D12" s="338" t="str">
        <x:v>IAM/Device Control/Security</x:v>
      </x:c>
      <x:c r="E12" s="338" t="str">
        <x:v>Revocation event and local revoked state</x:v>
      </x:c>
      <x:c r="F12" s="338" t="str">
        <x:v>Agent stops capture and handles local retention per policy.</x:v>
      </x:c>
      <x:c r="G12" s="338" t="str">
        <x:v>Critical</x:v>
      </x:c>
      <x:c r="H12" s="339" t="str">
        <x:v>Draft Complete</x:v>
      </x:c>
    </x:row>
    <x:row r="13">
      <x:c r="A13" s="332" t="str">
        <x:v>IDK-009</x:v>
      </x:c>
      <x:c r="B13" s="114" t="str">
        <x:v>Clock and nonce</x:v>
      </x:c>
      <x:c r="C13" s="114" t="str">
        <x:v>Use server time sync, monotonic sequence and nonce to prevent replay.</x:v>
      </x:c>
      <x:c r="D13" s="114" t="str">
        <x:v>Device Control + local monotonic counter</x:v>
      </x:c>
      <x:c r="E13" s="114" t="str">
        <x:v>Signed batch metadata</x:v>
      </x:c>
      <x:c r="F13" s="114" t="str">
        <x:v>Clock drift creates telemetry-gap warning.</x:v>
      </x:c>
      <x:c r="G13" s="114" t="str">
        <x:v>High</x:v>
      </x:c>
      <x:c r="H13" s="333" t="str">
        <x:v>Draft Complete</x:v>
      </x:c>
    </x:row>
    <x:row r="14">
      <x:c r="A14" s="337" t="str">
        <x:v>IDK-010</x:v>
      </x:c>
      <x:c r="B14" s="338" t="str">
        <x:v>Least privilege</x:v>
      </x:c>
      <x:c r="C14" s="338" t="str">
        <x:v>Agent runs with minimal privileges; elevated helper only where required and separately audited.</x:v>
      </x:c>
      <x:c r="D14" s="338" t="str">
        <x:v>OS service manager</x:v>
      </x:c>
      <x:c r="E14" s="338" t="str">
        <x:v>Privilege boundary definition</x:v>
      </x:c>
      <x:c r="F14" s="338" t="str">
        <x:v>Privileged helper cannot expose raw data to untrusted UI process.</x:v>
      </x:c>
      <x:c r="G14" s="338" t="str">
        <x:v>Critical</x:v>
      </x:c>
      <x:c r="H14" s="339" t="str">
        <x:v>Draft Complete</x:v>
      </x:c>
    </x:row>
    <x:row r="15">
      <x:c r="A15" s="332" t="str">
        <x:v>IDK-011</x:v>
      </x:c>
      <x:c r="B15" s="114" t="str">
        <x:v>Credential storage</x:v>
      </x:c>
      <x:c r="C15" s="114" t="str">
        <x:v>No secrets in config files, logs, telemetry or crash dumps.</x:v>
      </x:c>
      <x:c r="D15" s="114" t="str">
        <x:v>OS secure storage / KMS / crash scrubber</x:v>
      </x:c>
      <x:c r="E15" s="114" t="str">
        <x:v>Credential references only</x:v>
      </x:c>
      <x:c r="F15" s="114" t="str">
        <x:v>Crash reporting redacts evidence and keys.</x:v>
      </x:c>
      <x:c r="G15" s="114" t="str">
        <x:v>Critical</x:v>
      </x:c>
      <x:c r="H15" s="333" t="str">
        <x:v>Draft Complete</x:v>
      </x:c>
    </x:row>
    <x:row r="16">
      <x:c r="A16" s="340" t="str">
        <x:v>IDK-012</x:v>
      </x:c>
      <x:c r="B16" s="341" t="str">
        <x:v>Device attestation</x:v>
      </x:c>
      <x:c r="C16" s="341" t="str">
        <x:v>Optional later device posture/attestation before sensitive capture.</x:v>
      </x:c>
      <x:c r="D16" s="341" t="str">
        <x:v>MDM/EDR/TPM platform</x:v>
      </x:c>
      <x:c r="E16" s="341" t="str">
        <x:v>Posture token</x:v>
      </x:c>
      <x:c r="F16" s="341" t="str">
        <x:v>Future enhancement; not blocker for first skeleton if MDM trusted.</x:v>
      </x:c>
      <x:c r="G16" s="341" t="str">
        <x:v>Medium</x:v>
      </x:c>
      <x:c r="H16" s="342"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24" hidden="0" customWidth="1"/>
    <x:col min="5" max="5" width="14" hidden="0" customWidth="1"/>
    <x:col min="6" max="6" width="34" hidden="0" customWidth="1"/>
    <x:col min="7" max="7" width="24" hidden="0" customWidth="1"/>
    <x:col min="8" max="8" width="52" hidden="0" customWidth="1"/>
    <x:col min="9" max="9" width="18" hidden="0" customWidth="1"/>
  </x:cols>
  <x:sheetData>
    <x:row r="1" ht="30" customHeight="1">
      <x:c r="A1" s="294" t="str">
        <x:v>Stage 3 — Policy Bundle Specification</x:v>
      </x:c>
      <x:c r="B1" s="294"/>
      <x:c r="C1" s="294"/>
      <x:c r="D1" s="294"/>
      <x:c r="E1" s="294"/>
      <x:c r="F1" s="294"/>
      <x:c r="G1" s="294"/>
      <x:c r="H1" s="294"/>
      <x:c r="I1" s="294"/>
    </x:row>
    <x:row r="2" ht="36" customHeight="1">
      <x:c r="A2" s="298" t="str">
        <x:v>Signed local policy bundle that controls capture capabilities, exclusions, retention, redaction, offline behaviour and visible employee controls.</x:v>
      </x:c>
      <x:c r="B2" s="298"/>
      <x:c r="C2" s="298"/>
      <x:c r="D2" s="298"/>
      <x:c r="E2" s="298"/>
      <x:c r="F2" s="298"/>
      <x:c r="G2" s="298"/>
      <x:c r="H2" s="298"/>
      <x:c r="I2" s="298"/>
    </x:row>
    <x:row r="4" ht="30" customHeight="1">
      <x:c r="A4" s="310" t="str">
        <x:v>ID</x:v>
      </x:c>
      <x:c r="B4" s="311" t="str">
        <x:v>Field / section</x:v>
      </x:c>
      <x:c r="C4" s="311" t="str">
        <x:v>Definition</x:v>
      </x:c>
      <x:c r="D4" s="311" t="str">
        <x:v>Type</x:v>
      </x:c>
      <x:c r="E4" s="311" t="str">
        <x:v>Required?</x:v>
      </x:c>
      <x:c r="F4" s="311" t="str">
        <x:v>Purpose</x:v>
      </x:c>
      <x:c r="G4" s="311" t="str">
        <x:v>Owner</x:v>
      </x:c>
      <x:c r="H4" s="311" t="str">
        <x:v>Validation / rule</x:v>
      </x:c>
      <x:c r="I4" s="312" t="str">
        <x:v>Status</x:v>
      </x:c>
    </x:row>
    <x:row r="5">
      <x:c r="A5" s="329" t="str">
        <x:v>POL-001</x:v>
      </x:c>
      <x:c r="B5" s="330" t="str">
        <x:v>bundle_id</x:v>
      </x:c>
      <x:c r="C5" s="330" t="str">
        <x:v>Unique policy bundle identifier.</x:v>
      </x:c>
      <x:c r="D5" s="330" t="str">
        <x:v>string UUID</x:v>
      </x:c>
      <x:c r="E5" s="330" t="str">
        <x:v>Required</x:v>
      </x:c>
      <x:c r="F5" s="330" t="str">
        <x:v>Versioning/audit</x:v>
      </x:c>
      <x:c r="G5" s="330" t="str">
        <x:v>Policy Service</x:v>
      </x:c>
      <x:c r="H5" s="330" t="str">
        <x:v>Agent rejects missing/duplicate bundle ID.</x:v>
      </x:c>
      <x:c r="I5" s="331" t="str">
        <x:v>Draft Complete</x:v>
      </x:c>
    </x:row>
    <x:row r="6">
      <x:c r="A6" s="337" t="str">
        <x:v>POL-002</x:v>
      </x:c>
      <x:c r="B6" s="338" t="str">
        <x:v>version</x:v>
      </x:c>
      <x:c r="C6" s="338" t="str">
        <x:v>Monotonic policy version.</x:v>
      </x:c>
      <x:c r="D6" s="338" t="str">
        <x:v>semver or integer</x:v>
      </x:c>
      <x:c r="E6" s="338" t="str">
        <x:v>Required</x:v>
      </x:c>
      <x:c r="F6" s="338" t="str">
        <x:v>Upgrade/downgrade protection</x:v>
      </x:c>
      <x:c r="G6" s="338" t="str">
        <x:v>Policy Service</x:v>
      </x:c>
      <x:c r="H6" s="338" t="str">
        <x:v>Agent rejects rollback unless explicitly authorised.</x:v>
      </x:c>
      <x:c r="I6" s="339" t="str">
        <x:v>Draft Complete</x:v>
      </x:c>
    </x:row>
    <x:row r="7">
      <x:c r="A7" s="332" t="str">
        <x:v>POL-003</x:v>
      </x:c>
      <x:c r="B7" s="114" t="str">
        <x:v>tenant_id</x:v>
      </x:c>
      <x:c r="C7" s="114" t="str">
        <x:v>Tenant scope for policy.</x:v>
      </x:c>
      <x:c r="D7" s="114" t="str">
        <x:v>string</x:v>
      </x:c>
      <x:c r="E7" s="114" t="str">
        <x:v>Required</x:v>
      </x:c>
      <x:c r="F7" s="114" t="str">
        <x:v>Tenant isolation</x:v>
      </x:c>
      <x:c r="G7" s="114" t="str">
        <x:v>Policy Service/IAM</x:v>
      </x:c>
      <x:c r="H7" s="114" t="str">
        <x:v>Must match device tenant.</x:v>
      </x:c>
      <x:c r="I7" s="333" t="str">
        <x:v>Draft Complete</x:v>
      </x:c>
    </x:row>
    <x:row r="8">
      <x:c r="A8" s="337" t="str">
        <x:v>POL-004</x:v>
      </x:c>
      <x:c r="B8" s="338" t="str">
        <x:v>jurisdiction</x:v>
      </x:c>
      <x:c r="C8" s="338" t="str">
        <x:v>Policy jurisdiction pack, e.g., UK, Pakistan-Lahore, EU-customer.</x:v>
      </x:c>
      <x:c r="D8" s="338" t="str">
        <x:v>enum/string</x:v>
      </x:c>
      <x:c r="E8" s="338" t="str">
        <x:v>Required</x:v>
      </x:c>
      <x:c r="F8" s="338" t="str">
        <x:v>Legal controls</x:v>
      </x:c>
      <x:c r="G8" s="338" t="str">
        <x:v>DPO/Legal</x:v>
      </x:c>
      <x:c r="H8" s="338" t="str">
        <x:v>Capture must match active jurisdiction.</x:v>
      </x:c>
      <x:c r="I8" s="339" t="str">
        <x:v>Draft Complete</x:v>
      </x:c>
    </x:row>
    <x:row r="9">
      <x:c r="A9" s="332" t="str">
        <x:v>POL-005</x:v>
      </x:c>
      <x:c r="B9" s="114" t="str">
        <x:v>effective_from / expires_at</x:v>
      </x:c>
      <x:c r="C9" s="114" t="str">
        <x:v>Policy validity window.</x:v>
      </x:c>
      <x:c r="D9" s="114" t="str">
        <x:v>date-time</x:v>
      </x:c>
      <x:c r="E9" s="114" t="str">
        <x:v>Required</x:v>
      </x:c>
      <x:c r="F9" s="114" t="str">
        <x:v>Fail-safe expiry</x:v>
      </x:c>
      <x:c r="G9" s="114" t="str">
        <x:v>Policy Service</x:v>
      </x:c>
      <x:c r="H9" s="114" t="str">
        <x:v>Expired policy stops sensitive capture.</x:v>
      </x:c>
      <x:c r="I9" s="333" t="str">
        <x:v>Draft Complete</x:v>
      </x:c>
    </x:row>
    <x:row r="10">
      <x:c r="A10" s="337" t="str">
        <x:v>POL-006</x:v>
      </x:c>
      <x:c r="B10" s="338" t="str">
        <x:v>signature</x:v>
      </x:c>
      <x:c r="C10" s="338" t="str">
        <x:v>Cryptographic signature over canonical bundle.</x:v>
      </x:c>
      <x:c r="D10" s="338" t="str">
        <x:v>JWS/signature</x:v>
      </x:c>
      <x:c r="E10" s="338" t="str">
        <x:v>Required</x:v>
      </x:c>
      <x:c r="F10" s="338" t="str">
        <x:v>Integrity/authenticity</x:v>
      </x:c>
      <x:c r="G10" s="338" t="str">
        <x:v>Policy Service/KMS</x:v>
      </x:c>
      <x:c r="H10" s="338" t="str">
        <x:v>Unsigned/invalid policies rejected.</x:v>
      </x:c>
      <x:c r="I10" s="339" t="str">
        <x:v>Draft Complete</x:v>
      </x:c>
    </x:row>
    <x:row r="11">
      <x:c r="A11" s="332" t="str">
        <x:v>POL-007</x:v>
      </x:c>
      <x:c r="B11" s="114" t="str">
        <x:v>subject_scope</x:v>
      </x:c>
      <x:c r="C11" s="114" t="str">
        <x:v>Person, role, device, group and pilot cohort scope.</x:v>
      </x:c>
      <x:c r="D11" s="114" t="str">
        <x:v>object</x:v>
      </x:c>
      <x:c r="E11" s="114" t="str">
        <x:v>Required</x:v>
      </x:c>
      <x:c r="F11" s="114" t="str">
        <x:v>Least-privilege capture</x:v>
      </x:c>
      <x:c r="G11" s="114" t="str">
        <x:v>IAM/Org</x:v>
      </x:c>
      <x:c r="H11" s="114" t="str">
        <x:v>Policy cannot apply to unknown person/device.</x:v>
      </x:c>
      <x:c r="I11" s="333" t="str">
        <x:v>Draft Complete</x:v>
      </x:c>
    </x:row>
    <x:row r="12">
      <x:c r="A12" s="337" t="str">
        <x:v>POL-008</x:v>
      </x:c>
      <x:c r="B12" s="338" t="str">
        <x:v>session_scope</x:v>
      </x:c>
      <x:c r="C12" s="338" t="str">
        <x:v>Allowed work hours, break periods and session types.</x:v>
      </x:c>
      <x:c r="D12" s="338" t="str">
        <x:v>object</x:v>
      </x:c>
      <x:c r="E12" s="338" t="str">
        <x:v>Required</x:v>
      </x:c>
      <x:c r="F12" s="338" t="str">
        <x:v>Working-time boundary</x:v>
      </x:c>
      <x:c r="G12" s="338" t="str">
        <x:v>HR/DPO</x:v>
      </x:c>
      <x:c r="H12" s="338" t="str">
        <x:v>Out-of-hours capture disabled.</x:v>
      </x:c>
      <x:c r="I12" s="339" t="str">
        <x:v>Draft Complete</x:v>
      </x:c>
    </x:row>
    <x:row r="13">
      <x:c r="A13" s="332" t="str">
        <x:v>POL-009</x:v>
      </x:c>
      <x:c r="B13" s="114" t="str">
        <x:v>task_scope</x:v>
      </x:c>
      <x:c r="C13" s="114" t="str">
        <x:v>Task IDs, project IDs, task-contract requirements and capture levels.</x:v>
      </x:c>
      <x:c r="D13" s="114" t="str">
        <x:v>object</x:v>
      </x:c>
      <x:c r="E13" s="114" t="str">
        <x:v>Required for task capture</x:v>
      </x:c>
      <x:c r="F13" s="114" t="str">
        <x:v>Task Service</x:v>
      </x:c>
      <x:c r="G13" s="114" t="str">
        <x:v>No task assurance without active task contract.</x:v>
      </x:c>
      <x:c r="H13" s="114" t="str">
        <x:v>Draft Complete</x:v>
      </x:c>
      <x:c r="I13" s="333"/>
    </x:row>
    <x:row r="14">
      <x:c r="A14" s="337" t="str">
        <x:v>POL-010</x:v>
      </x:c>
      <x:c r="B14" s="338" t="str">
        <x:v>capture_capabilities</x:v>
      </x:c>
      <x:c r="C14" s="338" t="str">
        <x:v>Allowed sensors/features: app window, process, screenshot, keyboard metadata, text delta, file, browser, shell, agent.</x:v>
      </x:c>
      <x:c r="D14" s="338" t="str">
        <x:v>object booleans/levels</x:v>
      </x:c>
      <x:c r="E14" s="338" t="str">
        <x:v>Required</x:v>
      </x:c>
      <x:c r="F14" s="338" t="str">
        <x:v>Purpose limitation</x:v>
      </x:c>
      <x:c r="G14" s="338" t="str">
        <x:v>DPO/Product</x:v>
      </x:c>
      <x:c r="H14" s="338" t="str">
        <x:v>Future modules check capability before emitting events.</x:v>
      </x:c>
      <x:c r="I14" s="339" t="str">
        <x:v>Draft Complete</x:v>
      </x:c>
    </x:row>
    <x:row r="15">
      <x:c r="A15" s="332" t="str">
        <x:v>POL-011</x:v>
      </x:c>
      <x:c r="B15" s="114" t="str">
        <x:v>app_exclusions</x:v>
      </x:c>
      <x:c r="C15" s="114" t="str">
        <x:v>Applications/processes excluded or restricted.</x:v>
      </x:c>
      <x:c r="D15" s="114" t="str">
        <x:v>list</x:v>
      </x:c>
      <x:c r="E15" s="114" t="str">
        <x:v>Required</x:v>
      </x:c>
      <x:c r="F15" s="114" t="str">
        <x:v>Sensitive-app suppression</x:v>
      </x:c>
      <x:c r="G15" s="114" t="str">
        <x:v>DPO/IT</x:v>
      </x:c>
      <x:c r="H15" s="114" t="str">
        <x:v>Policy wins over adapters.</x:v>
      </x:c>
      <x:c r="I15" s="333" t="str">
        <x:v>Draft Complete</x:v>
      </x:c>
    </x:row>
    <x:row r="16">
      <x:c r="A16" s="337" t="str">
        <x:v>POL-012</x:v>
      </x:c>
      <x:c r="B16" s="338" t="str">
        <x:v>domain_exclusions</x:v>
      </x:c>
      <x:c r="C16" s="338" t="str">
        <x:v>Domains or URL patterns excluded/restricted.</x:v>
      </x:c>
      <x:c r="D16" s="338" t="str">
        <x:v>list</x:v>
      </x:c>
      <x:c r="E16" s="338" t="str">
        <x:v>Required for browser</x:v>
      </x:c>
      <x:c r="F16" s="338" t="str">
        <x:v>Personal/sensitive web suppression</x:v>
      </x:c>
      <x:c r="G16" s="338" t="str">
        <x:v>DPO/IT</x:v>
      </x:c>
      <x:c r="H16" s="338" t="str">
        <x:v>Default excludes personal, health, finance where applicable.</x:v>
      </x:c>
      <x:c r="I16" s="339" t="str">
        <x:v>Draft Complete</x:v>
      </x:c>
    </x:row>
    <x:row r="17">
      <x:c r="A17" s="332" t="str">
        <x:v>POL-013</x:v>
      </x:c>
      <x:c r="B17" s="114" t="str">
        <x:v>display_exclusions</x:v>
      </x:c>
      <x:c r="C17" s="114" t="str">
        <x:v>Monitor/display/session exclusions.</x:v>
      </x:c>
      <x:c r="D17" s="114" t="str">
        <x:v>list</x:v>
      </x:c>
      <x:c r="E17" s="114" t="str">
        <x:v>Optional</x:v>
      </x:c>
      <x:c r="F17" s="114" t="str">
        <x:v>Private display protection</x:v>
      </x:c>
      <x:c r="G17" s="114" t="str">
        <x:v>DPO/Employee</x:v>
      </x:c>
      <x:c r="H17" s="114" t="str">
        <x:v>Use for dual-monitor privacy/personal display.</x:v>
      </x:c>
      <x:c r="I17" s="333" t="str">
        <x:v>Draft Complete</x:v>
      </x:c>
    </x:row>
    <x:row r="18">
      <x:c r="A18" s="337" t="str">
        <x:v>POL-014</x:v>
      </x:c>
      <x:c r="B18" s="338" t="str">
        <x:v>secure_field_policy</x:v>
      </x:c>
      <x:c r="C18" s="338" t="str">
        <x:v>Controls how secure/password/unknown-sensitive fields are handled.</x:v>
      </x:c>
      <x:c r="D18" s="338" t="str">
        <x:v>object</x:v>
      </x:c>
      <x:c r="E18" s="338" t="str">
        <x:v>Required</x:v>
      </x:c>
      <x:c r="F18" s="338" t="str">
        <x:v>Secret suppression</x:v>
      </x:c>
      <x:c r="G18" s="338" t="str">
        <x:v>CISO/DPO</x:v>
      </x:c>
      <x:c r="H18" s="338" t="str">
        <x:v>Default suppress on uncertainty.</x:v>
      </x:c>
      <x:c r="I18" s="339" t="str">
        <x:v>Draft Complete</x:v>
      </x:c>
    </x:row>
    <x:row r="19">
      <x:c r="A19" s="332" t="str">
        <x:v>POL-015</x:v>
      </x:c>
      <x:c r="B19" s="114" t="str">
        <x:v>redaction_rules</x:v>
      </x:c>
      <x:c r="C19" s="114" t="str">
        <x:v>Local redaction and DLP rules.</x:v>
      </x:c>
      <x:c r="D19" s="114" t="str">
        <x:v>object/list</x:v>
      </x:c>
      <x:c r="E19" s="114" t="str">
        <x:v>Required</x:v>
      </x:c>
      <x:c r="F19" s="114" t="str">
        <x:v>Data minimisation</x:v>
      </x:c>
      <x:c r="G19" s="114" t="str">
        <x:v>CISO/DPO</x:v>
      </x:c>
      <x:c r="H19" s="114" t="str">
        <x:v>Runs before durable storage/upload.</x:v>
      </x:c>
      <x:c r="I19" s="333" t="str">
        <x:v>Draft Complete</x:v>
      </x:c>
    </x:row>
    <x:row r="20">
      <x:c r="A20" s="337" t="str">
        <x:v>POL-016</x:v>
      </x:c>
      <x:c r="B20" s="338" t="str">
        <x:v>retention_rules</x:v>
      </x:c>
      <x:c r="C20" s="338" t="str">
        <x:v>Local and cloud TTL by data class.</x:v>
      </x:c>
      <x:c r="D20" s="338" t="str">
        <x:v>object</x:v>
      </x:c>
      <x:c r="E20" s="338" t="str">
        <x:v>Required</x:v>
      </x:c>
      <x:c r="F20" s="338" t="str">
        <x:v>Retention limitation</x:v>
      </x:c>
      <x:c r="G20" s="338" t="str">
        <x:v>DPO/Data Governance</x:v>
      </x:c>
      <x:c r="H20" s="338" t="str">
        <x:v>Agent enforces local TTL and quota.</x:v>
      </x:c>
      <x:c r="I20" s="339" t="str">
        <x:v>Draft Complete</x:v>
      </x:c>
    </x:row>
    <x:row r="21">
      <x:c r="A21" s="332" t="str">
        <x:v>POL-017</x:v>
      </x:c>
      <x:c r="B21" s="114" t="str">
        <x:v>offline_rules</x:v>
      </x:c>
      <x:c r="C21" s="114" t="str">
        <x:v>What can happen while offline and for how long.</x:v>
      </x:c>
      <x:c r="D21" s="114" t="str">
        <x:v>object</x:v>
      </x:c>
      <x:c r="E21" s="114" t="str">
        <x:v>Required</x:v>
      </x:c>
      <x:c r="F21" s="114" t="str">
        <x:v>Fail-safe offline</x:v>
      </x:c>
      <x:c r="G21" s="114" t="str">
        <x:v>CISO/Product</x:v>
      </x:c>
      <x:c r="H21" s="114" t="str">
        <x:v>Sensitive capture stops after policy offline TTL.</x:v>
      </x:c>
      <x:c r="I21" s="333" t="str">
        <x:v>Draft Complete</x:v>
      </x:c>
    </x:row>
    <x:row r="22">
      <x:c r="A22" s="337" t="str">
        <x:v>POL-018</x:v>
      </x:c>
      <x:c r="B22" s="338" t="str">
        <x:v>upload_rules</x:v>
      </x:c>
      <x:c r="C22" s="338" t="str">
        <x:v>Batch size, compression, endpoints, retry and evidence-object policy.</x:v>
      </x:c>
      <x:c r="D22" s="338" t="str">
        <x:v>object</x:v>
      </x:c>
      <x:c r="E22" s="338" t="str">
        <x:v>Required</x:v>
      </x:c>
      <x:c r="F22" s="338" t="str">
        <x:v>Secure upload</x:v>
      </x:c>
      <x:c r="G22" s="338" t="str">
        <x:v>Platform/Data</x:v>
      </x:c>
      <x:c r="H22" s="338" t="str">
        <x:v>Signed/idempotent batches only.</x:v>
      </x:c>
      <x:c r="I22" s="339" t="str">
        <x:v>Draft Complete</x:v>
      </x:c>
    </x:row>
    <x:row r="23">
      <x:c r="A23" s="332" t="str">
        <x:v>POL-019</x:v>
      </x:c>
      <x:c r="B23" s="114" t="str">
        <x:v>employee_ui_rules</x:v>
      </x:c>
      <x:c r="C23" s="114" t="str">
        <x:v>Required visible controls and messages.</x:v>
      </x:c>
      <x:c r="D23" s="114" t="str">
        <x:v>object</x:v>
      </x:c>
      <x:c r="E23" s="114" t="str">
        <x:v>Required</x:v>
      </x:c>
      <x:c r="F23" s="114" t="str">
        <x:v>Transparency</x:v>
      </x:c>
      <x:c r="G23" s="114" t="str">
        <x:v>Product/HR</x:v>
      </x:c>
      <x:c r="H23" s="114" t="str">
        <x:v>UI must show active sensors and task.</x:v>
      </x:c>
      <x:c r="I23" s="333" t="str">
        <x:v>Draft Complete</x:v>
      </x:c>
    </x:row>
    <x:row r="24">
      <x:c r="A24" s="337" t="str">
        <x:v>POL-020</x:v>
      </x:c>
      <x:c r="B24" s="338" t="str">
        <x:v>emergency_disable</x:v>
      </x:c>
      <x:c r="C24" s="338" t="str">
        <x:v>Kill switch or disabled capabilities.</x:v>
      </x:c>
      <x:c r="D24" s="338" t="str">
        <x:v>object</x:v>
      </x:c>
      <x:c r="E24" s="338" t="str">
        <x:v>Required</x:v>
      </x:c>
      <x:c r="F24" s="338" t="str">
        <x:v>Incident response</x:v>
      </x:c>
      <x:c r="G24" s="338" t="str">
        <x:v>DPO/CISO</x:v>
      </x:c>
      <x:c r="H24" s="338" t="str">
        <x:v>Takes immediate precedence.</x:v>
      </x:c>
      <x:c r="I24" s="339" t="str">
        <x:v>Draft Complete</x:v>
      </x:c>
    </x:row>
    <x:row r="25">
      <x:c r="A25" s="334" t="str">
        <x:v>POL-021</x:v>
      </x:c>
      <x:c r="B25" s="335" t="str">
        <x:v>audit_requirements</x:v>
      </x:c>
      <x:c r="C25" s="335" t="str">
        <x:v>Which local decisions emit audit events.</x:v>
      </x:c>
      <x:c r="D25" s="335" t="str">
        <x:v>object/list</x:v>
      </x:c>
      <x:c r="E25" s="335" t="str">
        <x:v>Required</x:v>
      </x:c>
      <x:c r="F25" s="335" t="str">
        <x:v>Auditability</x:v>
      </x:c>
      <x:c r="G25" s="335" t="str">
        <x:v>Audit/Security</x:v>
      </x:c>
      <x:c r="H25" s="335" t="str">
        <x:v>Policy decision logs are signed/minimised.</x:v>
      </x:c>
      <x:c r="I25" s="336" t="str">
        <x:v>Draft Complete</x:v>
      </x:c>
    </x:row>
  </x:sheetData>
  <x:mergeCells>
    <x:mergeCell ref="A1:I1"/>
    <x:mergeCell ref="A2:I2"/>
  </x:mergeCells>
  <x:dataValidations count="2">
    <x:dataValidation type="list" sqref="E5:E25">
      <x:formula1>"Required,Optional,Required for browser,Required for task capture"</x:formula1>
    </x:dataValidation>
    <x:dataValidation type="list" sqref="I5:I25">
      <x:formula1>"Draft Complete,Needs Review,Approved,Deferred"</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44" hidden="0" customWidth="1"/>
    <x:col min="5" max="5" width="48" hidden="0" customWidth="1"/>
    <x:col min="6" max="6" width="38" hidden="0" customWidth="1"/>
    <x:col min="7" max="7" width="12" hidden="0" customWidth="1"/>
    <x:col min="8" max="8" width="18" hidden="0" customWidth="1"/>
  </x:cols>
  <x:sheetData>
    <x:row r="1" ht="30" customHeight="1">
      <x:c r="A1" s="294" t="str">
        <x:v>Stage 3 — Local Storage Model</x:v>
      </x:c>
      <x:c r="B1" s="294"/>
      <x:c r="C1" s="294"/>
      <x:c r="D1" s="294"/>
      <x:c r="E1" s="294"/>
      <x:c r="F1" s="294"/>
      <x:c r="G1" s="294"/>
      <x:c r="H1" s="294"/>
    </x:row>
    <x:row r="2" ht="36" customHeight="1">
      <x:c r="A2" s="298" t="str">
        <x:v>Encrypted local journal and object cache design. Local storage is bounded, policy-controlled and safe under offline/crash conditions.</x:v>
      </x:c>
      <x:c r="B2" s="298"/>
      <x:c r="C2" s="298"/>
      <x:c r="D2" s="298"/>
      <x:c r="E2" s="298"/>
      <x:c r="F2" s="298"/>
      <x:c r="G2" s="298"/>
      <x:c r="H2" s="298"/>
    </x:row>
    <x:row r="4" ht="30" customHeight="1">
      <x:c r="A4" s="310" t="str">
        <x:v>ID</x:v>
      </x:c>
      <x:c r="B4" s="311" t="str">
        <x:v>Storage element</x:v>
      </x:c>
      <x:c r="C4" s="311" t="str">
        <x:v>Implementation direction</x:v>
      </x:c>
      <x:c r="D4" s="311" t="str">
        <x:v>Purpose</x:v>
      </x:c>
      <x:c r="E4" s="311" t="str">
        <x:v>Security requirement</x:v>
      </x:c>
      <x:c r="F4" s="311" t="str">
        <x:v>Reliability rule</x:v>
      </x:c>
      <x:c r="G4" s="311" t="str">
        <x:v>Priority</x:v>
      </x:c>
      <x:c r="H4" s="312" t="str">
        <x:v>Status</x:v>
      </x:c>
    </x:row>
    <x:row r="5">
      <x:c r="A5" s="329" t="str">
        <x:v>LST-001</x:v>
      </x:c>
      <x:c r="B5" s="330" t="str">
        <x:v>Database</x:v>
      </x:c>
      <x:c r="C5" s="330" t="str">
        <x:v>Encrypted SQLite/SQLCipher-style journal</x:v>
      </x:c>
      <x:c r="D5" s="330" t="str">
        <x:v>Stores event metadata, upload state, hashes, policy version and local sequence.</x:v>
      </x:c>
      <x:c r="E5" s="330" t="str">
        <x:v>Per-device and per-session keys via OS secure store/KMS envelope.</x:v>
      </x:c>
      <x:c r="F5" s="330" t="str">
        <x:v>Append-only sequence + WAL + checksums.</x:v>
      </x:c>
      <x:c r="G5" s="330" t="str">
        <x:v>Critical</x:v>
      </x:c>
      <x:c r="H5" s="331" t="str">
        <x:v>Draft Complete</x:v>
      </x:c>
    </x:row>
    <x:row r="6">
      <x:c r="A6" s="337" t="str">
        <x:v>LST-002</x:v>
      </x:c>
      <x:c r="B6" s="338" t="str">
        <x:v>Object cache</x:v>
      </x:c>
      <x:c r="C6" s="338" t="str">
        <x:v>Content-addressed encrypted object store</x:v>
      </x:c>
      <x:c r="D6" s="338" t="str">
        <x:v>Stores approved redacted screenshots/text snippets/artefacts pending upload or expiry.</x:v>
      </x:c>
      <x:c r="E6" s="338" t="str">
        <x:v>Per-object metadata includes class, retention and hash.</x:v>
      </x:c>
      <x:c r="F6" s="338" t="str">
        <x:v>Quota, TTL and compaction.</x:v>
      </x:c>
      <x:c r="G6" s="338" t="str">
        <x:v>Critical</x:v>
      </x:c>
      <x:c r="H6" s="339" t="str">
        <x:v>Draft Complete</x:v>
      </x:c>
    </x:row>
    <x:row r="7">
      <x:c r="A7" s="332" t="str">
        <x:v>LST-003</x:v>
      </x:c>
      <x:c r="B7" s="114" t="str">
        <x:v>Event sequence</x:v>
      </x:c>
      <x:c r="C7" s="114" t="str">
        <x:v>Monotonic local sequence number</x:v>
      </x:c>
      <x:c r="D7" s="114" t="str">
        <x:v>Orders events and detects gaps, duplicates and tampering.</x:v>
      </x:c>
      <x:c r="E7" s="114" t="str">
        <x:v>Signed with batch; never reset except re-enrolment.</x:v>
      </x:c>
      <x:c r="F7" s="114" t="str">
        <x:v>Replay and ingestion validation.</x:v>
      </x:c>
      <x:c r="G7" s="114" t="str">
        <x:v>Critical</x:v>
      </x:c>
      <x:c r="H7" s="333" t="str">
        <x:v>Draft Complete</x:v>
      </x:c>
    </x:row>
    <x:row r="8">
      <x:c r="A8" s="337" t="str">
        <x:v>LST-004</x:v>
      </x:c>
      <x:c r="B8" s="338" t="str">
        <x:v>Hash chain</x:v>
      </x:c>
      <x:c r="C8" s="338" t="str">
        <x:v>Optional rolling chain of event hashes</x:v>
      </x:c>
      <x:c r="D8" s="338" t="str">
        <x:v>Tamper evidence for local journal.</x:v>
      </x:c>
      <x:c r="E8" s="338" t="str">
        <x:v>Stored with sequence and uploaded batches.</x:v>
      </x:c>
      <x:c r="F8" s="338" t="str">
        <x:v>Detect deletion/reordering.</x:v>
      </x:c>
      <x:c r="G8" s="338" t="str">
        <x:v>High</x:v>
      </x:c>
      <x:c r="H8" s="339" t="str">
        <x:v>Draft Complete</x:v>
      </x:c>
    </x:row>
    <x:row r="9">
      <x:c r="A9" s="332" t="str">
        <x:v>LST-005</x:v>
      </x:c>
      <x:c r="B9" s="114" t="str">
        <x:v>WAL/crash recovery</x:v>
      </x:c>
      <x:c r="C9" s="114" t="str">
        <x:v>Write-ahead logging and recovery state</x:v>
      </x:c>
      <x:c r="D9" s="114" t="str">
        <x:v>Prevents loss/corruption under crash or power loss.</x:v>
      </x:c>
      <x:c r="E9" s="114" t="str">
        <x:v>Startup integrity scan; corruption event.</x:v>
      </x:c>
      <x:c r="F9" s="114" t="str">
        <x:v>Crash test required.</x:v>
      </x:c>
      <x:c r="G9" s="114" t="str">
        <x:v>Critical</x:v>
      </x:c>
      <x:c r="H9" s="333" t="str">
        <x:v>Draft Complete</x:v>
      </x:c>
    </x:row>
    <x:row r="10">
      <x:c r="A10" s="337" t="str">
        <x:v>LST-006</x:v>
      </x:c>
      <x:c r="B10" s="338" t="str">
        <x:v>Quota</x:v>
      </x:c>
      <x:c r="C10" s="338" t="str">
        <x:v>Local storage budget and pressure handling</x:v>
      </x:c>
      <x:c r="D10" s="338" t="str">
        <x:v>Bounds local evidence size and avoids disk exhaustion.</x:v>
      </x:c>
      <x:c r="E10" s="338" t="str">
        <x:v>Policy-defined per data class; oldest low-priority items expire first.</x:v>
      </x:c>
      <x:c r="F10" s="338" t="str">
        <x:v>Telemetry warning and stop sensitive capture if needed.</x:v>
      </x:c>
      <x:c r="G10" s="338" t="str">
        <x:v>High</x:v>
      </x:c>
      <x:c r="H10" s="339" t="str">
        <x:v>Draft Complete</x:v>
      </x:c>
    </x:row>
    <x:row r="11">
      <x:c r="A11" s="332" t="str">
        <x:v>LST-007</x:v>
      </x:c>
      <x:c r="B11" s="114" t="str">
        <x:v>Secure deletion</x:v>
      </x:c>
      <x:c r="C11" s="114" t="str">
        <x:v>Best-effort deletion/crypto-erase</x:v>
      </x:c>
      <x:c r="D11" s="114" t="str">
        <x:v>Remove expired objects and keys according to policy.</x:v>
      </x:c>
      <x:c r="E11" s="114" t="str">
        <x:v>Crypto key destruction where possible.</x:v>
      </x:c>
      <x:c r="F11" s="114" t="str">
        <x:v>Deletion audit event.</x:v>
      </x:c>
      <x:c r="G11" s="114" t="str">
        <x:v>High</x:v>
      </x:c>
      <x:c r="H11" s="333" t="str">
        <x:v>Draft Complete</x:v>
      </x:c>
    </x:row>
    <x:row r="12">
      <x:c r="A12" s="337" t="str">
        <x:v>LST-008</x:v>
      </x:c>
      <x:c r="B12" s="338" t="str">
        <x:v>Offline queue</x:v>
      </x:c>
      <x:c r="C12" s="338" t="str">
        <x:v>Bounded upload queue</x:v>
      </x:c>
      <x:c r="D12" s="338" t="str">
        <x:v>Supports safe offline operation for defined duration.</x:v>
      </x:c>
      <x:c r="E12" s="338" t="str">
        <x:v>Policy offline TTL and upload retry status.</x:v>
      </x:c>
      <x:c r="F12" s="338" t="str">
        <x:v>No capture beyond policy expiry.</x:v>
      </x:c>
      <x:c r="G12" s="338" t="str">
        <x:v>High</x:v>
      </x:c>
      <x:c r="H12" s="339" t="str">
        <x:v>Draft Complete</x:v>
      </x:c>
    </x:row>
    <x:row r="13">
      <x:c r="A13" s="332" t="str">
        <x:v>LST-009</x:v>
      </x:c>
      <x:c r="B13" s="114" t="str">
        <x:v>Suppression ledger</x:v>
      </x:c>
      <x:c r="C13" s="114" t="str">
        <x:v>Records that candidate evidence was suppressed/redacted without storing content.</x:v>
      </x:c>
      <x:c r="D13" s="114" t="str">
        <x:v>Supports audit and debugging without leaking secrets.</x:v>
      </x:c>
      <x:c r="E13" s="114" t="str">
        <x:v>Suppression event only; no raw content.</x:v>
      </x:c>
      <x:c r="F13" s="114" t="str">
        <x:v>DPIA/security audit.</x:v>
      </x:c>
      <x:c r="G13" s="114" t="str">
        <x:v>High</x:v>
      </x:c>
      <x:c r="H13" s="333" t="str">
        <x:v>Draft Complete</x:v>
      </x:c>
    </x:row>
    <x:row r="14">
      <x:c r="A14" s="340" t="str">
        <x:v>LST-010</x:v>
      </x:c>
      <x:c r="B14" s="341" t="str">
        <x:v>Crash dumps/logs</x:v>
      </x:c>
      <x:c r="C14" s="341" t="str">
        <x:v>Separated diagnostic logs with no evidence content.</x:v>
      </x:c>
      <x:c r="D14" s="341" t="str">
        <x:v>Supports supportability.</x:v>
      </x:c>
      <x:c r="E14" s="341" t="str">
        <x:v>Redaction and content-ban controls.</x:v>
      </x:c>
      <x:c r="F14" s="341" t="str">
        <x:v>No raw screen/text/input in logs.</x:v>
      </x:c>
      <x:c r="G14" s="341" t="str">
        <x:v>Critical</x:v>
      </x:c>
      <x:c r="H14" s="342" t="str">
        <x:v>Draft Complete</x:v>
      </x:c>
    </x:row>
  </x:sheetData>
  <x:mergeCells>
    <x:mergeCell ref="A1:H1"/>
    <x:mergeCell ref="A2:H2"/>
  </x:mergeCells>
  <x:dataValidations count="2">
    <x:dataValidation type="list" sqref="G5:G14">
      <x:formula1>"Critical,High,Medium,Low"</x:formula1>
    </x:dataValidation>
    <x:dataValidation type="list" sqref="H5:H14">
      <x:formula1>"Draft Complete,Needs Review,Approved,Deferred"</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46" hidden="0" customWidth="1"/>
    <x:col min="5" max="5" width="24" hidden="0" customWidth="1"/>
    <x:col min="6" max="6" width="28" hidden="0" customWidth="1"/>
    <x:col min="7" max="7" width="40" hidden="0" customWidth="1"/>
    <x:col min="8" max="8" width="48" hidden="0" customWidth="1"/>
    <x:col min="9" max="9" width="18" hidden="0" customWidth="1"/>
  </x:cols>
  <x:sheetData>
    <x:row r="1" ht="30" customHeight="1">
      <x:c r="A1" s="294" t="str">
        <x:v>Stage 3 — Event and API Contracts</x:v>
      </x:c>
      <x:c r="B1" s="294"/>
      <x:c r="C1" s="294"/>
      <x:c r="D1" s="294"/>
      <x:c r="E1" s="294"/>
      <x:c r="F1" s="294"/>
      <x:c r="G1" s="294"/>
      <x:c r="H1" s="294"/>
      <x:c r="I1" s="294"/>
    </x:row>
    <x:row r="2" ht="36" customHeight="1">
      <x:c r="A2" s="298" t="str">
        <x:v>Cloud-facing APIs and event contracts for device registration, policy sync, session state, signed batch upload and health.</x:v>
      </x:c>
      <x:c r="B2" s="298"/>
      <x:c r="C2" s="298"/>
      <x:c r="D2" s="298"/>
      <x:c r="E2" s="298"/>
      <x:c r="F2" s="298"/>
      <x:c r="G2" s="298"/>
      <x:c r="H2" s="298"/>
      <x:c r="I2" s="298"/>
    </x:row>
    <x:row r="4" ht="30" customHeight="1">
      <x:c r="A4" s="310" t="str">
        <x:v>ID</x:v>
      </x:c>
      <x:c r="B4" s="311" t="str">
        <x:v>Contract type</x:v>
      </x:c>
      <x:c r="C4" s="311" t="str">
        <x:v>Name / endpoint</x:v>
      </x:c>
      <x:c r="D4" s="311" t="str">
        <x:v>Purpose</x:v>
      </x:c>
      <x:c r="E4" s="311" t="str">
        <x:v>Producer / caller</x:v>
      </x:c>
      <x:c r="F4" s="311" t="str">
        <x:v>Consumer / owner</x:v>
      </x:c>
      <x:c r="G4" s="311" t="str">
        <x:v>Payload / output</x:v>
      </x:c>
      <x:c r="H4" s="311" t="str">
        <x:v>Security rule</x:v>
      </x:c>
      <x:c r="I4" s="312" t="str">
        <x:v>Status</x:v>
      </x:c>
    </x:row>
    <x:row r="5">
      <x:c r="A5" s="329" t="str">
        <x:v>S3-EVT-001</x:v>
      </x:c>
      <x:c r="B5" s="330" t="str">
        <x:v>REST</x:v>
      </x:c>
      <x:c r="C5" s="330" t="str">
        <x:v>POST /devices/register</x:v>
      </x:c>
      <x:c r="D5" s="330" t="str">
        <x:v>Register managed device and agent instance.</x:v>
      </x:c>
      <x:c r="E5" s="330" t="str">
        <x:v>Agent bootstrap</x:v>
      </x:c>
      <x:c r="F5" s="330" t="str">
        <x:v>Device Control Gateway</x:v>
      </x:c>
      <x:c r="G5" s="330" t="str">
        <x:v>Device cert request/status</x:v>
      </x:c>
      <x:c r="H5" s="330" t="str">
        <x:v>mTLS after registration; one-time token before.</x:v>
      </x:c>
      <x:c r="I5" s="331" t="str">
        <x:v>Draft Complete</x:v>
      </x:c>
    </x:row>
    <x:row r="6">
      <x:c r="A6" s="337" t="str">
        <x:v>S3-EVT-002</x:v>
      </x:c>
      <x:c r="B6" s="338" t="str">
        <x:v>REST</x:v>
      </x:c>
      <x:c r="C6" s="338" t="str">
        <x:v>GET /devices/{id}/policy</x:v>
      </x:c>
      <x:c r="D6" s="338" t="str">
        <x:v>Fetch signed policy bundle.</x:v>
      </x:c>
      <x:c r="E6" s="338" t="str">
        <x:v>Agent policy cache</x:v>
      </x:c>
      <x:c r="F6" s="338" t="str">
        <x:v>Device Control/Policy</x:v>
      </x:c>
      <x:c r="G6" s="338" t="str">
        <x:v>Policy bundle + signature</x:v>
      </x:c>
      <x:c r="H6" s="338" t="str">
        <x:v>Cache with expiry; reject invalid signature.</x:v>
      </x:c>
      <x:c r="I6" s="339" t="str">
        <x:v>Draft Complete</x:v>
      </x:c>
    </x:row>
    <x:row r="7">
      <x:c r="A7" s="332" t="str">
        <x:v>S3-EVT-003</x:v>
      </x:c>
      <x:c r="B7" s="114" t="str">
        <x:v>REST</x:v>
      </x:c>
      <x:c r="C7" s="114" t="str">
        <x:v>POST /devices/{id}/heartbeat</x:v>
      </x:c>
      <x:c r="D7" s="114" t="str">
        <x:v>Non-sensitive health and permission state.</x:v>
      </x:c>
      <x:c r="E7" s="114" t="str">
        <x:v>Agent health</x:v>
      </x:c>
      <x:c r="F7" s="114" t="str">
        <x:v>Device Control</x:v>
      </x:c>
      <x:c r="G7" s="114" t="str">
        <x:v>Health receipt/commands</x:v>
      </x:c>
      <x:c r="H7" s="114" t="str">
        <x:v>No raw evidence content.</x:v>
      </x:c>
      <x:c r="I7" s="333" t="str">
        <x:v>Draft Complete</x:v>
      </x:c>
    </x:row>
    <x:row r="8">
      <x:c r="A8" s="337" t="str">
        <x:v>S3-EVT-004</x:v>
      </x:c>
      <x:c r="B8" s="338" t="str">
        <x:v>REST</x:v>
      </x:c>
      <x:c r="C8" s="338" t="str">
        <x:v>POST /events/batches</x:v>
      </x:c>
      <x:c r="D8" s="338" t="str">
        <x:v>Upload signed event batch and object refs.</x:v>
      </x:c>
      <x:c r="E8" s="338" t="str">
        <x:v>Agent uploader</x:v>
      </x:c>
      <x:c r="F8" s="338" t="str">
        <x:v>Telemetry Ingestion</x:v>
      </x:c>
      <x:c r="G8" s="338" t="str">
        <x:v>Ack/reject with idempotency key</x:v>
      </x:c>
      <x:c r="H8" s="338" t="str">
        <x:v>Signed, compressed, schema-versioned.</x:v>
      </x:c>
      <x:c r="I8" s="339" t="str">
        <x:v>Draft Complete</x:v>
      </x:c>
    </x:row>
    <x:row r="9">
      <x:c r="A9" s="332" t="str">
        <x:v>S3-EVT-005</x:v>
      </x:c>
      <x:c r="B9" s="114" t="str">
        <x:v>REST</x:v>
      </x:c>
      <x:c r="C9" s="114" t="str">
        <x:v>POST /events/objects</x:v>
      </x:c>
      <x:c r="D9" s="114" t="str">
        <x:v>Upload encrypted/redacted evidence object when allowed.</x:v>
      </x:c>
      <x:c r="E9" s="114" t="str">
        <x:v>Agent uploader</x:v>
      </x:c>
      <x:c r="F9" s="114" t="str">
        <x:v>Object/Evidence gateway</x:v>
      </x:c>
      <x:c r="G9" s="114" t="str">
        <x:v>Object receipt</x:v>
      </x:c>
      <x:c r="H9" s="114" t="str">
        <x:v>Object classification and retention required.</x:v>
      </x:c>
      <x:c r="I9" s="333" t="str">
        <x:v>Draft Complete</x:v>
      </x:c>
    </x:row>
    <x:row r="10">
      <x:c r="A10" s="337" t="str">
        <x:v>S3-EVT-006</x:v>
      </x:c>
      <x:c r="B10" s="338" t="str">
        <x:v>Event</x:v>
      </x:c>
      <x:c r="C10" s="338" t="str">
        <x:v>device.registered</x:v>
      </x:c>
      <x:c r="D10" s="338" t="str">
        <x:v>Device registration completed.</x:v>
      </x:c>
      <x:c r="E10" s="338" t="str">
        <x:v>Device Control</x:v>
      </x:c>
      <x:c r="F10" s="338" t="str">
        <x:v>HumanOS event bus</x:v>
      </x:c>
      <x:c r="G10" s="338" t="str">
        <x:v>Device metadata</x:v>
      </x:c>
      <x:c r="H10" s="338" t="str">
        <x:v>No personal raw data.</x:v>
      </x:c>
      <x:c r="I10" s="339" t="str">
        <x:v>Draft Complete</x:v>
      </x:c>
    </x:row>
    <x:row r="11">
      <x:c r="A11" s="332" t="str">
        <x:v>S3-EVT-007</x:v>
      </x:c>
      <x:c r="B11" s="114" t="str">
        <x:v>Event</x:v>
      </x:c>
      <x:c r="C11" s="114" t="str">
        <x:v>device.policy.applied</x:v>
      </x:c>
      <x:c r="D11" s="114" t="str">
        <x:v>Agent validated and applied policy.</x:v>
      </x:c>
      <x:c r="E11" s="114" t="str">
        <x:v>Agent/Control Gateway</x:v>
      </x:c>
      <x:c r="F11" s="114" t="str">
        <x:v>Event bus/audit</x:v>
      </x:c>
      <x:c r="G11" s="114" t="str">
        <x:v>policy_id, version, device_id</x:v>
      </x:c>
      <x:c r="H11" s="114" t="str">
        <x:v>Signed policy version and timestamp.</x:v>
      </x:c>
      <x:c r="I11" s="333" t="str">
        <x:v>Draft Complete</x:v>
      </x:c>
    </x:row>
    <x:row r="12">
      <x:c r="A12" s="337" t="str">
        <x:v>S3-EVT-008</x:v>
      </x:c>
      <x:c r="B12" s="338" t="str">
        <x:v>Event</x:v>
      </x:c>
      <x:c r="C12" s="338" t="str">
        <x:v>work.session.state.changed</x:v>
      </x:c>
      <x:c r="D12" s="338" t="str">
        <x:v>Endpoint session state changed.</x:v>
      </x:c>
      <x:c r="E12" s="338" t="str">
        <x:v>Agent</x:v>
      </x:c>
      <x:c r="F12" s="338" t="str">
        <x:v>Telemetry Ingestion</x:v>
      </x:c>
      <x:c r="G12" s="338" t="str">
        <x:v>state_before, state_after, reason</x:v>
      </x:c>
      <x:c r="H12" s="338" t="str">
        <x:v>Visible to employee; no content.</x:v>
      </x:c>
      <x:c r="I12" s="339" t="str">
        <x:v>Draft Complete</x:v>
      </x:c>
    </x:row>
    <x:row r="13">
      <x:c r="A13" s="332" t="str">
        <x:v>S3-EVT-009</x:v>
      </x:c>
      <x:c r="B13" s="114" t="str">
        <x:v>Event</x:v>
      </x:c>
      <x:c r="C13" s="114" t="str">
        <x:v>task.session.started</x:v>
      </x:c>
      <x:c r="D13" s="114" t="str">
        <x:v>Approved task became active.</x:v>
      </x:c>
      <x:c r="E13" s="114" t="str">
        <x:v>Agent</x:v>
      </x:c>
      <x:c r="F13" s="114" t="str">
        <x:v>Telemetry Ingestion</x:v>
      </x:c>
      <x:c r="G13" s="114" t="str">
        <x:v>task_id, task_contract_version</x:v>
      </x:c>
      <x:c r="H13" s="114" t="str">
        <x:v>Task contract must be available.</x:v>
      </x:c>
      <x:c r="I13" s="333" t="str">
        <x:v>Draft Complete</x:v>
      </x:c>
    </x:row>
    <x:row r="14">
      <x:c r="A14" s="337" t="str">
        <x:v>S3-EVT-010</x:v>
      </x:c>
      <x:c r="B14" s="338" t="str">
        <x:v>Event</x:v>
      </x:c>
      <x:c r="C14" s="338" t="str">
        <x:v>capture.suppressed</x:v>
      </x:c>
      <x:c r="D14" s="338" t="str">
        <x:v>Candidate capture suppressed due to secure field, exclusion or policy.</x:v>
      </x:c>
      <x:c r="E14" s="338" t="str">
        <x:v>Agent</x:v>
      </x:c>
      <x:c r="F14" s="338" t="str">
        <x:v>Audit/Evidence</x:v>
      </x:c>
      <x:c r="G14" s="338" t="str">
        <x:v>reason, app/category, policy_id</x:v>
      </x:c>
      <x:c r="H14" s="338" t="str">
        <x:v>No suppressed content stored.</x:v>
      </x:c>
      <x:c r="I14" s="339" t="str">
        <x:v>Draft Complete</x:v>
      </x:c>
    </x:row>
    <x:row r="15">
      <x:c r="A15" s="332" t="str">
        <x:v>S3-EVT-011</x:v>
      </x:c>
      <x:c r="B15" s="114" t="str">
        <x:v>Event</x:v>
      </x:c>
      <x:c r="C15" s="114" t="str">
        <x:v>agent.health.reported</x:v>
      </x:c>
      <x:c r="D15" s="114" t="str">
        <x:v>Agent status/permissions/queue/latency reported.</x:v>
      </x:c>
      <x:c r="E15" s="114" t="str">
        <x:v>Agent</x:v>
      </x:c>
      <x:c r="F15" s="114" t="str">
        <x:v>Device Control/SRE</x:v>
      </x:c>
      <x:c r="G15" s="114" t="str">
        <x:v>health metrics</x:v>
      </x:c>
      <x:c r="H15" s="114" t="str">
        <x:v>No evidence content.</x:v>
      </x:c>
      <x:c r="I15" s="333" t="str">
        <x:v>Draft Complete</x:v>
      </x:c>
    </x:row>
    <x:row r="16">
      <x:c r="A16" s="337" t="str">
        <x:v>S3-EVT-012</x:v>
      </x:c>
      <x:c r="B16" s="338" t="str">
        <x:v>Event</x:v>
      </x:c>
      <x:c r="C16" s="338" t="str">
        <x:v>telemetry.gap.detected</x:v>
      </x:c>
      <x:c r="D16" s="338" t="str">
        <x:v>Agent detected missed events, clock drift, sensor failure or dropped queue.</x:v>
      </x:c>
      <x:c r="E16" s="338" t="str">
        <x:v>Agent</x:v>
      </x:c>
      <x:c r="F16" s="338" t="str">
        <x:v>Evidence/Task Assurance</x:v>
      </x:c>
      <x:c r="G16" s="338" t="str">
        <x:v>gap type, duration, affected sensors</x:v>
      </x:c>
      <x:c r="H16" s="338" t="str">
        <x:v>Prevents false timeline confidence.</x:v>
      </x:c>
      <x:c r="I16" s="339" t="str">
        <x:v>Draft Complete</x:v>
      </x:c>
    </x:row>
    <x:row r="17">
      <x:c r="A17" s="332" t="str">
        <x:v>S3-EVT-013</x:v>
      </x:c>
      <x:c r="B17" s="114" t="str">
        <x:v>Event</x:v>
      </x:c>
      <x:c r="C17" s="114" t="str">
        <x:v>batch.upload.acknowledged</x:v>
      </x:c>
      <x:c r="D17" s="114" t="str">
        <x:v>Batch successfully ingested.</x:v>
      </x:c>
      <x:c r="E17" s="114" t="str">
        <x:v>Telemetry Ingestion</x:v>
      </x:c>
      <x:c r="F17" s="114" t="str">
        <x:v>Agent/Evidence</x:v>
      </x:c>
      <x:c r="G17" s="114" t="str">
        <x:v>batch_id, accepted_count</x:v>
      </x:c>
      <x:c r="H17" s="114" t="str">
        <x:v>Idempotency and dedupe.</x:v>
      </x:c>
      <x:c r="I17" s="333" t="str">
        <x:v>Draft Complete</x:v>
      </x:c>
    </x:row>
    <x:row r="18">
      <x:c r="A18" s="337" t="str">
        <x:v>S3-EVT-014</x:v>
      </x:c>
      <x:c r="B18" s="338" t="str">
        <x:v>Event</x:v>
      </x:c>
      <x:c r="C18" s="338" t="str">
        <x:v>agent.update.applied</x:v>
      </x:c>
      <x:c r="D18" s="338" t="str">
        <x:v>Agent update applied or rolled back.</x:v>
      </x:c>
      <x:c r="E18" s="338" t="str">
        <x:v>Agent/Control</x:v>
      </x:c>
      <x:c r="F18" s="338" t="str">
        <x:v>Audit/SRE</x:v>
      </x:c>
      <x:c r="G18" s="338" t="str">
        <x:v>version, result, rollback flag</x:v>
      </x:c>
      <x:c r="H18" s="338" t="str">
        <x:v>Signed update only.</x:v>
      </x:c>
      <x:c r="I18" s="339" t="str">
        <x:v>Draft Complete</x:v>
      </x:c>
    </x:row>
    <x:row r="19">
      <x:c r="A19" s="332" t="str">
        <x:v>S3-EVT-015</x:v>
      </x:c>
      <x:c r="B19" s="114" t="str">
        <x:v>Event</x:v>
      </x:c>
      <x:c r="C19" s="114" t="str">
        <x:v>device.revoked</x:v>
      </x:c>
      <x:c r="D19" s="114" t="str">
        <x:v>Device trust revoked.</x:v>
      </x:c>
      <x:c r="E19" s="114" t="str">
        <x:v>Device Control</x:v>
      </x:c>
      <x:c r="F19" s="114" t="str">
        <x:v>Agent/audit</x:v>
      </x:c>
      <x:c r="G19" s="114" t="str">
        <x:v>device_id, reason code</x:v>
      </x:c>
      <x:c r="H19" s="114" t="str">
        <x:v>Agent enters Revoked state.</x:v>
      </x:c>
      <x:c r="I19" s="333" t="str">
        <x:v>Draft Complete</x:v>
      </x:c>
    </x:row>
    <x:row r="20">
      <x:c r="A20" s="337" t="str">
        <x:v>S3-EVT-016</x:v>
      </x:c>
      <x:c r="B20" s="338" t="str">
        <x:v>Schema</x:v>
      </x:c>
      <x:c r="C20" s="338" t="str">
        <x:v>AgentEventEnvelope.schema.json</x:v>
      </x:c>
      <x:c r="D20" s="338" t="str">
        <x:v>Common local/batch event envelope.</x:v>
      </x:c>
      <x:c r="E20" s="338" t="str">
        <x:v>Data Architect</x:v>
      </x:c>
      <x:c r="F20" s="338" t="str">
        <x:v>Agent/ingestion</x:v>
      </x:c>
      <x:c r="G20" s="338" t="str">
        <x:v>JSON Schema</x:v>
      </x:c>
      <x:c r="H20" s="338" t="str">
        <x:v>tenant/person/device/session/task scope required.</x:v>
      </x:c>
      <x:c r="I20" s="339" t="str">
        <x:v>Draft Complete</x:v>
      </x:c>
    </x:row>
    <x:row r="21">
      <x:c r="A21" s="334" t="str">
        <x:v>S3-EVT-017</x:v>
      </x:c>
      <x:c r="B21" s="335" t="str">
        <x:v>Schema</x:v>
      </x:c>
      <x:c r="C21" s="335" t="str">
        <x:v>PolicyBundle.schema.json</x:v>
      </x:c>
      <x:c r="D21" s="335" t="str">
        <x:v>Signed policy bundle validation.</x:v>
      </x:c>
      <x:c r="E21" s="335" t="str">
        <x:v>Policy Service</x:v>
      </x:c>
      <x:c r="F21" s="335" t="str">
        <x:v>Agent</x:v>
      </x:c>
      <x:c r="G21" s="335" t="str">
        <x:v>JSON Schema/JWS profile</x:v>
      </x:c>
      <x:c r="H21" s="335" t="str">
        <x:v>Effective/expiry/signature required.</x:v>
      </x:c>
      <x:c r="I21" s="336" t="str">
        <x:v>Draft Complete</x:v>
      </x:c>
    </x:row>
  </x:sheetData>
  <x:mergeCells>
    <x:mergeCell ref="A1:I1"/>
    <x:mergeCell ref="A2:I2"/>
  </x:mergeCells>
  <x:dataValidations count="1">
    <x:dataValidation type="list" sqref="I5:I21">
      <x:formula1>"Draft Complete,Needs Review,Approved,Deferred"</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28" hidden="0" customWidth="1"/>
    <x:col min="3" max="3" width="50" hidden="0" customWidth="1"/>
    <x:col min="4" max="4" width="48" hidden="0" customWidth="1"/>
    <x:col min="5" max="5" width="42" hidden="0" customWidth="1"/>
    <x:col min="6" max="6" width="22" hidden="0" customWidth="1"/>
    <x:col min="7" max="7" width="12" hidden="0" customWidth="1"/>
    <x:col min="8" max="8" width="14" hidden="0" customWidth="1"/>
    <x:col min="9" max="9" width="52" hidden="0" customWidth="1"/>
    <x:col min="10" max="10" width="18" hidden="0" customWidth="1"/>
    <x:col min="11" max="11" width="28" hidden="0" customWidth="1"/>
  </x:cols>
  <x:sheetData>
    <x:row r="1" ht="30" customHeight="1">
      <x:c r="A1" s="294" t="str">
        <x:v>Stage 3 — Technical Spikes</x:v>
      </x:c>
      <x:c r="B1" s="294"/>
      <x:c r="C1" s="294"/>
      <x:c r="D1" s="294"/>
      <x:c r="E1" s="294"/>
      <x:c r="F1" s="294"/>
      <x:c r="G1" s="294"/>
      <x:c r="H1" s="294"/>
      <x:c r="I1" s="294"/>
      <x:c r="J1" s="294"/>
      <x:c r="K1" s="294"/>
    </x:row>
    <x:row r="2" ht="36" customHeight="1">
      <x:c r="A2" s="298" t="str">
        <x:v>Measurable technical spikes that de-risk endpoint capture foundation before broader capture implementation.</x:v>
      </x:c>
      <x:c r="B2" s="298"/>
      <x:c r="C2" s="298"/>
      <x:c r="D2" s="298"/>
      <x:c r="E2" s="298"/>
      <x:c r="F2" s="298"/>
      <x:c r="G2" s="298"/>
      <x:c r="H2" s="298"/>
      <x:c r="I2" s="298"/>
      <x:c r="J2" s="298"/>
      <x:c r="K2" s="298"/>
    </x:row>
    <x:row r="4" ht="30" customHeight="1">
      <x:c r="A4" s="310" t="str">
        <x:v>ID</x:v>
      </x:c>
      <x:c r="B4" s="311" t="str">
        <x:v>Spike</x:v>
      </x:c>
      <x:c r="C4" s="311" t="str">
        <x:v>Hypothesis</x:v>
      </x:c>
      <x:c r="D4" s="311" t="str">
        <x:v>Method</x:v>
      </x:c>
      <x:c r="E4" s="311" t="str">
        <x:v>Metrics</x:v>
      </x:c>
      <x:c r="F4" s="311" t="str">
        <x:v>Owner</x:v>
      </x:c>
      <x:c r="G4" s="311" t="str">
        <x:v>Priority</x:v>
      </x:c>
      <x:c r="H4" s="311" t="str">
        <x:v>Duration</x:v>
      </x:c>
      <x:c r="I4" s="311" t="str">
        <x:v>Decision rule</x:v>
      </x:c>
      <x:c r="J4" s="311" t="str">
        <x:v>Status</x:v>
      </x:c>
      <x:c r="K4" s="312" t="str">
        <x:v>Source / basis</x:v>
      </x:c>
    </x:row>
    <x:row r="5">
      <x:c r="A5" s="329" t="str">
        <x:v>S3-SPK-001</x:v>
      </x:c>
      <x:c r="B5" s="330" t="str">
        <x:v>Windows foreground app/window</x:v>
      </x:c>
      <x:c r="C5" s="330" t="str">
        <x:v>Can capture foreground app/window changes with ≥99% completeness and low overhead.</x:v>
      </x:c>
      <x:c r="D5" s="330" t="str">
        <x:v>Prototype Win32/UIA/ETW combination; compare against ActivityWatch patterns.</x:v>
      </x:c>
      <x:c r="E5" s="330" t="str">
        <x:v>Foreground change recall/precision; CPU/memory; title redaction.</x:v>
      </x:c>
      <x:c r="F5" s="330" t="str">
        <x:v>Desktop Windows Lead</x:v>
      </x:c>
      <x:c r="G5" s="330" t="str">
        <x:v>Critical</x:v>
      </x:c>
      <x:c r="H5" s="330" t="str">
        <x:v>5 days</x:v>
      </x:c>
      <x:c r="I5" s="330" t="str">
        <x:v>Proceed if ≥99% in controlled app matrix and no sensitive titles under exclusions.</x:v>
      </x:c>
      <x:c r="J5" s="330" t="str">
        <x:v>Draft Complete</x:v>
      </x:c>
      <x:c r="K5" s="331" t="str">
        <x:v>Microsoft UIA/ETW</x:v>
      </x:c>
    </x:row>
    <x:row r="6">
      <x:c r="A6" s="337" t="str">
        <x:v>S3-SPK-002</x:v>
      </x:c>
      <x:c r="B6" s="338" t="str">
        <x:v>macOS foreground app/window</x:v>
      </x:c>
      <x:c r="C6" s="338" t="str">
        <x:v>Can capture app/window state with required permissions and stable identifiers.</x:v>
      </x:c>
      <x:c r="D6" s="338" t="str">
        <x:v>Prototype NSWorkspace/AX approach.</x:v>
      </x:c>
      <x:c r="E6" s="338" t="str">
        <x:v>Completeness; TCC prompts; app compatibility.</x:v>
      </x:c>
      <x:c r="F6" s="338" t="str">
        <x:v>macOS Lead</x:v>
      </x:c>
      <x:c r="G6" s="338" t="str">
        <x:v>Critical</x:v>
      </x:c>
      <x:c r="H6" s="338" t="str">
        <x:v>5 days</x:v>
      </x:c>
      <x:c r="I6" s="338" t="str">
        <x:v>Proceed if stable across approved pilot apps.</x:v>
      </x:c>
      <x:c r="J6" s="338" t="str">
        <x:v>Draft Complete</x:v>
      </x:c>
      <x:c r="K6" s="339" t="str">
        <x:v>Apple Accessibility</x:v>
      </x:c>
    </x:row>
    <x:row r="7">
      <x:c r="A7" s="332" t="str">
        <x:v>S3-SPK-003</x:v>
      </x:c>
      <x:c r="B7" s="114" t="str">
        <x:v>Secure-field detection</x:v>
      </x:c>
      <x:c r="C7" s="114" t="str">
        <x:v>Can reliably suppress password/auth codes in supported browsers, IDEs, terminals and common apps.</x:v>
      </x:c>
      <x:c r="D7" s="114" t="str">
        <x:v>Build adversarial test app + browser forms + terminal secrets; test local guard.</x:v>
      </x:c>
      <x:c r="E7" s="114" t="str">
        <x:v>Zero known secret retention; suppression false-positive rate.</x:v>
      </x:c>
      <x:c r="F7" s="114" t="str">
        <x:v>Security/Desktop</x:v>
      </x:c>
      <x:c r="G7" s="114" t="str">
        <x:v>Critical</x:v>
      </x:c>
      <x:c r="H7" s="114" t="str">
        <x:v>10 days</x:v>
      </x:c>
      <x:c r="I7" s="114" t="str">
        <x:v>Block if any known secret retained.</x:v>
      </x:c>
      <x:c r="J7" s="114" t="str">
        <x:v>Draft Complete</x:v>
      </x:c>
      <x:c r="K7" s="333" t="str">
        <x:v>Privacy engineering</x:v>
      </x:c>
    </x:row>
    <x:row r="8">
      <x:c r="A8" s="337" t="str">
        <x:v>S3-SPK-004</x:v>
      </x:c>
      <x:c r="B8" s="338" t="str">
        <x:v>Local encrypted journal</x:v>
      </x:c>
      <x:c r="C8" s="338" t="str">
        <x:v>Can sustain queue and crash recovery without data loss/corruption.</x:v>
      </x:c>
      <x:c r="D8" s="338" t="str">
        <x:v>Implement prototype SQLite/SQLCipher-style journal, WAL, sequence, checksum, quota.</x:v>
      </x:c>
      <x:c r="E8" s="338" t="str">
        <x:v>Crash/restart recovery; write latency; upload resume.</x:v>
      </x:c>
      <x:c r="F8" s="338" t="str">
        <x:v>Desktop/Data</x:v>
      </x:c>
      <x:c r="G8" s="338" t="str">
        <x:v>Critical</x:v>
      </x:c>
      <x:c r="H8" s="338" t="str">
        <x:v>10 days</x:v>
      </x:c>
      <x:c r="I8" s="338" t="str">
        <x:v>Proceed if 72-hour offline/chaos test passes.</x:v>
      </x:c>
      <x:c r="J8" s="338" t="str">
        <x:v>Draft Complete</x:v>
      </x:c>
      <x:c r="K8" s="339" t="str">
        <x:v>SQLCipher/WAL</x:v>
      </x:c>
    </x:row>
    <x:row r="9">
      <x:c r="A9" s="332" t="str">
        <x:v>S3-SPK-005</x:v>
      </x:c>
      <x:c r="B9" s="114" t="str">
        <x:v>Signed policy bundle</x:v>
      </x:c>
      <x:c r="C9" s="114" t="str">
        <x:v>Agent can verify policy signature, expiry and fail-safe on invalid/expired policy.</x:v>
      </x:c>
      <x:c r="D9" s="114" t="str">
        <x:v>Implement PolicyBundle schema + signature validation + local decision test.</x:v>
      </x:c>
      <x:c r="E9" s="114" t="str">
        <x:v>Reject invalid/expired/rollback; decision latency.</x:v>
      </x:c>
      <x:c r="F9" s="114" t="str">
        <x:v>Security/Platform</x:v>
      </x:c>
      <x:c r="G9" s="114" t="str">
        <x:v>Critical</x:v>
      </x:c>
      <x:c r="H9" s="114" t="str">
        <x:v>7 days</x:v>
      </x:c>
      <x:c r="I9" s="114" t="str">
        <x:v>Proceed if all invalid cases fail closed.</x:v>
      </x:c>
      <x:c r="J9" s="114" t="str">
        <x:v>Draft Complete</x:v>
      </x:c>
      <x:c r="K9" s="333" t="str">
        <x:v>OPA/JWS pattern</x:v>
      </x:c>
    </x:row>
    <x:row r="10">
      <x:c r="A10" s="337" t="str">
        <x:v>S3-SPK-006</x:v>
      </x:c>
      <x:c r="B10" s="338" t="str">
        <x:v>Signed batch ingestion</x:v>
      </x:c>
      <x:c r="C10" s="338" t="str">
        <x:v>Event batches are idempotent, signed, compressed and accepted/rejected deterministically.</x:v>
      </x:c>
      <x:c r="D10" s="338" t="str">
        <x:v>Agent batch + Java ingestion stub + schema validation.</x:v>
      </x:c>
      <x:c r="E10" s="338" t="str">
        <x:v>Duplicate handling; ack/retry; throughput.</x:v>
      </x:c>
      <x:c r="F10" s="338" t="str">
        <x:v>Platform/Data</x:v>
      </x:c>
      <x:c r="G10" s="338" t="str">
        <x:v>Critical</x:v>
      </x:c>
      <x:c r="H10" s="338" t="str">
        <x:v>7 days</x:v>
      </x:c>
      <x:c r="I10" s="338" t="str">
        <x:v>Proceed if duplicates safe and replay deterministic.</x:v>
      </x:c>
      <x:c r="J10" s="338" t="str">
        <x:v>Draft Complete</x:v>
      </x:c>
      <x:c r="K10" s="339" t="str">
        <x:v>Kafka/CloudEvents</x:v>
      </x:c>
    </x:row>
    <x:row r="11">
      <x:c r="A11" s="332" t="str">
        <x:v>S3-SPK-007</x:v>
      </x:c>
      <x:c r="B11" s="114" t="str">
        <x:v>macOS ScreenCaptureKit</x:v>
      </x:c>
      <x:c r="C11" s="114" t="str">
        <x:v>Can capture selected display/window/app when policy allows and TCC permission granted.</x:v>
      </x:c>
      <x:c r="D11" s="114" t="str">
        <x:v>One-shot screenshot and stream prototype; changed frame hash.</x:v>
      </x:c>
      <x:c r="E11" s="114" t="str">
        <x:v>Capture latency; CPU; permission UX; exclusion handling.</x:v>
      </x:c>
      <x:c r="F11" s="114" t="str">
        <x:v>macOS Lead</x:v>
      </x:c>
      <x:c r="G11" s="114" t="str">
        <x:v>High</x:v>
      </x:c>
      <x:c r="H11" s="114" t="str">
        <x:v>7 days</x:v>
      </x:c>
      <x:c r="I11" s="114" t="str">
        <x:v>Proceed to Stage 5 design only with explicit permission and exclusion path.</x:v>
      </x:c>
      <x:c r="J11" s="114" t="str">
        <x:v>Draft Complete</x:v>
      </x:c>
      <x:c r="K11" s="333" t="str">
        <x:v>Apple ScreenCaptureKit</x:v>
      </x:c>
    </x:row>
    <x:row r="12">
      <x:c r="A12" s="337" t="str">
        <x:v>S3-SPK-008</x:v>
      </x:c>
      <x:c r="B12" s="338" t="str">
        <x:v>Windows screen capture</x:v>
      </x:c>
      <x:c r="C12" s="338" t="str">
        <x:v>Can capture approved window/display under policy with acceptable overhead.</x:v>
      </x:c>
      <x:c r="D12" s="338" t="str">
        <x:v>Prototype Windows Graphics Capture one-shot/event-driven screenshot.</x:v>
      </x:c>
      <x:c r="E12" s="338" t="str">
        <x:v>Latency; CPU; redaction/exclusion; multi-monitor.</x:v>
      </x:c>
      <x:c r="F12" s="338" t="str">
        <x:v>Windows Lead</x:v>
      </x:c>
      <x:c r="G12" s="338" t="str">
        <x:v>High</x:v>
      </x:c>
      <x:c r="H12" s="338" t="str">
        <x:v>7 days</x:v>
      </x:c>
      <x:c r="I12" s="338" t="str">
        <x:v>Proceed if event-driven capture feasible.</x:v>
      </x:c>
      <x:c r="J12" s="338" t="str">
        <x:v>Draft Complete</x:v>
      </x:c>
      <x:c r="K12" s="339" t="str">
        <x:v>Windows Graphics Capture</x:v>
      </x:c>
    </x:row>
    <x:row r="13">
      <x:c r="A13" s="332" t="str">
        <x:v>S3-SPK-009</x:v>
      </x:c>
      <x:c r="B13" s="114" t="str">
        <x:v>Input provenance</x:v>
      </x:c>
      <x:c r="C13" s="114" t="str">
        <x:v>Can distinguish physical input, injected/automation and paste/shortcut categories in supported contexts.</x:v>
      </x:c>
      <x:c r="D13" s="114" t="str">
        <x:v>Evaluate Raw Input vs low-level hooks; dedicated thread; no text capture yet.</x:v>
      </x:c>
      <x:c r="E13" s="114" t="str">
        <x:v>Latency; completeness; injected flag quality; hook timeout risk.</x:v>
      </x:c>
      <x:c r="F13" s="114" t="str">
        <x:v>Desktop Lead</x:v>
      </x:c>
      <x:c r="G13" s="114" t="str">
        <x:v>High</x:v>
      </x:c>
      <x:c r="H13" s="114" t="str">
        <x:v>10 days</x:v>
      </x:c>
      <x:c r="I13" s="114" t="str">
        <x:v>Prefer Raw Input if reliability sufficient.</x:v>
      </x:c>
      <x:c r="J13" s="114" t="str">
        <x:v>Draft Complete</x:v>
      </x:c>
      <x:c r="K13" s="333" t="str">
        <x:v>Microsoft Raw Input/LowLevelMouseProc</x:v>
      </x:c>
    </x:row>
    <x:row r="14">
      <x:c r="A14" s="337" t="str">
        <x:v>S3-SPK-010</x:v>
      </x:c>
      <x:c r="B14" s="338" t="str">
        <x:v>Accessibility tree coverage</x:v>
      </x:c>
      <x:c r="C14" s="338" t="str">
        <x:v>Supported pilot apps expose sufficient UI/accessibility metadata.</x:v>
      </x:c>
      <x:c r="D14" s="338" t="str">
        <x:v>Sample VS Code, JetBrains, Xcode, browsers, terminals and internal apps.</x:v>
      </x:c>
      <x:c r="E14" s="338" t="str">
        <x:v>Coverage; sensitive field exposure; data volume.</x:v>
      </x:c>
      <x:c r="F14" s="338" t="str">
        <x:v>Desktop/QA</x:v>
      </x:c>
      <x:c r="G14" s="338" t="str">
        <x:v>High</x:v>
      </x:c>
      <x:c r="H14" s="338" t="str">
        <x:v>10 days</x:v>
      </x:c>
      <x:c r="I14" s="338" t="str">
        <x:v>If coverage inadequate, define visual/OCR fallback later.</x:v>
      </x:c>
      <x:c r="J14" s="338" t="str">
        <x:v>Draft Complete</x:v>
      </x:c>
      <x:c r="K14" s="339" t="str">
        <x:v>UIA/AX</x:v>
      </x:c>
    </x:row>
    <x:row r="15">
      <x:c r="A15" s="332" t="str">
        <x:v>S3-SPK-011</x:v>
      </x:c>
      <x:c r="B15" s="114" t="str">
        <x:v>File-system activity</x:v>
      </x:c>
      <x:c r="C15" s="114" t="str">
        <x:v>Can capture project-root file create/modify/delete/rename events without personal-folder scanning.</x:v>
      </x:c>
      <x:c r="D15" s="114" t="str">
        <x:v>Implement allowlisted root watcher prototype.</x:v>
      </x:c>
      <x:c r="E15" s="114" t="str">
        <x:v>Completeness; duplicate events; privacy boundaries.</x:v>
      </x:c>
      <x:c r="F15" s="114" t="str">
        <x:v>Desktop/Data</x:v>
      </x:c>
      <x:c r="G15" s="114" t="str">
        <x:v>High</x:v>
      </x:c>
      <x:c r="H15" s="114" t="str">
        <x:v>5 days</x:v>
      </x:c>
      <x:c r="I15" s="114" t="str">
        <x:v>Proceed if project-root allowlists enforceable.</x:v>
      </x:c>
      <x:c r="J15" s="114" t="str">
        <x:v>Draft Complete</x:v>
      </x:c>
      <x:c r="K15" s="333" t="str">
        <x:v>OS file events</x:v>
      </x:c>
    </x:row>
    <x:row r="16">
      <x:c r="A16" s="337" t="str">
        <x:v>S3-SPK-012</x:v>
      </x:c>
      <x:c r="B16" s="338" t="str">
        <x:v>Browser native messaging</x:v>
      </x:c>
      <x:c r="C16" s="338" t="str">
        <x:v>Browser extension can securely pass active tab metadata to local agent.</x:v>
      </x:c>
      <x:c r="D16" s="338" t="str">
        <x:v>Chrome/Edge extension + native host prototype.</x:v>
      </x:c>
      <x:c r="E16" s="338" t="str">
        <x:v>Permissions, installation, policy allowlist, latency.</x:v>
      </x:c>
      <x:c r="F16" s="338" t="str">
        <x:v>Browser Lead</x:v>
      </x:c>
      <x:c r="G16" s="338" t="str">
        <x:v>High</x:v>
      </x:c>
      <x:c r="H16" s="338" t="str">
        <x:v>5 days</x:v>
      </x:c>
      <x:c r="I16" s="338" t="str">
        <x:v>Proceed for Stage 6 if enterprise deployment feasible.</x:v>
      </x:c>
      <x:c r="J16" s="338" t="str">
        <x:v>Draft Complete</x:v>
      </x:c>
      <x:c r="K16" s="339" t="str">
        <x:v>Chrome native messaging</x:v>
      </x:c>
    </x:row>
    <x:row r="17">
      <x:c r="A17" s="332" t="str">
        <x:v>S3-SPK-013</x:v>
      </x:c>
      <x:c r="B17" s="114" t="str">
        <x:v>Shell/PTY integration</x:v>
      </x:c>
      <x:c r="C17" s="114" t="str">
        <x:v>Command/result semantics can be captured without exposing secrets.</x:v>
      </x:c>
      <x:c r="D17" s="114" t="str">
        <x:v>Prototype shell integration for PowerShell, bash/zsh; redact env vars.</x:v>
      </x:c>
      <x:c r="E17" s="114" t="str">
        <x:v>Command recall; secret redaction; shell compatibility.</x:v>
      </x:c>
      <x:c r="F17" s="114" t="str">
        <x:v>Integrations Lead</x:v>
      </x:c>
      <x:c r="G17" s="114" t="str">
        <x:v>High</x:v>
      </x:c>
      <x:c r="H17" s="114" t="str">
        <x:v>10 days</x:v>
      </x:c>
      <x:c r="I17" s="114" t="str">
        <x:v>Proceed with supported shells list and redaction tests.</x:v>
      </x:c>
      <x:c r="J17" s="114" t="str">
        <x:v>Draft Complete</x:v>
      </x:c>
      <x:c r="K17" s="333" t="str">
        <x:v>Shell integration</x:v>
      </x:c>
    </x:row>
    <x:row r="18">
      <x:c r="A18" s="337" t="str">
        <x:v>S3-SPK-014</x:v>
      </x:c>
      <x:c r="B18" s="338" t="str">
        <x:v>Codex/Claude adapters</x:v>
      </x:c>
      <x:c r="C18" s="338" t="str">
        <x:v>AI-agent hooks can be normalised into local AgentEvent schema.</x:v>
      </x:c>
      <x:c r="D18" s="338" t="str">
        <x:v>Instrument Codex hooks and Claude Code/session logs where available.</x:v>
      </x:c>
      <x:c r="E18" s="338" t="str">
        <x:v>Prompt/tool capture accuracy; provider version drift; privacy filtering.</x:v>
      </x:c>
      <x:c r="F18" s="338" t="str">
        <x:v>AI Integrations</x:v>
      </x:c>
      <x:c r="G18" s="338" t="str">
        <x:v>High</x:v>
      </x:c>
      <x:c r="H18" s="338" t="str">
        <x:v>10 days</x:v>
      </x:c>
      <x:c r="I18" s="338" t="str">
        <x:v>Proceed with provider-specific adapters behind common contract.</x:v>
      </x:c>
      <x:c r="J18" s="338" t="str">
        <x:v>Draft Complete</x:v>
      </x:c>
      <x:c r="K18" s="339" t="str">
        <x:v>Codex hooks/Claude-Mem</x:v>
      </x:c>
    </x:row>
    <x:row r="19">
      <x:c r="A19" s="334" t="str">
        <x:v>S3-SPK-015</x:v>
      </x:c>
      <x:c r="B19" s="335" t="str">
        <x:v>Installer/update</x:v>
      </x:c>
      <x:c r="C19" s="335" t="str">
        <x:v>Signed Windows/macOS agent can install, update, rollback and uninstall cleanly.</x:v>
      </x:c>
      <x:c r="D19" s="335" t="str">
        <x:v>Build minimal signed/notarised installer pipeline and update manifest.</x:v>
      </x:c>
      <x:c r="E19" s="335" t="str">
        <x:v>Install success, rollback, clean uninstall, Gatekeeper/SmartScreen.</x:v>
      </x:c>
      <x:c r="F19" s="335" t="str">
        <x:v>DevSecOps/Desktop</x:v>
      </x:c>
      <x:c r="G19" s="335" t="str">
        <x:v>Critical</x:v>
      </x:c>
      <x:c r="H19" s="335" t="str">
        <x:v>15 days</x:v>
      </x:c>
      <x:c r="I19" s="335" t="str">
        <x:v>Proceed if signed build pipeline and rollback pass.</x:v>
      </x:c>
      <x:c r="J19" s="335" t="str">
        <x:v>Draft Complete</x:v>
      </x:c>
      <x:c r="K19" s="336" t="str">
        <x:v>MSIX signing/Apple notarization</x:v>
      </x:c>
    </x:row>
  </x:sheetData>
  <x:mergeCells>
    <x:mergeCell ref="A1:K1"/>
    <x:mergeCell ref="A2:K2"/>
  </x:mergeCells>
  <x:dataValidations count="2">
    <x:dataValidation type="list" sqref="G5:G19">
      <x:formula1>"Critical,High,Medium,Low"</x:formula1>
    </x:dataValidation>
    <x:dataValidation type="list" sqref="J5:J19">
      <x:formula1>"Draft Complete,Not Started,In Progress,Passed,Failed,Deferred"</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4" hidden="0" customWidth="1"/>
    <x:col min="5" max="5" width="34" hidden="0" customWidth="1"/>
    <x:col min="6" max="6" width="22" hidden="0" customWidth="1"/>
    <x:col min="7" max="7" width="12" hidden="0" customWidth="1"/>
    <x:col min="8" max="8" width="18" hidden="0" customWidth="1"/>
  </x:cols>
  <x:sheetData>
    <x:row r="1" ht="30" customHeight="1">
      <x:c r="A1" s="294" t="str">
        <x:v>Stage 3 — Performance and Reliability Budgets</x:v>
      </x:c>
      <x:c r="B1" s="294"/>
      <x:c r="C1" s="294"/>
      <x:c r="D1" s="294"/>
      <x:c r="E1" s="294"/>
      <x:c r="F1" s="294"/>
      <x:c r="G1" s="294"/>
      <x:c r="H1" s="294"/>
    </x:row>
    <x:row r="2" ht="36" customHeight="1">
      <x:c r="A2" s="298" t="str">
        <x:v>Initial budgets for the device-agent skeleton and later capture spikes. Targets must be validated on actual Nessovo pilot hardware.</x:v>
      </x:c>
      <x:c r="B2" s="298"/>
      <x:c r="C2" s="298"/>
      <x:c r="D2" s="298"/>
      <x:c r="E2" s="298"/>
      <x:c r="F2" s="298"/>
      <x:c r="G2" s="298"/>
      <x:c r="H2" s="298"/>
    </x:row>
    <x:row r="4" ht="30" customHeight="1">
      <x:c r="A4" s="310" t="str">
        <x:v>ID</x:v>
      </x:c>
      <x:c r="B4" s="311" t="str">
        <x:v>Budget area</x:v>
      </x:c>
      <x:c r="C4" s="311" t="str">
        <x:v>Target</x:v>
      </x:c>
      <x:c r="D4" s="311" t="str">
        <x:v>Validation method</x:v>
      </x:c>
      <x:c r="E4" s="311" t="str">
        <x:v>Metric</x:v>
      </x:c>
      <x:c r="F4" s="311" t="str">
        <x:v>Owner</x:v>
      </x:c>
      <x:c r="G4" s="311" t="str">
        <x:v>Priority</x:v>
      </x:c>
      <x:c r="H4" s="312" t="str">
        <x:v>Status</x:v>
      </x:c>
    </x:row>
    <x:row r="5">
      <x:c r="A5" s="329" t="str">
        <x:v>PERF-001</x:v>
      </x:c>
      <x:c r="B5" s="330" t="str">
        <x:v>Agent idle CPU</x:v>
      </x:c>
      <x:c r="C5" s="330" t="str">
        <x:v>≤1% typical when no active capture.</x:v>
      </x:c>
      <x:c r="D5" s="330" t="str">
        <x:v>Continuous 8h idle on Windows/macOS pilot devices.</x:v>
      </x:c>
      <x:c r="E5" s="330" t="str">
        <x:v>p95 CPU; thermal/battery.</x:v>
      </x:c>
      <x:c r="F5" s="330" t="str">
        <x:v>SRE/Desktop</x:v>
      </x:c>
      <x:c r="G5" s="330" t="str">
        <x:v>Critical</x:v>
      </x:c>
      <x:c r="H5" s="331" t="str">
        <x:v>Draft Complete</x:v>
      </x:c>
    </x:row>
    <x:row r="6">
      <x:c r="A6" s="337" t="str">
        <x:v>PERF-002</x:v>
      </x:c>
      <x:c r="B6" s="338" t="str">
        <x:v>Agent active CPU</x:v>
      </x:c>
      <x:c r="C6" s="338" t="str">
        <x:v>≤7% typical during approved event-driven capture; spikes bounded.</x:v>
      </x:c>
      <x:c r="D6" s="338" t="str">
        <x:v>4h realistic dev workload.</x:v>
      </x:c>
      <x:c r="E6" s="338" t="str">
        <x:v>p95 CPU and max spike duration.</x:v>
      </x:c>
      <x:c r="F6" s="338" t="str">
        <x:v>SRE/Desktop</x:v>
      </x:c>
      <x:c r="G6" s="338" t="str">
        <x:v>Critical</x:v>
      </x:c>
      <x:c r="H6" s="339" t="str">
        <x:v>Draft Complete</x:v>
      </x:c>
    </x:row>
    <x:row r="7">
      <x:c r="A7" s="332" t="str">
        <x:v>PERF-003</x:v>
      </x:c>
      <x:c r="B7" s="114" t="str">
        <x:v>Memory</x:v>
      </x:c>
      <x:c r="C7" s="114" t="str">
        <x:v>≤750 MB typical full agent, preferably much lower for skeleton.</x:v>
      </x:c>
      <x:c r="D7" s="114" t="str">
        <x:v>Long-duration workload.</x:v>
      </x:c>
      <x:c r="E7" s="114" t="str">
        <x:v>p95 RSS/working set.</x:v>
      </x:c>
      <x:c r="F7" s="114" t="str">
        <x:v>SRE/Desktop</x:v>
      </x:c>
      <x:c r="G7" s="114" t="str">
        <x:v>High</x:v>
      </x:c>
      <x:c r="H7" s="333" t="str">
        <x:v>Draft Complete</x:v>
      </x:c>
    </x:row>
    <x:row r="8">
      <x:c r="A8" s="337" t="str">
        <x:v>PERF-004</x:v>
      </x:c>
      <x:c r="B8" s="338" t="str">
        <x:v>Input latency</x:v>
      </x:c>
      <x:c r="C8" s="338" t="str">
        <x:v>No perceptible keyboard/mouse latency; hook/Raw Input path returns immediately.</x:v>
      </x:c>
      <x:c r="D8" s="338" t="str">
        <x:v>Synthetic keystroke/mouse benchmark and human UX test.</x:v>
      </x:c>
      <x:c r="E8" s="338" t="str">
        <x:v>Latency p95/p99; dropped input zero.</x:v>
      </x:c>
      <x:c r="F8" s="338" t="str">
        <x:v>Desktop QA</x:v>
      </x:c>
      <x:c r="G8" s="338" t="str">
        <x:v>Critical</x:v>
      </x:c>
      <x:c r="H8" s="339" t="str">
        <x:v>Draft Complete</x:v>
      </x:c>
    </x:row>
    <x:row r="9">
      <x:c r="A9" s="332" t="str">
        <x:v>PERF-005</x:v>
      </x:c>
      <x:c r="B9" s="114" t="str">
        <x:v>Local write latency</x:v>
      </x:c>
      <x:c r="C9" s="114" t="str">
        <x:v>Event journal write p95 ≤10 ms for metadata events.</x:v>
      </x:c>
      <x:c r="D9" s="114" t="str">
        <x:v>Stress test with event bursts.</x:v>
      </x:c>
      <x:c r="E9" s="114" t="str">
        <x:v>p95/p99 write latency and data loss.</x:v>
      </x:c>
      <x:c r="F9" s="114" t="str">
        <x:v>Data/Desktop</x:v>
      </x:c>
      <x:c r="G9" s="114" t="str">
        <x:v>High</x:v>
      </x:c>
      <x:c r="H9" s="333" t="str">
        <x:v>Draft Complete</x:v>
      </x:c>
    </x:row>
    <x:row r="10">
      <x:c r="A10" s="337" t="str">
        <x:v>PERF-006</x:v>
      </x:c>
      <x:c r="B10" s="338" t="str">
        <x:v>Batch upload</x:v>
      </x:c>
      <x:c r="C10" s="338" t="str">
        <x:v>Acknowledged batch upload p95 ≤5s under normal network for metadata-only batches.</x:v>
      </x:c>
      <x:c r="D10" s="338" t="str">
        <x:v>Controlled network benchmark.</x:v>
      </x:c>
      <x:c r="E10" s="338" t="str">
        <x:v>p95 ack latency and retry rates.</x:v>
      </x:c>
      <x:c r="F10" s="338" t="str">
        <x:v>Platform/Data</x:v>
      </x:c>
      <x:c r="G10" s="338" t="str">
        <x:v>Medium</x:v>
      </x:c>
      <x:c r="H10" s="339" t="str">
        <x:v>Draft Complete</x:v>
      </x:c>
    </x:row>
    <x:row r="11">
      <x:c r="A11" s="332" t="str">
        <x:v>PERF-007</x:v>
      </x:c>
      <x:c r="B11" s="114" t="str">
        <x:v>Offline duration</x:v>
      </x:c>
      <x:c r="C11" s="114" t="str">
        <x:v>Safe offline operation for at least 72h within valid policy and storage quota.</x:v>
      </x:c>
      <x:c r="D11" s="114" t="str">
        <x:v>Disconnect/reconnect test.</x:v>
      </x:c>
      <x:c r="E11" s="114" t="str">
        <x:v>No corruption, proper expiry, resume success.</x:v>
      </x:c>
      <x:c r="F11" s="114" t="str">
        <x:v>Desktop/SRE</x:v>
      </x:c>
      <x:c r="G11" s="114" t="str">
        <x:v>High</x:v>
      </x:c>
      <x:c r="H11" s="333" t="str">
        <x:v>Draft Complete</x:v>
      </x:c>
    </x:row>
    <x:row r="12">
      <x:c r="A12" s="337" t="str">
        <x:v>PERF-008</x:v>
      </x:c>
      <x:c r="B12" s="338" t="str">
        <x:v>Storage quota</x:v>
      </x:c>
      <x:c r="C12" s="338" t="str">
        <x:v>Configurable; pilot starting point 1–5 GB local evidence cap depending enabled capture.</x:v>
      </x:c>
      <x:c r="D12" s="338" t="str">
        <x:v>Disk pressure test.</x:v>
      </x:c>
      <x:c r="E12" s="338" t="str">
        <x:v>Quota enforcement and graceful degradation.</x:v>
      </x:c>
      <x:c r="F12" s="338" t="str">
        <x:v>DPO/Data/SRE</x:v>
      </x:c>
      <x:c r="G12" s="338" t="str">
        <x:v>High</x:v>
      </x:c>
      <x:c r="H12" s="339" t="str">
        <x:v>Draft Complete</x:v>
      </x:c>
    </x:row>
    <x:row r="13">
      <x:c r="A13" s="332" t="str">
        <x:v>PERF-009</x:v>
      </x:c>
      <x:c r="B13" s="114" t="str">
        <x:v>Crash recovery</x:v>
      </x:c>
      <x:c r="C13" s="114" t="str">
        <x:v>No unrecoverable journal corruption after forced termination or restart.</x:v>
      </x:c>
      <x:c r="D13" s="114" t="str">
        <x:v>Kill/restart/fuzz local journal.</x:v>
      </x:c>
      <x:c r="E13" s="114" t="str">
        <x:v>Recovery success, gap event emitted.</x:v>
      </x:c>
      <x:c r="F13" s="114" t="str">
        <x:v>Desktop QA</x:v>
      </x:c>
      <x:c r="G13" s="114" t="str">
        <x:v>Critical</x:v>
      </x:c>
      <x:c r="H13" s="333" t="str">
        <x:v>Draft Complete</x:v>
      </x:c>
    </x:row>
    <x:row r="14">
      <x:c r="A14" s="337" t="str">
        <x:v>PERF-010</x:v>
      </x:c>
      <x:c r="B14" s="338" t="str">
        <x:v>Battery impact</x:v>
      </x:c>
      <x:c r="C14" s="338" t="str">
        <x:v>No material battery degradation beyond approved threshold on macOS laptops.</x:v>
      </x:c>
      <x:c r="D14" s="338" t="str">
        <x:v>Battery rundown benchmark.</x:v>
      </x:c>
      <x:c r="E14" s="338" t="str">
        <x:v>Battery delta vs baseline.</x:v>
      </x:c>
      <x:c r="F14" s="338" t="str">
        <x:v>SRE/Desktop</x:v>
      </x:c>
      <x:c r="G14" s="338" t="str">
        <x:v>High</x:v>
      </x:c>
      <x:c r="H14" s="339" t="str">
        <x:v>Draft Complete</x:v>
      </x:c>
    </x:row>
    <x:row r="15">
      <x:c r="A15" s="332" t="str">
        <x:v>PERF-011</x:v>
      </x:c>
      <x:c r="B15" s="114" t="str">
        <x:v>Installation success</x:v>
      </x:c>
      <x:c r="C15" s="114" t="str">
        <x:v>≥98% install/update/uninstall success in managed test cohort before pilot.</x:v>
      </x:c>
      <x:c r="D15" s="114" t="str">
        <x:v>MDM/manual test matrix.</x:v>
      </x:c>
      <x:c r="E15" s="114" t="str">
        <x:v>Success rate and remediation time.</x:v>
      </x:c>
      <x:c r="F15" s="114" t="str">
        <x:v>IT/DevSecOps</x:v>
      </x:c>
      <x:c r="G15" s="114" t="str">
        <x:v>Critical</x:v>
      </x:c>
      <x:c r="H15" s="333" t="str">
        <x:v>Draft Complete</x:v>
      </x:c>
    </x:row>
    <x:row r="16">
      <x:c r="A16" s="337" t="str">
        <x:v>PERF-012</x:v>
      </x:c>
      <x:c r="B16" s="338" t="str">
        <x:v>Health heartbeat</x:v>
      </x:c>
      <x:c r="C16" s="338" t="str">
        <x:v>Agent reports health within 60s of status changes and at configured interval.</x:v>
      </x:c>
      <x:c r="D16" s="338" t="str">
        <x:v>Health simulation.</x:v>
      </x:c>
      <x:c r="E16" s="338" t="str">
        <x:v>Heartbeat latency and false alerts.</x:v>
      </x:c>
      <x:c r="F16" s="338" t="str">
        <x:v>SRE/Platform</x:v>
      </x:c>
      <x:c r="G16" s="338" t="str">
        <x:v>Medium</x:v>
      </x:c>
      <x:c r="H16" s="339" t="str">
        <x:v>Draft Complete</x:v>
      </x:c>
    </x:row>
    <x:row r="17">
      <x:c r="A17" s="332" t="str">
        <x:v>PERF-013</x:v>
      </x:c>
      <x:c r="B17" s="114" t="str">
        <x:v>Policy decision latency</x:v>
      </x:c>
      <x:c r="C17" s="114" t="str">
        <x:v>Local policy decision p95 ≤5 ms for hot-path decisions.</x:v>
      </x:c>
      <x:c r="D17" s="114" t="str">
        <x:v>Policy stress test.</x:v>
      </x:c>
      <x:c r="E17" s="114" t="str">
        <x:v>Latency and fail-safe behaviour.</x:v>
      </x:c>
      <x:c r="F17" s="114" t="str">
        <x:v>Security/Desktop</x:v>
      </x:c>
      <x:c r="G17" s="114" t="str">
        <x:v>High</x:v>
      </x:c>
      <x:c r="H17" s="333" t="str">
        <x:v>Draft Complete</x:v>
      </x:c>
    </x:row>
    <x:row r="18">
      <x:c r="A18" s="340" t="str">
        <x:v>PERF-014</x:v>
      </x:c>
      <x:c r="B18" s="341" t="str">
        <x:v>Visual spike budget</x:v>
      </x:c>
      <x:c r="C18" s="341" t="str">
        <x:v>Stage 5 target: event-driven screenshot p95 capture+hash ≤500 ms for approved regions.</x:v>
      </x:c>
      <x:c r="D18" s="341" t="str">
        <x:v>Stage 5 spike; not Stage 3 skeleton.</x:v>
      </x:c>
      <x:c r="E18" s="341" t="str">
        <x:v>Latency and CPU.</x:v>
      </x:c>
      <x:c r="F18" s="341" t="str">
        <x:v>Desktop</x:v>
      </x:c>
      <x:c r="G18" s="341" t="str">
        <x:v>Medium</x:v>
      </x:c>
      <x:c r="H18" s="342"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24" hidden="0" customWidth="1"/>
  </x:cols>
  <x:sheetData>
    <x:row r="1" ht="30" customHeight="1">
      <x:c r="A1" s="294" t="str">
        <x:v>Stage 3 — Device Agent Threat Model</x:v>
      </x:c>
      <x:c r="B1" s="294"/>
      <x:c r="C1" s="294"/>
      <x:c r="D1" s="294"/>
      <x:c r="E1" s="294"/>
      <x:c r="F1" s="294"/>
      <x:c r="G1" s="294"/>
      <x:c r="H1" s="294"/>
      <x:c r="I1" s="294"/>
      <x:c r="J1" s="294"/>
    </x:row>
    <x:row r="2" ht="36" customHeight="1">
      <x:c r="A2" s="298" t="str">
        <x:v>Endpoint-specific threat scenarios and blocking controls for the device-agent foundation.</x:v>
      </x:c>
      <x:c r="B2" s="298"/>
      <x:c r="C2" s="298"/>
      <x:c r="D2" s="298"/>
      <x:c r="E2" s="298"/>
      <x:c r="F2" s="298"/>
      <x:c r="G2" s="298"/>
      <x:c r="H2" s="298"/>
      <x:c r="I2" s="298"/>
      <x:c r="J2" s="298"/>
    </x:row>
    <x:row r="4" ht="30" customHeight="1">
      <x:c r="A4" s="310" t="str">
        <x:v>ID</x:v>
      </x:c>
      <x:c r="B4" s="311" t="str">
        <x:v>Threat</x:v>
      </x:c>
      <x:c r="C4" s="311" t="str">
        <x:v>Scenario</x:v>
      </x:c>
      <x:c r="D4" s="311" t="str">
        <x:v>Likelihood</x:v>
      </x:c>
      <x:c r="E4" s="311" t="str">
        <x:v>Impact</x:v>
      </x:c>
      <x:c r="F4" s="311" t="str">
        <x:v>Score</x:v>
      </x:c>
      <x:c r="G4" s="311" t="str">
        <x:v>Required control</x:v>
      </x:c>
      <x:c r="H4" s="311" t="str">
        <x:v>Owner</x:v>
      </x:c>
      <x:c r="I4" s="311" t="str">
        <x:v>Status</x:v>
      </x:c>
      <x:c r="J4" s="312" t="str">
        <x:v>Gate / trigger</x:v>
      </x:c>
    </x:row>
    <x:row r="5">
      <x:c r="A5" s="329" t="str">
        <x:v>S3-THR-001</x:v>
      </x:c>
      <x:c r="B5" s="330" t="str">
        <x:v>Agent tampering</x:v>
      </x:c>
      <x:c r="C5" s="330" t="str">
        <x:v>User/malware modifies agent, config or local journal.</x:v>
      </x:c>
      <x:c r="D5" s="330" t="n">
        <x:v>3</x:v>
      </x:c>
      <x:c r="E5" s="330" t="n">
        <x:v>5</x:v>
      </x:c>
      <x:c r="F5" s="330" t="n">
        <x:f>D5*E5</x:f>
        <x:v>15</x:v>
      </x:c>
      <x:c r="G5" s="330" t="str">
        <x:v>Signed binaries, protected install path, hash checks, tamper events, MDM/EDR integration.</x:v>
      </x:c>
      <x:c r="H5" s="330" t="str">
        <x:v>Desktop Security</x:v>
      </x:c>
      <x:c r="I5" s="330" t="str">
        <x:v>Open</x:v>
      </x:c>
      <x:c r="J5" s="331" t="str">
        <x:v>Stage 3 gate</x:v>
      </x:c>
    </x:row>
    <x:row r="6">
      <x:c r="A6" s="337" t="str">
        <x:v>S3-THR-002</x:v>
      </x:c>
      <x:c r="B6" s="338" t="str">
        <x:v>Privilege escalation</x:v>
      </x:c>
      <x:c r="C6" s="338" t="str">
        <x:v>Agent/helper privileges abused to gain system access.</x:v>
      </x:c>
      <x:c r="D6" s="338" t="n">
        <x:v>2</x:v>
      </x:c>
      <x:c r="E6" s="338" t="n">
        <x:v>5</x:v>
      </x:c>
      <x:c r="F6" s="338" t="n">
        <x:f>D6*E6</x:f>
        <x:v>10</x:v>
      </x:c>
      <x:c r="G6" s="338" t="str">
        <x:v>Least privilege, separated helper, code review, sandbox where feasible, penetration test.</x:v>
      </x:c>
      <x:c r="H6" s="338" t="str">
        <x:v>CISO/Desktop</x:v>
      </x:c>
      <x:c r="I6" s="338" t="str">
        <x:v>Open</x:v>
      </x:c>
      <x:c r="J6" s="339" t="str">
        <x:v>Stage 3 gate</x:v>
      </x:c>
    </x:row>
    <x:row r="7">
      <x:c r="A7" s="332" t="str">
        <x:v>S3-THR-003</x:v>
      </x:c>
      <x:c r="B7" s="114" t="str">
        <x:v>Secret capture</x:v>
      </x:c>
      <x:c r="C7" s="114" t="str">
        <x:v>Password/auth token captured via input/text/screenshot/log.</x:v>
      </x:c>
      <x:c r="D7" s="114" t="n">
        <x:v>4</x:v>
      </x:c>
      <x:c r="E7" s="114" t="n">
        <x:v>5</x:v>
      </x:c>
      <x:c r="F7" s="114" t="n">
        <x:f>D7*E7</x:f>
        <x:v>20</x:v>
      </x:c>
      <x:c r="G7" s="114" t="str">
        <x:v>Secure-field guard, secret scanning, exclusions, suppression ledger, zero-retention tests.</x:v>
      </x:c>
      <x:c r="H7" s="114" t="str">
        <x:v>CISO/DPO</x:v>
      </x:c>
      <x:c r="I7" s="114" t="str">
        <x:v>Open</x:v>
      </x:c>
      <x:c r="J7" s="333" t="str">
        <x:v>Blocking</x:v>
      </x:c>
    </x:row>
    <x:row r="8">
      <x:c r="A8" s="337" t="str">
        <x:v>S3-THR-004</x:v>
      </x:c>
      <x:c r="B8" s="338" t="str">
        <x:v>Malicious update</x:v>
      </x:c>
      <x:c r="C8" s="338" t="str">
        <x:v>Compromised update artefact or signing key installs malicious agent.</x:v>
      </x:c>
      <x:c r="D8" s="338" t="n">
        <x:v>3</x:v>
      </x:c>
      <x:c r="E8" s="338" t="n">
        <x:v>5</x:v>
      </x:c>
      <x:c r="F8" s="338" t="n">
        <x:f>D8*E8</x:f>
        <x:v>15</x:v>
      </x:c>
      <x:c r="G8" s="338" t="str">
        <x:v>Code signing, notarization, SBOM, provenance, staged rollout, rollback and key-incident runbook.</x:v>
      </x:c>
      <x:c r="H8" s="338" t="str">
        <x:v>DevSecOps</x:v>
      </x:c>
      <x:c r="I8" s="338" t="str">
        <x:v>Open</x:v>
      </x:c>
      <x:c r="J8" s="339" t="str">
        <x:v>Stage 3 gate</x:v>
      </x:c>
    </x:row>
    <x:row r="9">
      <x:c r="A9" s="332" t="str">
        <x:v>S3-THR-005</x:v>
      </x:c>
      <x:c r="B9" s="114" t="str">
        <x:v>Evidence exfiltration</x:v>
      </x:c>
      <x:c r="C9" s="114" t="str">
        <x:v>Local evidence cache or upload path leaks sensitive content.</x:v>
      </x:c>
      <x:c r="D9" s="114" t="n">
        <x:v>3</x:v>
      </x:c>
      <x:c r="E9" s="114" t="n">
        <x:v>5</x:v>
      </x:c>
      <x:c r="F9" s="114" t="n">
        <x:f>D9*E9</x:f>
        <x:v>15</x:v>
      </x:c>
      <x:c r="G9" s="114" t="str">
        <x:v>Encryption, mTLS, object policy, local redaction, short TTL, endpoint hardening.</x:v>
      </x:c>
      <x:c r="H9" s="114" t="str">
        <x:v>CISO/Data</x:v>
      </x:c>
      <x:c r="I9" s="114" t="str">
        <x:v>Open</x:v>
      </x:c>
      <x:c r="J9" s="333" t="str">
        <x:v>Blocking</x:v>
      </x:c>
    </x:row>
    <x:row r="10">
      <x:c r="A10" s="337" t="str">
        <x:v>S3-THR-006</x:v>
      </x:c>
      <x:c r="B10" s="338" t="str">
        <x:v>Spoofed events</x:v>
      </x:c>
      <x:c r="C10" s="338" t="str">
        <x:v>Attacker sends fake agent batches or alters identity.</x:v>
      </x:c>
      <x:c r="D10" s="338" t="n">
        <x:v>3</x:v>
      </x:c>
      <x:c r="E10" s="338" t="n">
        <x:v>4</x:v>
      </x:c>
      <x:c r="F10" s="338" t="n">
        <x:f>D10*E10</x:f>
        <x:v>12</x:v>
      </x:c>
      <x:c r="G10" s="338" t="str">
        <x:v>mTLS, batch signatures, sequence numbers, device cert revocation.</x:v>
      </x:c>
      <x:c r="H10" s="338" t="str">
        <x:v>Platform Security</x:v>
      </x:c>
      <x:c r="I10" s="338" t="str">
        <x:v>Open</x:v>
      </x:c>
      <x:c r="J10" s="339" t="str">
        <x:v>Stage 4 gate</x:v>
      </x:c>
    </x:row>
    <x:row r="11">
      <x:c r="A11" s="332" t="str">
        <x:v>S3-THR-007</x:v>
      </x:c>
      <x:c r="B11" s="114" t="str">
        <x:v>Event deletion/reordering</x:v>
      </x:c>
      <x:c r="C11" s="114" t="str">
        <x:v>Local or cloud event order altered causing false timeline.</x:v>
      </x:c>
      <x:c r="D11" s="114" t="n">
        <x:v>3</x:v>
      </x:c>
      <x:c r="E11" s="114" t="n">
        <x:v>4</x:v>
      </x:c>
      <x:c r="F11" s="114" t="n">
        <x:f>D11*E11</x:f>
        <x:v>12</x:v>
      </x:c>
      <x:c r="G11" s="114" t="str">
        <x:v>Monotonic sequence, hash chain, idempotency, telemetry-gap events and replay checks.</x:v>
      </x:c>
      <x:c r="H11" s="114" t="str">
        <x:v>Data Architect</x:v>
      </x:c>
      <x:c r="I11" s="114" t="str">
        <x:v>Open</x:v>
      </x:c>
      <x:c r="J11" s="333" t="str">
        <x:v>Stage 4 gate</x:v>
      </x:c>
    </x:row>
    <x:row r="12">
      <x:c r="A12" s="337" t="str">
        <x:v>S3-THR-008</x:v>
      </x:c>
      <x:c r="B12" s="338" t="str">
        <x:v>Policy bypass</x:v>
      </x:c>
      <x:c r="C12" s="338" t="str">
        <x:v>Adapter or capture module emits events without policy approval.</x:v>
      </x:c>
      <x:c r="D12" s="338" t="n">
        <x:v>3</x:v>
      </x:c>
      <x:c r="E12" s="338" t="n">
        <x:v>5</x:v>
      </x:c>
      <x:c r="F12" s="338" t="n">
        <x:f>D12*E12</x:f>
        <x:v>15</x:v>
      </x:c>
      <x:c r="G12" s="338" t="str">
        <x:v>Adapter sandbox/manifest, policy evaluator required in event pipeline, contract tests.</x:v>
      </x:c>
      <x:c r="H12" s="338" t="str">
        <x:v>Desktop/Platform</x:v>
      </x:c>
      <x:c r="I12" s="338" t="str">
        <x:v>Open</x:v>
      </x:c>
      <x:c r="J12" s="339" t="str">
        <x:v>Blocking</x:v>
      </x:c>
    </x:row>
    <x:row r="13">
      <x:c r="A13" s="332" t="str">
        <x:v>S3-THR-009</x:v>
      </x:c>
      <x:c r="B13" s="114" t="str">
        <x:v>Insider misuse</x:v>
      </x:c>
      <x:c r="C13" s="114" t="str">
        <x:v>Admin accesses agent logs or evidence without approved purpose.</x:v>
      </x:c>
      <x:c r="D13" s="114" t="n">
        <x:v>3</x:v>
      </x:c>
      <x:c r="E13" s="114" t="n">
        <x:v>5</x:v>
      </x:c>
      <x:c r="F13" s="114" t="n">
        <x:f>D13*E13</x:f>
        <x:v>15</x:v>
      </x:c>
      <x:c r="G13" s="114" t="str">
        <x:v>Purpose-limited access, audit, separation of duties, encrypted local content.</x:v>
      </x:c>
      <x:c r="H13" s="114" t="str">
        <x:v>Security/DPO</x:v>
      </x:c>
      <x:c r="I13" s="114" t="str">
        <x:v>Open</x:v>
      </x:c>
      <x:c r="J13" s="333" t="str">
        <x:v>Stage 0/3</x:v>
      </x:c>
    </x:row>
    <x:row r="14">
      <x:c r="A14" s="337" t="str">
        <x:v>S3-THR-010</x:v>
      </x:c>
      <x:c r="B14" s="338" t="str">
        <x:v>Malicious adapter</x:v>
      </x:c>
      <x:c r="C14" s="338" t="str">
        <x:v>Third-party or internal adapter captures content beyond allowed scope.</x:v>
      </x:c>
      <x:c r="D14" s="338" t="n">
        <x:v>3</x:v>
      </x:c>
      <x:c r="E14" s="338" t="n">
        <x:v>4</x:v>
      </x:c>
      <x:c r="F14" s="338" t="n">
        <x:f>D14*E14</x:f>
        <x:v>12</x:v>
      </x:c>
      <x:c r="G14" s="338" t="str">
        <x:v>Signed adapter manifests, capability restrictions, review, adapter allowlist and tests.</x:v>
      </x:c>
      <x:c r="H14" s="338" t="str">
        <x:v>Integrations/Security</x:v>
      </x:c>
      <x:c r="I14" s="338" t="str">
        <x:v>Open</x:v>
      </x:c>
      <x:c r="J14" s="339" t="str">
        <x:v>Stage 6</x:v>
      </x:c>
    </x:row>
    <x:row r="15">
      <x:c r="A15" s="332" t="str">
        <x:v>S3-THR-011</x:v>
      </x:c>
      <x:c r="B15" s="114" t="str">
        <x:v>Crash/log leakage</x:v>
      </x:c>
      <x:c r="C15" s="114" t="str">
        <x:v>Crash dumps or diagnostic logs contain sensitive evidence or keys.</x:v>
      </x:c>
      <x:c r="D15" s="114" t="n">
        <x:v>3</x:v>
      </x:c>
      <x:c r="E15" s="114" t="n">
        <x:v>5</x:v>
      </x:c>
      <x:c r="F15" s="114" t="n">
        <x:f>D15*E15</x:f>
        <x:v>15</x:v>
      </x:c>
      <x:c r="G15" s="114" t="str">
        <x:v>Content-ban logging, crash dump redaction/disable, secrets scan, test corpus.</x:v>
      </x:c>
      <x:c r="H15" s="114" t="str">
        <x:v>SRE/Security</x:v>
      </x:c>
      <x:c r="I15" s="114" t="str">
        <x:v>Open</x:v>
      </x:c>
      <x:c r="J15" s="333" t="str">
        <x:v>Blocking</x:v>
      </x:c>
    </x:row>
    <x:row r="16">
      <x:c r="A16" s="337" t="str">
        <x:v>S3-THR-012</x:v>
      </x:c>
      <x:c r="B16" s="338" t="str">
        <x:v>Clock drift</x:v>
      </x:c>
      <x:c r="C16" s="338" t="str">
        <x:v>Incorrect device time causes invalid session timelines or policy windows.</x:v>
      </x:c>
      <x:c r="D16" s="338" t="n">
        <x:v>3</x:v>
      </x:c>
      <x:c r="E16" s="338" t="n">
        <x:v>3</x:v>
      </x:c>
      <x:c r="F16" s="338" t="n">
        <x:f>D16*E16</x:f>
        <x:v>9</x:v>
      </x:c>
      <x:c r="G16" s="338" t="str">
        <x:v>Server-time sync, monotonic sequence, drift warnings and evidence confidence reduction.</x:v>
      </x:c>
      <x:c r="H16" s="338" t="str">
        <x:v>Data/SRE</x:v>
      </x:c>
      <x:c r="I16" s="338" t="str">
        <x:v>Open</x:v>
      </x:c>
      <x:c r="J16" s="339" t="str">
        <x:v>Stage 3</x:v>
      </x:c>
    </x:row>
    <x:row r="17">
      <x:c r="A17" s="332" t="str">
        <x:v>S3-THR-013</x:v>
      </x:c>
      <x:c r="B17" s="114" t="str">
        <x:v>Untrusted network</x:v>
      </x:c>
      <x:c r="C17" s="114" t="str">
        <x:v>MITM or captive portal interferes with policy/upload.</x:v>
      </x:c>
      <x:c r="D17" s="114" t="n">
        <x:v>3</x:v>
      </x:c>
      <x:c r="E17" s="114" t="n">
        <x:v>4</x:v>
      </x:c>
      <x:c r="F17" s="114" t="n">
        <x:f>D17*E17</x:f>
        <x:v>12</x:v>
      </x:c>
      <x:c r="G17" s="114" t="str">
        <x:v>mTLS, cert pinning decision, retries, offline TTL, no downgrade.</x:v>
      </x:c>
      <x:c r="H17" s="114" t="str">
        <x:v>Platform Security</x:v>
      </x:c>
      <x:c r="I17" s="114" t="str">
        <x:v>Open</x:v>
      </x:c>
      <x:c r="J17" s="333" t="str">
        <x:v>Stage 3</x:v>
      </x:c>
    </x:row>
    <x:row r="18">
      <x:c r="A18" s="340" t="str">
        <x:v>S3-THR-014</x:v>
      </x:c>
      <x:c r="B18" s="341" t="str">
        <x:v>User confusion</x:v>
      </x:c>
      <x:c r="C18" s="341" t="str">
        <x:v>Employee does not understand when monitoring is active.</x:v>
      </x:c>
      <x:c r="D18" s="341" t="n">
        <x:v>4</x:v>
      </x:c>
      <x:c r="E18" s="341" t="n">
        <x:v>4</x:v>
      </x:c>
      <x:c r="F18" s="341" t="n">
        <x:f>D18*E18</x:f>
        <x:v>16</x:v>
      </x:c>
      <x:c r="G18" s="341" t="str">
        <x:v>Persistent UI status, onboarding, sensor display, pause/private controls, accessibility review.</x:v>
      </x:c>
      <x:c r="H18" s="341" t="str">
        <x:v>Product/UX/HR</x:v>
      </x:c>
      <x:c r="I18" s="341" t="str">
        <x:v>Open</x:v>
      </x:c>
      <x:c r="J18" s="342" t="str">
        <x:v>Stage 3</x:v>
      </x:c>
    </x:row>
  </x:sheetData>
  <x:mergeCells>
    <x:mergeCell ref="A1:J1"/>
    <x:mergeCell ref="A2:J2"/>
  </x:mergeCells>
  <x:dataValidations count="1">
    <x:dataValidation type="list" sqref="I5:I18">
      <x:formula1>"Open,Mitigating,Accepted,Closed,Blocked"</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2" hidden="0" customWidth="1"/>
    <x:col min="5" max="5" width="52" hidden="0" customWidth="1"/>
    <x:col min="6" max="6" width="24" hidden="0" customWidth="1"/>
    <x:col min="7" max="7" width="12" hidden="0" customWidth="1"/>
    <x:col min="8" max="8" width="16" hidden="0" customWidth="1"/>
  </x:cols>
  <x:sheetData>
    <x:row r="1" ht="30" customHeight="1">
      <x:c r="A1" s="294" t="str">
        <x:v>Stage 3 — Test Matrix</x:v>
      </x:c>
      <x:c r="B1" s="294"/>
      <x:c r="C1" s="294"/>
      <x:c r="D1" s="294"/>
      <x:c r="E1" s="294"/>
      <x:c r="F1" s="294"/>
      <x:c r="G1" s="294"/>
      <x:c r="H1" s="294"/>
    </x:row>
    <x:row r="2" ht="36" customHeight="1">
      <x:c r="A2" s="298" t="str">
        <x:v>Endpoint-agent test strategy covering unit, contract, integration, security, privacy, performance, installer and employee UX testing.</x:v>
      </x:c>
      <x:c r="B2" s="298"/>
      <x:c r="C2" s="298"/>
      <x:c r="D2" s="298"/>
      <x:c r="E2" s="298"/>
      <x:c r="F2" s="298"/>
      <x:c r="G2" s="298"/>
      <x:c r="H2" s="298"/>
    </x:row>
    <x:row r="4" ht="30" customHeight="1">
      <x:c r="A4" s="310" t="str">
        <x:v>ID</x:v>
      </x:c>
      <x:c r="B4" s="311" t="str">
        <x:v>Test type</x:v>
      </x:c>
      <x:c r="C4" s="311" t="str">
        <x:v>Test target</x:v>
      </x:c>
      <x:c r="D4" s="311" t="str">
        <x:v>Scenario</x:v>
      </x:c>
      <x:c r="E4" s="311" t="str">
        <x:v>Acceptance criterion</x:v>
      </x:c>
      <x:c r="F4" s="311" t="str">
        <x:v>Owner</x:v>
      </x:c>
      <x:c r="G4" s="311" t="str">
        <x:v>Priority</x:v>
      </x:c>
      <x:c r="H4" s="312" t="str">
        <x:v>Stage</x:v>
      </x:c>
    </x:row>
    <x:row r="5">
      <x:c r="A5" s="329" t="str">
        <x:v>TST-001</x:v>
      </x:c>
      <x:c r="B5" s="330" t="str">
        <x:v>Unit</x:v>
      </x:c>
      <x:c r="C5" s="330" t="str">
        <x:v>Rust core policy evaluator</x:v>
      </x:c>
      <x:c r="D5" s="330" t="str">
        <x:v>Valid/invalid/expired/rollback policy decisions.</x:v>
      </x:c>
      <x:c r="E5" s="330" t="str">
        <x:v>100% critical path branches; fail-safe cases pass.</x:v>
      </x:c>
      <x:c r="F5" s="330" t="str">
        <x:v>Desktop QA</x:v>
      </x:c>
      <x:c r="G5" s="330" t="str">
        <x:v>Critical</x:v>
      </x:c>
      <x:c r="H5" s="331" t="str">
        <x:v>Stage 3</x:v>
      </x:c>
    </x:row>
    <x:row r="6">
      <x:c r="A6" s="337" t="str">
        <x:v>TST-002</x:v>
      </x:c>
      <x:c r="B6" s="338" t="str">
        <x:v>Unit</x:v>
      </x:c>
      <x:c r="C6" s="338" t="str">
        <x:v>Local journal</x:v>
      </x:c>
      <x:c r="D6" s="338" t="str">
        <x:v>Write/read/recover/encrypt/compact/TTL behaviours.</x:v>
      </x:c>
      <x:c r="E6" s="338" t="str">
        <x:v>No corruption or plaintext leakage in test artefacts.</x:v>
      </x:c>
      <x:c r="F6" s="338" t="str">
        <x:v>Desktop/Data QA</x:v>
      </x:c>
      <x:c r="G6" s="338" t="str">
        <x:v>Critical</x:v>
      </x:c>
      <x:c r="H6" s="339" t="str">
        <x:v>Stage 3</x:v>
      </x:c>
    </x:row>
    <x:row r="7">
      <x:c r="A7" s="332" t="str">
        <x:v>TST-003</x:v>
      </x:c>
      <x:c r="B7" s="114" t="str">
        <x:v>Contract</x:v>
      </x:c>
      <x:c r="C7" s="114" t="str">
        <x:v>AgentEventEnvelope schema</x:v>
      </x:c>
      <x:c r="D7" s="114" t="str">
        <x:v>Events validate across Rust agent and Java ingestion.</x:v>
      </x:c>
      <x:c r="E7" s="114" t="str">
        <x:v>All sample events pass; negative samples fail.</x:v>
      </x:c>
      <x:c r="F7" s="114" t="str">
        <x:v>Data QA</x:v>
      </x:c>
      <x:c r="G7" s="114" t="str">
        <x:v>Critical</x:v>
      </x:c>
      <x:c r="H7" s="333" t="str">
        <x:v>Stage 3/4</x:v>
      </x:c>
    </x:row>
    <x:row r="8">
      <x:c r="A8" s="337" t="str">
        <x:v>TST-004</x:v>
      </x:c>
      <x:c r="B8" s="338" t="str">
        <x:v>Contract</x:v>
      </x:c>
      <x:c r="C8" s="338" t="str">
        <x:v>PolicyBundle schema</x:v>
      </x:c>
      <x:c r="D8" s="338" t="str">
        <x:v>Bundle validation in policy service and agent.</x:v>
      </x:c>
      <x:c r="E8" s="338" t="str">
        <x:v>Same decisions across Java and Rust implementations.</x:v>
      </x:c>
      <x:c r="F8" s="338" t="str">
        <x:v>Security QA</x:v>
      </x:c>
      <x:c r="G8" s="338" t="str">
        <x:v>Critical</x:v>
      </x:c>
      <x:c r="H8" s="339" t="str">
        <x:v>Stage 3</x:v>
      </x:c>
    </x:row>
    <x:row r="9">
      <x:c r="A9" s="332" t="str">
        <x:v>TST-005</x:v>
      </x:c>
      <x:c r="B9" s="114" t="str">
        <x:v>Integration</x:v>
      </x:c>
      <x:c r="C9" s="114" t="str">
        <x:v>Device registration</x:v>
      </x:c>
      <x:c r="D9" s="114" t="str">
        <x:v>Install → register → receive cert → fetch policy.</x:v>
      </x:c>
      <x:c r="E9" s="114" t="str">
        <x:v>End-to-end success and audit event.</x:v>
      </x:c>
      <x:c r="F9" s="114" t="str">
        <x:v>Platform QA</x:v>
      </x:c>
      <x:c r="G9" s="114" t="str">
        <x:v>Critical</x:v>
      </x:c>
      <x:c r="H9" s="333" t="str">
        <x:v>Stage 3</x:v>
      </x:c>
    </x:row>
    <x:row r="10">
      <x:c r="A10" s="337" t="str">
        <x:v>TST-006</x:v>
      </x:c>
      <x:c r="B10" s="338" t="str">
        <x:v>Integration</x:v>
      </x:c>
      <x:c r="C10" s="338" t="str">
        <x:v>Signed batch upload</x:v>
      </x:c>
      <x:c r="D10" s="338" t="str">
        <x:v>Create local event → batch → sign → ingest → ack.</x:v>
      </x:c>
      <x:c r="E10" s="338" t="str">
        <x:v>Idempotent retries and duplicates safe.</x:v>
      </x:c>
      <x:c r="F10" s="338" t="str">
        <x:v>Platform/Data QA</x:v>
      </x:c>
      <x:c r="G10" s="338" t="str">
        <x:v>Critical</x:v>
      </x:c>
      <x:c r="H10" s="339" t="str">
        <x:v>Stage 3/4</x:v>
      </x:c>
    </x:row>
    <x:row r="11">
      <x:c r="A11" s="332" t="str">
        <x:v>TST-007</x:v>
      </x:c>
      <x:c r="B11" s="114" t="str">
        <x:v>OS permission</x:v>
      </x:c>
      <x:c r="C11" s="114" t="str">
        <x:v>macOS TCC prompts</x:v>
      </x:c>
      <x:c r="D11" s="114" t="str">
        <x:v>Screen/accessibility/input permissions and denial cases.</x:v>
      </x:c>
      <x:c r="E11" s="114" t="str">
        <x:v>Clear UX and safe disabled state when denied.</x:v>
      </x:c>
      <x:c r="F11" s="114" t="str">
        <x:v>macOS QA</x:v>
      </x:c>
      <x:c r="G11" s="114" t="str">
        <x:v>High</x:v>
      </x:c>
      <x:c r="H11" s="333" t="str">
        <x:v>Stage 3/5</x:v>
      </x:c>
    </x:row>
    <x:row r="12">
      <x:c r="A12" s="337" t="str">
        <x:v>TST-008</x:v>
      </x:c>
      <x:c r="B12" s="338" t="str">
        <x:v>OS permission</x:v>
      </x:c>
      <x:c r="C12" s="338" t="str">
        <x:v>Windows install/service permissions</x:v>
      </x:c>
      <x:c r="D12" s="338" t="str">
        <x:v>Standard user/admin/MDM installation and service lifecycle.</x:v>
      </x:c>
      <x:c r="E12" s="338" t="str">
        <x:v>No unnecessary privileges.</x:v>
      </x:c>
      <x:c r="F12" s="338" t="str">
        <x:v>Windows QA</x:v>
      </x:c>
      <x:c r="G12" s="338" t="str">
        <x:v>High</x:v>
      </x:c>
      <x:c r="H12" s="339" t="str">
        <x:v>Stage 3</x:v>
      </x:c>
    </x:row>
    <x:row r="13">
      <x:c r="A13" s="332" t="str">
        <x:v>TST-009</x:v>
      </x:c>
      <x:c r="B13" s="114" t="str">
        <x:v>Security</x:v>
      </x:c>
      <x:c r="C13" s="114" t="str">
        <x:v>Secure-field/secret redaction</x:v>
      </x:c>
      <x:c r="D13" s="114" t="str">
        <x:v>Known password/auth-token corpus across test apps and browsers.</x:v>
      </x:c>
      <x:c r="E13" s="114" t="str">
        <x:v>Zero known secret retention.</x:v>
      </x:c>
      <x:c r="F13" s="114" t="str">
        <x:v>Security QA</x:v>
      </x:c>
      <x:c r="G13" s="114" t="str">
        <x:v>Critical</x:v>
      </x:c>
      <x:c r="H13" s="333" t="str">
        <x:v>Stage 3/5</x:v>
      </x:c>
    </x:row>
    <x:row r="14">
      <x:c r="A14" s="337" t="str">
        <x:v>TST-010</x:v>
      </x:c>
      <x:c r="B14" s="338" t="str">
        <x:v>Security</x:v>
      </x:c>
      <x:c r="C14" s="338" t="str">
        <x:v>Tamper resistance</x:v>
      </x:c>
      <x:c r="D14" s="338" t="str">
        <x:v>Modify binary/config/journal/policy; attempt spoofed batches.</x:v>
      </x:c>
      <x:c r="E14" s="338" t="str">
        <x:v>Tamper detected; capture disabled or audit emitted.</x:v>
      </x:c>
      <x:c r="F14" s="338" t="str">
        <x:v>Security QA</x:v>
      </x:c>
      <x:c r="G14" s="338" t="str">
        <x:v>Critical</x:v>
      </x:c>
      <x:c r="H14" s="339" t="str">
        <x:v>Stage 3</x:v>
      </x:c>
    </x:row>
    <x:row r="15">
      <x:c r="A15" s="332" t="str">
        <x:v>TST-011</x:v>
      </x:c>
      <x:c r="B15" s="114" t="str">
        <x:v>Performance</x:v>
      </x:c>
      <x:c r="C15" s="114" t="str">
        <x:v>CPU/memory/battery/input latency</x:v>
      </x:c>
      <x:c r="D15" s="114" t="str">
        <x:v>Synthetic and realistic developer workloads.</x:v>
      </x:c>
      <x:c r="E15" s="114" t="str">
        <x:v>Within performance budgets.</x:v>
      </x:c>
      <x:c r="F15" s="114" t="str">
        <x:v>SRE/Desktop QA</x:v>
      </x:c>
      <x:c r="G15" s="114" t="str">
        <x:v>Critical</x:v>
      </x:c>
      <x:c r="H15" s="333" t="str">
        <x:v>Stage 3/5</x:v>
      </x:c>
    </x:row>
    <x:row r="16">
      <x:c r="A16" s="337" t="str">
        <x:v>TST-012</x:v>
      </x:c>
      <x:c r="B16" s="338" t="str">
        <x:v>Chaos/offline</x:v>
      </x:c>
      <x:c r="C16" s="338" t="str">
        <x:v>Network loss, crash, disk pressure, clock drift.</x:v>
      </x:c>
      <x:c r="D16" s="338" t="str">
        <x:v>No data corruption; safe policy expiry; gap events emitted.</x:v>
      </x:c>
      <x:c r="E16" s="338" t="str">
        <x:v>SRE/Data QA</x:v>
      </x:c>
      <x:c r="F16" s="338" t="str">
        <x:v>High</x:v>
      </x:c>
      <x:c r="G16" s="338" t="str">
        <x:v>Stage 3</x:v>
      </x:c>
      <x:c r="H16" s="339"/>
    </x:row>
    <x:row r="17">
      <x:c r="A17" s="332" t="str">
        <x:v>TST-013</x:v>
      </x:c>
      <x:c r="B17" s="114" t="str">
        <x:v>Installer/update</x:v>
      </x:c>
      <x:c r="C17" s="114" t="str">
        <x:v>Install/update/rollback/uninstall on supported OS matrix.</x:v>
      </x:c>
      <x:c r="D17" s="114" t="str">
        <x:v>≥98% success in controlled cohort before pilot.</x:v>
      </x:c>
      <x:c r="E17" s="114" t="str">
        <x:v>DevSecOps QA</x:v>
      </x:c>
      <x:c r="F17" s="114" t="str">
        <x:v>Critical</x:v>
      </x:c>
      <x:c r="G17" s="114" t="str">
        <x:v>Stage 3</x:v>
      </x:c>
      <x:c r="H17" s="333"/>
    </x:row>
    <x:row r="18">
      <x:c r="A18" s="337" t="str">
        <x:v>TST-014</x:v>
      </x:c>
      <x:c r="B18" s="338" t="str">
        <x:v>Accessibility UX</x:v>
      </x:c>
      <x:c r="C18" s="338" t="str">
        <x:v>Tray/menu/task controls with keyboard and screen reader.</x:v>
      </x:c>
      <x:c r="D18" s="338" t="str">
        <x:v>Accessible employee controls.</x:v>
      </x:c>
      <x:c r="E18" s="338" t="str">
        <x:v>UX QA</x:v>
      </x:c>
      <x:c r="F18" s="338" t="str">
        <x:v>High</x:v>
      </x:c>
      <x:c r="G18" s="338" t="str">
        <x:v>Stage 3</x:v>
      </x:c>
      <x:c r="H18" s="339"/>
    </x:row>
    <x:row r="19">
      <x:c r="A19" s="332" t="str">
        <x:v>TST-015</x:v>
      </x:c>
      <x:c r="B19" s="114" t="str">
        <x:v>Privacy UX</x:v>
      </x:c>
      <x:c r="C19" s="114" t="str">
        <x:v>User understands active sensors and can report incorrect capture.</x:v>
      </x:c>
      <x:c r="D19" s="114" t="str">
        <x:v>Usability test pass with participant comprehension.</x:v>
      </x:c>
      <x:c r="E19" s="114" t="str">
        <x:v>Product/HR</x:v>
      </x:c>
      <x:c r="F19" s="114" t="str">
        <x:v>High</x:v>
      </x:c>
      <x:c r="G19" s="114" t="str">
        <x:v>Stage 3</x:v>
      </x:c>
      <x:c r="H19" s="333"/>
    </x:row>
    <x:row r="20">
      <x:c r="A20" s="340" t="str">
        <x:v>TST-016</x:v>
      </x:c>
      <x:c r="B20" s="341" t="str">
        <x:v>Observability</x:v>
      </x:c>
      <x:c r="C20" s="341" t="str">
        <x:v>No raw evidence in logs/traces/health.</x:v>
      </x:c>
      <x:c r="D20" s="341" t="str">
        <x:v>Search test finds no sensitive sample values.</x:v>
      </x:c>
      <x:c r="E20" s="341" t="str">
        <x:v>SRE/Security</x:v>
      </x:c>
      <x:c r="F20" s="341" t="str">
        <x:v>Critical</x:v>
      </x:c>
      <x:c r="G20" s="341" t="str">
        <x:v>Stage 3</x:v>
      </x:c>
      <x:c r="H20" s="342"/>
    </x:row>
  </x:sheetData>
  <x:mergeCells>
    <x:mergeCell ref="A1:H1"/>
    <x:mergeCell ref="A2:H2"/>
  </x:mergeCells>
  <x:dataValidations count="1">
    <x:dataValidation type="list" sqref="G5:G20">
      <x:formula1>"Critical,High,Medium,Low"</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8" hidden="0" customWidth="1"/>
    <x:col min="3" max="3" width="30" hidden="0" customWidth="1"/>
    <x:col min="4" max="4" width="52" hidden="0" customWidth="1"/>
    <x:col min="5" max="5" width="58" hidden="0" customWidth="1"/>
    <x:col min="6" max="6" width="24" hidden="0" customWidth="1"/>
    <x:col min="7" max="7" width="18" hidden="0" customWidth="1"/>
  </x:cols>
  <x:sheetData>
    <x:row r="1" ht="30" customHeight="1">
      <x:c r="A1" s="294" t="str">
        <x:v>Stage 3 — Repository and CI/CD Plan</x:v>
      </x:c>
      <x:c r="B1" s="294"/>
      <x:c r="C1" s="294"/>
      <x:c r="D1" s="294"/>
      <x:c r="E1" s="294"/>
      <x:c r="F1" s="294"/>
      <x:c r="G1" s="294"/>
    </x:row>
    <x:row r="2" ht="36" customHeight="1">
      <x:c r="A2" s="298" t="str">
        <x:v>Proposed repository, packaging, signing, SBOM, testing and rollout plan for the device-agent foundation.</x:v>
      </x:c>
      <x:c r="B2" s="298"/>
      <x:c r="C2" s="298"/>
      <x:c r="D2" s="298"/>
      <x:c r="E2" s="298"/>
      <x:c r="F2" s="298"/>
      <x:c r="G2" s="298"/>
    </x:row>
    <x:row r="4" ht="30" customHeight="1">
      <x:c r="A4" s="310" t="str">
        <x:v>ID</x:v>
      </x:c>
      <x:c r="B4" s="311" t="str">
        <x:v>Area</x:v>
      </x:c>
      <x:c r="C4" s="311" t="str">
        <x:v>Item</x:v>
      </x:c>
      <x:c r="D4" s="311" t="str">
        <x:v>Description</x:v>
      </x:c>
      <x:c r="E4" s="311" t="str">
        <x:v>Acceptance / implementation note</x:v>
      </x:c>
      <x:c r="F4" s="311" t="str">
        <x:v>Owner</x:v>
      </x:c>
      <x:c r="G4" s="312" t="str">
        <x:v>Status</x:v>
      </x:c>
    </x:row>
    <x:row r="5">
      <x:c r="A5" s="329" t="str">
        <x:v>REPO-001</x:v>
      </x:c>
      <x:c r="B5" s="330" t="str">
        <x:v>Repository structure</x:v>
      </x:c>
      <x:c r="C5" s="330" t="str">
        <x:v>humanos-work-agent/</x:v>
      </x:c>
      <x:c r="D5" s="330" t="str">
        <x:v>Rust shared core plus platform bridges and browser extension.</x:v>
      </x:c>
      <x:c r="E5" s="330" t="str">
        <x:v>Separate crates/modules for core, windows, macos, browser, schemas, test fixtures.</x:v>
      </x:c>
      <x:c r="F5" s="330" t="str">
        <x:v>Desktop Lead</x:v>
      </x:c>
      <x:c r="G5" s="331" t="str">
        <x:v>Draft Complete</x:v>
      </x:c>
    </x:row>
    <x:row r="6">
      <x:c r="A6" s="337" t="str">
        <x:v>REPO-002</x:v>
      </x:c>
      <x:c r="B6" s="338" t="str">
        <x:v>Repository structure</x:v>
      </x:c>
      <x:c r="C6" s="338" t="str">
        <x:v>humanos-work-agent-cloud-contracts/</x:v>
      </x:c>
      <x:c r="D6" s="338" t="str">
        <x:v>Shared OpenAPI/JSON Schema/CloudEvents contracts for agent/control plane.</x:v>
      </x:c>
      <x:c r="E6" s="338" t="str">
        <x:v>Generated clients for Java/Rust/TypeScript where suitable.</x:v>
      </x:c>
      <x:c r="F6" s="338" t="str">
        <x:v>Data Architect</x:v>
      </x:c>
      <x:c r="G6" s="339" t="str">
        <x:v>Draft Complete</x:v>
      </x:c>
    </x:row>
    <x:row r="7">
      <x:c r="A7" s="332" t="str">
        <x:v>REPO-003</x:v>
      </x:c>
      <x:c r="B7" s="114" t="str">
        <x:v>Repository structure</x:v>
      </x:c>
      <x:c r="C7" s="114" t="str">
        <x:v>humanos-work-intelligence-services/</x:v>
      </x:c>
      <x:c r="D7" s="114" t="str">
        <x:v>Java/Spring services and Python evaluator services may live in mono-repo or domain repos depending HumanOS standard.</x:v>
      </x:c>
      <x:c r="E7" s="114" t="str">
        <x:v>Follow existing HumanOS repository pattern.</x:v>
      </x:c>
      <x:c r="F7" s="114" t="str">
        <x:v>CTO/Platform</x:v>
      </x:c>
      <x:c r="G7" s="333" t="str">
        <x:v>Owner Input</x:v>
      </x:c>
    </x:row>
    <x:row r="8">
      <x:c r="A8" s="337" t="str">
        <x:v>CICD-001</x:v>
      </x:c>
      <x:c r="B8" s="338" t="str">
        <x:v>Build</x:v>
      </x:c>
      <x:c r="C8" s="338" t="str">
        <x:v>Rust agent build</x:v>
      </x:c>
      <x:c r="D8" s="338" t="str">
        <x:v>Cross-platform build and test pipeline.</x:v>
      </x:c>
      <x:c r="E8" s="338" t="str">
        <x:v>cargo fmt/clippy/test, dependency audit, reproducible artefact where possible.</x:v>
      </x:c>
      <x:c r="F8" s="338" t="str">
        <x:v>DevSecOps</x:v>
      </x:c>
      <x:c r="G8" s="339" t="str">
        <x:v>Draft Complete</x:v>
      </x:c>
    </x:row>
    <x:row r="9">
      <x:c r="A9" s="332" t="str">
        <x:v>CICD-002</x:v>
      </x:c>
      <x:c r="B9" s="114" t="str">
        <x:v>Build</x:v>
      </x:c>
      <x:c r="C9" s="114" t="str">
        <x:v>Windows package</x:v>
      </x:c>
      <x:c r="D9" s="114" t="str">
        <x:v>MSIX/MSI/EXE signed package depending deployment strategy.</x:v>
      </x:c>
      <x:c r="E9" s="114" t="str">
        <x:v>Code signing, timestamping, SmartScreen/enterprise trust path.</x:v>
      </x:c>
      <x:c r="F9" s="114" t="str">
        <x:v>Windows DevSecOps</x:v>
      </x:c>
      <x:c r="G9" s="333" t="str">
        <x:v>Draft Complete</x:v>
      </x:c>
    </x:row>
    <x:row r="10">
      <x:c r="A10" s="337" t="str">
        <x:v>CICD-003</x:v>
      </x:c>
      <x:c r="B10" s="338" t="str">
        <x:v>Build</x:v>
      </x:c>
      <x:c r="C10" s="338" t="str">
        <x:v>macOS package</x:v>
      </x:c>
      <x:c r="D10" s="338" t="str">
        <x:v>Developer ID signed and notarised DMG/PKG/app.</x:v>
      </x:c>
      <x:c r="E10" s="338" t="str">
        <x:v>Hardened runtime, notarization, stapling, Gatekeeper test.</x:v>
      </x:c>
      <x:c r="F10" s="338" t="str">
        <x:v>macOS DevSecOps</x:v>
      </x:c>
      <x:c r="G10" s="339" t="str">
        <x:v>Draft Complete</x:v>
      </x:c>
    </x:row>
    <x:row r="11">
      <x:c r="A11" s="332" t="str">
        <x:v>CICD-004</x:v>
      </x:c>
      <x:c r="B11" s="114" t="str">
        <x:v>Security</x:v>
      </x:c>
      <x:c r="C11" s="114" t="str">
        <x:v>SBOM</x:v>
      </x:c>
      <x:c r="D11" s="114" t="str">
        <x:v>Generate CycloneDX and/or SPDX SBOM for endpoint and services.</x:v>
      </x:c>
      <x:c r="E11" s="114" t="str">
        <x:v>SBOM stored with artefact and reviewed for licences/vulnerabilities.</x:v>
      </x:c>
      <x:c r="F11" s="114" t="str">
        <x:v>DevSecOps/CISO</x:v>
      </x:c>
      <x:c r="G11" s="333" t="str">
        <x:v>Draft Complete</x:v>
      </x:c>
    </x:row>
    <x:row r="12">
      <x:c r="A12" s="337" t="str">
        <x:v>CICD-005</x:v>
      </x:c>
      <x:c r="B12" s="338" t="str">
        <x:v>Security</x:v>
      </x:c>
      <x:c r="C12" s="338" t="str">
        <x:v>Artefact signing</x:v>
      </x:c>
      <x:c r="D12" s="338" t="str">
        <x:v>Sign release artefacts and optionally use transparency/attestations.</x:v>
      </x:c>
      <x:c r="E12" s="338" t="str">
        <x:v>Cosign/Sigstore for containers/blobs where compatible; platform code signing for OS packages.</x:v>
      </x:c>
      <x:c r="F12" s="338" t="str">
        <x:v>DevSecOps</x:v>
      </x:c>
      <x:c r="G12" s="339" t="str">
        <x:v>Draft Complete</x:v>
      </x:c>
    </x:row>
    <x:row r="13">
      <x:c r="A13" s="332" t="str">
        <x:v>CICD-006</x:v>
      </x:c>
      <x:c r="B13" s="114" t="str">
        <x:v>Security</x:v>
      </x:c>
      <x:c r="C13" s="114" t="str">
        <x:v>Dependency scanning</x:v>
      </x:c>
      <x:c r="D13" s="114" t="str">
        <x:v>Rust/Java/Python/TypeScript dependencies scanned.</x:v>
      </x:c>
      <x:c r="E13" s="114" t="str">
        <x:v>Fail on critical exploitable vulnerabilities or disallowed licences.</x:v>
      </x:c>
      <x:c r="F13" s="114" t="str">
        <x:v>DevSecOps</x:v>
      </x:c>
      <x:c r="G13" s="333" t="str">
        <x:v>Draft Complete</x:v>
      </x:c>
    </x:row>
    <x:row r="14">
      <x:c r="A14" s="337" t="str">
        <x:v>CICD-007</x:v>
      </x:c>
      <x:c r="B14" s="338" t="str">
        <x:v>Testing</x:v>
      </x:c>
      <x:c r="C14" s="338" t="str">
        <x:v>Contract tests</x:v>
      </x:c>
      <x:c r="D14" s="338" t="str">
        <x:v>Agent contracts against Java ingestion and policy service.</x:v>
      </x:c>
      <x:c r="E14" s="338" t="str">
        <x:v>CI blocks on schema incompatibility.</x:v>
      </x:c>
      <x:c r="F14" s="338" t="str">
        <x:v>Data QA</x:v>
      </x:c>
      <x:c r="G14" s="339" t="str">
        <x:v>Draft Complete</x:v>
      </x:c>
    </x:row>
    <x:row r="15">
      <x:c r="A15" s="332" t="str">
        <x:v>CICD-008</x:v>
      </x:c>
      <x:c r="B15" s="114" t="str">
        <x:v>Testing</x:v>
      </x:c>
      <x:c r="C15" s="114" t="str">
        <x:v>OS test farm</x:v>
      </x:c>
      <x:c r="D15" s="114" t="str">
        <x:v>Windows/macOS build agents or device farm for permission/install/update tests.</x:v>
      </x:c>
      <x:c r="E15" s="114" t="str">
        <x:v>Required for Stage 3 acceptance.</x:v>
      </x:c>
      <x:c r="F15" s="114" t="str">
        <x:v>Desktop QA</x:v>
      </x:c>
      <x:c r="G15" s="333" t="str">
        <x:v>Owner Input</x:v>
      </x:c>
    </x:row>
    <x:row r="16">
      <x:c r="A16" s="337" t="str">
        <x:v>CICD-009</x:v>
      </x:c>
      <x:c r="B16" s="338" t="str">
        <x:v>Release</x:v>
      </x:c>
      <x:c r="C16" s="338" t="str">
        <x:v>Canary rollout</x:v>
      </x:c>
      <x:c r="D16" s="338" t="str">
        <x:v>Small internal canary group before broader pilot.</x:v>
      </x:c>
      <x:c r="E16" s="338" t="str">
        <x:v>Health, rollback, incident and support metrics monitored.</x:v>
      </x:c>
      <x:c r="F16" s="338" t="str">
        <x:v>SRE/IT</x:v>
      </x:c>
      <x:c r="G16" s="339" t="str">
        <x:v>Draft Complete</x:v>
      </x:c>
    </x:row>
    <x:row r="17">
      <x:c r="A17" s="334" t="str">
        <x:v>CICD-010</x:v>
      </x:c>
      <x:c r="B17" s="335" t="str">
        <x:v>Operations</x:v>
      </x:c>
      <x:c r="C17" s="335" t="str">
        <x:v>Feature flags</x:v>
      </x:c>
      <x:c r="D17" s="335" t="str">
        <x:v>Remote disable and per-sensor capability flags.</x:v>
      </x:c>
      <x:c r="E17" s="335" t="str">
        <x:v>DPO/CISO emergency disable path tested.</x:v>
      </x:c>
      <x:c r="F17" s="335" t="str">
        <x:v>Platform/Security</x:v>
      </x:c>
      <x:c r="G17" s="336" t="str">
        <x:v>Draft Complete</x:v>
      </x:c>
    </x:row>
  </x:sheetData>
  <x:mergeCells>
    <x:mergeCell ref="A1:G1"/>
    <x:mergeCell ref="A2:G2"/>
  </x:mergeCells>
  <x:dataValidations count="1">
    <x:dataValidation type="list" sqref="G5:G17">
      <x:formula1>"Draft Complete,Owner Input,Needs Review,Approved,Deferred"</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2" hidden="0" customWidth="1"/>
    <x:col min="14" max="14" width="28" hidden="0" customWidth="1"/>
  </x:cols>
  <x:sheetData>
    <x:row r="1" ht="30" customHeight="1">
      <x:c r="A1" s="294" t="str">
        <x:v>Stage 3 — Device Agent Foundation Backlog</x:v>
      </x:c>
      <x:c r="B1" s="294"/>
      <x:c r="C1" s="294"/>
      <x:c r="D1" s="294"/>
      <x:c r="E1" s="294"/>
      <x:c r="F1" s="294"/>
      <x:c r="G1" s="294"/>
      <x:c r="H1" s="294"/>
      <x:c r="I1" s="294"/>
      <x:c r="J1" s="294"/>
      <x:c r="K1" s="294"/>
      <x:c r="L1" s="294"/>
      <x:c r="M1" s="294"/>
      <x:c r="N1" s="294"/>
    </x:row>
    <x:row r="2" ht="36" customHeight="1">
      <x:c r="A2" s="298" t="str">
        <x:v>Implementation backlog for the signed, visible, policy-controlled device-agent foundation and its validation spikes.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S3-BL-001</x:v>
      </x:c>
      <x:c r="B5" s="330" t="str">
        <x:v>Architecture</x:v>
      </x:c>
      <x:c r="C5" s="330" t="str">
        <x:v>Create agent repository skeleton</x:v>
      </x:c>
      <x:c r="D5" s="330" t="str">
        <x:v>Set up Rust workspace, platform-bridge modules, contracts package and CI basics.</x:v>
      </x:c>
      <x:c r="E5" s="330" t="str">
        <x:v>Desktop Lead</x:v>
      </x:c>
      <x:c r="F5" s="330" t="str">
        <x:v>DevSecOps</x:v>
      </x:c>
      <x:c r="G5" s="330" t="str">
        <x:v>None</x:v>
      </x:c>
      <x:c r="H5" s="330" t="str">
        <x:v>Critical</x:v>
      </x:c>
      <x:c r="I5" s="330" t="str">
        <x:v>Not Started</x:v>
      </x:c>
      <x:c r="J5" s="347" t="n">
        <x:f>IF(I5="Approved",1,IF(I5="Draft Complete",0.8,IF(I5="In Review",0.6,IF(I5="In Progress",0.4,IF(I5="Blocked",0,0)))))</x:f>
        <x:v>0</x:v>
      </x:c>
      <x:c r="K5" s="330" t="n">
        <x:v>5</x:v>
      </x:c>
      <x:c r="L5" s="330" t="str">
        <x:v>Repository skeleton</x:v>
      </x:c>
      <x:c r="M5" s="330" t="str">
        <x:v>Build/test pipeline runs on all target platforms.</x:v>
      </x:c>
      <x:c r="N5" s="331" t="str">
        <x:v>Stage 3 ADRs</x:v>
      </x:c>
    </x:row>
    <x:row r="6">
      <x:c r="A6" s="337" t="str">
        <x:v>S3-BL-002</x:v>
      </x:c>
      <x:c r="B6" s="338" t="str">
        <x:v>Contracts</x:v>
      </x:c>
      <x:c r="C6" s="338" t="str">
        <x:v>Define AgentEventEnvelope schema</x:v>
      </x:c>
      <x:c r="D6" s="338" t="str">
        <x:v>Create JSON Schema and sample positive/negative fixtures.</x:v>
      </x:c>
      <x:c r="E6" s="338" t="str">
        <x:v>Data Architect</x:v>
      </x:c>
      <x:c r="F6" s="338" t="str">
        <x:v>Rust/Java</x:v>
      </x:c>
      <x:c r="G6" s="338" t="str">
        <x:v>S3-BL-001</x:v>
      </x:c>
      <x:c r="H6" s="338" t="str">
        <x:v>Critical</x:v>
      </x:c>
      <x:c r="I6" s="338" t="str">
        <x:v>Not Started</x:v>
      </x:c>
      <x:c r="J6" s="348" t="n">
        <x:f>IF(I6="Approved",1,IF(I6="Draft Complete",0.8,IF(I6="In Review",0.6,IF(I6="In Progress",0.4,IF(I6="Blocked",0,0)))))</x:f>
        <x:v>0</x:v>
      </x:c>
      <x:c r="K6" s="338" t="n">
        <x:v>4</x:v>
      </x:c>
      <x:c r="L6" s="338" t="str">
        <x:v>Schema package</x:v>
      </x:c>
      <x:c r="M6" s="338" t="str">
        <x:v>Rust and Java contract tests validate same fixtures.</x:v>
      </x:c>
      <x:c r="N6" s="339" t="str">
        <x:v>Event and API Contracts</x:v>
      </x:c>
    </x:row>
    <x:row r="7">
      <x:c r="A7" s="332" t="str">
        <x:v>S3-BL-003</x:v>
      </x:c>
      <x:c r="B7" s="114" t="str">
        <x:v>Policy</x:v>
      </x:c>
      <x:c r="C7" s="114" t="str">
        <x:v>Implement PolicyBundle schema and verifier</x:v>
      </x:c>
      <x:c r="D7" s="114" t="str">
        <x:v>Signed policy format, expiry, version, scope and fail-safe invalid cases.</x:v>
      </x:c>
      <x:c r="E7" s="114" t="str">
        <x:v>Security Architect</x:v>
      </x:c>
      <x:c r="F7" s="114" t="str">
        <x:v>Desktop/Platform</x:v>
      </x:c>
      <x:c r="G7" s="114" t="str">
        <x:v>S3-BL-001,S3-BL-002</x:v>
      </x:c>
      <x:c r="H7" s="114" t="str">
        <x:v>Critical</x:v>
      </x:c>
      <x:c r="I7" s="114" t="str">
        <x:v>Not Started</x:v>
      </x:c>
      <x:c r="J7" s="135" t="n">
        <x:f>IF(I7="Approved",1,IF(I7="Draft Complete",0.8,IF(I7="In Review",0.6,IF(I7="In Progress",0.4,IF(I7="Blocked",0,0)))))</x:f>
        <x:v>0</x:v>
      </x:c>
      <x:c r="K7" s="114" t="n">
        <x:v>8</x:v>
      </x:c>
      <x:c r="L7" s="114" t="str">
        <x:v>Policy verifier prototype</x:v>
      </x:c>
      <x:c r="M7" s="114" t="str">
        <x:v>Invalid/expired/rollback policies fail closed.</x:v>
      </x:c>
      <x:c r="N7" s="333" t="str">
        <x:v>Policy Bundle</x:v>
      </x:c>
    </x:row>
    <x:row r="8">
      <x:c r="A8" s="337" t="str">
        <x:v>S3-BL-004</x:v>
      </x:c>
      <x:c r="B8" s="338" t="str">
        <x:v>Device identity</x:v>
      </x:c>
      <x:c r="C8" s="338" t="str">
        <x:v>Implement registration and device certificate prototype</x:v>
      </x:c>
      <x:c r="D8" s="338" t="str">
        <x:v>Agent registers, receives certificate and uses mTLS to policy gateway stub.</x:v>
      </x:c>
      <x:c r="E8" s="338" t="str">
        <x:v>Platform Security</x:v>
      </x:c>
      <x:c r="F8" s="338" t="str">
        <x:v>Java/Desktop</x:v>
      </x:c>
      <x:c r="G8" s="338" t="str">
        <x:v>S3-BL-002</x:v>
      </x:c>
      <x:c r="H8" s="338" t="str">
        <x:v>Critical</x:v>
      </x:c>
      <x:c r="I8" s="338" t="str">
        <x:v>Not Started</x:v>
      </x:c>
      <x:c r="J8" s="348" t="n">
        <x:f>IF(I8="Approved",1,IF(I8="Draft Complete",0.8,IF(I8="In Review",0.6,IF(I8="In Progress",0.4,IF(I8="Blocked",0,0)))))</x:f>
        <x:v>0</x:v>
      </x:c>
      <x:c r="K8" s="338" t="n">
        <x:v>10</x:v>
      </x:c>
      <x:c r="L8" s="338" t="str">
        <x:v>Registration prototype</x:v>
      </x:c>
      <x:c r="M8" s="338" t="str">
        <x:v>Device can register, rotate and revoke cert in test.</x:v>
      </x:c>
      <x:c r="N8" s="339" t="str">
        <x:v>Device Identity and Key Model</x:v>
      </x:c>
    </x:row>
    <x:row r="9">
      <x:c r="A9" s="332" t="str">
        <x:v>S3-BL-005</x:v>
      </x:c>
      <x:c r="B9" s="114" t="str">
        <x:v>Session control</x:v>
      </x:c>
      <x:c r="C9" s="114" t="str">
        <x:v>Implement visible session state machine</x:v>
      </x:c>
      <x:c r="D9" s="114" t="str">
        <x:v>Ready/work/task/pause/private/offline/disabled/revoked states with UI stubs.</x:v>
      </x:c>
      <x:c r="E9" s="114" t="str">
        <x:v>Desktop/Product</x:v>
      </x:c>
      <x:c r="F9" s="114" t="str">
        <x:v>UX/QA</x:v>
      </x:c>
      <x:c r="G9" s="114" t="str">
        <x:v>S3-BL-003</x:v>
      </x:c>
      <x:c r="H9" s="114" t="str">
        <x:v>Critical</x:v>
      </x:c>
      <x:c r="I9" s="114" t="str">
        <x:v>Not Started</x:v>
      </x:c>
      <x:c r="J9" s="135" t="n">
        <x:f>IF(I9="Approved",1,IF(I9="Draft Complete",0.8,IF(I9="In Review",0.6,IF(I9="In Progress",0.4,IF(I9="Blocked",0,0)))))</x:f>
        <x:v>0</x:v>
      </x:c>
      <x:c r="K9" s="114" t="n">
        <x:v>10</x:v>
      </x:c>
      <x:c r="L9" s="114" t="str">
        <x:v>State-machine prototype</x:v>
      </x:c>
      <x:c r="M9" s="114" t="str">
        <x:v>No event capture path is active outside allowed state.</x:v>
      </x:c>
      <x:c r="N9" s="333" t="str">
        <x:v>Session State Machine</x:v>
      </x:c>
    </x:row>
    <x:row r="10">
      <x:c r="A10" s="337" t="str">
        <x:v>S3-BL-006</x:v>
      </x:c>
      <x:c r="B10" s="338" t="str">
        <x:v>Local storage</x:v>
      </x:c>
      <x:c r="C10" s="338" t="str">
        <x:v>Implement encrypted journal prototype</x:v>
      </x:c>
      <x:c r="D10" s="338" t="str">
        <x:v>Encrypted SQLite/SQLCipher-style journal, sequence, WAL, checksums, quota and recovery.</x:v>
      </x:c>
      <x:c r="E10" s="338" t="str">
        <x:v>Desktop/Data</x:v>
      </x:c>
      <x:c r="F10" s="338" t="str">
        <x:v>Security/QA</x:v>
      </x:c>
      <x:c r="G10" s="338" t="str">
        <x:v>S3-BL-001</x:v>
      </x:c>
      <x:c r="H10" s="338" t="str">
        <x:v>Critical</x:v>
      </x:c>
      <x:c r="I10" s="338" t="str">
        <x:v>Not Started</x:v>
      </x:c>
      <x:c r="J10" s="348" t="n">
        <x:f>IF(I10="Approved",1,IF(I10="Draft Complete",0.8,IF(I10="In Review",0.6,IF(I10="In Progress",0.4,IF(I10="Blocked",0,0)))))</x:f>
        <x:v>0</x:v>
      </x:c>
      <x:c r="K10" s="338" t="n">
        <x:v>12</x:v>
      </x:c>
      <x:c r="L10" s="338" t="str">
        <x:v>Local journal prototype</x:v>
      </x:c>
      <x:c r="M10" s="338" t="str">
        <x:v>72-hour offline and crash recovery tests pass.</x:v>
      </x:c>
      <x:c r="N10" s="339" t="str">
        <x:v>Local Storage Model</x:v>
      </x:c>
    </x:row>
    <x:row r="11">
      <x:c r="A11" s="332" t="str">
        <x:v>S3-BL-007</x:v>
      </x:c>
      <x:c r="B11" s="114" t="str">
        <x:v>Uploader</x:v>
      </x:c>
      <x:c r="C11" s="114" t="str">
        <x:v>Implement signed batch uploader and Java ingestion stub</x:v>
      </x:c>
      <x:c r="D11" s="114" t="str">
        <x:v>Batch compression, signature, idempotency, retry/backoff and ack/reject.</x:v>
      </x:c>
      <x:c r="E11" s="114" t="str">
        <x:v>Platform/Data</x:v>
      </x:c>
      <x:c r="F11" s="114" t="str">
        <x:v>Desktop/Java</x:v>
      </x:c>
      <x:c r="G11" s="114" t="str">
        <x:v>S3-BL-002,S3-BL-006</x:v>
      </x:c>
      <x:c r="H11" s="114" t="str">
        <x:v>Critical</x:v>
      </x:c>
      <x:c r="I11" s="114" t="str">
        <x:v>Not Started</x:v>
      </x:c>
      <x:c r="J11" s="135" t="n">
        <x:f>IF(I11="Approved",1,IF(I11="Draft Complete",0.8,IF(I11="In Review",0.6,IF(I11="In Progress",0.4,IF(I11="Blocked",0,0)))))</x:f>
        <x:v>0</x:v>
      </x:c>
      <x:c r="K11" s="114" t="n">
        <x:v>10</x:v>
      </x:c>
      <x:c r="L11" s="114" t="str">
        <x:v>Batch upload prototype</x:v>
      </x:c>
      <x:c r="M11" s="114" t="str">
        <x:v>Duplicate and late batches are safe.</x:v>
      </x:c>
      <x:c r="N11" s="333" t="str">
        <x:v>Event and API Contracts</x:v>
      </x:c>
    </x:row>
    <x:row r="12">
      <x:c r="A12" s="337" t="str">
        <x:v>S3-BL-008</x:v>
      </x:c>
      <x:c r="B12" s="338" t="str">
        <x:v>Employee UI</x:v>
      </x:c>
      <x:c r="C12" s="338" t="str">
        <x:v>Build tray/menu UI skeleton</x:v>
      </x:c>
      <x:c r="D12" s="338" t="str">
        <x:v>Visible active task, monitoring state, sensors, pause/private, support/report issue.</x:v>
      </x:c>
      <x:c r="E12" s="338" t="str">
        <x:v>Product/UX</x:v>
      </x:c>
      <x:c r="F12" s="338" t="str">
        <x:v>Desktop/Accessibility</x:v>
      </x:c>
      <x:c r="G12" s="338" t="str">
        <x:v>S3-BL-005</x:v>
      </x:c>
      <x:c r="H12" s="338" t="str">
        <x:v>Critical</x:v>
      </x:c>
      <x:c r="I12" s="338" t="str">
        <x:v>Not Started</x:v>
      </x:c>
      <x:c r="J12" s="348" t="n">
        <x:f>IF(I12="Approved",1,IF(I12="Draft Complete",0.8,IF(I12="In Review",0.6,IF(I12="In Progress",0.4,IF(I12="Blocked",0,0)))))</x:f>
        <x:v>0</x:v>
      </x:c>
      <x:c r="K12" s="338" t="n">
        <x:v>8</x:v>
      </x:c>
      <x:c r="L12" s="338" t="str">
        <x:v>UI skeleton</x:v>
      </x:c>
      <x:c r="M12" s="338" t="str">
        <x:v>Keyboard and screen-reader accessible.</x:v>
      </x:c>
      <x:c r="N12" s="339" t="str">
        <x:v>Session State Machine</x:v>
      </x:c>
    </x:row>
    <x:row r="13">
      <x:c r="A13" s="332" t="str">
        <x:v>S3-BL-009</x:v>
      </x:c>
      <x:c r="B13" s="114" t="str">
        <x:v>Windows spike</x:v>
      </x:c>
      <x:c r="C13" s="114" t="str">
        <x:v>Foreground app/window/process spike</x:v>
      </x:c>
      <x:c r="D13" s="114" t="str">
        <x:v>Prototype Windows event capture without content.</x:v>
      </x:c>
      <x:c r="E13" s="114" t="str">
        <x:v>Windows Lead</x:v>
      </x:c>
      <x:c r="F13" s="114" t="str">
        <x:v>QA/Security</x:v>
      </x:c>
      <x:c r="G13" s="114" t="str">
        <x:v>S3-BL-001</x:v>
      </x:c>
      <x:c r="H13" s="114" t="str">
        <x:v>High</x:v>
      </x:c>
      <x:c r="I13" s="114" t="str">
        <x:v>Not Started</x:v>
      </x:c>
      <x:c r="J13" s="135" t="n">
        <x:f>IF(I13="Approved",1,IF(I13="Draft Complete",0.8,IF(I13="In Review",0.6,IF(I13="In Progress",0.4,IF(I13="Blocked",0,0)))))</x:f>
        <x:v>0</x:v>
      </x:c>
      <x:c r="K13" s="114" t="n">
        <x:v>6</x:v>
      </x:c>
      <x:c r="L13" s="114" t="str">
        <x:v>Windows telemetry spike</x:v>
      </x:c>
      <x:c r="M13" s="114" t="str">
        <x:v>Meets OS Capability Matrix criteria.</x:v>
      </x:c>
      <x:c r="N13" s="333" t="str">
        <x:v>Technical Spikes</x:v>
      </x:c>
    </x:row>
    <x:row r="14">
      <x:c r="A14" s="337" t="str">
        <x:v>S3-BL-010</x:v>
      </x:c>
      <x:c r="B14" s="338" t="str">
        <x:v>macOS spike</x:v>
      </x:c>
      <x:c r="C14" s="338" t="str">
        <x:v>Foreground app/window/process spike</x:v>
      </x:c>
      <x:c r="D14" s="338" t="str">
        <x:v>Prototype macOS state capture and TCC permission UX.</x:v>
      </x:c>
      <x:c r="E14" s="338" t="str">
        <x:v>macOS Lead</x:v>
      </x:c>
      <x:c r="F14" s="338" t="str">
        <x:v>QA/Security</x:v>
      </x:c>
      <x:c r="G14" s="338" t="str">
        <x:v>S3-BL-001</x:v>
      </x:c>
      <x:c r="H14" s="338" t="str">
        <x:v>High</x:v>
      </x:c>
      <x:c r="I14" s="338" t="str">
        <x:v>Not Started</x:v>
      </x:c>
      <x:c r="J14" s="348" t="n">
        <x:f>IF(I14="Approved",1,IF(I14="Draft Complete",0.8,IF(I14="In Review",0.6,IF(I14="In Progress",0.4,IF(I14="Blocked",0,0)))))</x:f>
        <x:v>0</x:v>
      </x:c>
      <x:c r="K14" s="338" t="n">
        <x:v>6</x:v>
      </x:c>
      <x:c r="L14" s="338" t="str">
        <x:v>macOS telemetry spike</x:v>
      </x:c>
      <x:c r="M14" s="338" t="str">
        <x:v>Meets OS Capability Matrix criteria.</x:v>
      </x:c>
      <x:c r="N14" s="339" t="str">
        <x:v>Technical Spikes</x:v>
      </x:c>
    </x:row>
    <x:row r="15">
      <x:c r="A15" s="332" t="str">
        <x:v>S3-BL-011</x:v>
      </x:c>
      <x:c r="B15" s="114" t="str">
        <x:v>Security</x:v>
      </x:c>
      <x:c r="C15" s="114" t="str">
        <x:v>Secure-field/secret suppression test harness</x:v>
      </x:c>
      <x:c r="D15" s="114" t="str">
        <x:v>Adversarial test app/browser/terminal fixtures and scanner tests.</x:v>
      </x:c>
      <x:c r="E15" s="114" t="str">
        <x:v>CISO/Desktop</x:v>
      </x:c>
      <x:c r="F15" s="114" t="str">
        <x:v>QA/DPO</x:v>
      </x:c>
      <x:c r="G15" s="114" t="str">
        <x:v>S3-BL-003,S3-BL-006</x:v>
      </x:c>
      <x:c r="H15" s="114" t="str">
        <x:v>Critical</x:v>
      </x:c>
      <x:c r="I15" s="114" t="str">
        <x:v>Not Started</x:v>
      </x:c>
      <x:c r="J15" s="135" t="n">
        <x:f>IF(I15="Approved",1,IF(I15="Draft Complete",0.8,IF(I15="In Review",0.6,IF(I15="In Progress",0.4,IF(I15="Blocked",0,0)))))</x:f>
        <x:v>0</x:v>
      </x:c>
      <x:c r="K15" s="114" t="n">
        <x:v>10</x:v>
      </x:c>
      <x:c r="L15" s="114" t="str">
        <x:v>Secret-suppression harness</x:v>
      </x:c>
      <x:c r="M15" s="114" t="str">
        <x:v>Zero known secret retention.</x:v>
      </x:c>
      <x:c r="N15" s="333" t="str">
        <x:v>Technical Spikes</x:v>
      </x:c>
    </x:row>
    <x:row r="16">
      <x:c r="A16" s="337" t="str">
        <x:v>S3-BL-012</x:v>
      </x:c>
      <x:c r="B16" s="338" t="str">
        <x:v>Update</x:v>
      </x:c>
      <x:c r="C16" s="338" t="str">
        <x:v>Signed update and rollback pipeline</x:v>
      </x:c>
      <x:c r="D16" s="338" t="str">
        <x:v>Windows/macOS package signing, notarization, update manifest, rollback and SBOM.</x:v>
      </x:c>
      <x:c r="E16" s="338" t="str">
        <x:v>DevSecOps</x:v>
      </x:c>
      <x:c r="F16" s="338" t="str">
        <x:v>Desktop/IT</x:v>
      </x:c>
      <x:c r="G16" s="338" t="str">
        <x:v>S3-BL-001</x:v>
      </x:c>
      <x:c r="H16" s="338" t="str">
        <x:v>Critical</x:v>
      </x:c>
      <x:c r="I16" s="338" t="str">
        <x:v>Not Started</x:v>
      </x:c>
      <x:c r="J16" s="348" t="n">
        <x:f>IF(I16="Approved",1,IF(I16="Draft Complete",0.8,IF(I16="In Review",0.6,IF(I16="In Progress",0.4,IF(I16="Blocked",0,0)))))</x:f>
        <x:v>0</x:v>
      </x:c>
      <x:c r="K16" s="338" t="n">
        <x:v>15</x:v>
      </x:c>
      <x:c r="L16" s="338" t="str">
        <x:v>Signed update pipeline</x:v>
      </x:c>
      <x:c r="M16" s="338" t="str">
        <x:v>Install/update/rollback/uninstall matrix passes.</x:v>
      </x:c>
      <x:c r="N16" s="339" t="str">
        <x:v>Repository and CI/CD Plan</x:v>
      </x:c>
    </x:row>
    <x:row r="17">
      <x:c r="A17" s="332" t="str">
        <x:v>S3-BL-013</x:v>
      </x:c>
      <x:c r="B17" s="114" t="str">
        <x:v>Observability</x:v>
      </x:c>
      <x:c r="C17" s="114" t="str">
        <x:v>Health and diagnostics without evidence content</x:v>
      </x:c>
      <x:c r="D17" s="114" t="str">
        <x:v>Queue, policy, permission, version, heartbeat and error reporting.</x:v>
      </x:c>
      <x:c r="E17" s="114" t="str">
        <x:v>SRE/Desktop</x:v>
      </x:c>
      <x:c r="F17" s="114" t="str">
        <x:v>Security</x:v>
      </x:c>
      <x:c r="G17" s="114" t="str">
        <x:v>S3-BL-005,S3-BL-006</x:v>
      </x:c>
      <x:c r="H17" s="114" t="str">
        <x:v>High</x:v>
      </x:c>
      <x:c r="I17" s="114" t="str">
        <x:v>Not Started</x:v>
      </x:c>
      <x:c r="J17" s="135" t="n">
        <x:f>IF(I17="Approved",1,IF(I17="Draft Complete",0.8,IF(I17="In Review",0.6,IF(I17="In Progress",0.4,IF(I17="Blocked",0,0)))))</x:f>
        <x:v>0</x:v>
      </x:c>
      <x:c r="K17" s="114" t="n">
        <x:v>6</x:v>
      </x:c>
      <x:c r="L17" s="114" t="str">
        <x:v>Health prototype</x:v>
      </x:c>
      <x:c r="M17" s="114" t="str">
        <x:v>No sensitive sample value appears in logs/traces.</x:v>
      </x:c>
      <x:c r="N17" s="333" t="str">
        <x:v>Performance Budgets</x:v>
      </x:c>
    </x:row>
    <x:row r="18">
      <x:c r="A18" s="337" t="str">
        <x:v>S3-BL-014</x:v>
      </x:c>
      <x:c r="B18" s="338" t="str">
        <x:v>Security</x:v>
      </x:c>
      <x:c r="C18" s="338" t="str">
        <x:v>Stage 3 endpoint threat review</x:v>
      </x:c>
      <x:c r="D18" s="338" t="str">
        <x:v>Review tamper, privilege, secret, update, exfiltration and spoofing risks.</x:v>
      </x:c>
      <x:c r="E18" s="338" t="str">
        <x:v>CISO</x:v>
      </x:c>
      <x:c r="F18" s="338" t="str">
        <x:v>All leads</x:v>
      </x:c>
      <x:c r="G18" s="338" t="str">
        <x:v>S3-BL-003:S3-BL-013</x:v>
      </x:c>
      <x:c r="H18" s="338" t="str">
        <x:v>Critical</x:v>
      </x:c>
      <x:c r="I18" s="338" t="str">
        <x:v>Not Started</x:v>
      </x:c>
      <x:c r="J18" s="348" t="n">
        <x:f>IF(I18="Approved",1,IF(I18="Draft Complete",0.8,IF(I18="In Review",0.6,IF(I18="In Progress",0.4,IF(I18="Blocked",0,0)))))</x:f>
        <x:v>0</x:v>
      </x:c>
      <x:c r="K18" s="338" t="n">
        <x:v>4</x:v>
      </x:c>
      <x:c r="L18" s="338" t="str">
        <x:v>Security review record</x:v>
      </x:c>
      <x:c r="M18" s="338" t="str">
        <x:v>Critical threats have tested controls or blocking status.</x:v>
      </x:c>
      <x:c r="N18" s="339" t="str">
        <x:v>Stage 3 Threat Model</x:v>
      </x:c>
    </x:row>
    <x:row r="19">
      <x:c r="A19" s="332" t="str">
        <x:v>S3-BL-015</x:v>
      </x:c>
      <x:c r="B19" s="114" t="str">
        <x:v>QA</x:v>
      </x:c>
      <x:c r="C19" s="114" t="str">
        <x:v>Full Stage 3 test matrix execution</x:v>
      </x:c>
      <x:c r="D19" s="114" t="str">
        <x:v>Unit, contract, integration, OS, security, performance, offline, installer and UX tests.</x:v>
      </x:c>
      <x:c r="E19" s="114" t="str">
        <x:v>QA Lead</x:v>
      </x:c>
      <x:c r="F19" s="114" t="str">
        <x:v>All leads</x:v>
      </x:c>
      <x:c r="G19" s="114" t="str">
        <x:v>S3-BL-001:S3-BL-014</x:v>
      </x:c>
      <x:c r="H19" s="114" t="str">
        <x:v>Critical</x:v>
      </x:c>
      <x:c r="I19" s="114" t="str">
        <x:v>Not Started</x:v>
      </x:c>
      <x:c r="J19" s="135" t="n">
        <x:f>IF(I19="Approved",1,IF(I19="Draft Complete",0.8,IF(I19="In Review",0.6,IF(I19="In Progress",0.4,IF(I19="Blocked",0,0)))))</x:f>
        <x:v>0</x:v>
      </x:c>
      <x:c r="K19" s="114" t="n">
        <x:v>10</x:v>
      </x:c>
      <x:c r="L19" s="114" t="str">
        <x:v>Test report</x:v>
      </x:c>
      <x:c r="M19" s="114" t="str">
        <x:v>All blocking tests pass or gate holds.</x:v>
      </x:c>
      <x:c r="N19" s="333" t="str">
        <x:v>Test Matrix</x:v>
      </x:c>
    </x:row>
    <x:row r="20">
      <x:c r="A20" s="340" t="str">
        <x:v>S3-BL-016</x:v>
      </x:c>
      <x:c r="B20" s="341" t="str">
        <x:v>Documentation</x:v>
      </x:c>
      <x:c r="C20" s="341" t="str">
        <x:v>Stage 3 implementation package</x:v>
      </x:c>
      <x:c r="D20" s="341" t="str">
        <x:v>Architecture, module specs, state machine, policy, local storage, APIs, spikes, tests, ADRs and gate evidence.</x:v>
      </x:c>
      <x:c r="E20" s="341" t="str">
        <x:v>Programme Lead</x:v>
      </x:c>
      <x:c r="F20" s="341" t="str">
        <x:v>All owners</x:v>
      </x:c>
      <x:c r="G20" s="341" t="str">
        <x:v>S3-BL-001:S3-BL-015</x:v>
      </x:c>
      <x:c r="H20" s="341" t="str">
        <x:v>High</x:v>
      </x:c>
      <x:c r="I20" s="341" t="str">
        <x:v>Not Started</x:v>
      </x:c>
      <x:c r="J20" s="349" t="n">
        <x:f>IF(I20="Approved",1,IF(I20="Draft Complete",0.8,IF(I20="In Review",0.6,IF(I20="In Progress",0.4,IF(I20="Blocked",0,0)))))</x:f>
        <x:v>0</x:v>
      </x:c>
      <x:c r="K20" s="341" t="n">
        <x:v>4</x:v>
      </x:c>
      <x:c r="L20" s="341" t="str">
        <x:v>Stage 3 package</x:v>
      </x:c>
      <x:c r="M20" s="341" t="str">
        <x:v>Ready for Stage 3 gate review and Stage 4/5 handoff.</x:v>
      </x:c>
      <x:c r="N20" s="342" t="str">
        <x:v>Stage 3 Gate</x:v>
      </x:c>
    </x:row>
  </x:sheetData>
  <x:mergeCells>
    <x:mergeCell ref="A1:N1"/>
    <x:mergeCell ref="A2:N2"/>
  </x:mergeCells>
  <x:dataValidations count="2">
    <x:dataValidation type="list" sqref="H5:H20">
      <x:formula1>"Critical,High,Medium,Low"</x:formula1>
    </x:dataValidation>
    <x:dataValidation type="list" sqref="I5:I20">
      <x:formula1>"Not Started,In Progress,Draft Complete,In Review,Approved,Blocked,Deferred"</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32" hidden="0" customWidth="1"/>
    <x:col min="3" max="3" width="20" hidden="0" customWidth="1"/>
    <x:col min="4" max="4" width="46" hidden="0" customWidth="1"/>
    <x:col min="5" max="5" width="54" hidden="0" customWidth="1"/>
    <x:col min="6" max="6" width="34" hidden="0" customWidth="1"/>
    <x:col min="7" max="7" width="42" hidden="0" customWidth="1"/>
    <x:col min="8" max="8" width="38" hidden="0" customWidth="1"/>
    <x:col min="9" max="9" width="34" hidden="0" customWidth="1"/>
    <x:col min="10" max="10" width="24" hidden="0" customWidth="1"/>
    <x:col min="11" max="11" width="28" hidden="0" customWidth="1"/>
  </x:cols>
  <x:sheetData>
    <x:row r="1" ht="30" customHeight="1">
      <x:c r="A1" s="294" t="str">
        <x:v>Stage 3 — Architecture Decision Records</x:v>
      </x:c>
      <x:c r="B1" s="294"/>
      <x:c r="C1" s="294"/>
      <x:c r="D1" s="294"/>
      <x:c r="E1" s="294"/>
      <x:c r="F1" s="294"/>
      <x:c r="G1" s="294"/>
      <x:c r="H1" s="294"/>
      <x:c r="I1" s="294"/>
      <x:c r="J1" s="294"/>
      <x:c r="K1" s="294"/>
    </x:row>
    <x:row r="2" ht="36" customHeight="1">
      <x:c r="A2" s="298" t="str">
        <x:v>Device-agent foundation architecture decisions and trade-offs.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S3-ADR-001</x:v>
      </x:c>
      <x:c r="B5" s="330" t="str">
        <x:v>Rust shared core</x:v>
      </x:c>
      <x:c r="C5" s="330" t="str">
        <x:v>Accepted in principle</x:v>
      </x:c>
      <x:c r="D5" s="330" t="str">
        <x:v>Endpoint core requires long-running performance, memory safety and cross-platform logic.</x:v>
      </x:c>
      <x:c r="E5" s="330" t="str">
        <x:v>Use Rust for shared policy/session/journal/batch core.</x:v>
      </x:c>
      <x:c r="F5" s="330" t="str">
        <x:v>Java/Python/Electron always-on capture core.</x:v>
      </x:c>
      <x:c r="G5" s="330" t="str">
        <x:v>Performance, memory safety and cross-platform reuse.</x:v>
      </x:c>
      <x:c r="H5" s="330" t="str">
        <x:v>Rust/FFI expertise needed.</x:v>
      </x:c>
      <x:c r="I5" s="330" t="str">
        <x:v>Stage 3 skeleton and performance tests.</x:v>
      </x:c>
      <x:c r="J5" s="330" t="str">
        <x:v>Desktop Architect</x:v>
      </x:c>
      <x:c r="K5" s="331" t="str">
        <x:v>Rust architecture recommendation</x:v>
      </x:c>
    </x:row>
    <x:row r="6">
      <x:c r="A6" s="337" t="str">
        <x:v>S3-ADR-002</x:v>
      </x:c>
      <x:c r="B6" s="338" t="str">
        <x:v>Native OS bridges</x:v>
      </x:c>
      <x:c r="C6" s="338" t="str">
        <x:v>Accepted in principle</x:v>
      </x:c>
      <x:c r="D6" s="338" t="str">
        <x:v>OS capture and permissions require platform APIs.</x:v>
      </x:c>
      <x:c r="E6" s="338" t="str">
        <x:v>Use Swift/Objective-C for macOS and Rust FFI+C#/C++/native APIs on Windows where needed.</x:v>
      </x:c>
      <x:c r="F6" s="338" t="str">
        <x:v>Pure Rust only; cross-platform GUI toolkit only.</x:v>
      </x:c>
      <x:c r="G6" s="338" t="str">
        <x:v>Access to ScreenCaptureKit, AX, UIA, ETW and signing paths.</x:v>
      </x:c>
      <x:c r="H6" s="338" t="str">
        <x:v>Bridge complexity.</x:v>
      </x:c>
      <x:c r="I6" s="338" t="str">
        <x:v>OS spike matrix.</x:v>
      </x:c>
      <x:c r="J6" s="338" t="str">
        <x:v>Windows/macOS Leads</x:v>
      </x:c>
      <x:c r="K6" s="339" t="str">
        <x:v>Apple/Microsoft docs</x:v>
      </x:c>
    </x:row>
    <x:row r="7">
      <x:c r="A7" s="332" t="str">
        <x:v>S3-ADR-003</x:v>
      </x:c>
      <x:c r="B7" s="114" t="str">
        <x:v>Stage 3 excludes sensitive capture implementation</x:v>
      </x:c>
      <x:c r="C7" s="114" t="str">
        <x:v>Accepted</x:v>
      </x:c>
      <x:c r="D7" s="114" t="str">
        <x:v>Secure agent foundation must exist before keystroke/text/screenshot capture.</x:v>
      </x:c>
      <x:c r="E7" s="114" t="str">
        <x:v>Stage 3 builds skeleton, policy, storage, UI, identity and spikes; Stage 5 implements broader capture.</x:v>
      </x:c>
      <x:c r="F7" s="114" t="str">
        <x:v>Implement full capture immediately.</x:v>
      </x:c>
      <x:c r="G7" s="114" t="str">
        <x:v>Reduces privacy/security risk.</x:v>
      </x:c>
      <x:c r="H7" s="114" t="str">
        <x:v>Some stakeholders may expect visible capture output earlier.</x:v>
      </x:c>
      <x:c r="I7" s="114" t="str">
        <x:v>Stage 3 gate and Stage 5 handoff.</x:v>
      </x:c>
      <x:c r="J7" s="114" t="str">
        <x:v>Product/DPO/CISO</x:v>
      </x:c>
      <x:c r="K7" s="333" t="str">
        <x:v>Stage prompt</x:v>
      </x:c>
    </x:row>
    <x:row r="8">
      <x:c r="A8" s="337" t="str">
        <x:v>S3-ADR-004</x:v>
      </x:c>
      <x:c r="B8" s="338" t="str">
        <x:v>Fail-safe policy</x:v>
      </x:c>
      <x:c r="C8" s="338" t="str">
        <x:v>Accepted</x:v>
      </x:c>
      <x:c r="D8" s="338" t="str">
        <x:v>Capture policy may be unavailable, expired or tampered.</x:v>
      </x:c>
      <x:c r="E8" s="338" t="str">
        <x:v>Sensitive capture disabled when policy is invalid, expired or unverifiable.</x:v>
      </x:c>
      <x:c r="F8" s="338" t="str">
        <x:v>Allow last-known-policy indefinitely.</x:v>
      </x:c>
      <x:c r="G8" s="338" t="str">
        <x:v>Compliance and safety.</x:v>
      </x:c>
      <x:c r="H8" s="338" t="str">
        <x:v>May lose evidence during outages.</x:v>
      </x:c>
      <x:c r="I8" s="338" t="str">
        <x:v>Offline rules and telemetry gap events.</x:v>
      </x:c>
      <x:c r="J8" s="338" t="str">
        <x:v>Security/DPO</x:v>
      </x:c>
      <x:c r="K8" s="339" t="str">
        <x:v>Policy Bundle</x:v>
      </x:c>
    </x:row>
    <x:row r="9">
      <x:c r="A9" s="332" t="str">
        <x:v>S3-ADR-005</x:v>
      </x:c>
      <x:c r="B9" s="114" t="str">
        <x:v>Local-first redaction</x:v>
      </x:c>
      <x:c r="C9" s="114" t="str">
        <x:v>Accepted in principle</x:v>
      </x:c>
      <x:c r="D9" s="114" t="str">
        <x:v>Uploading raw candidate evidence increases privacy and security risk.</x:v>
      </x:c>
      <x:c r="E9" s="114" t="str">
        <x:v>Apply exclusion/redaction before durable storage/upload; log suppression without content.</x:v>
      </x:c>
      <x:c r="F9" s="114" t="str">
        <x:v>Cloud-first redaction.</x:v>
      </x:c>
      <x:c r="G9" s="114" t="str">
        <x:v>Lower data exposure.</x:v>
      </x:c>
      <x:c r="H9" s="114" t="str">
        <x:v>Edge redaction is harder to update/test.</x:v>
      </x:c>
      <x:c r="I9" s="114" t="str">
        <x:v>Secret-suppression harness.</x:v>
      </x:c>
      <x:c r="J9" s="114" t="str">
        <x:v>CISO/Desktop</x:v>
      </x:c>
      <x:c r="K9" s="333" t="str">
        <x:v>Purpose matrix</x:v>
      </x:c>
    </x:row>
    <x:row r="10">
      <x:c r="A10" s="337" t="str">
        <x:v>S3-ADR-006</x:v>
      </x:c>
      <x:c r="B10" s="338" t="str">
        <x:v>Encrypted local journal</x:v>
      </x:c>
      <x:c r="C10" s="338" t="str">
        <x:v>Accepted in principle</x:v>
      </x:c>
      <x:c r="D10" s="338" t="str">
        <x:v>Offline operation and crash recovery need durable local queue.</x:v>
      </x:c>
      <x:c r="E10" s="338" t="str">
        <x:v>Use encrypted SQLite/SQLCipher-style journal with WAL, sequence and object cache.</x:v>
      </x:c>
      <x:c r="F10" s="338" t="str">
        <x:v>Plain logs; cloud-only queue; custom binary store.</x:v>
      </x:c>
      <x:c r="G10" s="338" t="str">
        <x:v>Reliability and queryability.</x:v>
      </x:c>
      <x:c r="H10" s="338" t="str">
        <x:v>SQLCipher/licence/performance review needed.</x:v>
      </x:c>
      <x:c r="I10" s="338" t="str">
        <x:v>Local storage spike.</x:v>
      </x:c>
      <x:c r="J10" s="338" t="str">
        <x:v>Desktop/Data</x:v>
      </x:c>
      <x:c r="K10" s="339" t="str">
        <x:v>SQLCipher/SQLite pattern</x:v>
      </x:c>
    </x:row>
    <x:row r="11">
      <x:c r="A11" s="332" t="str">
        <x:v>S3-ADR-007</x:v>
      </x:c>
      <x:c r="B11" s="114" t="str">
        <x:v>Signed batches and idempotency</x:v>
      </x:c>
      <x:c r="C11" s="114" t="str">
        <x:v>Accepted</x:v>
      </x:c>
      <x:c r="D11" s="114" t="str">
        <x:v>Evidence integrity depends on trustworthy device origin and safe retries.</x:v>
      </x:c>
      <x:c r="E11" s="114" t="str">
        <x:v>Every batch signed, schema-versioned and idempotent with sequence/gap handling.</x:v>
      </x:c>
      <x:c r="F11" s="114" t="str">
        <x:v>Unsigned JSON posts.</x:v>
      </x:c>
      <x:c r="G11" s="114" t="str">
        <x:v>Prevents spoofing and duplicate corruption.</x:v>
      </x:c>
      <x:c r="H11" s="114" t="str">
        <x:v>More ingest complexity.</x:v>
      </x:c>
      <x:c r="I11" s="114" t="str">
        <x:v>Batch upload tests.</x:v>
      </x:c>
      <x:c r="J11" s="114" t="str">
        <x:v>Data/Platform</x:v>
      </x:c>
      <x:c r="K11" s="333" t="str">
        <x:v>Event architecture</x:v>
      </x:c>
    </x:row>
    <x:row r="12">
      <x:c r="A12" s="337" t="str">
        <x:v>S3-ADR-008</x:v>
      </x:c>
      <x:c r="B12" s="338" t="str">
        <x:v>Visible employee UI is infrastructure</x:v>
      </x:c>
      <x:c r="C12" s="338" t="str">
        <x:v>Accepted</x:v>
      </x:c>
      <x:c r="D12" s="338" t="str">
        <x:v>Transparency is a functional requirement, not an optional dashboard.</x:v>
      </x:c>
      <x:c r="E12" s="338" t="str">
        <x:v>Agent includes persistent status, active task, sensors and pause/private controls.</x:v>
      </x:c>
      <x:c r="F12" s="338" t="str">
        <x:v>Background service only.</x:v>
      </x:c>
      <x:c r="G12" s="338" t="str">
        <x:v>Employee trust and legal compliance.</x:v>
      </x:c>
      <x:c r="H12" s="338" t="str">
        <x:v>Additional UX complexity.</x:v>
      </x:c>
      <x:c r="I12" s="338" t="str">
        <x:v>Accessibility and comprehension tests.</x:v>
      </x:c>
      <x:c r="J12" s="338" t="str">
        <x:v>Product/HR/DPO</x:v>
      </x:c>
      <x:c r="K12" s="339" t="str">
        <x:v>Governance baseline</x:v>
      </x:c>
    </x:row>
    <x:row r="13">
      <x:c r="A13" s="332" t="str">
        <x:v>S3-ADR-009</x:v>
      </x:c>
      <x:c r="B13" s="114" t="str">
        <x:v>Linux deferred</x:v>
      </x:c>
      <x:c r="C13" s="114" t="str">
        <x:v>Accepted in principle</x:v>
      </x:c>
      <x:c r="D13" s="114" t="str">
        <x:v>Wayland/compositor restrictions make uniform input/screen capture unreliable.</x:v>
      </x:c>
      <x:c r="E13" s="114" t="str">
        <x:v>Support Windows/macOS first; Linux only after managed desktop environment validation.</x:v>
      </x:c>
      <x:c r="F13" s="114" t="str">
        <x:v>Promise Linux parity immediately.</x:v>
      </x:c>
      <x:c r="G13" s="114" t="str">
        <x:v>Avoids false claims and poor delivery.</x:v>
      </x:c>
      <x:c r="H13" s="114" t="str">
        <x:v>Linux users wait.</x:v>
      </x:c>
      <x:c r="I13" s="114" t="str">
        <x:v>Linux capability matrix.</x:v>
      </x:c>
      <x:c r="J13" s="114" t="str">
        <x:v>CTO/Desktop</x:v>
      </x:c>
      <x:c r="K13" s="333" t="str">
        <x:v>XDG portal limitations</x:v>
      </x:c>
    </x:row>
    <x:row r="14">
      <x:c r="A14" s="340" t="str">
        <x:v>S3-ADR-010</x:v>
      </x:c>
      <x:c r="B14" s="341" t="str">
        <x:v>No raw evidence in health/observability</x:v>
      </x:c>
      <x:c r="C14" s="341" t="str">
        <x:v>Accepted</x:v>
      </x:c>
      <x:c r="D14" s="341" t="str">
        <x:v>Logs/traces can leak employee evidence if not controlled.</x:v>
      </x:c>
      <x:c r="E14" s="341" t="str">
        <x:v>Health/telemetry contain only operational metadata and content references.</x:v>
      </x:c>
      <x:c r="F14" s="341" t="str">
        <x:v>Use logs/traces as evidence store.</x:v>
      </x:c>
      <x:c r="G14" s="341" t="str">
        <x:v>Reduces breach exposure.</x:v>
      </x:c>
      <x:c r="H14" s="341" t="str">
        <x:v>Need evidence correlation IDs.</x:v>
      </x:c>
      <x:c r="I14" s="341" t="str">
        <x:v>Content-leak test.</x:v>
      </x:c>
      <x:c r="J14" s="341" t="str">
        <x:v>SRE/DPO</x:v>
      </x:c>
      <x:c r="K14" s="342" t="str">
        <x:v>OpenTelemetry sensitivity</x:v>
      </x:c>
    </x:row>
  </x:sheetData>
  <x:mergeCells>
    <x:mergeCell ref="A1:K1"/>
    <x:mergeCell ref="A2:K2"/>
  </x:mergeCells>
  <x:dataValidations count="1">
    <x:dataValidation type="list" sqref="C5:C14">
      <x:formula1>"Proposed,Accepted in principle,Accepted,Rejected,Deferred"</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6"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3 — Go / No-Go Gate</x:v>
      </x:c>
      <x:c r="B1" s="294"/>
      <x:c r="C1" s="294"/>
      <x:c r="D1" s="294"/>
      <x:c r="E1" s="294"/>
      <x:c r="F1" s="294"/>
      <x:c r="G1" s="294"/>
      <x:c r="H1" s="294"/>
      <x:c r="I1" s="294"/>
    </x:row>
    <x:row r="2" ht="36" customHeight="1">
      <x:c r="A2" s="298" t="str">
        <x:v>Readiness criteria for the Device Agent Foundation. This gate approves agent foundation implementation; it does not approve unrestricted capture.</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S3-G-001</x:v>
      </x:c>
      <x:c r="B5" s="330" t="str">
        <x:v>Architecture</x:v>
      </x:c>
      <x:c r="C5" s="330" t="str">
        <x:v>Yes</x:v>
      </x:c>
      <x:c r="D5" s="330" t="str">
        <x:v>Agent architecture defines shared core, native bridges, policy, UI, journal, batcher and update components.</x:v>
      </x:c>
      <x:c r="E5" s="330" t="str">
        <x:v>Agent Architecture</x:v>
      </x:c>
      <x:c r="F5" s="330" t="str">
        <x:v>Draft Ready</x:v>
      </x:c>
      <x:c r="G5" s="347" t="n">
        <x:f>IF(F5="Met",1,IF(F5="Draft Ready",0.8,IF(F5="In Review",0.6,IF(F5="Owner Input",0.3,IF(F5="Blocked",0,0)))))</x:f>
        <x:v>0.8</x:v>
      </x:c>
      <x:c r="H5" s="330" t="str">
        <x:v>No component owner or boundary.</x:v>
      </x:c>
      <x:c r="I5" s="331" t="str">
        <x:v>CTO/Desktop</x:v>
      </x:c>
      <x:c r="K5" s="329" t="str">
        <x:v>Stage 3 readiness</x:v>
      </x:c>
      <x:c r="L5" s="350" t="n">
        <x:f>AVERAGE(G5:G19)</x:f>
        <x:v>0.7333333333333333</x:v>
      </x:c>
    </x:row>
    <x:row r="6">
      <x:c r="A6" s="337" t="str">
        <x:v>S3-G-002</x:v>
      </x:c>
      <x:c r="B6" s="338" t="str">
        <x:v>OS matrix</x:v>
      </x:c>
      <x:c r="C6" s="338" t="str">
        <x:v>Yes</x:v>
      </x:c>
      <x:c r="D6" s="338" t="str">
        <x:v>Windows/macOS/Linux capabilities, permissions and limitations are documented.</x:v>
      </x:c>
      <x:c r="E6" s="338" t="str">
        <x:v>OS Capability Matrix</x:v>
      </x:c>
      <x:c r="F6" s="338" t="str">
        <x:v>Draft Ready</x:v>
      </x:c>
      <x:c r="G6" s="348" t="n">
        <x:f>IF(F6="Met",1,IF(F6="Draft Ready",0.8,IF(F6="In Review",0.6,IF(F6="Owner Input",0.3,IF(F6="Blocked",0,0)))))</x:f>
        <x:v>0.8</x:v>
      </x:c>
      <x:c r="H6" s="338" t="str">
        <x:v>Linux parity overclaimed.</x:v>
      </x:c>
      <x:c r="I6" s="339" t="str">
        <x:v>Desktop Architect</x:v>
      </x:c>
      <x:c r="K6" s="332" t="str">
        <x:v>Mandatory not started/blocked</x:v>
      </x:c>
      <x:c r="L6" s="333" t="n">
        <x:f>COUNTIFS(C5:C19,"Yes",F5:F19,"Not Started")+COUNTIFS(C5:C19,"Yes",F5:F19,"Blocked")</x:f>
        <x:v>1</x:v>
      </x:c>
    </x:row>
    <x:row r="7">
      <x:c r="A7" s="332" t="str">
        <x:v>S3-G-003</x:v>
      </x:c>
      <x:c r="B7" s="114" t="str">
        <x:v>Policy first</x:v>
      </x:c>
      <x:c r="C7" s="114" t="str">
        <x:v>Yes</x:v>
      </x:c>
      <x:c r="D7" s="114" t="str">
        <x:v>Signed policy bundle and fail-safe behaviour are specified.</x:v>
      </x:c>
      <x:c r="E7" s="114" t="str">
        <x:v>Policy Bundle</x:v>
      </x:c>
      <x:c r="F7" s="114" t="str">
        <x:v>Draft Ready</x:v>
      </x:c>
      <x:c r="G7" s="135" t="n">
        <x:f>IF(F7="Met",1,IF(F7="Draft Ready",0.8,IF(F7="In Review",0.6,IF(F7="Owner Input",0.3,IF(F7="Blocked",0,0)))))</x:f>
        <x:v>0.8</x:v>
      </x:c>
      <x:c r="H7" s="114" t="str">
        <x:v>Capture can run without valid policy.</x:v>
      </x:c>
      <x:c r="I7" s="333" t="str">
        <x:v>CISO/DPO</x:v>
      </x:c>
      <x:c r="K7" s="332" t="str">
        <x:v>Draft-ready/met items</x:v>
      </x:c>
      <x:c r="L7" s="333" t="n">
        <x:f>COUNTIF(F5:F19,"Met")+COUNTIF(F5:F19,"Draft Ready")</x:f>
        <x:v>13</x:v>
      </x:c>
    </x:row>
    <x:row r="8">
      <x:c r="A8" s="337" t="str">
        <x:v>S3-G-004</x:v>
      </x:c>
      <x:c r="B8" s="338" t="str">
        <x:v>Visible session control</x:v>
      </x:c>
      <x:c r="C8" s="338" t="str">
        <x:v>Yes</x:v>
      </x:c>
      <x:c r="D8" s="338" t="str">
        <x:v>Work-day/task state machine and employee UI requirements are specified.</x:v>
      </x:c>
      <x:c r="E8" s="338" t="str">
        <x:v>Session State Machine / Agent Architecture</x:v>
      </x:c>
      <x:c r="F8" s="338" t="str">
        <x:v>Draft Ready</x:v>
      </x:c>
      <x:c r="G8" s="348" t="n">
        <x:f>IF(F8="Met",1,IF(F8="Draft Ready",0.8,IF(F8="In Review",0.6,IF(F8="Owner Input",0.3,IF(F8="Blocked",0,0)))))</x:f>
        <x:v>0.8</x:v>
      </x:c>
      <x:c r="H8" s="338" t="str">
        <x:v>Hidden or ambiguous capture state.</x:v>
      </x:c>
      <x:c r="I8" s="339" t="str">
        <x:v>Product/HR</x:v>
      </x:c>
      <x:c r="K8" s="334" t="str">
        <x:v>Formal decision count</x:v>
      </x:c>
      <x:c r="L8" s="336" t="n">
        <x:f>0</x:f>
        <x:v>0</x:v>
      </x:c>
    </x:row>
    <x:row r="9">
      <x:c r="A9" s="332" t="str">
        <x:v>S3-G-005</x:v>
      </x:c>
      <x:c r="B9" s="114" t="str">
        <x:v>Identity and keys</x:v>
      </x:c>
      <x:c r="C9" s="114" t="str">
        <x:v>Yes</x:v>
      </x:c>
      <x:c r="D9" s="114" t="str">
        <x:v>Device registration, certificate, mTLS, rotation, revocation and evidence keys are specified.</x:v>
      </x:c>
      <x:c r="E9" s="114" t="str">
        <x:v>Device Identity and Key Model</x:v>
      </x:c>
      <x:c r="F9" s="114" t="str">
        <x:v>Draft Ready</x:v>
      </x:c>
      <x:c r="G9" s="135" t="n">
        <x:f>IF(F9="Met",1,IF(F9="Draft Ready",0.8,IF(F9="In Review",0.6,IF(F9="Owner Input",0.3,IF(F9="Blocked",0,0)))))</x:f>
        <x:v>0.8</x:v>
      </x:c>
      <x:c r="H9" s="114" t="str">
        <x:v>No revocation or secure key storage.</x:v>
      </x:c>
      <x:c r="I9" s="333" t="str">
        <x:v>Platform Security</x:v>
      </x:c>
    </x:row>
    <x:row r="10">
      <x:c r="A10" s="337" t="str">
        <x:v>S3-G-006</x:v>
      </x:c>
      <x:c r="B10" s="338" t="str">
        <x:v>Local storage</x:v>
      </x:c>
      <x:c r="C10" s="338" t="str">
        <x:v>Yes</x:v>
      </x:c>
      <x:c r="D10" s="338" t="str">
        <x:v>Encrypted journal, object cache, sequence, crash recovery, quota and deletion model are specified.</x:v>
      </x:c>
      <x:c r="E10" s="338" t="str">
        <x:v>Local Storage Model</x:v>
      </x:c>
      <x:c r="F10" s="338" t="str">
        <x:v>Draft Ready</x:v>
      </x:c>
      <x:c r="G10" s="348" t="n">
        <x:f>IF(F10="Met",1,IF(F10="Draft Ready",0.8,IF(F10="In Review",0.6,IF(F10="Owner Input",0.3,IF(F10="Blocked",0,0)))))</x:f>
        <x:v>0.8</x:v>
      </x:c>
      <x:c r="H10" s="338" t="str">
        <x:v>Plaintext or unbounded storage.</x:v>
      </x:c>
      <x:c r="I10" s="339" t="str">
        <x:v>Data/Desktop</x:v>
      </x:c>
    </x:row>
    <x:row r="11">
      <x:c r="A11" s="332" t="str">
        <x:v>S3-G-007</x:v>
      </x:c>
      <x:c r="B11" s="114" t="str">
        <x:v>API/event contracts</x:v>
      </x:c>
      <x:c r="C11" s="114" t="str">
        <x:v>Yes</x:v>
      </x:c>
      <x:c r="D11" s="114" t="str">
        <x:v>Device APIs and batch/event schemas are specified.</x:v>
      </x:c>
      <x:c r="E11" s="114" t="str">
        <x:v>Event and API Contracts</x:v>
      </x:c>
      <x:c r="F11" s="114" t="str">
        <x:v>Draft Ready</x:v>
      </x:c>
      <x:c r="G11" s="135" t="n">
        <x:f>IF(F11="Met",1,IF(F11="Draft Ready",0.8,IF(F11="In Review",0.6,IF(F11="Owner Input",0.3,IF(F11="Blocked",0,0)))))</x:f>
        <x:v>0.8</x:v>
      </x:c>
      <x:c r="H11" s="114" t="str">
        <x:v>No contract between agent and cloud.</x:v>
      </x:c>
      <x:c r="I11" s="333" t="str">
        <x:v>Data/Platform</x:v>
      </x:c>
    </x:row>
    <x:row r="12">
      <x:c r="A12" s="337" t="str">
        <x:v>S3-G-008</x:v>
      </x:c>
      <x:c r="B12" s="338" t="str">
        <x:v>Spikes</x:v>
      </x:c>
      <x:c r="C12" s="338" t="str">
        <x:v>Yes</x:v>
      </x:c>
      <x:c r="D12" s="338" t="str">
        <x:v>Highest-risk technical spikes have methods, metrics and decision rules.</x:v>
      </x:c>
      <x:c r="E12" s="338" t="str">
        <x:v>Technical Spikes</x:v>
      </x:c>
      <x:c r="F12" s="338" t="str">
        <x:v>Draft Ready</x:v>
      </x:c>
      <x:c r="G12" s="348" t="n">
        <x:f>IF(F12="Met",1,IF(F12="Draft Ready",0.8,IF(F12="In Review",0.6,IF(F12="Owner Input",0.3,IF(F12="Blocked",0,0)))))</x:f>
        <x:v>0.8</x:v>
      </x:c>
      <x:c r="H12" s="338" t="str">
        <x:v>Implementation starts without measurable uncertainty reduction.</x:v>
      </x:c>
      <x:c r="I12" s="339" t="str">
        <x:v>Programme/Architecture</x:v>
      </x:c>
    </x:row>
    <x:row r="13">
      <x:c r="A13" s="332" t="str">
        <x:v>S3-G-009</x:v>
      </x:c>
      <x:c r="B13" s="114" t="str">
        <x:v>Performance/reliability</x:v>
      </x:c>
      <x:c r="C13" s="114" t="str">
        <x:v>Yes</x:v>
      </x:c>
      <x:c r="D13" s="114" t="str">
        <x:v>CPU, memory, input latency, storage, offline, crash and install budgets are defined.</x:v>
      </x:c>
      <x:c r="E13" s="114" t="str">
        <x:v>Performance Budgets</x:v>
      </x:c>
      <x:c r="F13" s="114" t="str">
        <x:v>Draft Ready</x:v>
      </x:c>
      <x:c r="G13" s="135" t="n">
        <x:f>IF(F13="Met",1,IF(F13="Draft Ready",0.8,IF(F13="In Review",0.6,IF(F13="Owner Input",0.3,IF(F13="Blocked",0,0)))))</x:f>
        <x:v>0.8</x:v>
      </x:c>
      <x:c r="H13" s="114" t="str">
        <x:v>No endpoint performance targets.</x:v>
      </x:c>
      <x:c r="I13" s="333" t="str">
        <x:v>SRE/Desktop</x:v>
      </x:c>
    </x:row>
    <x:row r="14">
      <x:c r="A14" s="337" t="str">
        <x:v>S3-G-010</x:v>
      </x:c>
      <x:c r="B14" s="338" t="str">
        <x:v>Threat model</x:v>
      </x:c>
      <x:c r="C14" s="338" t="str">
        <x:v>Yes</x:v>
      </x:c>
      <x:c r="D14" s="338" t="str">
        <x:v>Endpoint threat model covers tampering, privilege, secret capture, update, spoofing and misuse.</x:v>
      </x:c>
      <x:c r="E14" s="338" t="str">
        <x:v>Stage 3 Threat Model</x:v>
      </x:c>
      <x:c r="F14" s="338" t="str">
        <x:v>Draft Ready</x:v>
      </x:c>
      <x:c r="G14" s="348" t="n">
        <x:f>IF(F14="Met",1,IF(F14="Draft Ready",0.8,IF(F14="In Review",0.6,IF(F14="Owner Input",0.3,IF(F14="Blocked",0,0)))))</x:f>
        <x:v>0.8</x:v>
      </x:c>
      <x:c r="H14" s="338" t="str">
        <x:v>Critical threat lacks control.</x:v>
      </x:c>
      <x:c r="I14" s="339" t="str">
        <x:v>CISO</x:v>
      </x:c>
    </x:row>
    <x:row r="15">
      <x:c r="A15" s="332" t="str">
        <x:v>S3-G-011</x:v>
      </x:c>
      <x:c r="B15" s="114" t="str">
        <x:v>Test strategy</x:v>
      </x:c>
      <x:c r="C15" s="114" t="str">
        <x:v>Yes</x:v>
      </x:c>
      <x:c r="D15" s="114" t="str">
        <x:v>Unit, contract, integration, OS, security, performance, chaos, installer and UX tests are defined.</x:v>
      </x:c>
      <x:c r="E15" s="114" t="str">
        <x:v>Test Matrix</x:v>
      </x:c>
      <x:c r="F15" s="114" t="str">
        <x:v>Draft Ready</x:v>
      </x:c>
      <x:c r="G15" s="135" t="n">
        <x:f>IF(F15="Met",1,IF(F15="Draft Ready",0.8,IF(F15="In Review",0.6,IF(F15="Owner Input",0.3,IF(F15="Blocked",0,0)))))</x:f>
        <x:v>0.8</x:v>
      </x:c>
      <x:c r="H15" s="114" t="str">
        <x:v>No blocking tests for policy/secret/security.</x:v>
      </x:c>
      <x:c r="I15" s="333" t="str">
        <x:v>QA Lead</x:v>
      </x:c>
    </x:row>
    <x:row r="16">
      <x:c r="A16" s="337" t="str">
        <x:v>S3-G-012</x:v>
      </x:c>
      <x:c r="B16" s="338" t="str">
        <x:v>CI/CD</x:v>
      </x:c>
      <x:c r="C16" s="338" t="str">
        <x:v>Yes</x:v>
      </x:c>
      <x:c r="D16" s="338" t="str">
        <x:v>Repository, signing, notarisation, SBOM, dependency scan, canary and rollback are specified.</x:v>
      </x:c>
      <x:c r="E16" s="338" t="str">
        <x:v>Repository and CI/CD Plan</x:v>
      </x:c>
      <x:c r="F16" s="338" t="str">
        <x:v>Draft Ready</x:v>
      </x:c>
      <x:c r="G16" s="348" t="n">
        <x:f>IF(F16="Met",1,IF(F16="Draft Ready",0.8,IF(F16="In Review",0.6,IF(F16="Owner Input",0.3,IF(F16="Blocked",0,0)))))</x:f>
        <x:v>0.8</x:v>
      </x:c>
      <x:c r="H16" s="338" t="str">
        <x:v>Unsigned/unmanaged endpoint deployment.</x:v>
      </x:c>
      <x:c r="I16" s="339" t="str">
        <x:v>DevSecOps</x:v>
      </x:c>
    </x:row>
    <x:row r="17">
      <x:c r="A17" s="332" t="str">
        <x:v>S3-G-013</x:v>
      </x:c>
      <x:c r="B17" s="114" t="str">
        <x:v>HumanOS reuse</x:v>
      </x:c>
      <x:c r="C17" s="114" t="str">
        <x:v>Yes</x:v>
      </x:c>
      <x:c r="D17" s="114" t="str">
        <x:v>Device control, policy, identity, secrets, audit, event and object service integration is defined.</x:v>
      </x:c>
      <x:c r="E17" s="114" t="str">
        <x:v>Agent Architecture / Microservices Map</x:v>
      </x:c>
      <x:c r="F17" s="114" t="str">
        <x:v>In Review</x:v>
      </x:c>
      <x:c r="G17" s="135" t="n">
        <x:f>IF(F17="Met",1,IF(F17="Draft Ready",0.8,IF(F17="In Review",0.6,IF(F17="Owner Input",0.3,IF(F17="Blocked",0,0)))))</x:f>
        <x:v>0.6</x:v>
      </x:c>
      <x:c r="H17" s="114" t="str">
        <x:v>Duplicate platform services.</x:v>
      </x:c>
      <x:c r="I17" s="333" t="str">
        <x:v>Enterprise Architect</x:v>
      </x:c>
    </x:row>
    <x:row r="18">
      <x:c r="A18" s="337" t="str">
        <x:v>S3-G-014</x:v>
      </x:c>
      <x:c r="B18" s="338" t="str">
        <x:v>Stage 3 backlog</x:v>
      </x:c>
      <x:c r="C18" s="338" t="str">
        <x:v>Yes</x:v>
      </x:c>
      <x:c r="D18" s="338" t="str">
        <x:v>Implementation backlog has owners, dependencies, effort, deliverables and tests.</x:v>
      </x:c>
      <x:c r="E18" s="338" t="str">
        <x:v>Stage 3 Backlog</x:v>
      </x:c>
      <x:c r="F18" s="338" t="str">
        <x:v>Draft Ready</x:v>
      </x:c>
      <x:c r="G18" s="348" t="n">
        <x:f>IF(F18="Met",1,IF(F18="Draft Ready",0.8,IF(F18="In Review",0.6,IF(F18="Owner Input",0.3,IF(F18="Blocked",0,0)))))</x:f>
        <x:v>0.8</x:v>
      </x:c>
      <x:c r="H18" s="338" t="str">
        <x:v>No executable engineering plan.</x:v>
      </x:c>
      <x:c r="I18" s="339" t="str">
        <x:v>Programme</x:v>
      </x:c>
    </x:row>
    <x:row r="19">
      <x:c r="A19" s="334" t="str">
        <x:v>S3-G-015</x:v>
      </x:c>
      <x:c r="B19" s="335" t="str">
        <x:v>Formal decision</x:v>
      </x:c>
      <x:c r="C19" s="335" t="str">
        <x:v>Yes</x:v>
      </x:c>
      <x:c r="D19" s="335" t="str">
        <x:v>CTO, CISO, DPO, Product, IT and Architecture Board record Stage 3 gate decision.</x:v>
      </x:c>
      <x:c r="E19" s="335" t="str">
        <x:v>Review minutes and gate record</x:v>
      </x:c>
      <x:c r="F19" s="335" t="str">
        <x:v>Not Started</x:v>
      </x:c>
      <x:c r="G19" s="351" t="n">
        <x:f>IF(F19="Met",1,IF(F19="Draft Ready",0.8,IF(F19="In Review",0.6,IF(F19="Owner Input",0.3,IF(F19="Blocked",0,0)))))</x:f>
        <x:v>0</x:v>
      </x:c>
      <x:c r="H19" s="335" t="str">
        <x:v>No gate decision.</x:v>
      </x:c>
      <x:c r="I19" s="336"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34" hidden="0" customWidth="1"/>
    <x:col min="3" max="3" width="24" hidden="0" customWidth="1"/>
    <x:col min="4" max="4" width="54" hidden="0" customWidth="1"/>
    <x:col min="5" max="5" width="64" hidden="0" customWidth="1"/>
    <x:col min="6" max="6" width="12" hidden="0" customWidth="1"/>
    <x:col min="7" max="7" width="44" hidden="0" customWidth="1"/>
  </x:cols>
  <x:sheetData>
    <x:row r="1" ht="30" customHeight="1">
      <x:c r="A1" s="294" t="str">
        <x:v>Stage 3 — Source Register</x:v>
      </x:c>
      <x:c r="B1" s="294"/>
      <x:c r="C1" s="294"/>
      <x:c r="D1" s="294"/>
      <x:c r="E1" s="294"/>
      <x:c r="F1" s="294"/>
      <x:c r="G1" s="294"/>
    </x:row>
    <x:row r="2" ht="36" customHeight="1">
      <x:c r="A2" s="298" t="str">
        <x:v>Device-agent foundation sources: OS APIs, signing/notarisation, local storage, SBOM/signing, API/event schemas and observability.</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S3-SRC-001</x:v>
      </x:c>
      <x:c r="B5" s="330" t="str">
        <x:v>Microsoft UI Automation overview</x:v>
      </x:c>
      <x:c r="C5" s="330" t="str">
        <x:v>Windows UI/accessibility</x:v>
      </x:c>
      <x:c r="D5" s="330" t="str">
        <x:v>AutomationElement tree, properties and control patterns.</x:v>
      </x:c>
      <x:c r="E5" s="330" t="str">
        <x:v>https://learn.microsoft.com/en-us/dotnet/framework/ui-automation/ui-automation-overview</x:v>
      </x:c>
      <x:c r="F5" s="330" t="str">
        <x:v>High</x:v>
      </x:c>
      <x:c r="G5" s="331" t="str">
        <x:v>Windows semantic UI state.</x:v>
      </x:c>
    </x:row>
    <x:row r="6">
      <x:c r="A6" s="337" t="str">
        <x:v>S3-SRC-002</x:v>
      </x:c>
      <x:c r="B6" s="338" t="str">
        <x:v>Microsoft Raw Input overview</x:v>
      </x:c>
      <x:c r="C6" s="338" t="str">
        <x:v>Windows input</x:v>
      </x:c>
      <x:c r="D6" s="338" t="str">
        <x:v>Raw input as an asynchronous input monitoring option.</x:v>
      </x:c>
      <x:c r="E6" s="338" t="str">
        <x:v>https://learn.microsoft.com/en-us/windows/win32/inputdev/about-raw-input</x:v>
      </x:c>
      <x:c r="F6" s="338" t="str">
        <x:v>High</x:v>
      </x:c>
      <x:c r="G6" s="339" t="str">
        <x:v>Input-provenance spike.</x:v>
      </x:c>
    </x:row>
    <x:row r="7">
      <x:c r="A7" s="332" t="str">
        <x:v>S3-SRC-003</x:v>
      </x:c>
      <x:c r="B7" s="114" t="str">
        <x:v>Microsoft LowLevelMouseProc</x:v>
      </x:c>
      <x:c r="C7" s="114" t="str">
        <x:v>Windows hooks</x:v>
      </x:c>
      <x:c r="D7" s="114" t="str">
        <x:v>Low-level hook timeout and recommendation to use raw input in many cases.</x:v>
      </x:c>
      <x:c r="E7" s="114" t="str">
        <x:v>https://learn.microsoft.com/en-us/windows/win32/winmsg/lowlevelmouseproc</x:v>
      </x:c>
      <x:c r="F7" s="114" t="str">
        <x:v>High</x:v>
      </x:c>
      <x:c r="G7" s="333" t="str">
        <x:v>Avoid blocking low-level hooks.</x:v>
      </x:c>
    </x:row>
    <x:row r="8">
      <x:c r="A8" s="337" t="str">
        <x:v>S3-SRC-004</x:v>
      </x:c>
      <x:c r="B8" s="338" t="str">
        <x:v>Microsoft MSIX signing</x:v>
      </x:c>
      <x:c r="C8" s="338" t="str">
        <x:v>Windows signing</x:v>
      </x:c>
      <x:c r="D8" s="338" t="str">
        <x:v>Windows requires MSIX packages to be signed and trusted; timestamping recommended.</x:v>
      </x:c>
      <x:c r="E8" s="338" t="str">
        <x:v>https://learn.microsoft.com/en-us/windows/msix/package/signing-package-overview</x:v>
      </x:c>
      <x:c r="F8" s="338" t="str">
        <x:v>High</x:v>
      </x:c>
      <x:c r="G8" s="339" t="str">
        <x:v>Endpoint package trust.</x:v>
      </x:c>
    </x:row>
    <x:row r="9">
      <x:c r="A9" s="332" t="str">
        <x:v>S3-SRC-005</x:v>
      </x:c>
      <x:c r="B9" s="114" t="str">
        <x:v>Microsoft code-signing options</x:v>
      </x:c>
      <x:c r="C9" s="114" t="str">
        <x:v>Windows signing</x:v>
      </x:c>
      <x:c r="D9" s="114" t="str">
        <x:v>Windows signing options for Store and non-Store app distribution.</x:v>
      </x:c>
      <x:c r="E9" s="114" t="str">
        <x:v>https://learn.microsoft.com/en-us/windows/apps/package-and-deploy/code-signing-options</x:v>
      </x:c>
      <x:c r="F9" s="114" t="str">
        <x:v>Medium</x:v>
      </x:c>
      <x:c r="G9" s="333" t="str">
        <x:v>Signing strategy.</x:v>
      </x:c>
    </x:row>
    <x:row r="10">
      <x:c r="A10" s="337" t="str">
        <x:v>S3-SRC-006</x:v>
      </x:c>
      <x:c r="B10" s="338" t="str">
        <x:v>Apple ScreenCaptureKit</x:v>
      </x:c>
      <x:c r="C10" s="338" t="str">
        <x:v>macOS capture</x:v>
      </x:c>
      <x:c r="D10" s="338" t="str">
        <x:v>High-performance frame capture of selected screen/window/app content.</x:v>
      </x:c>
      <x:c r="E10" s="338" t="str">
        <x:v>https://developer.apple.com/documentation/screencapturekit</x:v>
      </x:c>
      <x:c r="F10" s="338" t="str">
        <x:v>High</x:v>
      </x:c>
      <x:c r="G10" s="339" t="str">
        <x:v>Stage 5 capture spike; not unrestricted Stage 3.</x:v>
      </x:c>
    </x:row>
    <x:row r="11">
      <x:c r="A11" s="332" t="str">
        <x:v>S3-SRC-007</x:v>
      </x:c>
      <x:c r="B11" s="114" t="str">
        <x:v>Apple Developer ID</x:v>
      </x:c>
      <x:c r="C11" s="114" t="str">
        <x:v>macOS signing/notarisation</x:v>
      </x:c>
      <x:c r="D11" s="114" t="str">
        <x:v>Developer ID signing and notarization for apps outside the Mac App Store.</x:v>
      </x:c>
      <x:c r="E11" s="114" t="str">
        <x:v>https://developer.apple.com/developer-id/</x:v>
      </x:c>
      <x:c r="F11" s="114" t="str">
        <x:v>High</x:v>
      </x:c>
      <x:c r="G11" s="333" t="str">
        <x:v>macOS distribution.</x:v>
      </x:c>
    </x:row>
    <x:row r="12">
      <x:c r="A12" s="337" t="str">
        <x:v>S3-SRC-008</x:v>
      </x:c>
      <x:c r="B12" s="338" t="str">
        <x:v>Xcode notarization help</x:v>
      </x:c>
      <x:c r="C12" s="338" t="str">
        <x:v>macOS notarisation</x:v>
      </x:c>
      <x:c r="D12" s="338" t="str">
        <x:v>Upload, hardened runtime and notarization workflow.</x:v>
      </x:c>
      <x:c r="E12" s="338" t="str">
        <x:v>https://help.apple.com/xcode/mac/current/en.lproj/dev88332a81e.html</x:v>
      </x:c>
      <x:c r="F12" s="338" t="str">
        <x:v>Medium</x:v>
      </x:c>
      <x:c r="G12" s="339" t="str">
        <x:v>CI/CD package validation.</x:v>
      </x:c>
    </x:row>
    <x:row r="13">
      <x:c r="A13" s="332" t="str">
        <x:v>S3-SRC-009</x:v>
      </x:c>
      <x:c r="B13" s="114" t="str">
        <x:v>Apple Endpoint Security</x:v>
      </x:c>
      <x:c r="C13" s="114" t="str">
        <x:v>macOS event monitoring</x:v>
      </x:c>
      <x:c r="D13" s="114" t="str">
        <x:v>System extension API for monitoring process and system events.</x:v>
      </x:c>
      <x:c r="E13" s="114" t="str">
        <x:v>https://developer.apple.com/documentation/endpointsecurity</x:v>
      </x:c>
      <x:c r="F13" s="114" t="str">
        <x:v>Medium</x:v>
      </x:c>
      <x:c r="G13" s="333" t="str">
        <x:v>Process/file spike; privilege review needed.</x:v>
      </x:c>
    </x:row>
    <x:row r="14">
      <x:c r="A14" s="337" t="str">
        <x:v>S3-SRC-010</x:v>
      </x:c>
      <x:c r="B14" s="338" t="str">
        <x:v>Chrome Native Messaging</x:v>
      </x:c>
      <x:c r="C14" s="338" t="str">
        <x:v>Browser integration</x:v>
      </x:c>
      <x:c r="D14" s="338" t="str">
        <x:v>Browser extension to native application communication.</x:v>
      </x:c>
      <x:c r="E14" s="338" t="str">
        <x:v>https://developer.chrome.com/docs/extensions/develop/concepts/native-messaging</x:v>
      </x:c>
      <x:c r="F14" s="338" t="str">
        <x:v>High</x:v>
      </x:c>
      <x:c r="G14" s="339" t="str">
        <x:v>Browser adapter.</x:v>
      </x:c>
    </x:row>
    <x:row r="15">
      <x:c r="A15" s="332" t="str">
        <x:v>S3-SRC-011</x:v>
      </x:c>
      <x:c r="B15" s="114" t="str">
        <x:v>Chrome Tabs API</x:v>
      </x:c>
      <x:c r="C15" s="114" t="str">
        <x:v>Browser tab metadata</x:v>
      </x:c>
      <x:c r="D15" s="114" t="str">
        <x:v>Tab title/URL/activity permissions and access.</x:v>
      </x:c>
      <x:c r="E15" s="114" t="str">
        <x:v>https://developer.chrome.com/docs/extensions/reference/api/tabs</x:v>
      </x:c>
      <x:c r="F15" s="114" t="str">
        <x:v>High</x:v>
      </x:c>
      <x:c r="G15" s="333" t="str">
        <x:v>Browser metadata collection.</x:v>
      </x:c>
    </x:row>
    <x:row r="16">
      <x:c r="A16" s="337" t="str">
        <x:v>S3-SRC-012</x:v>
      </x:c>
      <x:c r="B16" s="338" t="str">
        <x:v>XDG Desktop Portal InputCapture</x:v>
      </x:c>
      <x:c r="C16" s="338" t="str">
        <x:v>Linux/Wayland</x:v>
      </x:c>
      <x:c r="D16" s="338" t="str">
        <x:v>Input capture portal limitations and compositor control.</x:v>
      </x:c>
      <x:c r="E16" s="338" t="str">
        <x:v>https://flatpak.github.io/xdg-desktop-portal/docs/doc-org.freedesktop.portal.InputCapture.html</x:v>
      </x:c>
      <x:c r="F16" s="338" t="str">
        <x:v>Medium</x:v>
      </x:c>
      <x:c r="G16" s="339" t="str">
        <x:v>Reason for Linux deferral.</x:v>
      </x:c>
    </x:row>
    <x:row r="17">
      <x:c r="A17" s="332" t="str">
        <x:v>S3-SRC-013</x:v>
      </x:c>
      <x:c r="B17" s="114" t="str">
        <x:v>SQLCipher</x:v>
      </x:c>
      <x:c r="C17" s="114" t="str">
        <x:v>Encrypted local storage</x:v>
      </x:c>
      <x:c r="D17" s="114" t="str">
        <x:v>SQLite-compatible encrypted database option.</x:v>
      </x:c>
      <x:c r="E17" s="114" t="str">
        <x:v>https://www.zetetic.net/sqlcipher/</x:v>
      </x:c>
      <x:c r="F17" s="114" t="str">
        <x:v>Medium</x:v>
      </x:c>
      <x:c r="G17" s="333" t="str">
        <x:v>Evaluate licence/performance before use.</x:v>
      </x:c>
    </x:row>
    <x:row r="18">
      <x:c r="A18" s="337" t="str">
        <x:v>S3-SRC-014</x:v>
      </x:c>
      <x:c r="B18" s="338" t="str">
        <x:v>CycloneDX SBOM</x:v>
      </x:c>
      <x:c r="C18" s="338" t="str">
        <x:v>Supply chain</x:v>
      </x:c>
      <x:c r="D18" s="338" t="str">
        <x:v>Machine-readable software component/dependency inventory and risk management.</x:v>
      </x:c>
      <x:c r="E18" s="338" t="str">
        <x:v>https://cyclonedx.org/capabilities/sbom/</x:v>
      </x:c>
      <x:c r="F18" s="338" t="str">
        <x:v>High</x:v>
      </x:c>
      <x:c r="G18" s="339" t="str">
        <x:v>Endpoint/service SBOM.</x:v>
      </x:c>
    </x:row>
    <x:row r="19">
      <x:c r="A19" s="332" t="str">
        <x:v>S3-SRC-015</x:v>
      </x:c>
      <x:c r="B19" s="114" t="str">
        <x:v>SPDX</x:v>
      </x:c>
      <x:c r="C19" s="114" t="str">
        <x:v>Supply chain</x:v>
      </x:c>
      <x:c r="D19" s="114" t="str">
        <x:v>ISO/IEC 5962:2021 open standard for SBOM and other references.</x:v>
      </x:c>
      <x:c r="E19" s="114" t="str">
        <x:v>https://spdx.dev/</x:v>
      </x:c>
      <x:c r="F19" s="114" t="str">
        <x:v>High</x:v>
      </x:c>
      <x:c r="G19" s="333" t="str">
        <x:v>Licence/SBOM alternative.</x:v>
      </x:c>
    </x:row>
    <x:row r="20">
      <x:c r="A20" s="337" t="str">
        <x:v>S3-SRC-016</x:v>
      </x:c>
      <x:c r="B20" s="338" t="str">
        <x:v>Sigstore Cosign</x:v>
      </x:c>
      <x:c r="C20" s="338" t="str">
        <x:v>Artefact signing</x:v>
      </x:c>
      <x:c r="D20" s="338" t="str">
        <x:v>Signing and verification for containers and other artefacts.</x:v>
      </x:c>
      <x:c r="E20" s="338" t="str">
        <x:v>https://docs.sigstore.dev/cosign/</x:v>
      </x:c>
      <x:c r="F20" s="338" t="str">
        <x:v>Medium</x:v>
      </x:c>
      <x:c r="G20" s="339" t="str">
        <x:v>Use where compatible with deployment.</x:v>
      </x:c>
    </x:row>
    <x:row r="21">
      <x:c r="A21" s="332" t="str">
        <x:v>S3-SRC-017</x:v>
      </x:c>
      <x:c r="B21" s="114" t="str">
        <x:v>OpenAPI 3.1.1</x:v>
      </x:c>
      <x:c r="C21" s="114" t="str">
        <x:v>API standard</x:v>
      </x:c>
      <x:c r="D21" s="114" t="str">
        <x:v>Language-agnostic HTTP API contracts.</x:v>
      </x:c>
      <x:c r="E21" s="114" t="str">
        <x:v>https://spec.openapis.org/oas/v3.1.1.html</x:v>
      </x:c>
      <x:c r="F21" s="114" t="str">
        <x:v>High</x:v>
      </x:c>
      <x:c r="G21" s="333" t="str">
        <x:v>Device control APIs.</x:v>
      </x:c>
    </x:row>
    <x:row r="22">
      <x:c r="A22" s="337" t="str">
        <x:v>S3-SRC-018</x:v>
      </x:c>
      <x:c r="B22" s="338" t="str">
        <x:v>JSON Schema 2020-12</x:v>
      </x:c>
      <x:c r="C22" s="338" t="str">
        <x:v>Schema standard</x:v>
      </x:c>
      <x:c r="D22" s="338" t="str">
        <x:v>Structural validation for policy/event schemas.</x:v>
      </x:c>
      <x:c r="E22" s="338" t="str">
        <x:v>https://json-schema.org/draft/2020-12/json-schema-validation</x:v>
      </x:c>
      <x:c r="F22" s="338" t="str">
        <x:v>High</x:v>
      </x:c>
      <x:c r="G22" s="339" t="str">
        <x:v>Policy/event schemas.</x:v>
      </x:c>
    </x:row>
    <x:row r="23">
      <x:c r="A23" s="332" t="str">
        <x:v>S3-SRC-019</x:v>
      </x:c>
      <x:c r="B23" s="114" t="str">
        <x:v>CloudEvents</x:v>
      </x:c>
      <x:c r="C23" s="114" t="str">
        <x:v>Event standard</x:v>
      </x:c>
      <x:c r="D23" s="114" t="str">
        <x:v>Common event metadata for interoperability.</x:v>
      </x:c>
      <x:c r="E23" s="114" t="str">
        <x:v>https://cloudevents.io/</x:v>
      </x:c>
      <x:c r="F23" s="114" t="str">
        <x:v>High</x:v>
      </x:c>
      <x:c r="G23" s="333" t="str">
        <x:v>Event envelopes.</x:v>
      </x:c>
    </x:row>
    <x:row r="24">
      <x:c r="A24" s="340" t="str">
        <x:v>S3-SRC-020</x:v>
      </x:c>
      <x:c r="B24" s="341" t="str">
        <x:v>OpenTelemetry</x:v>
      </x:c>
      <x:c r="C24" s="341" t="str">
        <x:v>Observability</x:v>
      </x:c>
      <x:c r="D24" s="341" t="str">
        <x:v>Service telemetry conventions; content must be governed.</x:v>
      </x:c>
      <x:c r="E24" s="341" t="str">
        <x:v>https://opentelemetry.io/docs/concepts/semantic-conventions/</x:v>
      </x:c>
      <x:c r="F24" s="341" t="str">
        <x:v>Medium</x:v>
      </x:c>
      <x:c r="G24" s="342" t="str">
        <x:v>Operational telemetry only.</x:v>
      </x:c>
    </x:row>
  </x:sheetData>
  <x:mergeCells>
    <x:mergeCell ref="A1:G1"/>
    <x:mergeCell ref="A2:G2"/>
  </x:mergeCells>
  <x:dataValidations count="1">
    <x:dataValidation type="list" sqref="F5:F24">
      <x:formula1>"Critical,High,Medium,Low"</x:formula1>
    </x:dataValidation>
  </x:dataValidations>
  <x:pageMargins left="0.7" right="0.7" top="0.75" bottom="0.75" header="0.3" footer="0.3"/>
</x:worksheet>
</file>