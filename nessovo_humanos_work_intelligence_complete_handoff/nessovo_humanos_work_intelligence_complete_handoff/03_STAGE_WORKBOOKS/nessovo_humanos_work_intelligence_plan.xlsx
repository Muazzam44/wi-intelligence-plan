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0feea2c6446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349e382f529d48ec"/>
    <x:sheet xmlns:r="http://schemas.openxmlformats.org/officeDocument/2006/relationships" name="Executive Charter" sheetId="2" r:id="R0eae8e73801747cf"/>
    <x:sheet xmlns:r="http://schemas.openxmlformats.org/officeDocument/2006/relationships" name="Market Landscape" sheetId="3" r:id="Raad046aede264a20"/>
    <x:sheet xmlns:r="http://schemas.openxmlformats.org/officeDocument/2006/relationships" name="GitHub OSS Scan" sheetId="4" r:id="R08df70db025241c4"/>
    <x:sheet xmlns:r="http://schemas.openxmlformats.org/officeDocument/2006/relationships" name="Gap Matrix" sheetId="5" r:id="R9f00c0f0d2ce4ff3"/>
    <x:sheet xmlns:r="http://schemas.openxmlformats.org/officeDocument/2006/relationships" name="Delivery Stages" sheetId="6" r:id="R0b8e572621c74419"/>
    <x:sheet xmlns:r="http://schemas.openxmlformats.org/officeDocument/2006/relationships" name="Microservices Map" sheetId="7" r:id="R077e921a22bf4091"/>
    <x:sheet xmlns:r="http://schemas.openxmlformats.org/officeDocument/2006/relationships" name="MVP Backlog" sheetId="8" r:id="R8c68bce7012848be"/>
    <x:sheet xmlns:r="http://schemas.openxmlformats.org/officeDocument/2006/relationships" name="Event Data Model" sheetId="9" r:id="R5a71dd9247994e1f"/>
    <x:sheet xmlns:r="http://schemas.openxmlformats.org/officeDocument/2006/relationships" name="AI Capability System" sheetId="10" r:id="Rfbf23b817b7f4885"/>
    <x:sheet xmlns:r="http://schemas.openxmlformats.org/officeDocument/2006/relationships" name="Governance" sheetId="11" r:id="R0dc00c1e1d0a4bee"/>
    <x:sheet xmlns:r="http://schemas.openxmlformats.org/officeDocument/2006/relationships" name="Risk Register" sheetId="12" r:id="R21192d36a7f641d6"/>
    <x:sheet xmlns:r="http://schemas.openxmlformats.org/officeDocument/2006/relationships" name="KPI Dashboard" sheetId="13" r:id="Rbf285adc46ca4884"/>
    <x:sheet xmlns:r="http://schemas.openxmlformats.org/officeDocument/2006/relationships" name="Source Register" sheetId="14" r:id="R174734e9d3bb42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9">
    <x:font>
      <x:sz val="11"/>
      <x:name val="Carlito"/>
    </x:font>
    <x:font>
      <x:b/>
      <x:sz val="16"/>
      <x:color rgb="FFFFFFFF"/>
      <x:name val="Carlito"/>
    </x:font>
    <x:font>
      <x:sz val="11"/>
      <x:color rgb="FF111827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b/>
      <x:sz val="10"/>
      <x:color rgb="FFFFFFFF"/>
      <x:name val="Calibri"/>
    </x:font>
    <x:font>
      <x:sz val="10"/>
      <x:name val="Calibri"/>
    </x:font>
    <x:font>
      <x:sz val="10"/>
      <x:color rgb="FF111827"/>
      <x:name val="Calibri"/>
    </x:font>
    <x:font>
      <x:b/>
      <x:sz val="16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3F4F6"/>
      </x:patternFill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4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left"/>
    </x:xf>
    <x:xf numFmtId="0" fontId="4" fillId="4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5" fillId="2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0" fontId="7" fillId="3" borderId="1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left" vertical="center" wrapText="1"/>
    </x:xf>
    <x:xf numFmtId="200" fontId="6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left" vertical="center"/>
    </x:xf>
    <x:xf numFmtId="0" fontId="5" fillId="4" borderId="1" xfId="0" applyNumberFormat="1" applyFont="1" applyFill="1" applyBorder="1" applyAlignment="1">
      <x:alignment horizontal="left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8" fillId="2" borderId="1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39257473154374" /><Relationship Type="http://schemas.openxmlformats.org/officeDocument/2006/relationships/theme" Target="/xl/theme/theme1.xml" Id="Rf7ba10e8f1134c35" /><Relationship Type="http://schemas.openxmlformats.org/officeDocument/2006/relationships/sharedStrings" Target="/xl/sharedStrings.xml" Id="R54f6216aef8c46a2" /><Relationship Type="http://schemas.openxmlformats.org/officeDocument/2006/relationships/worksheet" Target="/xl/worksheets/sheet1.xml" Id="R349e382f529d48ec" /><Relationship Type="http://schemas.openxmlformats.org/officeDocument/2006/relationships/worksheet" Target="/xl/worksheets/sheet2.xml" Id="R0eae8e73801747cf" /><Relationship Type="http://schemas.openxmlformats.org/officeDocument/2006/relationships/worksheet" Target="/xl/worksheets/sheet3.xml" Id="Raad046aede264a20" /><Relationship Type="http://schemas.openxmlformats.org/officeDocument/2006/relationships/worksheet" Target="/xl/worksheets/sheet4.xml" Id="R08df70db025241c4" /><Relationship Type="http://schemas.openxmlformats.org/officeDocument/2006/relationships/worksheet" Target="/xl/worksheets/sheet5.xml" Id="R9f00c0f0d2ce4ff3" /><Relationship Type="http://schemas.openxmlformats.org/officeDocument/2006/relationships/worksheet" Target="/xl/worksheets/sheet6.xml" Id="R0b8e572621c74419" /><Relationship Type="http://schemas.openxmlformats.org/officeDocument/2006/relationships/worksheet" Target="/xl/worksheets/sheet7.xml" Id="R077e921a22bf4091" /><Relationship Type="http://schemas.openxmlformats.org/officeDocument/2006/relationships/worksheet" Target="/xl/worksheets/sheet8.xml" Id="R8c68bce7012848be" /><Relationship Type="http://schemas.openxmlformats.org/officeDocument/2006/relationships/worksheet" Target="/xl/worksheets/sheet9.xml" Id="R5a71dd9247994e1f" /><Relationship Type="http://schemas.openxmlformats.org/officeDocument/2006/relationships/worksheet" Target="/xl/worksheets/sheet10.xml" Id="Rfbf23b817b7f4885" /><Relationship Type="http://schemas.openxmlformats.org/officeDocument/2006/relationships/worksheet" Target="/xl/worksheets/sheet11.xml" Id="R0dc00c1e1d0a4bee" /><Relationship Type="http://schemas.openxmlformats.org/officeDocument/2006/relationships/worksheet" Target="/xl/worksheets/sheet12.xml" Id="R21192d36a7f641d6" /><Relationship Type="http://schemas.openxmlformats.org/officeDocument/2006/relationships/worksheet" Target="/xl/worksheets/sheet13.xml" Id="Rbf285adc46ca4884" /><Relationship Type="http://schemas.openxmlformats.org/officeDocument/2006/relationships/worksheet" Target="/xl/worksheets/sheet14.xml" Id="R174734e9d3bb42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ae6d304d36d408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a1e68d4e6b04e8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Weeks</c:v>
          </c:tx>
          <c:cat>
            <c:strRef>
              <c:f>'Delivery Stages'!$B$5:$B$17</c:f>
              <c:strCache>
                <c:ptCount val="0"/>
              </c:strCache>
            </c:strRef>
          </c:cat>
          <c:val>
            <c:numRef>
              <c:f>'Delivery Stages'!$D$5:$D$17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'KPI Dashboard'!$E$13:$E$15</c:f>
              <c:strCache>
                <c:ptCount val="0"/>
              </c:strCache>
            </c:strRef>
          </c:cat>
          <c:val>
            <c:numRef>
              <c:f>'KPI Dashboard'!$F$13:$F$15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3</xdr:row>
      <xdr:rowOff>0</xdr:rowOff>
    </xdr:from>
    <xdr:to>
      <xdr:col>24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e6d304d36d408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16</xdr:row>
      <xdr:rowOff>0</xdr:rowOff>
    </xdr:from>
    <xdr:to>
      <xdr:col>10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1e68d4e6b04e8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dexTable" displayName="IndexTable" ref="A4:D18" headerRowCount="1">
  <x:tableColumns count="4">
    <x:tableColumn id="1" name="Workbook section"/>
    <x:tableColumn id="2" name="Purpose"/>
    <x:tableColumn id="3" name="Primary users"/>
    <x:tableColumn id="4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CharterTable" displayName="CharterTable" ref="A4:B14" headerRowCount="1">
  <x:tableColumns count="2">
    <x:tableColumn id="1" name="Area"/>
    <x:tableColumn id="2" name="Content"/>
  </x:tableColumns>
  <x:tableStyleInfo name="TableStyleMedium2" showRowStripes="1"/>
</x:table>
</file>

<file path=xl/tables/table3.xml><?xml version="1.0" encoding="utf-8"?>
<x:table xmlns:x="http://schemas.openxmlformats.org/spreadsheetml/2006/main" id="3" name="MarketTable" displayName="MarketTable" ref="A4:H14" headerRowCount="1">
  <x:tableColumns count="8">
    <x:tableColumn id="1" name="Reference"/>
    <x:tableColumn id="2" name="Category"/>
    <x:tableColumn id="3" name="Relevant capabilities"/>
    <x:tableColumn id="4" name="Lesson for Nessovo"/>
    <x:tableColumn id="5" name="Gap vs Nessovo target"/>
    <x:tableColumn id="6" name="Build/Buy/Watch"/>
    <x:tableColumn id="7" name="Priority"/>
    <x:tableColumn id="8" name="Source URL"/>
  </x:tableColumns>
  <x:tableStyleInfo name="TableStyleMedium2" showRowStripes="1"/>
</x:table>
</file>

<file path=xl/tables/table4.xml><?xml version="1.0" encoding="utf-8"?>
<x:table xmlns:x="http://schemas.openxmlformats.org/spreadsheetml/2006/main" id="4" name="OSSScanTable" displayName="OSSScanTable" ref="A4:I13" headerRowCount="1">
  <x:tableColumns count="9">
    <x:tableColumn id="1" name="Repository"/>
    <x:tableColumn id="2" name="Category"/>
    <x:tableColumn id="3" name="Relevance"/>
    <x:tableColumn id="4" name="Useful patterns"/>
    <x:tableColumn id="5" name="Limitations / risk"/>
    <x:tableColumn id="6" name="Licence note"/>
    <x:tableColumn id="7" name="Adopt stance"/>
    <x:tableColumn id="8" name="Priority"/>
    <x:tableColumn id="9" name="Source URL"/>
  </x:tableColumns>
  <x:tableStyleInfo name="TableStyleMedium2" showRowStripes="1"/>
</x:table>
</file>

<file path=xl/tables/table5.xml><?xml version="1.0" encoding="utf-8"?>
<x:table xmlns:x="http://schemas.openxmlformats.org/spreadsheetml/2006/main" id="5" name="GapMatrixTable" displayName="GapMatrixTable" ref="A4:I16" headerRowCount="1">
  <x:tableColumns count="9">
    <x:tableColumn id="1" name="Capability"/>
    <x:tableColumn id="2" name="Employee monitoring"/>
    <x:tableColumn id="3" name="Task mining"/>
    <x:tableColumn id="4" name="Developer telemetry"/>
    <x:tableColumn id="5" name="AI-agent memory"/>
    <x:tableColumn id="6" name="Nessovo target"/>
    <x:tableColumn id="7" name="Differentiation note"/>
    <x:tableColumn id="8" name="Priority"/>
    <x:tableColumn id="9" name="MVP"/>
  </x:tableColumns>
  <x:tableStyleInfo name="TableStyleMedium2" showRowStripes="1"/>
</x:table>
</file>

<file path=xl/tables/table6.xml><?xml version="1.0" encoding="utf-8"?>
<x:table xmlns:x="http://schemas.openxmlformats.org/spreadsheetml/2006/main" id="6" name="DeliveryStagesTable" displayName="DeliveryStagesTable" ref="A4:N17" headerRowCount="1">
  <x:tableColumns count="14">
    <x:tableColumn id="1" name="Stage #"/>
    <x:tableColumn id="2" name="Stage"/>
    <x:tableColumn id="3" name="Objective"/>
    <x:tableColumn id="4" name="Duration weeks"/>
    <x:tableColumn id="5" name="Team size"/>
    <x:tableColumn id="6" name="Dependencies"/>
    <x:tableColumn id="7" name="Exit deliverables"/>
    <x:tableColumn id="8" name="Lead role"/>
    <x:tableColumn id="9" name="Status"/>
    <x:tableColumn id="10" name="Priority"/>
    <x:tableColumn id="11" name="Risk"/>
    <x:tableColumn id="12" name="Start date"/>
    <x:tableColumn id="13" name="End date"/>
    <x:tableColumn id="14" name="Effort PW"/>
  </x:tableColumns>
  <x:tableStyleInfo name="TableStyleMedium2" showRowStripes="1"/>
</x:table>
</file>

<file path=xl/tables/table7.xml><?xml version="1.0" encoding="utf-8"?>
<x:table xmlns:x="http://schemas.openxmlformats.org/spreadsheetml/2006/main" id="7" name="MicroservicesTable" displayName="MicroservicesTable" ref="A4:J19" headerRowCount="1">
  <x:tableColumns count="10">
    <x:tableColumn id="1" name="Service"/>
    <x:tableColumn id="2" name="Boundary / responsibility"/>
    <x:tableColumn id="3" name="Primary runtime"/>
    <x:tableColumn id="4" name="Data store"/>
    <x:tableColumn id="5" name="Consumes"/>
    <x:tableColumn id="6" name="Publishes"/>
    <x:tableColumn id="7" name="MVP"/>
    <x:tableColumn id="8" name="Owner"/>
    <x:tableColumn id="9" name="Notes / dependencies"/>
    <x:tableColumn id="10" name="Source / reference"/>
  </x:tableColumns>
  <x:tableStyleInfo name="TableStyleMedium2" showRowStripes="1"/>
</x:table>
</file>

<file path=xl/tables/table8.xml><?xml version="1.0" encoding="utf-8"?>
<x:table xmlns:x="http://schemas.openxmlformats.org/spreadsheetml/2006/main" id="8" name="MVPBacklogTable" displayName="MVPBacklogTable" ref="A4:K24" headerRowCount="1">
  <x:tableColumns count="11">
    <x:tableColumn id="1" name="Epic ID"/>
    <x:tableColumn id="2" name="Epic"/>
    <x:tableColumn id="3" name="Feature / user story"/>
    <x:tableColumn id="4" name="Stage"/>
    <x:tableColumn id="5" name="Owner"/>
    <x:tableColumn id="6" name="Priority"/>
    <x:tableColumn id="7" name="Status"/>
    <x:tableColumn id="8" name="Effort pts"/>
    <x:tableColumn id="9" name="Acceptance criteria"/>
    <x:tableColumn id="10" name="Dependencies"/>
    <x:tableColumn id="11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EventModelTable" displayName="EventModelTable" ref="A4:I17" headerRowCount="1">
  <x:tableColumns count="9">
    <x:tableColumn id="1" name="Model area"/>
    <x:tableColumn id="2" name="Entity/Event"/>
    <x:tableColumn id="3" name="Purpose"/>
    <x:tableColumn id="4" name="Key fields"/>
    <x:tableColumn id="5" name="Producer"/>
    <x:tableColumn id="6" name="Consumer"/>
    <x:tableColumn id="7" name="MVP"/>
    <x:tableColumn id="8" name="Notes"/>
    <x:tableColumn id="9" name="Source/ref"/>
  </x:tableColumns>
  <x:tableStyleInfo name="TableStyleMedium2" showRowStripes="1"/>
</x:table>
</file>

<file path=xl/tables/table10.xml><?xml version="1.0" encoding="utf-8"?>
<x:table xmlns:x="http://schemas.openxmlformats.org/spreadsheetml/2006/main" id="10" name="CapabilityLevelsTable" displayName="CapabilityLevelsTable" ref="A4:F10" headerRowCount="1">
  <x:tableColumns count="6">
    <x:tableColumn id="1" name="Level"/>
    <x:tableColumn id="2" name="Name"/>
    <x:tableColumn id="3" name="Meaning"/>
    <x:tableColumn id="4" name="Evidence examples"/>
    <x:tableColumn id="5" name="Manager interpretation"/>
    <x:tableColumn id="6" name="Employee experience"/>
  </x:tableColumns>
  <x:tableStyleInfo name="TableStyleMedium2" showRowStripes="1"/>
</x:table>
</file>

<file path=xl/tables/table11.xml><?xml version="1.0" encoding="utf-8"?>
<x:table xmlns:x="http://schemas.openxmlformats.org/spreadsheetml/2006/main" id="11" name="AILoopsTable" displayName="AILoopsTable" ref="A13:E17" headerRowCount="1">
  <x:tableColumns count="5">
    <x:tableColumn id="1" name="Loop"/>
    <x:tableColumn id="2" name="Input"/>
    <x:tableColumn id="3" name="AI action"/>
    <x:tableColumn id="4" name="Human control"/>
    <x:tableColumn id="5" name="Output"/>
  </x:tableColumns>
  <x:tableStyleInfo name="TableStyleMedium2" showRowStripes="1"/>
</x:table>
</file>

<file path=xl/tables/table12.xml><?xml version="1.0" encoding="utf-8"?>
<x:table xmlns:x="http://schemas.openxmlformats.org/spreadsheetml/2006/main" id="12" name="EvaluatorsTable" displayName="EvaluatorsTable" ref="A20:F26" headerRowCount="1">
  <x:tableColumns count="6">
    <x:tableColumn id="1" name="Evaluator"/>
    <x:tableColumn id="2" name="Purpose"/>
    <x:tableColumn id="3" name="Runtime"/>
    <x:tableColumn id="4" name="Inputs"/>
    <x:tableColumn id="5" name="Outputs"/>
    <x:tableColumn id="6" name="MVP"/>
  </x:tableColumns>
  <x:tableStyleInfo name="TableStyleMedium2" showRowStripes="1"/>
</x:table>
</file>

<file path=xl/tables/table13.xml><?xml version="1.0" encoding="utf-8"?>
<x:table xmlns:x="http://schemas.openxmlformats.org/spreadsheetml/2006/main" id="13" name="GovernanceTable" displayName="GovernanceTable" ref="A4:I14" headerRowCount="1">
  <x:tableColumns count="9">
    <x:tableColumn id="1" name="Control area"/>
    <x:tableColumn id="2" name="Requirement"/>
    <x:tableColumn id="3" name="Implementation"/>
    <x:tableColumn id="4" name="Owner"/>
    <x:tableColumn id="5" name="MVP"/>
    <x:tableColumn id="6" name="Evidence"/>
    <x:tableColumn id="7" name="Risk reduced"/>
    <x:tableColumn id="8" name="Source URL"/>
    <x:tableColumn id="9" name="Notes"/>
  </x:tableColumns>
  <x:tableStyleInfo name="TableStyleMedium2" showRowStripes="1"/>
</x:table>
</file>

<file path=xl/tables/table14.xml><?xml version="1.0" encoding="utf-8"?>
<x:table xmlns:x="http://schemas.openxmlformats.org/spreadsheetml/2006/main" id="14" name="RiskRegisterTable" displayName="RiskRegisterTable" ref="A4:J16" headerRowCount="1">
  <x:tableColumns count="10">
    <x:tableColumn id="1" name="Risk ID"/>
    <x:tableColumn id="2" name="Risk"/>
    <x:tableColumn id="3" name="Category"/>
    <x:tableColumn id="4" name="Likelihood"/>
    <x:tableColumn id="5" name="Impact"/>
    <x:tableColumn id="6" name="Score"/>
    <x:tableColumn id="7" name="Mitigation"/>
    <x:tableColumn id="8" name="Owner"/>
    <x:tableColumn id="9" name="Stage"/>
    <x:tableColumn id="10" name="Status"/>
  </x:tableColumns>
  <x:tableStyleInfo name="TableStyleMedium2" showRowStripes="1"/>
</x:table>
</file>

<file path=xl/tables/table15.xml><?xml version="1.0" encoding="utf-8"?>
<x:table xmlns:x="http://schemas.openxmlformats.org/spreadsheetml/2006/main" id="15" name="KPIDashboardTable" displayName="KPIDashboardTable" ref="A4:C12" headerRowCount="1">
  <x:tableColumns count="3">
    <x:tableColumn id="1" name="Metric"/>
    <x:tableColumn id="2" name="Formula / Value"/>
    <x:tableColumn id="3" name="Interpretation"/>
  </x:tableColumns>
  <x:tableStyleInfo name="TableStyleMedium2" showRowStripes="1"/>
</x:table>
</file>

<file path=xl/tables/table16.xml><?xml version="1.0" encoding="utf-8"?>
<x:table xmlns:x="http://schemas.openxmlformats.org/spreadsheetml/2006/main" id="16" name="SourceRegisterTable" displayName="SourceRegisterTable" ref="A4:F31" headerRowCount="1">
  <x:tableColumns count="6">
    <x:tableColumn id="1" name="Source"/>
    <x:tableColumn id="2" name="Type"/>
    <x:tableColumn id="3" name="Supports"/>
    <x:tableColumn id="4" name="Source URL"/>
    <x:tableColumn id="5" name="Priority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67204e72be4b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edb8b7eca984d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cdbfbc47e5d48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39ebec4c8484a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02e53e5350a42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8c5e273f6e464517" /><Relationship Type="http://schemas.openxmlformats.org/officeDocument/2006/relationships/table" Target="/xl/tables/table6.xml" Id="R139fe0c56ad34a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659c1a0f79445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026f75ca91546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83747dc6df34ca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aa1d96da3414e93" /><Relationship Type="http://schemas.openxmlformats.org/officeDocument/2006/relationships/table" Target="/xl/tables/table11.xml" Id="Rbda1f4e52a5947e0" /><Relationship Type="http://schemas.openxmlformats.org/officeDocument/2006/relationships/table" Target="/xl/tables/table12.xml" Id="Rec195d62a0784c9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3.xml" Id="R698106812ed040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4.xml" Id="R118cc6ae39664d8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2.xml" Id="Rff8f1e225fea439d" /><Relationship Type="http://schemas.openxmlformats.org/officeDocument/2006/relationships/table" Target="/xl/tables/table15.xml" Id="Rbfa9601bc4884a7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6.xml" Id="Rc6b5231cb1a04db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4" hidden="0" customWidth="1"/>
    <x:col min="4" max="4" width="14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64" t="str">
        <x:v>Nessovo HumanOS Work Intelligence — Project Plan Workbook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 ht="34" customHeight="1">
      <x:c r="A2" s="48" t="str">
        <x:v>Initial research-backed planning workbook for task-aware work observability, capability verification, coaching, and HumanOS self-improvement.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 ht="32" customHeight="1">
      <x:c r="A4" s="49" t="str">
        <x:v>Workbook section</x:v>
      </x:c>
      <x:c r="B4" s="49" t="str">
        <x:v>Purpose</x:v>
      </x:c>
      <x:c r="C4" s="49" t="str">
        <x:v>Primary users</x:v>
      </x:c>
      <x:c r="D4" s="49" t="str">
        <x:v>Status</x:v>
      </x:c>
      <x:c r="E4" s="50"/>
      <x:c r="F4" s="51" t="str">
        <x:v>Decision summary</x:v>
      </x:c>
      <x:c r="G4" s="51" t="str"/>
      <x:c r="H4" s="51" t="str"/>
      <x:c r="I4" s="51" t="str"/>
      <x:c r="J4" s="51" t="str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50" t="str">
        <x:v>Executive Charter</x:v>
      </x:c>
      <x:c r="B5" s="50" t="str">
        <x:v>Product purpose, principles, scope, non-goals, and strategic thesis</x:v>
      </x:c>
      <x:c r="C5" s="50" t="str">
        <x:v>CEO/CTO/Product</x:v>
      </x:c>
      <x:c r="D5" s="50" t="str">
        <x:v>Draft</x:v>
      </x:c>
      <x:c r="E5" s="50"/>
      <x:c r="F5" s="48" t="str">
        <x:v>Recommendation</x:v>
      </x:c>
      <x:c r="G5" s="48" t="str">
        <x:v>Proceed as a controlled HumanOS module, starting with AI-assisted software-development teams.</x:v>
      </x:c>
      <x:c r="H5" s="48" t="str"/>
      <x:c r="I5" s="48" t="str"/>
      <x:c r="J5" s="48" t="str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50" t="str">
        <x:v>Market Landscape</x:v>
      </x:c>
      <x:c r="B6" s="50" t="str">
        <x:v>Commercial and category-level competitors / references</x:v>
      </x:c>
      <x:c r="C6" s="50" t="str">
        <x:v>Product/Strategy</x:v>
      </x:c>
      <x:c r="D6" s="50" t="str">
        <x:v>Draft</x:v>
      </x:c>
      <x:c r="E6" s="50"/>
      <x:c r="F6" s="48" t="str">
        <x:v>Strategic position</x:v>
      </x:c>
      <x:c r="G6" s="48" t="str">
        <x:v>Not employee surveillance as the headline. Position as task assurance, capability development, AI-work governance and organisational learning.</x:v>
      </x:c>
      <x:c r="H6" s="48" t="str"/>
      <x:c r="I6" s="48" t="str"/>
      <x:c r="J6" s="48" t="str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50" t="str">
        <x:v>GitHub OSS Scan</x:v>
      </x:c>
      <x:c r="B7" s="50" t="str">
        <x:v>Open-source and source-available references to inspect or learn from</x:v>
      </x:c>
      <x:c r="C7" s="50" t="str">
        <x:v>Engineering/Architecture</x:v>
      </x:c>
      <x:c r="D7" s="50" t="str">
        <x:v>Draft</x:v>
      </x:c>
      <x:c r="E7" s="50"/>
      <x:c r="F7" s="48" t="str">
        <x:v>Architecture principle</x:v>
      </x:c>
      <x:c r="G7" s="48" t="str">
        <x:v>Java/Spring Boot for core domain microservices; Python for AI/evaluation pipelines; native desktop agents for OS telemetry; event streaming for evidence flow.</x:v>
      </x:c>
      <x:c r="H7" s="48" t="str"/>
      <x:c r="I7" s="48" t="str"/>
      <x:c r="J7" s="48" t="str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50" t="str">
        <x:v>Gap Matrix</x:v>
      </x:c>
      <x:c r="B8" s="50" t="str">
        <x:v>Capability comparison between market categories and Nessovo target</x:v>
      </x:c>
      <x:c r="C8" s="50" t="str">
        <x:v>Product/Strategy</x:v>
      </x:c>
      <x:c r="D8" s="50" t="str">
        <x:v>Draft</x:v>
      </x:c>
      <x:c r="E8" s="50"/>
      <x:c r="F8" s="48" t="str">
        <x:v>Delivery model</x:v>
      </x:c>
      <x:c r="G8" s="48" t="str">
        <x:v>13 stages total: Stage 0 governance/charter plus 12 build-and-rollout stages.</x:v>
      </x:c>
      <x:c r="H8" s="48" t="str"/>
      <x:c r="I8" s="48" t="str"/>
      <x:c r="J8" s="48" t="str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50" t="str">
        <x:v>Delivery Stages</x:v>
      </x:c>
      <x:c r="B9" s="50" t="str">
        <x:v>Stage-by-stage plan with duration and acceptance criteria</x:v>
      </x:c>
      <x:c r="C9" s="50" t="str">
        <x:v>Program/Product/Engineering</x:v>
      </x:c>
      <x:c r="D9" s="50" t="str">
        <x:v>Draft</x:v>
      </x:c>
      <x:c r="E9" s="50"/>
      <x:c r="F9" s="48" t="str">
        <x:v>Critical condition</x:v>
      </x:c>
      <x:c r="G9" s="48" t="str">
        <x:v>Human review, employee access, secure-field blocking and evidence-based confidence are mandatory from day one.</x:v>
      </x:c>
      <x:c r="H9" s="48" t="str"/>
      <x:c r="I9" s="48" t="str"/>
      <x:c r="J9" s="48" t="str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50" t="str">
        <x:v>Microservices Map</x:v>
      </x:c>
      <x:c r="B10" s="50" t="str">
        <x:v>Proposed HumanOS microservice boundaries and runtime choices</x:v>
      </x:c>
      <x:c r="C10" s="50" t="str">
        <x:v>Architecture/Backend</x:v>
      </x:c>
      <x:c r="D10" s="50" t="str">
        <x:v>Draft</x:v>
      </x:c>
      <x:c r="E10" s="50"/>
      <x:c r="F10" s="50"/>
      <x:c r="G10" s="50"/>
      <x:c r="H10" s="50"/>
      <x:c r="I10" s="50"/>
      <x:c r="J10" s="50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50" t="str">
        <x:v>MVP Backlog</x:v>
      </x:c>
      <x:c r="B11" s="50" t="str">
        <x:v>Initial product backlog for the internal pilot</x:v>
      </x:c>
      <x:c r="C11" s="50" t="str">
        <x:v>Product/Engineering</x:v>
      </x:c>
      <x:c r="D11" s="50" t="str">
        <x:v>Draft</x:v>
      </x:c>
      <x:c r="E11" s="50"/>
      <x:c r="F11" s="50"/>
      <x:c r="G11" s="50"/>
      <x:c r="H11" s="50"/>
      <x:c r="I11" s="50"/>
      <x:c r="J11" s="50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50" t="str">
        <x:v>Event Data Model</x:v>
      </x:c>
      <x:c r="B12" s="50" t="str">
        <x:v>Core event/entity model and evidence graph</x:v>
      </x:c>
      <x:c r="C12" s="50" t="str">
        <x:v>Backend/Data/AI</x:v>
      </x:c>
      <x:c r="D12" s="50" t="str">
        <x:v>Draft</x:v>
      </x:c>
      <x:c r="E12" s="50"/>
      <x:c r="F12" s="50"/>
      <x:c r="G12" s="50"/>
      <x:c r="H12" s="50"/>
      <x:c r="I12" s="50"/>
      <x:c r="J12" s="50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50" t="str">
        <x:v>AI Capability System</x:v>
      </x:c>
      <x:c r="B13" s="50" t="str">
        <x:v>Capability graph, role contracts, AI evaluators, training loop</x:v>
      </x:c>
      <x:c r="C13" s="50" t="str">
        <x:v>AI/Product/L&amp;D</x:v>
      </x:c>
      <x:c r="D13" s="50" t="str">
        <x:v>Draft</x:v>
      </x:c>
      <x:c r="E13" s="50"/>
      <x:c r="F13" s="50"/>
      <x:c r="G13" s="50"/>
      <x:c r="H13" s="50"/>
      <x:c r="I13" s="50"/>
      <x:c r="J13" s="50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50" t="str">
        <x:v>Governance</x:v>
      </x:c>
      <x:c r="B14" s="50" t="str">
        <x:v>Privacy, legal, security, employee-review controls</x:v>
      </x:c>
      <x:c r="C14" s="50" t="str">
        <x:v>Legal/Security/HR</x:v>
      </x:c>
      <x:c r="D14" s="50" t="str">
        <x:v>Draft</x:v>
      </x:c>
      <x:c r="E14" s="50"/>
      <x:c r="F14" s="50"/>
      <x:c r="G14" s="50"/>
      <x:c r="H14" s="50"/>
      <x:c r="I14" s="50"/>
      <x:c r="J14" s="50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50" t="str">
        <x:v>Risk Register</x:v>
      </x:c>
      <x:c r="B15" s="50" t="str">
        <x:v>Major technical, legal, market and trust risks with mitigations</x:v>
      </x:c>
      <x:c r="C15" s="50" t="str">
        <x:v>Leadership/Governance</x:v>
      </x:c>
      <x:c r="D15" s="50" t="str">
        <x:v>Draft</x:v>
      </x:c>
      <x:c r="E15" s="50"/>
      <x:c r="F15" s="50"/>
      <x:c r="G15" s="50"/>
      <x:c r="H15" s="50"/>
      <x:c r="I15" s="50"/>
      <x:c r="J15" s="50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50" t="str">
        <x:v>KPI Dashboard</x:v>
      </x:c>
      <x:c r="B16" s="50" t="str">
        <x:v>Summary metrics for scope, duration, risk and readiness</x:v>
      </x:c>
      <x:c r="C16" s="50" t="str">
        <x:v>Leadership</x:v>
      </x:c>
      <x:c r="D16" s="50" t="str">
        <x:v>Draft</x:v>
      </x:c>
      <x:c r="E16" s="50"/>
      <x:c r="F16" s="50"/>
      <x:c r="G16" s="50"/>
      <x:c r="H16" s="50"/>
      <x:c r="I16" s="50"/>
      <x:c r="J16" s="50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50" t="str">
        <x:v>Source Register</x:v>
      </x:c>
      <x:c r="B17" s="50" t="str">
        <x:v>Source URLs used for initial market, OSS and technical research</x:v>
      </x:c>
      <x:c r="C17" s="50" t="str">
        <x:v>All</x:v>
      </x:c>
      <x:c r="D17" s="50" t="str">
        <x:v>Draft</x:v>
      </x:c>
      <x:c r="E17" s="50"/>
      <x:c r="F17" s="50"/>
      <x:c r="G17" s="50"/>
      <x:c r="H17" s="50"/>
      <x:c r="I17" s="50"/>
      <x:c r="J17" s="50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50"/>
      <x:c r="B18" s="50"/>
      <x:c r="C18" s="50"/>
      <x:c r="D18" s="50"/>
      <x:c r="E18" s="50"/>
      <x:c r="F18" s="50"/>
      <x:c r="G18" s="50"/>
      <x:c r="H18" s="50"/>
      <x:c r="I18" s="50"/>
      <x:c r="J18" s="50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mergeCells>
    <x:mergeCell ref="A1:J1"/>
    <x:mergeCell ref="A2:J2"/>
    <x:mergeCell ref="F4:J4"/>
    <x:mergeCell ref="G5:J5"/>
    <x:mergeCell ref="G6:J6"/>
    <x:mergeCell ref="G7:J7"/>
    <x:mergeCell ref="G8:J8"/>
    <x:mergeCell ref="G9:J9"/>
  </x:mergeCells>
  <x:pageMargins left="0.7" right="0.7" top="0.75" bottom="0.75" header="0.3" footer="0.3"/>
  <x:tableParts count="1">
    <x:tablePart xmlns:r="http://schemas.openxmlformats.org/officeDocument/2006/relationships" r:id="R6a67204e72be4b4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 ht="34" customHeight="1">
      <x:c r="A1" s="64" t="str">
        <x:v>Executive Charter</x:v>
      </x:c>
      <x:c r="B1" s="64"/>
      <x:c r="C1" s="64"/>
      <x:c r="D1" s="64"/>
      <x:c r="E1" s="64"/>
      <x:c r="F1" s="64"/>
      <x:c r="G1" s="64"/>
      <x:c r="H1" s="64"/>
      <x:c r="I1" s="64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 ht="34" customHeight="1">
      <x:c r="A2" s="48" t="str">
        <x:v>Definition of the Nessovo HumanOS Work Intelligence module.</x:v>
      </x:c>
      <x:c r="B2" s="48"/>
      <x:c r="C2" s="48"/>
      <x:c r="D2" s="48"/>
      <x:c r="E2" s="48"/>
      <x:c r="F2" s="48"/>
      <x:c r="G2" s="48"/>
      <x:c r="H2" s="48"/>
      <x:c r="I2" s="48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 ht="32" customHeight="1">
      <x:c r="A4" s="49" t="str">
        <x:v>Area</x:v>
      </x:c>
      <x:c r="B4" s="49" t="str">
        <x:v>Content</x:v>
      </x:c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50" t="str">
        <x:v>Product name</x:v>
      </x:c>
      <x:c r="B5" s="50" t="str">
        <x:v>HumanOS Work Intelligence</x:v>
      </x:c>
      <x:c r="C5" s="47"/>
      <x:c r="D5" s="47"/>
      <x:c r="E5" s="47"/>
      <x:c r="F5" s="47"/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50" t="str">
        <x:v>Strategic thesis</x:v>
      </x:c>
      <x:c r="B6" s="50" t="str">
        <x:v>A HumanOS operating layer that understands how people and AI jointly execute work, verifies task outcomes, measures demonstrated capability, coaches employees, informs managers, and improves organisational skills.</x:v>
      </x:c>
      <x:c r="C6" s="47"/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50" t="str">
        <x:v>Core modules</x:v>
      </x:c>
      <x:c r="B7" s="50" t="str">
        <x:v>Work Observer; Task Assurance; Capability Graph; Growth Coach; Skill Forge; Governance &amp; Review; Reporting &amp; Analytics.</x:v>
      </x:c>
      <x:c r="C7" s="47"/>
      <x:c r="D7" s="47"/>
      <x:c r="E7" s="47"/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50" t="str">
        <x:v>Primary starting vertical</x:v>
      </x:c>
      <x:c r="B8" s="50" t="str">
        <x:v>AI-assisted software development, because objective evidence exists through Git diffs, tests, builds, PRs, agent traces, terminal commands and code reviews.</x:v>
      </x:c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50" t="str">
        <x:v>Expansion path</x:v>
      </x:c>
      <x:c r="B9" s="50" t="str">
        <x:v>After software-development validation: customer support, finance operations, recruitment, design, sales operations, legal operations, compliance and general back-office workflows.</x:v>
      </x:c>
      <x:c r="C9" s="47"/>
      <x:c r="D9" s="47"/>
      <x:c r="E9" s="47"/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50" t="str">
        <x:v>Core differentiation</x:v>
      </x:c>
      <x:c r="B10" s="50" t="str">
        <x:v>Most market tools collect activity or mine processes. Nessovo must connect activity to assigned tasks, acceptance criteria, capability claims, training, AI-agent provenance and self-improving skills.</x:v>
      </x:c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50" t="str">
        <x:v>Non-goal</x:v>
      </x:c>
      <x:c r="B11" s="50" t="str">
        <x:v>Do not build a crude bossware dashboard or a hidden surveillance tool. Raw capture is the evidence substrate, not the product message.</x:v>
      </x:c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50" t="str">
        <x:v>Governance principle</x:v>
      </x:c>
      <x:c r="B12" s="50" t="str">
        <x:v>No automatic consequential employment decisions. AI produces findings and recommendations; authorised humans review decisions with evidence and employee response.</x:v>
      </x:c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50" t="str">
        <x:v>Technology principle</x:v>
      </x:c>
      <x:c r="B13" s="50" t="str">
        <x:v>Use event-driven microservices, policy-as-code, evidence graphs, immutable audit logs, on-device redaction, and modular AI evaluators.</x:v>
      </x:c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50" t="str">
        <x:v>Stack baseline</x:v>
      </x:c>
      <x:c r="B14" s="50" t="str">
        <x:v>Java 21+/Spring Boot/Spring Cloud for core services; Python/FastAPI/Celery or Temporal workers for AI; Kafka-compatible event bus; PostgreSQL; object storage; vector DB; graph capability/evidence store; OpenTelemetry.</x:v>
      </x:c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47"/>
      <x:c r="B15" s="47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47"/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6edb8b7eca984d3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44" hidden="0" customWidth="1"/>
    <x:col min="5" max="5" width="48" hidden="0" customWidth="1"/>
    <x:col min="6" max="6" width="18" hidden="0" customWidth="1"/>
    <x:col min="7" max="7" width="12" hidden="0" customWidth="1"/>
    <x:col min="8" max="8" width="60" hidden="0" customWidth="1"/>
  </x:cols>
  <x:sheetData>
    <x:row r="1" ht="34" customHeight="1">
      <x:c r="A1" s="64" t="str">
        <x:v>Market Landscape</x:v>
      </x:c>
      <x:c r="B1" s="64"/>
      <x:c r="C1" s="64"/>
      <x:c r="D1" s="64"/>
      <x:c r="E1" s="64"/>
      <x:c r="F1" s="64"/>
      <x:c r="G1" s="64"/>
      <x:c r="H1" s="64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 ht="34" customHeight="1">
      <x:c r="A2" s="48" t="str">
        <x:v>Commercial and category references: what exists, what to learn, and where Nessovo differentiates.</x:v>
      </x:c>
      <x:c r="B2" s="48"/>
      <x:c r="C2" s="48"/>
      <x:c r="D2" s="48"/>
      <x:c r="E2" s="48"/>
      <x:c r="F2" s="48"/>
      <x:c r="G2" s="48"/>
      <x:c r="H2" s="48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 ht="32" customHeight="1">
      <x:c r="A4" s="49" t="str">
        <x:v>Reference</x:v>
      </x:c>
      <x:c r="B4" s="49" t="str">
        <x:v>Category</x:v>
      </x:c>
      <x:c r="C4" s="49" t="str">
        <x:v>Relevant capabilities</x:v>
      </x:c>
      <x:c r="D4" s="49" t="str">
        <x:v>Lesson for Nessovo</x:v>
      </x:c>
      <x:c r="E4" s="49" t="str">
        <x:v>Gap vs Nessovo target</x:v>
      </x:c>
      <x:c r="F4" s="49" t="str">
        <x:v>Build/Buy/Watch</x:v>
      </x:c>
      <x:c r="G4" s="49" t="str">
        <x:v>Priority</x:v>
      </x:c>
      <x:c r="H4" s="49" t="str">
        <x:v>Source URL</x:v>
      </x:c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50" t="str">
        <x:v>Teramind</x:v>
      </x:c>
      <x:c r="B5" s="50" t="str">
        <x:v>Employee monitoring / insider risk</x:v>
      </x:c>
      <x:c r="C5" s="50" t="str">
        <x:v>Live view, historical playback, screenshots, keystrokes, app/web activity, alerts, DLP-style monitoring.</x:v>
      </x:c>
      <x:c r="D5" s="50" t="str">
        <x:v>Raw monitoring and investigation workflows are commercially mature.</x:v>
      </x:c>
      <x:c r="E5" s="50" t="str">
        <x:v>Does not deeply verify task acceptance criteria, capability claims, role readiness, AI-agent provenance or training outcomes.</x:v>
      </x:c>
      <x:c r="F5" s="50" t="str">
        <x:v>Watch / benchmark</x:v>
      </x:c>
      <x:c r="G5" s="50" t="str">
        <x:v>High</x:v>
      </x:c>
      <x:c r="H5" s="50" t="str">
        <x:v>https://www.teramind.co/solutions/employee-monitoring/</x:v>
      </x:c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50" t="str">
        <x:v>ActivTrak AI Insights</x:v>
      </x:c>
      <x:c r="B6" s="50" t="str">
        <x:v>Workforce analytics / AI usage</x:v>
      </x:c>
      <x:c r="C6" s="50" t="str">
        <x:v>AI tool adoption, productivity impact, workforce analytics, enablement insight.</x:v>
      </x:c>
      <x:c r="D6" s="50" t="str">
        <x:v>AI usage measurement is becoming a management category.</x:v>
      </x:c>
      <x:c r="E6" s="50" t="str">
        <x:v>Does not reconstruct task execution or validate technical work quality.</x:v>
      </x:c>
      <x:c r="F6" s="50" t="str">
        <x:v>Watch / benchmark</x:v>
      </x:c>
      <x:c r="G6" s="50" t="str">
        <x:v>High</x:v>
      </x:c>
      <x:c r="H6" s="50" t="str">
        <x:v>https://support.activtrak.com/hc/en-us/articles/50125731483675-AI-Insights-Add-on</x:v>
      </x:c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50" t="str">
        <x:v>UiPath Task Capture / Task Mining</x:v>
      </x:c>
      <x:c r="B7" s="50" t="str">
        <x:v>Task mining / automation discovery</x:v>
      </x:c>
      <x:c r="C7" s="50" t="str">
        <x:v>Screenshots per click/keyboard action, UI element capture, process documentation and automation skeletons.</x:v>
      </x:c>
      <x:c r="D7" s="50" t="str">
        <x:v>Click + screenshot + UI element capture is a proven workflow-mining pattern.</x:v>
      </x:c>
      <x:c r="E7" s="50" t="str">
        <x:v>Built for process discovery and automation, not continuous role capability verification or employee growth coaching.</x:v>
      </x:c>
      <x:c r="F7" s="50" t="str">
        <x:v>Learn from</x:v>
      </x:c>
      <x:c r="G7" s="50" t="str">
        <x:v>High</x:v>
      </x:c>
      <x:c r="H7" s="50" t="str">
        <x:v>https://docs.uipath.com/task-capture/standalone/2021.10/user-guide/capture-settings</x:v>
      </x:c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50" t="str">
        <x:v>ABBYY Timeline Task Mining</x:v>
      </x:c>
      <x:c r="B8" s="50" t="str">
        <x:v>Task mining / process intelligence</x:v>
      </x:c>
      <x:c r="C8" s="50" t="str">
        <x:v>Screen snapshots, buttons clicked, text entered, task definitions, analysis modules.</x:v>
      </x:c>
      <x:c r="D8" s="50" t="str">
        <x:v>Associating user actions to task definitions is market-validated.</x:v>
      </x:c>
      <x:c r="E8" s="50" t="str">
        <x:v>Focuses on task/process mining, not full work assurance and capability development.</x:v>
      </x:c>
      <x:c r="F8" s="50" t="str">
        <x:v>Learn from</x:v>
      </x:c>
      <x:c r="G8" s="50" t="str">
        <x:v>High</x:v>
      </x:c>
      <x:c r="H8" s="50" t="str">
        <x:v>https://help.abbyy.com/en-us/timeline/6/user_guide/task-mining</x:v>
      </x:c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50" t="str">
        <x:v>Microsoft Power Automate Recorder / AI Recorder</x:v>
      </x:c>
      <x:c r="B9" s="50" t="str">
        <x:v>Desktop automation recording</x:v>
      </x:c>
      <x:c r="C9" s="50" t="str">
        <x:v>Mouse/keyboard capture, UI elements, OCR/image-based capture, converts demonstrations to flows.</x:v>
      </x:c>
      <x:c r="D9" s="50" t="str">
        <x:v>Record-and-convert-to-procedure is a useful pattern for Skill Forge.</x:v>
      </x:c>
      <x:c r="E9" s="50" t="str">
        <x:v>Automation creation, not work monitoring, capability verification or self-improving HR intelligence.</x:v>
      </x:c>
      <x:c r="F9" s="50" t="str">
        <x:v>Watch / integrate ideas</x:v>
      </x:c>
      <x:c r="G9" s="50" t="str">
        <x:v>Medium</x:v>
      </x:c>
      <x:c r="H9" s="50" t="str">
        <x:v>https://learn.microsoft.com/en-us/power-automate/desktop-flows/create-flow-using-ai-recorder</x:v>
      </x:c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50" t="str">
        <x:v>Soroco Scout</x:v>
      </x:c>
      <x:c r="B10" s="50" t="str">
        <x:v>Work graph / process intelligence</x:v>
      </x:c>
      <x:c r="C10" s="50" t="str">
        <x:v>Team-machine interaction analysis, process variants, workarounds, effort leakage, automation opportunity discovery.</x:v>
      </x:c>
      <x:c r="D10" s="50" t="str">
        <x:v>Work graph framing aligns with Nessovo evidence graph.</x:v>
      </x:c>
      <x:c r="E10" s="50" t="str">
        <x:v>Generally aggregate/team/process oriented rather than individual task assurance and training.</x:v>
      </x:c>
      <x:c r="F10" s="50" t="str">
        <x:v>Watch</x:v>
      </x:c>
      <x:c r="G10" s="50" t="str">
        <x:v>Medium</x:v>
      </x:c>
      <x:c r="H10" s="50" t="str">
        <x:v>https://soroco.com/</x:v>
      </x:c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50" t="str">
        <x:v>Workfellow</x:v>
      </x:c>
      <x:c r="B11" s="50" t="str">
        <x:v>Process intelligence / task mining</x:v>
      </x:c>
      <x:c r="C11" s="50" t="str">
        <x:v>Process/task mining, workflow analysis, automation opportunity analysis.</x:v>
      </x:c>
      <x:c r="D11" s="50" t="str">
        <x:v>Confirms demand for work-pattern visibility and process-improvement intelligence.</x:v>
      </x:c>
      <x:c r="E11" s="50" t="str">
        <x:v>Less focused on exact employee-device evidence and HumanOS capability graph.</x:v>
      </x:c>
      <x:c r="F11" s="50" t="str">
        <x:v>Watch</x:v>
      </x:c>
      <x:c r="G11" s="50" t="str">
        <x:v>Medium</x:v>
      </x:c>
      <x:c r="H11" s="50" t="str">
        <x:v>https://www.workfellow.ai/</x:v>
      </x:c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50" t="str">
        <x:v>Codex Hooks</x:v>
      </x:c>
      <x:c r="B12" s="50" t="str">
        <x:v>AI agent lifecycle extensibility</x:v>
      </x:c>
      <x:c r="C12" s="50" t="str">
        <x:v>UserPromptSubmit, PreToolUse, PostToolUse, Stop, SessionStart and other deterministic hooks for analytics, policy and validation.</x:v>
      </x:c>
      <x:c r="D12" s="50" t="str">
        <x:v>Instrument AI agents through official lifecycle hooks rather than only screen capture.</x:v>
      </x:c>
      <x:c r="E12" s="50" t="str">
        <x:v>Nessovo must generalise this across Codex, Claude Code, Cursor, terminal and IDEs.</x:v>
      </x:c>
      <x:c r="F12" s="50" t="str">
        <x:v>Integrate</x:v>
      </x:c>
      <x:c r="G12" s="50" t="str">
        <x:v>High</x:v>
      </x:c>
      <x:c r="H12" s="50" t="str">
        <x:v>https://developers.openai.com/codex/hooks</x:v>
      </x:c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50" t="str">
        <x:v>OpenAI Record &amp; Replay</x:v>
      </x:c>
      <x:c r="B13" s="50" t="str">
        <x:v>Workflow demonstration to reusable skill</x:v>
      </x:c>
      <x:c r="C13" s="50" t="str">
        <x:v>Demonstrate a workflow once and convert it into a reusable skill.</x:v>
      </x:c>
      <x:c r="D13" s="50" t="str">
        <x:v>Excellent mental model for Skill Forge and role-specific workflow training.</x:v>
      </x:c>
      <x:c r="E13" s="50" t="str">
        <x:v>Not a full monitoring/capability platform; initial availability excludes UK/EEA/Switzerland.</x:v>
      </x:c>
      <x:c r="F13" s="50" t="str">
        <x:v>Learn from</x:v>
      </x:c>
      <x:c r="G13" s="50" t="str">
        <x:v>Medium</x:v>
      </x:c>
      <x:c r="H13" s="50" t="str">
        <x:v>https://developers.openai.com/codex/record-and-replay</x:v>
      </x:c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50" t="str">
        <x:v>OpenTelemetry GenAI</x:v>
      </x:c>
      <x:c r="B14" s="50" t="str">
        <x:v>AI observability standardisation</x:v>
      </x:c>
      <x:c r="C14" s="50" t="str">
        <x:v>Common semantic conventions for GenAI traces, metrics and logs.</x:v>
      </x:c>
      <x:c r="D14" s="50" t="str">
        <x:v>Use OTel conventions for AI-agent spans to avoid vendor lock-in.</x:v>
      </x:c>
      <x:c r="E14" s="50" t="str">
        <x:v>Needs Nessovo-specific domain ontology for task/capability/evidence semantics.</x:v>
      </x:c>
      <x:c r="F14" s="50" t="str">
        <x:v>Adopt</x:v>
      </x:c>
      <x:c r="G14" s="50" t="str">
        <x:v>High</x:v>
      </x:c>
      <x:c r="H14" s="50" t="str">
        <x:v>https://opentelemetry.io/docs/concepts/semantic-conventions/</x:v>
      </x:c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47"/>
      <x:c r="B15" s="47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47"/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cdbfbc47e5d48b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40" hidden="0" customWidth="1"/>
    <x:col min="4" max="4" width="44" hidden="0" customWidth="1"/>
    <x:col min="5" max="5" width="42" hidden="0" customWidth="1"/>
    <x:col min="6" max="6" width="24" hidden="0" customWidth="1"/>
    <x:col min="7" max="7" width="24" hidden="0" customWidth="1"/>
    <x:col min="8" max="8" width="12" hidden="0" customWidth="1"/>
    <x:col min="9" max="9" width="58" hidden="0" customWidth="1"/>
  </x:cols>
  <x:sheetData>
    <x:row r="1" ht="34" customHeight="1">
      <x:c r="A1" s="64" t="str">
        <x:v>GitHub / OSS Scan</x:v>
      </x:c>
      <x:c r="B1" s="64"/>
      <x:c r="C1" s="64"/>
      <x:c r="D1" s="64"/>
      <x:c r="E1" s="64"/>
      <x:c r="F1" s="64"/>
      <x:c r="G1" s="64"/>
      <x:c r="H1" s="64"/>
      <x:c r="I1" s="64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 ht="34" customHeight="1">
      <x:c r="A2" s="48" t="str">
        <x:v>Open-source and source-available systems that can inform architecture, capture, observability, and AI memory.</x:v>
      </x:c>
      <x:c r="B2" s="48"/>
      <x:c r="C2" s="48"/>
      <x:c r="D2" s="48"/>
      <x:c r="E2" s="48"/>
      <x:c r="F2" s="48"/>
      <x:c r="G2" s="48"/>
      <x:c r="H2" s="48"/>
      <x:c r="I2" s="48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 ht="32" customHeight="1">
      <x:c r="A4" s="49" t="str">
        <x:v>Repository</x:v>
      </x:c>
      <x:c r="B4" s="49" t="str">
        <x:v>Category</x:v>
      </x:c>
      <x:c r="C4" s="49" t="str">
        <x:v>Relevance</x:v>
      </x:c>
      <x:c r="D4" s="49" t="str">
        <x:v>Useful patterns</x:v>
      </x:c>
      <x:c r="E4" s="49" t="str">
        <x:v>Limitations / risk</x:v>
      </x:c>
      <x:c r="F4" s="49" t="str">
        <x:v>Licence note</x:v>
      </x:c>
      <x:c r="G4" s="49" t="str">
        <x:v>Adopt stance</x:v>
      </x:c>
      <x:c r="H4" s="49" t="str">
        <x:v>Priority</x:v>
      </x:c>
      <x:c r="I4" s="49" t="str">
        <x:v>Source URL</x:v>
      </x:c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50" t="str">
        <x:v>screenpipe/screenpipe</x:v>
      </x:c>
      <x:c r="B5" s="50" t="str">
        <x:v>Local screen/audio/AI memory</x:v>
      </x:c>
      <x:c r="C5" s="50" t="str">
        <x:v>Closest OSS/source-available reference for desktop activity memory.</x:v>
      </x:c>
      <x:c r="D5" s="50" t="str">
        <x:v>Event-driven screen capture, accessibility tree, OCR fallback, local-first search, AI pipes.</x:v>
      </x:c>
      <x:c r="E5" s="50" t="str">
        <x:v>Source-available/commercial licence; not a task assurance/capability platform.</x:v>
      </x:c>
      <x:c r="F5" s="50" t="str">
        <x:v>Commercial use requires licence per repo README.</x:v>
      </x:c>
      <x:c r="G5" s="50" t="str">
        <x:v>Study / license / selectively integrate</x:v>
      </x:c>
      <x:c r="H5" s="50" t="str">
        <x:v>High</x:v>
      </x:c>
      <x:c r="I5" s="50" t="str">
        <x:v>https://github.com/screenpipe/screenpipe</x:v>
      </x:c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50" t="str">
        <x:v>ActivityWatch/activitywatch</x:v>
      </x:c>
      <x:c r="B6" s="50" t="str">
        <x:v>Time/activity tracking</x:v>
      </x:c>
      <x:c r="C6" s="50" t="str">
        <x:v>Mature privacy-first active window/browser/AFK tracking architecture.</x:v>
      </x:c>
      <x:c r="D6" s="50" t="str">
        <x:v>Watcher model, local server, extensibility, browser watchers.</x:v>
      </x:c>
      <x:c r="E6" s="50" t="str">
        <x:v>Low fidelity; no exact text/screen intelligence or task correctness.</x:v>
      </x:c>
      <x:c r="F6" s="50" t="str">
        <x:v>Open source; check MPL-2.0 implications.</x:v>
      </x:c>
      <x:c r="G6" s="50" t="str">
        <x:v>Use ideas / possible integration</x:v>
      </x:c>
      <x:c r="H6" s="50" t="str">
        <x:v>High</x:v>
      </x:c>
      <x:c r="I6" s="50" t="str">
        <x:v>https://github.com/ActivityWatch/activitywatch</x:v>
      </x:c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50" t="str">
        <x:v>OpenAdaptAI/openadapt-desktop</x:v>
      </x:c>
      <x:c r="B7" s="50" t="str">
        <x:v>Workflow capture and replay</x:v>
      </x:c>
      <x:c r="C7" s="50" t="str">
        <x:v>Strong reference for GUI workflow teaching/recording and governed replay.</x:v>
      </x:c>
      <x:c r="D7" s="50" t="str">
        <x:v>Record -&gt; compile -&gt; certify -&gt; replay -&gt; repair/teach pattern.</x:v>
      </x:c>
      <x:c r="E7" s="50" t="str">
        <x:v>Experimental desktop product; not production validated end to end.</x:v>
      </x:c>
      <x:c r="F7" s="50" t="str">
        <x:v>MIT in desktop repo.</x:v>
      </x:c>
      <x:c r="G7" s="50" t="str">
        <x:v>Study / prototype ideas</x:v>
      </x:c>
      <x:c r="H7" s="50" t="str">
        <x:v>High</x:v>
      </x:c>
      <x:c r="I7" s="50" t="str">
        <x:v>https://github.com/OpenAdaptAI/openadapt-desktop</x:v>
      </x:c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50" t="str">
        <x:v>thedotmack/claude-mem</x:v>
      </x:c>
      <x:c r="B8" s="50" t="str">
        <x:v>AI memory for Claude Code</x:v>
      </x:c>
      <x:c r="C8" s="50" t="str">
        <x:v>Good lifecycle-hook memory pattern for agent work sessions.</x:v>
      </x:c>
      <x:c r="D8" s="50" t="str">
        <x:v>Hooks, local worker, SQLite/FTS5, summaries, real-time memory viewer.</x:v>
      </x:c>
      <x:c r="E8" s="50" t="str">
        <x:v>Claude-centric; not OS-level observation.</x:v>
      </x:c>
      <x:c r="F8" s="50" t="str">
        <x:v>Apache-2.0 per repo metadata.</x:v>
      </x:c>
      <x:c r="G8" s="50" t="str">
        <x:v>Study / adapt pattern</x:v>
      </x:c>
      <x:c r="H8" s="50" t="str">
        <x:v>High</x:v>
      </x:c>
      <x:c r="I8" s="50" t="str">
        <x:v>https://github.com/thedotmack/claude-mem</x:v>
      </x:c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50" t="str">
        <x:v>rebelytics/one-skill-to-rule-them-all</x:v>
      </x:c>
      <x:c r="B9" s="50" t="str">
        <x:v>Skill improvement methodology</x:v>
      </x:c>
      <x:c r="C9" s="50" t="str">
        <x:v>Strong model for Skill Forge: observe corrections, propose improvements, retain human review.</x:v>
      </x:c>
      <x:c r="D9" s="50" t="str">
        <x:v>Observation log, issue/improvement/principle format, review cycle.</x:v>
      </x:c>
      <x:c r="E9" s="50" t="str">
        <x:v>Methodology only, not a recorder or platform.</x:v>
      </x:c>
      <x:c r="F9" s="50" t="str">
        <x:v>CC BY 4.0 per repo README.</x:v>
      </x:c>
      <x:c r="G9" s="50" t="str">
        <x:v>Adapt methodology</x:v>
      </x:c>
      <x:c r="H9" s="50" t="str">
        <x:v>High</x:v>
      </x:c>
      <x:c r="I9" s="50" t="str">
        <x:v>https://github.com/rebelytics/one-skill-to-rule-them-all</x:v>
      </x:c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50" t="str">
        <x:v>wakatime/wakatime-cli</x:v>
      </x:c>
      <x:c r="B10" s="50" t="str">
        <x:v>Developer time telemetry</x:v>
      </x:c>
      <x:c r="C10" s="50" t="str">
        <x:v>Reference for editor/plugin-based developer activity instrumentation.</x:v>
      </x:c>
      <x:c r="D10" s="50" t="str">
        <x:v>CLI ingestion, editor plugin ecosystem, developer activity heartbeat model.</x:v>
      </x:c>
      <x:c r="E10" s="50" t="str">
        <x:v>Developer-tool focused; not universal desktop/task assurance.</x:v>
      </x:c>
      <x:c r="F10" s="50" t="str">
        <x:v>BSD-style? verify before use.</x:v>
      </x:c>
      <x:c r="G10" s="50" t="str">
        <x:v>Study / optional connector</x:v>
      </x:c>
      <x:c r="H10" s="50" t="str">
        <x:v>Medium</x:v>
      </x:c>
      <x:c r="I10" s="50" t="str">
        <x:v>https://github.com/wakatime/wakatime-cli</x:v>
      </x:c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50" t="str">
        <x:v>open-telemetry/semantic-conventions-genai</x:v>
      </x:c>
      <x:c r="B11" s="50" t="str">
        <x:v>GenAI observability standards</x:v>
      </x:c>
      <x:c r="C11" s="50" t="str">
        <x:v>Reference for standardising agent traces and tool calls.</x:v>
      </x:c>
      <x:c r="D11" s="50" t="str">
        <x:v>GenAI spans, metrics, events, MCP/provider conventions.</x:v>
      </x:c>
      <x:c r="E11" s="50" t="str">
        <x:v>Does not define work/capability/task ontologies.</x:v>
      </x:c>
      <x:c r="F11" s="50" t="str">
        <x:v>Apache-2.0.</x:v>
      </x:c>
      <x:c r="G11" s="50" t="str">
        <x:v>Adopt conventions</x:v>
      </x:c>
      <x:c r="H11" s="50" t="str">
        <x:v>High</x:v>
      </x:c>
      <x:c r="I11" s="50" t="str">
        <x:v>https://github.com/open-telemetry/semantic-conventions-genai</x:v>
      </x:c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50" t="str">
        <x:v>temporalio/sdk-java</x:v>
      </x:c>
      <x:c r="B12" s="50" t="str">
        <x:v>Durable workflow orchestration</x:v>
      </x:c>
      <x:c r="C12" s="50" t="str">
        <x:v>Useful for long-running review/coaching/skill-approval workflows in Java.</x:v>
      </x:c>
      <x:c r="D12" s="50" t="str">
        <x:v>Durable execution, workflows, activities, retries.</x:v>
      </x:c>
      <x:c r="E12" s="50" t="str">
        <x:v>Adds operational complexity; should not replace domain services.</x:v>
      </x:c>
      <x:c r="F12" s="50" t="str">
        <x:v>Apache-2.0.</x:v>
      </x:c>
      <x:c r="G12" s="50" t="str">
        <x:v>Consider</x:v>
      </x:c>
      <x:c r="H12" s="50" t="str">
        <x:v>Medium</x:v>
      </x:c>
      <x:c r="I12" s="50" t="str">
        <x:v>https://github.com/temporalio/sdk-java</x:v>
      </x:c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50" t="str">
        <x:v>temporalio/sdk-python</x:v>
      </x:c>
      <x:c r="B13" s="50" t="str">
        <x:v>Durable workflow orchestration</x:v>
      </x:c>
      <x:c r="C13" s="50" t="str">
        <x:v>Useful for Python AI pipelines requiring retries and workflow state.</x:v>
      </x:c>
      <x:c r="D13" s="50" t="str">
        <x:v>Durable AI/evaluation activities and approval loops.</x:v>
      </x:c>
      <x:c r="E13" s="50" t="str">
        <x:v>Needs disciplined boundary with Java services.</x:v>
      </x:c>
      <x:c r="F13" s="50" t="str">
        <x:v>MIT.</x:v>
      </x:c>
      <x:c r="G13" s="50" t="str">
        <x:v>Consider</x:v>
      </x:c>
      <x:c r="H13" s="50" t="str">
        <x:v>Medium</x:v>
      </x:c>
      <x:c r="I13" s="50" t="str">
        <x:v>https://github.com/temporalio/sdk-python</x:v>
      </x:c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47"/>
      <x:c r="B14" s="47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47"/>
      <x:c r="B15" s="47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47"/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39ebec4c8484a1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  <x:col min="8" max="8" width="12" hidden="0" customWidth="1"/>
    <x:col min="9" max="9" width="10" hidden="0" customWidth="1"/>
  </x:cols>
  <x:sheetData>
    <x:row r="1" ht="34" customHeight="1">
      <x:c r="A1" s="64" t="str">
        <x:v>Competitive Gap Matrix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 ht="34" customHeight="1">
      <x:c r="A2" s="48" t="str">
        <x:v>Where market categories stop and Nessovo HumanOS Work Intelligence must go further.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 ht="32" customHeight="1">
      <x:c r="A4" s="49" t="str">
        <x:v>Capability</x:v>
      </x:c>
      <x:c r="B4" s="49" t="str">
        <x:v>Employee monitoring</x:v>
      </x:c>
      <x:c r="C4" s="49" t="str">
        <x:v>Task mining</x:v>
      </x:c>
      <x:c r="D4" s="49" t="str">
        <x:v>Developer telemetry</x:v>
      </x:c>
      <x:c r="E4" s="49" t="str">
        <x:v>AI-agent memory</x:v>
      </x:c>
      <x:c r="F4" s="49" t="str">
        <x:v>Nessovo target</x:v>
      </x:c>
      <x:c r="G4" s="49" t="str">
        <x:v>Differentiation note</x:v>
      </x:c>
      <x:c r="H4" s="49" t="str">
        <x:v>Priority</x:v>
      </x:c>
      <x:c r="I4" s="49" t="str">
        <x:v>MVP</x:v>
      </x:c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50" t="str">
        <x:v>App/window/browser tracking</x:v>
      </x:c>
      <x:c r="B5" s="50" t="str">
        <x:v>Strong</x:v>
      </x:c>
      <x:c r="C5" s="50" t="str">
        <x:v>Medium</x:v>
      </x:c>
      <x:c r="D5" s="50" t="str">
        <x:v>Medium</x:v>
      </x:c>
      <x:c r="E5" s="50" t="str">
        <x:v>Low</x:v>
      </x:c>
      <x:c r="F5" s="50" t="str">
        <x:v>Strong</x:v>
      </x:c>
      <x:c r="G5" s="50" t="str">
        <x:v>Commodity capture requirement.</x:v>
      </x:c>
      <x:c r="H5" s="50" t="str">
        <x:v>High</x:v>
      </x:c>
      <x:c r="I5" s="50" t="str">
        <x:v>Yes</x:v>
      </x:c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50" t="str">
        <x:v>Screen snapshots / replay</x:v>
      </x:c>
      <x:c r="B6" s="50" t="str">
        <x:v>Strong</x:v>
      </x:c>
      <x:c r="C6" s="50" t="str">
        <x:v>Strong</x:v>
      </x:c>
      <x:c r="D6" s="50" t="str">
        <x:v>Low</x:v>
      </x:c>
      <x:c r="E6" s="50" t="str">
        <x:v>Low</x:v>
      </x:c>
      <x:c r="F6" s="50" t="str">
        <x:v>Strong</x:v>
      </x:c>
      <x:c r="G6" s="50" t="str">
        <x:v>Need event-driven capture with privacy controls.</x:v>
      </x:c>
      <x:c r="H6" s="50" t="str">
        <x:v>High</x:v>
      </x:c>
      <x:c r="I6" s="50" t="str">
        <x:v>Yes</x:v>
      </x:c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50" t="str">
        <x:v>Keystroke / text capture</x:v>
      </x:c>
      <x:c r="B7" s="50" t="str">
        <x:v>Strong</x:v>
      </x:c>
      <x:c r="C7" s="50" t="str">
        <x:v>Medium</x:v>
      </x:c>
      <x:c r="D7" s="50" t="str">
        <x:v>Low</x:v>
      </x:c>
      <x:c r="E7" s="50" t="str">
        <x:v>Low</x:v>
      </x:c>
      <x:c r="F7" s="50" t="str">
        <x:v>Controlled strong</x:v>
      </x:c>
      <x:c r="G7" s="50" t="str">
        <x:v>Reconcile keystrokes with resulting text; block secrets.</x:v>
      </x:c>
      <x:c r="H7" s="50" t="str">
        <x:v>High</x:v>
      </x:c>
      <x:c r="I7" s="50" t="str">
        <x:v>Yes</x:v>
      </x:c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50" t="str">
        <x:v>Task association</x:v>
      </x:c>
      <x:c r="B8" s="50" t="str">
        <x:v>Medium</x:v>
      </x:c>
      <x:c r="C8" s="50" t="str">
        <x:v>Strong</x:v>
      </x:c>
      <x:c r="D8" s="50" t="str">
        <x:v>Low</x:v>
      </x:c>
      <x:c r="E8" s="50" t="str">
        <x:v>Low</x:v>
      </x:c>
      <x:c r="F8" s="50" t="str">
        <x:v>Strong</x:v>
      </x:c>
      <x:c r="G8" s="50" t="str">
        <x:v>Must bind every episode to task contracts and plan.</x:v>
      </x:c>
      <x:c r="H8" s="50" t="str">
        <x:v>High</x:v>
      </x:c>
      <x:c r="I8" s="50" t="str">
        <x:v>Yes</x:v>
      </x:c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50" t="str">
        <x:v>Acceptance-criteria verification</x:v>
      </x:c>
      <x:c r="B9" s="50" t="str">
        <x:v>Low</x:v>
      </x:c>
      <x:c r="C9" s="50" t="str">
        <x:v>Low</x:v>
      </x:c>
      <x:c r="D9" s="50" t="str">
        <x:v>Medium</x:v>
      </x:c>
      <x:c r="E9" s="50" t="str">
        <x:v>Low</x:v>
      </x:c>
      <x:c r="F9" s="50" t="str">
        <x:v>Strong</x:v>
      </x:c>
      <x:c r="G9" s="50" t="str">
        <x:v>Core differentiator: activity is not outcome.</x:v>
      </x:c>
      <x:c r="H9" s="50" t="str">
        <x:v>High</x:v>
      </x:c>
      <x:c r="I9" s="50" t="str">
        <x:v>Yes</x:v>
      </x:c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50" t="str">
        <x:v>Human vs AI vs automation provenance</x:v>
      </x:c>
      <x:c r="B10" s="50" t="str">
        <x:v>Low</x:v>
      </x:c>
      <x:c r="C10" s="50" t="str">
        <x:v>Low</x:v>
      </x:c>
      <x:c r="D10" s="50" t="str">
        <x:v>Medium</x:v>
      </x:c>
      <x:c r="E10" s="50" t="str">
        <x:v>Medium</x:v>
      </x:c>
      <x:c r="F10" s="50" t="str">
        <x:v>Strong</x:v>
      </x:c>
      <x:c r="G10" s="50" t="str">
        <x:v>Critical for modern AI-assisted work.</x:v>
      </x:c>
      <x:c r="H10" s="50" t="str">
        <x:v>High</x:v>
      </x:c>
      <x:c r="I10" s="50" t="str">
        <x:v>Yes</x:v>
      </x:c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50" t="str">
        <x:v>Capability graph vs job description</x:v>
      </x:c>
      <x:c r="B11" s="50" t="str">
        <x:v>Low</x:v>
      </x:c>
      <x:c r="C11" s="50" t="str">
        <x:v>Low</x:v>
      </x:c>
      <x:c r="D11" s="50" t="str">
        <x:v>Low</x:v>
      </x:c>
      <x:c r="E11" s="50" t="str">
        <x:v>Low</x:v>
      </x:c>
      <x:c r="F11" s="50" t="str">
        <x:v>Strong</x:v>
      </x:c>
      <x:c r="G11" s="50" t="str">
        <x:v>Role-readiness and skill levels from evidence.</x:v>
      </x:c>
      <x:c r="H11" s="50" t="str">
        <x:v>High</x:v>
      </x:c>
      <x:c r="I11" s="50" t="str">
        <x:v>Yes</x:v>
      </x:c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50" t="str">
        <x:v>Real-time coaching</x:v>
      </x:c>
      <x:c r="B12" s="50" t="str">
        <x:v>Medium</x:v>
      </x:c>
      <x:c r="C12" s="50" t="str">
        <x:v>Low</x:v>
      </x:c>
      <x:c r="D12" s="50" t="str">
        <x:v>Low</x:v>
      </x:c>
      <x:c r="E12" s="50" t="str">
        <x:v>Medium</x:v>
      </x:c>
      <x:c r="F12" s="50" t="str">
        <x:v>Strong</x:v>
      </x:c>
      <x:c r="G12" s="50" t="str">
        <x:v>Nudge, assist, teach, escalate with confidence thresholds.</x:v>
      </x:c>
      <x:c r="H12" s="50" t="str">
        <x:v>High</x:v>
      </x:c>
      <x:c r="I12" s="50" t="str">
        <x:v>Yes</x:v>
      </x:c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50" t="str">
        <x:v>Training effectiveness loop</x:v>
      </x:c>
      <x:c r="B13" s="50" t="str">
        <x:v>Low</x:v>
      </x:c>
      <x:c r="C13" s="50" t="str">
        <x:v>Low</x:v>
      </x:c>
      <x:c r="D13" s="50" t="str">
        <x:v>Low</x:v>
      </x:c>
      <x:c r="E13" s="50" t="str">
        <x:v>Low</x:v>
      </x:c>
      <x:c r="F13" s="50" t="str">
        <x:v>Strong</x:v>
      </x:c>
      <x:c r="G13" s="50" t="str">
        <x:v>Capability should rise only after demonstrated application.</x:v>
      </x:c>
      <x:c r="H13" s="50" t="str">
        <x:v>High</x:v>
      </x:c>
      <x:c r="I13" s="50" t="str">
        <x:v>Yes</x:v>
      </x:c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50" t="str">
        <x:v>Self-improving skills/plugins</x:v>
      </x:c>
      <x:c r="B14" s="50" t="str">
        <x:v>Low</x:v>
      </x:c>
      <x:c r="C14" s="50" t="str">
        <x:v>Low</x:v>
      </x:c>
      <x:c r="D14" s="50" t="str">
        <x:v>Low</x:v>
      </x:c>
      <x:c r="E14" s="50" t="str">
        <x:v>Strong</x:v>
      </x:c>
      <x:c r="F14" s="50" t="str">
        <x:v>Strong</x:v>
      </x:c>
      <x:c r="G14" s="50" t="str">
        <x:v>Skill Forge with evaluations, review and canary release.</x:v>
      </x:c>
      <x:c r="H14" s="50" t="str">
        <x:v>Medium</x:v>
      </x:c>
      <x:c r="I14" s="50" t="str">
        <x:v>No</x:v>
      </x:c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50" t="str">
        <x:v>Governed employment decision workflow</x:v>
      </x:c>
      <x:c r="B15" s="50" t="str">
        <x:v>Medium</x:v>
      </x:c>
      <x:c r="C15" s="50" t="str">
        <x:v>Medium</x:v>
      </x:c>
      <x:c r="D15" s="50" t="str">
        <x:v>Low</x:v>
      </x:c>
      <x:c r="E15" s="50" t="str">
        <x:v>Low</x:v>
      </x:c>
      <x:c r="F15" s="50" t="str">
        <x:v>Strong</x:v>
      </x:c>
      <x:c r="G15" s="50" t="str">
        <x:v>Human review, dispute, audit and purpose-limited access.</x:v>
      </x:c>
      <x:c r="H15" s="50" t="str">
        <x:v>High</x:v>
      </x:c>
      <x:c r="I15" s="50" t="str">
        <x:v>Yes</x:v>
      </x:c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50" t="str">
        <x:v>Multi-vertical HumanOS expansion</x:v>
      </x:c>
      <x:c r="B16" s="50" t="str">
        <x:v>Low</x:v>
      </x:c>
      <x:c r="C16" s="50" t="str">
        <x:v>Medium</x:v>
      </x:c>
      <x:c r="D16" s="50" t="str">
        <x:v>Low</x:v>
      </x:c>
      <x:c r="E16" s="50" t="str">
        <x:v>Low</x:v>
      </x:c>
      <x:c r="F16" s="50" t="str">
        <x:v>Strong</x:v>
      </x:c>
      <x:c r="G16" s="50" t="str">
        <x:v>Domain adapters for all business verticals.</x:v>
      </x:c>
      <x:c r="H16" s="50" t="str">
        <x:v>Medium</x:v>
      </x:c>
      <x:c r="I16" s="50" t="str">
        <x:v>No</x:v>
      </x:c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d02e53e5350a42f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2" hidden="0" customWidth="1"/>
    <x:col min="3" max="3" width="50" hidden="0" customWidth="1"/>
    <x:col min="4" max="4" width="14" hidden="0" customWidth="1"/>
    <x:col min="5" max="5" width="10" hidden="0" customWidth="1"/>
    <x:col min="6" max="6" width="22" hidden="0" customWidth="1"/>
    <x:col min="7" max="7" width="50" hidden="0" customWidth="1"/>
    <x:col min="8" max="8" width="22" hidden="0" customWidth="1"/>
    <x:col min="9" max="9" width="14" hidden="0" customWidth="1"/>
    <x:col min="10" max="10" width="12" hidden="0" customWidth="1"/>
    <x:col min="11" max="11" width="12" hidden="0" customWidth="1"/>
    <x:col min="12" max="12" width="14" hidden="0" customWidth="1"/>
    <x:col min="13" max="13" width="14" hidden="0" customWidth="1"/>
    <x:col min="14" max="14" width="12" hidden="0" customWidth="1"/>
  </x:cols>
  <x:sheetData>
    <x:row r="1" ht="34" customHeight="1">
      <x:c r="A1" s="64" t="str">
        <x:v>Delivery Stages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 ht="34" customHeight="1">
      <x:c r="A2" s="48" t="str">
        <x:v>13 stages total: Stage 0 plus 12 implementation stages.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 ht="32" customHeight="1">
      <x:c r="A4" s="49" t="str">
        <x:v>Stage #</x:v>
      </x:c>
      <x:c r="B4" s="49" t="str">
        <x:v>Stage</x:v>
      </x:c>
      <x:c r="C4" s="49" t="str">
        <x:v>Objective</x:v>
      </x:c>
      <x:c r="D4" s="49" t="str">
        <x:v>Duration weeks</x:v>
      </x:c>
      <x:c r="E4" s="49" t="str">
        <x:v>Team size</x:v>
      </x:c>
      <x:c r="F4" s="49" t="str">
        <x:v>Dependencies</x:v>
      </x:c>
      <x:c r="G4" s="49" t="str">
        <x:v>Exit deliverables</x:v>
      </x:c>
      <x:c r="H4" s="49" t="str">
        <x:v>Lead role</x:v>
      </x:c>
      <x:c r="I4" s="49" t="str">
        <x:v>Status</x:v>
      </x:c>
      <x:c r="J4" s="49" t="str">
        <x:v>Priority</x:v>
      </x:c>
      <x:c r="K4" s="49" t="str">
        <x:v>Risk</x:v>
      </x:c>
      <x:c r="L4" s="49" t="str">
        <x:v>Start date</x:v>
      </x:c>
      <x:c r="M4" s="49" t="str">
        <x:v>End date</x:v>
      </x:c>
      <x:c r="N4" s="49" t="str">
        <x:v>Effort PW</x:v>
      </x:c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50" t="n">
        <x:v>0</x:v>
      </x:c>
      <x:c r="B5" s="50" t="str">
        <x:v>Charter, governance and legal boundary</x:v>
      </x:c>
      <x:c r="C5" s="50" t="str">
        <x:v>Define scope, lawful basis, DPIA approach, employee transparency, non-goals and decision rights.</x:v>
      </x:c>
      <x:c r="D5" s="50" t="n">
        <x:v>2</x:v>
      </x:c>
      <x:c r="E5" s="50" t="n">
        <x:v>4</x:v>
      </x:c>
      <x:c r="F5" s="50" t="str">
        <x:v>None</x:v>
      </x:c>
      <x:c r="G5" s="50" t="str">
        <x:v>Approved product charter, DPIA draft, monitoring policy, evidence hierarchy.</x:v>
      </x:c>
      <x:c r="H5" s="50" t="str">
        <x:v>CEO/CTO/Legal/Product</x:v>
      </x:c>
      <x:c r="I5" s="50" t="str">
        <x:v>Not Started</x:v>
      </x:c>
      <x:c r="J5" s="50" t="str">
        <x:v>Critical</x:v>
      </x:c>
      <x:c r="K5" s="50" t="str">
        <x:v>High</x:v>
      </x:c>
      <x:c r="L5" s="58" t="n">
        <x:v>46223</x:v>
      </x:c>
      <x:c r="M5" s="58" t="n">
        <x:v>46236</x:v>
      </x:c>
      <x:c r="N5" s="59" t="n">
        <x:f>D5*E5</x:f>
        <x:v>8</x:v>
      </x:c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50" t="n">
        <x:v>1</x:v>
      </x:c>
      <x:c r="B6" s="50" t="str">
        <x:v>Market/OSS validation and reference architecture</x:v>
      </x:c>
      <x:c r="C6" s="50" t="str">
        <x:v>Complete research, architecture options, licence review, build/buy decisions.</x:v>
      </x:c>
      <x:c r="D6" s="50" t="n">
        <x:v>2</x:v>
      </x:c>
      <x:c r="E6" s="50" t="n">
        <x:v>4</x:v>
      </x:c>
      <x:c r="F6" s="50" t="str">
        <x:v>Stage 0</x:v>
      </x:c>
      <x:c r="G6" s="50" t="str">
        <x:v>Final competitor map, OSS licence notes, architecture decision record.</x:v>
      </x:c>
      <x:c r="H6" s="50" t="str">
        <x:v>Product/Architecture</x:v>
      </x:c>
      <x:c r="I6" s="50" t="str">
        <x:v>Not Started</x:v>
      </x:c>
      <x:c r="J6" s="50" t="str">
        <x:v>High</x:v>
      </x:c>
      <x:c r="K6" s="50" t="str">
        <x:v>Medium</x:v>
      </x:c>
      <x:c r="L6" s="58" t="n">
        <x:v>46237</x:v>
      </x:c>
      <x:c r="M6" s="58" t="n">
        <x:v>46250</x:v>
      </x:c>
      <x:c r="N6" s="59" t="n">
        <x:f>D6*E6</x:f>
        <x:v>8</x:v>
      </x:c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50" t="n">
        <x:v>2</x:v>
      </x:c>
      <x:c r="B7" s="50" t="str">
        <x:v>Role capability and task contract ontology</x:v>
      </x:c>
      <x:c r="C7" s="50" t="str">
        <x:v>Create Role Capability Contract, Task Execution Contract and capability levels.</x:v>
      </x:c>
      <x:c r="D7" s="50" t="n">
        <x:v>3</x:v>
      </x:c>
      <x:c r="E7" s="50" t="n">
        <x:v>5</x:v>
      </x:c>
      <x:c r="F7" s="50" t="str">
        <x:v>Stage 0</x:v>
      </x:c>
      <x:c r="G7" s="50" t="str">
        <x:v>Schemas, rubrics, example software-dev roles, task templates.</x:v>
      </x:c>
      <x:c r="H7" s="50" t="str">
        <x:v>Product/AI/Domain Experts</x:v>
      </x:c>
      <x:c r="I7" s="50" t="str">
        <x:v>Not Started</x:v>
      </x:c>
      <x:c r="J7" s="50" t="str">
        <x:v>Critical</x:v>
      </x:c>
      <x:c r="K7" s="50" t="str">
        <x:v>High</x:v>
      </x:c>
      <x:c r="L7" s="58" t="n">
        <x:v>46251</x:v>
      </x:c>
      <x:c r="M7" s="58" t="n">
        <x:v>46271</x:v>
      </x:c>
      <x:c r="N7" s="59" t="n">
        <x:f>D7*E7</x:f>
        <x:v>15</x:v>
      </x:c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50" t="n">
        <x:v>3</x:v>
      </x:c>
      <x:c r="B8" s="50" t="str">
        <x:v>Device agent foundation</x:v>
      </x:c>
      <x:c r="C8" s="50" t="str">
        <x:v>Build signed Windows/macOS agent skeleton, policy sync, session control, local encrypted journal.</x:v>
      </x:c>
      <x:c r="D8" s="50" t="n">
        <x:v>5</x:v>
      </x:c>
      <x:c r="E8" s="50" t="n">
        <x:v>7</x:v>
      </x:c>
      <x:c r="F8" s="50" t="str">
        <x:v>Stage 0,1</x:v>
      </x:c>
      <x:c r="G8" s="50" t="str">
        <x:v>Agent installs, starts sessions, records heartbeat and policy status.</x:v>
      </x:c>
      <x:c r="H8" s="50" t="str">
        <x:v>Desktop/Platform</x:v>
      </x:c>
      <x:c r="I8" s="50" t="str">
        <x:v>Not Started</x:v>
      </x:c>
      <x:c r="J8" s="50" t="str">
        <x:v>Critical</x:v>
      </x:c>
      <x:c r="K8" s="50" t="str">
        <x:v>High</x:v>
      </x:c>
      <x:c r="L8" s="58" t="n">
        <x:v>46272</x:v>
      </x:c>
      <x:c r="M8" s="58" t="n">
        <x:v>46306</x:v>
      </x:c>
      <x:c r="N8" s="59" t="n">
        <x:f>D8*E8</x:f>
        <x:v>35</x:v>
      </x:c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50" t="n">
        <x:v>4</x:v>
      </x:c>
      <x:c r="B9" s="50" t="str">
        <x:v>Telemetry ingestion and evidence storage</x:v>
      </x:c>
      <x:c r="C9" s="50" t="str">
        <x:v>Implement event gateway, schema registry, event bus, object store, audit linkage.</x:v>
      </x:c>
      <x:c r="D9" s="50" t="n">
        <x:v>4</x:v>
      </x:c>
      <x:c r="E9" s="50" t="n">
        <x:v>6</x:v>
      </x:c>
      <x:c r="F9" s="50" t="str">
        <x:v>Stage 3</x:v>
      </x:c>
      <x:c r="G9" s="50" t="str">
        <x:v>Signed batch ingestion, dedupe, object evidence store, basic replay API.</x:v>
      </x:c>
      <x:c r="H9" s="50" t="str">
        <x:v>Backend/Data</x:v>
      </x:c>
      <x:c r="I9" s="50" t="str">
        <x:v>Not Started</x:v>
      </x:c>
      <x:c r="J9" s="50" t="str">
        <x:v>Critical</x:v>
      </x:c>
      <x:c r="K9" s="50" t="str">
        <x:v>High</x:v>
      </x:c>
      <x:c r="L9" s="58" t="n">
        <x:v>46307</x:v>
      </x:c>
      <x:c r="M9" s="58" t="n">
        <x:v>46334</x:v>
      </x:c>
      <x:c r="N9" s="59" t="n">
        <x:f>D9*E9</x:f>
        <x:v>24</x:v>
      </x:c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50" t="n">
        <x:v>5</x:v>
      </x:c>
      <x:c r="B10" s="50" t="str">
        <x:v>Universal capture MVP</x:v>
      </x:c>
      <x:c r="C10" s="50" t="str">
        <x:v>Capture app/window, mouse, keyboard metadata, event-driven screenshots, idle/process/file events.</x:v>
      </x:c>
      <x:c r="D10" s="50" t="n">
        <x:v>6</x:v>
      </x:c>
      <x:c r="E10" s="50" t="n">
        <x:v>8</x:v>
      </x:c>
      <x:c r="F10" s="50" t="str">
        <x:v>Stage 3,4</x:v>
      </x:c>
      <x:c r="G10" s="50" t="str">
        <x:v>Correlated timeline with visual states, secure-field blocking, local redaction.</x:v>
      </x:c>
      <x:c r="H10" s="50" t="str">
        <x:v>Desktop/Data</x:v>
      </x:c>
      <x:c r="I10" s="50" t="str">
        <x:v>Not Started</x:v>
      </x:c>
      <x:c r="J10" s="50" t="str">
        <x:v>Critical</x:v>
      </x:c>
      <x:c r="K10" s="50" t="str">
        <x:v>High</x:v>
      </x:c>
      <x:c r="L10" s="58" t="n">
        <x:v>46335</x:v>
      </x:c>
      <x:c r="M10" s="58" t="n">
        <x:v>46376</x:v>
      </x:c>
      <x:c r="N10" s="59" t="n">
        <x:f>D10*E10</x:f>
        <x:v>48</x:v>
      </x:c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50" t="n">
        <x:v>6</x:v>
      </x:c>
      <x:c r="B11" s="50" t="str">
        <x:v>Development semantics and AI-agent adapters</x:v>
      </x:c>
      <x:c r="C11" s="50" t="str">
        <x:v>Add browser, terminal, Git, Codex, Claude Code, IDE/toolchain adapters.</x:v>
      </x:c>
      <x:c r="D11" s="50" t="n">
        <x:v>6</x:v>
      </x:c>
      <x:c r="E11" s="50" t="n">
        <x:v>8</x:v>
      </x:c>
      <x:c r="F11" s="50" t="str">
        <x:v>Stage 5</x:v>
      </x:c>
      <x:c r="G11" s="50" t="str">
        <x:v>Agent traces, terminal commands, git diff events, build/test detection.</x:v>
      </x:c>
      <x:c r="H11" s="50" t="str">
        <x:v>Integrations/AI</x:v>
      </x:c>
      <x:c r="I11" s="50" t="str">
        <x:v>Not Started</x:v>
      </x:c>
      <x:c r="J11" s="50" t="str">
        <x:v>High</x:v>
      </x:c>
      <x:c r="K11" s="50" t="str">
        <x:v>High</x:v>
      </x:c>
      <x:c r="L11" s="58" t="n">
        <x:v>46377</x:v>
      </x:c>
      <x:c r="M11" s="58" t="n">
        <x:v>46418</x:v>
      </x:c>
      <x:c r="N11" s="59" t="n">
        <x:f>D11*E11</x:f>
        <x:v>48</x:v>
      </x:c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50" t="n">
        <x:v>7</x:v>
      </x:c>
      <x:c r="B12" s="50" t="str">
        <x:v>Provenance and task assurance engine</x:v>
      </x:c>
      <x:c r="C12" s="50" t="str">
        <x:v>Build episode segmentation, task alignment, actor attribution and acceptance-criteria evaluation.</x:v>
      </x:c>
      <x:c r="D12" s="50" t="n">
        <x:v>7</x:v>
      </x:c>
      <x:c r="E12" s="50" t="n">
        <x:v>8</x:v>
      </x:c>
      <x:c r="F12" s="50" t="str">
        <x:v>Stage 2,6</x:v>
      </x:c>
      <x:c r="G12" s="50" t="str">
        <x:v>Task evidence graph, assurance findings, confidence scores, blocker detection.</x:v>
      </x:c>
      <x:c r="H12" s="50" t="str">
        <x:v>AI/Backend</x:v>
      </x:c>
      <x:c r="I12" s="50" t="str">
        <x:v>Not Started</x:v>
      </x:c>
      <x:c r="J12" s="50" t="str">
        <x:v>Critical</x:v>
      </x:c>
      <x:c r="K12" s="50" t="str">
        <x:v>High</x:v>
      </x:c>
      <x:c r="L12" s="58" t="n">
        <x:v>46419</x:v>
      </x:c>
      <x:c r="M12" s="58" t="n">
        <x:v>46467</x:v>
      </x:c>
      <x:c r="N12" s="59" t="n">
        <x:f>D12*E12</x:f>
        <x:v>56</x:v>
      </x:c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50" t="n">
        <x:v>8</x:v>
      </x:c>
      <x:c r="B13" s="50" t="str">
        <x:v>Capability graph and baseline assessment</x:v>
      </x:c>
      <x:c r="C13" s="50" t="str">
        <x:v>Map job descriptions to capabilities, track claims, build evidence-weighted levels.</x:v>
      </x:c>
      <x:c r="D13" s="50" t="n">
        <x:v>5</x:v>
      </x:c>
      <x:c r="E13" s="50" t="n">
        <x:v>6</x:v>
      </x:c>
      <x:c r="F13" s="50" t="str">
        <x:v>Stage 2,7</x:v>
      </x:c>
      <x:c r="G13" s="50" t="str">
        <x:v>Capability profile, claim-evidence discrepancy workflow, role readiness model.</x:v>
      </x:c>
      <x:c r="H13" s="50" t="str">
        <x:v>AI/Product/Backend</x:v>
      </x:c>
      <x:c r="I13" s="50" t="str">
        <x:v>Not Started</x:v>
      </x:c>
      <x:c r="J13" s="50" t="str">
        <x:v>High</x:v>
      </x:c>
      <x:c r="K13" s="50" t="str">
        <x:v>Medium</x:v>
      </x:c>
      <x:c r="L13" s="58" t="n">
        <x:v>46468</x:v>
      </x:c>
      <x:c r="M13" s="58" t="n">
        <x:v>46502</x:v>
      </x:c>
      <x:c r="N13" s="59" t="n">
        <x:f>D13*E13</x:f>
        <x:v>30</x:v>
      </x:c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50" t="n">
        <x:v>9</x:v>
      </x:c>
      <x:c r="B14" s="50" t="str">
        <x:v>Growth coach and learning loop</x:v>
      </x:c>
      <x:c r="C14" s="50" t="str">
        <x:v>Create coaching interventions, training prescriptions, worker guidance and learning outcome tracking.</x:v>
      </x:c>
      <x:c r="D14" s="50" t="n">
        <x:v>5</x:v>
      </x:c>
      <x:c r="E14" s="50" t="n">
        <x:v>6</x:v>
      </x:c>
      <x:c r="F14" s="50" t="str">
        <x:v>Stage 7,8</x:v>
      </x:c>
      <x:c r="G14" s="50" t="str">
        <x:v>Nudge/assist/teach/escalate modes, training plans, effectiveness metrics.</x:v>
      </x:c>
      <x:c r="H14" s="50" t="str">
        <x:v>AI/L&amp;D/Product</x:v>
      </x:c>
      <x:c r="I14" s="50" t="str">
        <x:v>Not Started</x:v>
      </x:c>
      <x:c r="J14" s="50" t="str">
        <x:v>High</x:v>
      </x:c>
      <x:c r="K14" s="50" t="str">
        <x:v>Medium</x:v>
      </x:c>
      <x:c r="L14" s="58" t="n">
        <x:v>46503</x:v>
      </x:c>
      <x:c r="M14" s="58" t="n">
        <x:v>46537</x:v>
      </x:c>
      <x:c r="N14" s="59" t="n">
        <x:f>D14*E14</x:f>
        <x:v>30</x:v>
      </x:c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50" t="n">
        <x:v>10</x:v>
      </x:c>
      <x:c r="B15" s="50" t="str">
        <x:v>Employee and manager dashboards</x:v>
      </x:c>
      <x:c r="C15" s="50" t="str">
        <x:v>Build employee timeline/corrections and manager exception-led reports.</x:v>
      </x:c>
      <x:c r="D15" s="50" t="n">
        <x:v>5</x:v>
      </x:c>
      <x:c r="E15" s="50" t="n">
        <x:v>7</x:v>
      </x:c>
      <x:c r="F15" s="50" t="str">
        <x:v>Stage 7,8,9</x:v>
      </x:c>
      <x:c r="G15" s="50" t="str">
        <x:v>Employee portal, dispute workflow, manager task/capability reports.</x:v>
      </x:c>
      <x:c r="H15" s="50" t="str">
        <x:v>Frontend/Backend</x:v>
      </x:c>
      <x:c r="I15" s="50" t="str">
        <x:v>Not Started</x:v>
      </x:c>
      <x:c r="J15" s="50" t="str">
        <x:v>High</x:v>
      </x:c>
      <x:c r="K15" s="50" t="str">
        <x:v>High</x:v>
      </x:c>
      <x:c r="L15" s="58" t="n">
        <x:v>46538</x:v>
      </x:c>
      <x:c r="M15" s="58" t="n">
        <x:v>46572</x:v>
      </x:c>
      <x:c r="N15" s="59" t="n">
        <x:f>D15*E15</x:f>
        <x:v>35</x:v>
      </x:c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50" t="n">
        <x:v>11</x:v>
      </x:c>
      <x:c r="B16" s="50" t="str">
        <x:v>Skill Forge and self-improvement</x:v>
      </x:c>
      <x:c r="C16" s="50" t="str">
        <x:v>Create observation-to-skill-update loop with evals, approval, canary and rollback.</x:v>
      </x:c>
      <x:c r="D16" s="50" t="n">
        <x:v>6</x:v>
      </x:c>
      <x:c r="E16" s="50" t="n">
        <x:v>6</x:v>
      </x:c>
      <x:c r="F16" s="50" t="str">
        <x:v>Stage 9,10</x:v>
      </x:c>
      <x:c r="G16" s="50" t="str">
        <x:v>Skill registry, update proposals, eval harness, review workflow.</x:v>
      </x:c>
      <x:c r="H16" s="50" t="str">
        <x:v>AI/Platform</x:v>
      </x:c>
      <x:c r="I16" s="50" t="str">
        <x:v>Not Started</x:v>
      </x:c>
      <x:c r="J16" s="50" t="str">
        <x:v>Medium</x:v>
      </x:c>
      <x:c r="K16" s="50" t="str">
        <x:v>No</x:v>
      </x:c>
      <x:c r="L16" s="58" t="n">
        <x:v>46573</x:v>
      </x:c>
      <x:c r="M16" s="58" t="n">
        <x:v>46614</x:v>
      </x:c>
      <x:c r="N16" s="59" t="n">
        <x:f>D16*E16</x:f>
        <x:v>36</x:v>
      </x:c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50" t="n">
        <x:v>12</x:v>
      </x:c>
      <x:c r="B17" s="50" t="str">
        <x:v>Security hardening, internal pilot and rollout</x:v>
      </x:c>
      <x:c r="C17" s="50" t="str">
        <x:v>Performance tuning, red-team, compliance validation, pilot measurement, rollout decision.</x:v>
      </x:c>
      <x:c r="D17" s="50" t="n">
        <x:v>6</x:v>
      </x:c>
      <x:c r="E17" s="50" t="n">
        <x:v>8</x:v>
      </x:c>
      <x:c r="F17" s="50" t="str">
        <x:v>Stages 0-11</x:v>
      </x:c>
      <x:c r="G17" s="50" t="str">
        <x:v>Pilot report, security sign-off, launch readiness, next-domain roadmap.</x:v>
      </x:c>
      <x:c r="H17" s="50" t="str">
        <x:v>All</x:v>
      </x:c>
      <x:c r="I17" s="50" t="str">
        <x:v>Not Started</x:v>
      </x:c>
      <x:c r="J17" s="50" t="str">
        <x:v>Critical</x:v>
      </x:c>
      <x:c r="K17" s="50" t="str">
        <x:v>High</x:v>
      </x:c>
      <x:c r="L17" s="58" t="n">
        <x:v>46615</x:v>
      </x:c>
      <x:c r="M17" s="58" t="n">
        <x:v>46656</x:v>
      </x:c>
      <x:c r="N17" s="59" t="n">
        <x:f>D17*E17</x:f>
        <x:v>48</x:v>
      </x:c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mergeCells>
    <x:mergeCell ref="A1:L1"/>
    <x:mergeCell ref="A2:L2"/>
  </x:mergeCells>
  <x:conditionalFormatting sqref="K5:K17">
    <x:cfRule type="expression" dxfId="0" priority="1">
      <x:formula>K5="High"</x:formula>
    </x:cfRule>
  </x:conditionalFormatting>
  <x:conditionalFormatting sqref="J5:J17">
    <x:cfRule type="expression" dxfId="1" priority="2">
      <x:formula>J5="Critical"</x:formula>
    </x:cfRule>
  </x:conditionalFormatting>
  <x:dataValidations count="3">
    <x:dataValidation type="list" sqref="I5:I17">
      <x:formula1>"Not Started,In Progress,Blocked,Done"</x:formula1>
    </x:dataValidation>
    <x:dataValidation type="list" sqref="J5:J17">
      <x:formula1>"Critical,High,Medium,Low"</x:formula1>
    </x:dataValidation>
    <x:dataValidation type="list" sqref="K5:K17">
      <x:formula1>"High,Medium,Low"</x:formula1>
    </x:dataValidation>
  </x:dataValidations>
  <x:pageMargins left="0.7" right="0.7" top="0.75" bottom="0.75" header="0.3" footer="0.3"/>
  <x:drawing xmlns:r="http://schemas.openxmlformats.org/officeDocument/2006/relationships" r:id="R8c5e273f6e464517"/>
  <x:tableParts count="1">
    <x:tablePart xmlns:r="http://schemas.openxmlformats.org/officeDocument/2006/relationships" r:id="R139fe0c56ad34a9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24" hidden="0" customWidth="1"/>
    <x:col min="4" max="4" width="26" hidden="0" customWidth="1"/>
    <x:col min="5" max="5" width="30" hidden="0" customWidth="1"/>
    <x:col min="6" max="6" width="30" hidden="0" customWidth="1"/>
    <x:col min="7" max="7" width="10" hidden="0" customWidth="1"/>
    <x:col min="8" max="8" width="18" hidden="0" customWidth="1"/>
    <x:col min="9" max="9" width="42" hidden="0" customWidth="1"/>
    <x:col min="10" max="10" width="50" hidden="0" customWidth="1"/>
  </x:cols>
  <x:sheetData>
    <x:row r="1" ht="34" customHeight="1">
      <x:c r="A1" s="64" t="str">
        <x:v>Microservices Map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 ht="34" customHeight="1">
      <x:c r="A2" s="48" t="str">
        <x:v>Logical bounded contexts and implementation technology for HumanOS Work Intelligence.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 ht="32" customHeight="1">
      <x:c r="A4" s="49" t="str">
        <x:v>Service</x:v>
      </x:c>
      <x:c r="B4" s="49" t="str">
        <x:v>Boundary / responsibility</x:v>
      </x:c>
      <x:c r="C4" s="49" t="str">
        <x:v>Primary runtime</x:v>
      </x:c>
      <x:c r="D4" s="49" t="str">
        <x:v>Data store</x:v>
      </x:c>
      <x:c r="E4" s="49" t="str">
        <x:v>Consumes</x:v>
      </x:c>
      <x:c r="F4" s="49" t="str">
        <x:v>Publishes</x:v>
      </x:c>
      <x:c r="G4" s="49" t="str">
        <x:v>MVP</x:v>
      </x:c>
      <x:c r="H4" s="49" t="str">
        <x:v>Owner</x:v>
      </x:c>
      <x:c r="I4" s="49" t="str">
        <x:v>Notes / dependencies</x:v>
      </x:c>
      <x:c r="J4" s="49" t="str">
        <x:v>Source / reference</x:v>
      </x:c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50" t="str">
        <x:v>Device Agent Gateway</x:v>
      </x:c>
      <x:c r="B5" s="50" t="str">
        <x:v>Registers devices, syncs policy, receives agent health and session control.</x:v>
      </x:c>
      <x:c r="C5" s="50" t="str">
        <x:v>Java Spring Boot</x:v>
      </x:c>
      <x:c r="D5" s="50" t="str">
        <x:v>PostgreSQL</x:v>
      </x:c>
      <x:c r="E5" s="50" t="str">
        <x:v>device.heartbeat, session.request</x:v>
      </x:c>
      <x:c r="F5" s="50" t="str">
        <x:v>device.status, policy.applied</x:v>
      </x:c>
      <x:c r="G5" s="50" t="str">
        <x:v>Yes</x:v>
      </x:c>
      <x:c r="H5" s="50" t="str">
        <x:v>Platform</x:v>
      </x:c>
      <x:c r="I5" s="50" t="str">
        <x:v>mTLS, device certs, update service.</x:v>
      </x:c>
      <x:c r="J5" s="50" t="str">
        <x:v>Spring microservices / OPA / mTLS</x:v>
      </x:c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50" t="str">
        <x:v>Telemetry Ingestion</x:v>
      </x:c>
      <x:c r="B6" s="50" t="str">
        <x:v>Accepts signed event batches, validates schema, deduplicates, partitions by tenant.</x:v>
      </x:c>
      <x:c r="C6" s="50" t="str">
        <x:v>Java Spring Boot + Kafka</x:v>
      </x:c>
      <x:c r="D6" s="50" t="str">
        <x:v>Kafka + PostgreSQL metadata</x:v>
      </x:c>
      <x:c r="E6" s="50" t="str">
        <x:v>agent.event.batch</x:v>
      </x:c>
      <x:c r="F6" s="50" t="str">
        <x:v>activity.event.normalized</x:v>
      </x:c>
      <x:c r="G6" s="50" t="str">
        <x:v>Yes</x:v>
      </x:c>
      <x:c r="H6" s="50" t="str">
        <x:v>Backend</x:v>
      </x:c>
      <x:c r="I6" s="50" t="str">
        <x:v>High throughput, idempotent ingestion.</x:v>
      </x:c>
      <x:c r="J6" s="50" t="str">
        <x:v>https://kafka.apache.org/documentation/</x:v>
      </x:c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50" t="str">
        <x:v>Evidence &amp; Provenance</x:v>
      </x:c>
      <x:c r="B7" s="50" t="str">
        <x:v>Stores events, visual states, causal graph, evidence hashes and replay timeline.</x:v>
      </x:c>
      <x:c r="C7" s="50" t="str">
        <x:v>Java Spring Boot</x:v>
      </x:c>
      <x:c r="D7" s="50" t="str">
        <x:v>PostgreSQL + graph store + object storage</x:v>
      </x:c>
      <x:c r="E7" s="50" t="str">
        <x:v>activity.event.normalized</x:v>
      </x:c>
      <x:c r="F7" s="50" t="str">
        <x:v>evidence.linked, provenance.updated</x:v>
      </x:c>
      <x:c r="G7" s="50" t="str">
        <x:v>Yes</x:v>
      </x:c>
      <x:c r="H7" s="50" t="str">
        <x:v>Data</x:v>
      </x:c>
      <x:c r="I7" s="50" t="str">
        <x:v>Graph model for human/AI/automation causality.</x:v>
      </x:c>
      <x:c r="J7" s="50" t="str">
        <x:v>OpenTelemetry + graph/event sourcing</x:v>
      </x:c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50" t="str">
        <x:v>Visual Evidence Store</x:v>
      </x:c>
      <x:c r="B8" s="50" t="str">
        <x:v>Stores screenshots, changed regions, OCR/accessibility extracts and retention metadata.</x:v>
      </x:c>
      <x:c r="C8" s="50" t="str">
        <x:v>Java Spring Boot</x:v>
      </x:c>
      <x:c r="D8" s="50" t="str">
        <x:v>S3/MinIO + PostgreSQL</x:v>
      </x:c>
      <x:c r="E8" s="50" t="str">
        <x:v>visual.state.created</x:v>
      </x:c>
      <x:c r="F8" s="50" t="str">
        <x:v>visual.evidence.indexed</x:v>
      </x:c>
      <x:c r="G8" s="50" t="str">
        <x:v>Yes</x:v>
      </x:c>
      <x:c r="H8" s="50" t="str">
        <x:v>Data/Security</x:v>
      </x:c>
      <x:c r="I8" s="50" t="str">
        <x:v>Dedup, retention, encryption, access audit.</x:v>
      </x:c>
      <x:c r="J8" s="50" t="str">
        <x:v>Screenpipe / ScreenCaptureKit / Windows capture</x:v>
      </x:c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50" t="str">
        <x:v>Task Intelligence</x:v>
      </x:c>
      <x:c r="B9" s="50" t="str">
        <x:v>Compiles task contracts, aligns episodes to tasks, checks acceptance criteria.</x:v>
      </x:c>
      <x:c r="C9" s="50" t="str">
        <x:v>Python AI + Java orchestration</x:v>
      </x:c>
      <x:c r="D9" s="50" t="str">
        <x:v>PostgreSQL + vector store</x:v>
      </x:c>
      <x:c r="E9" s="50" t="str">
        <x:v>evidence.linked, task.updated</x:v>
      </x:c>
      <x:c r="F9" s="50" t="str">
        <x:v>task.assessment.created</x:v>
      </x:c>
      <x:c r="G9" s="50" t="str">
        <x:v>Yes</x:v>
      </x:c>
      <x:c r="H9" s="50" t="str">
        <x:v>AI/Product</x:v>
      </x:c>
      <x:c r="I9" s="50" t="str">
        <x:v>Uses LLM + deterministic validators.</x:v>
      </x:c>
      <x:c r="J9" s="50" t="str">
        <x:v>Task mining + Codex hooks</x:v>
      </x:c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50" t="str">
        <x:v>Role &amp; Capability</x:v>
      </x:c>
      <x:c r="B10" s="50" t="str">
        <x:v>Compiles job descriptions, stores capability definitions, updates capability evidence.</x:v>
      </x:c>
      <x:c r="C10" s="50" t="str">
        <x:v>Java Spring Boot + Python scoring</x:v>
      </x:c>
      <x:c r="D10" s="50" t="str">
        <x:v>PostgreSQL + graph store</x:v>
      </x:c>
      <x:c r="E10" s="50" t="str">
        <x:v>task.assessment.created, training.outcome</x:v>
      </x:c>
      <x:c r="F10" s="50" t="str">
        <x:v>capability.updated</x:v>
      </x:c>
      <x:c r="G10" s="50" t="str">
        <x:v>Yes</x:v>
      </x:c>
      <x:c r="H10" s="50" t="str">
        <x:v>Product/AI</x:v>
      </x:c>
      <x:c r="I10" s="50" t="str">
        <x:v>Evidence-weighted capability levels.</x:v>
      </x:c>
      <x:c r="J10" s="50" t="str">
        <x:v>SFIA-style role mapping</x:v>
      </x:c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50" t="str">
        <x:v>Growth Coach</x:v>
      </x:c>
      <x:c r="B11" s="50" t="str">
        <x:v>Generates worker guidance, coaching interventions and skill-gap remediation.</x:v>
      </x:c>
      <x:c r="C11" s="50" t="str">
        <x:v>Python FastAPI</x:v>
      </x:c>
      <x:c r="D11" s="50" t="str">
        <x:v>PostgreSQL + vector store</x:v>
      </x:c>
      <x:c r="E11" s="50" t="str">
        <x:v>task.assessment.created, capability.gap</x:v>
      </x:c>
      <x:c r="F11" s="50" t="str">
        <x:v>coaching.intervention.created</x:v>
      </x:c>
      <x:c r="G11" s="50" t="str">
        <x:v>Yes</x:v>
      </x:c>
      <x:c r="H11" s="50" t="str">
        <x:v>AI/L&amp;D</x:v>
      </x:c>
      <x:c r="I11" s="50" t="str">
        <x:v>Nudge/assist/teach/escalate modes.</x:v>
      </x:c>
      <x:c r="J11" s="50" t="str">
        <x:v>LLM/skills/evals</x:v>
      </x:c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50" t="str">
        <x:v>Learning &amp; Assessment</x:v>
      </x:c>
      <x:c r="B12" s="50" t="str">
        <x:v>Manages training plans, micro-lessons, practice tasks and reassessment.</x:v>
      </x:c>
      <x:c r="C12" s="50" t="str">
        <x:v>Java Spring Boot + Python evals</x:v>
      </x:c>
      <x:c r="D12" s="50" t="str">
        <x:v>PostgreSQL</x:v>
      </x:c>
      <x:c r="E12" s="50" t="str">
        <x:v>capability.gap, coaching.outcome</x:v>
      </x:c>
      <x:c r="F12" s="50" t="str">
        <x:v>learning.assigned, learning.completed</x:v>
      </x:c>
      <x:c r="G12" s="50" t="str">
        <x:v>Partial</x:v>
      </x:c>
      <x:c r="H12" s="50" t="str">
        <x:v>L&amp;D</x:v>
      </x:c>
      <x:c r="I12" s="50" t="str">
        <x:v>Training only increases capability when applied in real tasks.</x:v>
      </x:c>
      <x:c r="J12" s="50" t="str">
        <x:v>Capability model</x:v>
      </x:c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50" t="str">
        <x:v>Skill Forge</x:v>
      </x:c>
      <x:c r="B13" s="50" t="str">
        <x:v>Captures system observations, proposes HumanOS skill/plugin/evaluator improvements.</x:v>
      </x:c>
      <x:c r="C13" s="50" t="str">
        <x:v>Java + Python</x:v>
      </x:c>
      <x:c r="D13" s="50" t="str">
        <x:v>PostgreSQL + Git repo + eval store</x:v>
      </x:c>
      <x:c r="E13" s="50" t="str">
        <x:v>skill.observation.created, user.feedback</x:v>
      </x:c>
      <x:c r="F13" s="50" t="str">
        <x:v>skill.update.proposed, skill.version.active</x:v>
      </x:c>
      <x:c r="G13" s="50" t="str">
        <x:v>Later</x:v>
      </x:c>
      <x:c r="H13" s="50" t="str">
        <x:v>AI Platform</x:v>
      </x:c>
      <x:c r="I13" s="50" t="str">
        <x:v>Evals, approval, canary, rollback.</x:v>
      </x:c>
      <x:c r="J13" s="50" t="str">
        <x:v>Claude-Mem / Task Observer / Record &amp; Replay</x:v>
      </x:c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50" t="str">
        <x:v>AI Agent Adapter Hub</x:v>
      </x:c>
      <x:c r="B14" s="50" t="str">
        <x:v>Normalises Codex, Claude Code, Cursor, terminal and IDE agent events.</x:v>
      </x:c>
      <x:c r="C14" s="50" t="str">
        <x:v>Python + Java</x:v>
      </x:c>
      <x:c r="D14" s="50" t="str">
        <x:v>PostgreSQL</x:v>
      </x:c>
      <x:c r="E14" s="50" t="str">
        <x:v>agent.raw.event</x:v>
      </x:c>
      <x:c r="F14" s="50" t="str">
        <x:v>agent.event.normalized</x:v>
      </x:c>
      <x:c r="G14" s="50" t="str">
        <x:v>Yes</x:v>
      </x:c>
      <x:c r="H14" s="50" t="str">
        <x:v>Integrations</x:v>
      </x:c>
      <x:c r="I14" s="50" t="str">
        <x:v>Use official hooks where available.</x:v>
      </x:c>
      <x:c r="J14" s="50" t="str">
        <x:v>https://developers.openai.com/codex/hooks</x:v>
      </x:c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50" t="str">
        <x:v>Governance &amp; Review</x:v>
      </x:c>
      <x:c r="B15" s="50" t="str">
        <x:v>Manages disputes, human review, evidence access requests and legal workflows.</x:v>
      </x:c>
      <x:c r="C15" s="50" t="str">
        <x:v>Java Spring Boot</x:v>
      </x:c>
      <x:c r="D15" s="50" t="str">
        <x:v>PostgreSQL + audit log</x:v>
      </x:c>
      <x:c r="E15" s="50" t="str">
        <x:v>assessment.disputed, access.requested</x:v>
      </x:c>
      <x:c r="F15" s="50" t="str">
        <x:v>review.decision.recorded</x:v>
      </x:c>
      <x:c r="G15" s="50" t="str">
        <x:v>Yes</x:v>
      </x:c>
      <x:c r="H15" s="50" t="str">
        <x:v>Governance</x:v>
      </x:c>
      <x:c r="I15" s="50" t="str">
        <x:v>Mandatory for high-risk employment AI.</x:v>
      </x:c>
      <x:c r="J15" s="50" t="str">
        <x:v>ICO / EU AI Act / policy-as-code</x:v>
      </x:c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50" t="str">
        <x:v>Reporting &amp; Analytics</x:v>
      </x:c>
      <x:c r="B16" s="50" t="str">
        <x:v>Creates employee, manager, team and executive reports.</x:v>
      </x:c>
      <x:c r="C16" s="50" t="str">
        <x:v>Java Spring Boot + BI warehouse</x:v>
      </x:c>
      <x:c r="D16" s="50" t="str">
        <x:v>PostgreSQL/warehouse</x:v>
      </x:c>
      <x:c r="E16" s="50" t="str">
        <x:v>task.assessment, capability.updated</x:v>
      </x:c>
      <x:c r="F16" s="50" t="str">
        <x:v>report.generated</x:v>
      </x:c>
      <x:c r="G16" s="50" t="str">
        <x:v>Yes</x:v>
      </x:c>
      <x:c r="H16" s="50" t="str">
        <x:v>Analytics</x:v>
      </x:c>
      <x:c r="I16" s="50" t="str">
        <x:v>Exception-led reporting; no raw firehose by default.</x:v>
      </x:c>
      <x:c r="J16" s="50" t="str">
        <x:v>Workforce analytics patterns</x:v>
      </x:c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50" t="str">
        <x:v>Policy Service</x:v>
      </x:c>
      <x:c r="B17" s="50" t="str">
        <x:v>Policy-as-code for capture scope, access control, jurisdictions and exclusions.</x:v>
      </x:c>
      <x:c r="C17" s="50" t="str">
        <x:v>OPA + Java Spring Boot</x:v>
      </x:c>
      <x:c r="D17" s="50" t="str">
        <x:v>Policy repo + PostgreSQL</x:v>
      </x:c>
      <x:c r="E17" s="50" t="str">
        <x:v>policy.query</x:v>
      </x:c>
      <x:c r="F17" s="50" t="str">
        <x:v>policy.decision</x:v>
      </x:c>
      <x:c r="G17" s="50" t="str">
        <x:v>Yes</x:v>
      </x:c>
      <x:c r="H17" s="50" t="str">
        <x:v>Security</x:v>
      </x:c>
      <x:c r="I17" s="50" t="str">
        <x:v>Decouple policy decisions from services.</x:v>
      </x:c>
      <x:c r="J17" s="50" t="str">
        <x:v>https://www.openpolicyagent.org/docs</x:v>
      </x:c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50" t="str">
        <x:v>Audit &amp; Compliance</x:v>
      </x:c>
      <x:c r="B18" s="50" t="str">
        <x:v>Immutable audit logs for evidence access, AI decisions, reviews and skill changes.</x:v>
      </x:c>
      <x:c r="C18" s="50" t="str">
        <x:v>Java Spring Boot</x:v>
      </x:c>
      <x:c r="D18" s="50" t="str">
        <x:v>Append-only log + warehouse</x:v>
      </x:c>
      <x:c r="E18" s="50" t="str">
        <x:v>all.audit.events</x:v>
      </x:c>
      <x:c r="F18" s="50" t="str">
        <x:v>audit.report.generated</x:v>
      </x:c>
      <x:c r="G18" s="50" t="str">
        <x:v>Yes</x:v>
      </x:c>
      <x:c r="H18" s="50" t="str">
        <x:v>Security/Governance</x:v>
      </x:c>
      <x:c r="I18" s="50" t="str">
        <x:v>Existing HumanOS service extension.</x:v>
      </x:c>
      <x:c r="J18" s="50" t="str">
        <x:v>HumanOS foundation</x:v>
      </x:c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50" t="str">
        <x:v>Model Gateway</x:v>
      </x:c>
      <x:c r="B19" s="50" t="str">
        <x:v>Routes AI requests, prompts, tools, safety checks and model usage.</x:v>
      </x:c>
      <x:c r="C19" s="50" t="str">
        <x:v>Python/Java gateway</x:v>
      </x:c>
      <x:c r="D19" s="50" t="str">
        <x:v>PostgreSQL + vector/cache</x:v>
      </x:c>
      <x:c r="E19" s="50" t="str">
        <x:v>ai.request</x:v>
      </x:c>
      <x:c r="F19" s="50" t="str">
        <x:v>ai.response, ai.audit</x:v>
      </x:c>
      <x:c r="G19" s="50" t="str">
        <x:v>Yes</x:v>
      </x:c>
      <x:c r="H19" s="50" t="str">
        <x:v>AI Platform</x:v>
      </x:c>
      <x:c r="I19" s="50" t="str">
        <x:v>Centralised model routing and guardrails.</x:v>
      </x:c>
      <x:c r="J19" s="50" t="str">
        <x:v>OpenTelemetry GenAI</x:v>
      </x:c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mergeCells>
    <x:mergeCell ref="A1:L1"/>
    <x:mergeCell ref="A2:L2"/>
  </x:mergeCells>
  <x:dataValidations count="1">
    <x:dataValidation type="list" sqref="G5:G19">
      <x:formula1>"Yes,Partial,Later"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59c1a0f79445d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2" hidden="0" customWidth="1"/>
    <x:col min="4" max="4" width="8" hidden="0" customWidth="1"/>
    <x:col min="5" max="5" width="18" hidden="0" customWidth="1"/>
    <x:col min="6" max="6" width="12" hidden="0" customWidth="1"/>
    <x:col min="7" max="7" width="14" hidden="0" customWidth="1"/>
    <x:col min="8" max="8" width="10" hidden="0" customWidth="1"/>
    <x:col min="9" max="9" width="50" hidden="0" customWidth="1"/>
    <x:col min="10" max="10" width="30" hidden="0" customWidth="1"/>
    <x:col min="11" max="11" width="30" hidden="0" customWidth="1"/>
  </x:cols>
  <x:sheetData>
    <x:row r="1" ht="34" customHeight="1">
      <x:c r="A1" s="64" t="str">
        <x:v>MVP Backlog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 ht="34" customHeight="1">
      <x:c r="A2" s="48" t="str">
        <x:v>Initial epics and features for the controlled internal pilot.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 ht="32" customHeight="1">
      <x:c r="A4" s="49" t="str">
        <x:v>Epic ID</x:v>
      </x:c>
      <x:c r="B4" s="49" t="str">
        <x:v>Epic</x:v>
      </x:c>
      <x:c r="C4" s="49" t="str">
        <x:v>Feature / user story</x:v>
      </x:c>
      <x:c r="D4" s="49" t="str">
        <x:v>Stage</x:v>
      </x:c>
      <x:c r="E4" s="49" t="str">
        <x:v>Owner</x:v>
      </x:c>
      <x:c r="F4" s="49" t="str">
        <x:v>Priority</x:v>
      </x:c>
      <x:c r="G4" s="49" t="str">
        <x:v>Status</x:v>
      </x:c>
      <x:c r="H4" s="49" t="str">
        <x:v>Effort pts</x:v>
      </x:c>
      <x:c r="I4" s="49" t="str">
        <x:v>Acceptance criteria</x:v>
      </x:c>
      <x:c r="J4" s="49" t="str">
        <x:v>Dependencies</x:v>
      </x:c>
      <x:c r="K4" s="49" t="str">
        <x:v>Notes</x:v>
      </x:c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50" t="str">
        <x:v>E01</x:v>
      </x:c>
      <x:c r="B5" s="50" t="str">
        <x:v>Work session control</x:v>
      </x:c>
      <x:c r="C5" s="50" t="str">
        <x:v>Employee can start/pause/stop a monitored work session against a HumanOS task.</x:v>
      </x:c>
      <x:c r="D5" s="50" t="n">
        <x:v>3</x:v>
      </x:c>
      <x:c r="E5" s="50" t="str">
        <x:v>Desktop/Backend</x:v>
      </x:c>
      <x:c r="F5" s="50" t="str">
        <x:v>Critical</x:v>
      </x:c>
      <x:c r="G5" s="50" t="str">
        <x:v>Not Started</x:v>
      </x:c>
      <x:c r="H5" s="50" t="n">
        <x:v>8</x:v>
      </x:c>
      <x:c r="I5" s="50" t="str">
        <x:v>Session event exists; visible status; offline buffering; task ID linked.</x:v>
      </x:c>
      <x:c r="J5" s="50" t="str">
        <x:v>Device Agent Gateway</x:v>
      </x:c>
      <x:c r="K5" s="50" t="str">
        <x:v>No hidden mode.</x:v>
      </x:c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50" t="str">
        <x:v>E02</x:v>
      </x:c>
      <x:c r="B6" s="50" t="str">
        <x:v>Policy sync</x:v>
      </x:c>
      <x:c r="C6" s="50" t="str">
        <x:v>Agent receives tenant/jurisdiction/capture policy before recording.</x:v>
      </x:c>
      <x:c r="D6" s="50" t="n">
        <x:v>3</x:v>
      </x:c>
      <x:c r="E6" s="50" t="str">
        <x:v>Platform/Security</x:v>
      </x:c>
      <x:c r="F6" s="50" t="str">
        <x:v>Critical</x:v>
      </x:c>
      <x:c r="G6" s="50" t="str">
        <x:v>Not Started</x:v>
      </x:c>
      <x:c r="H6" s="50" t="n">
        <x:v>8</x:v>
      </x:c>
      <x:c r="I6" s="50" t="str">
        <x:v>Policy signature verified; excluded apps/domains applied; audit emitted.</x:v>
      </x:c>
      <x:c r="J6" s="50" t="str">
        <x:v>Policy Service</x:v>
      </x:c>
      <x:c r="K6" s="50" t="str">
        <x:v>Policy version visible.</x:v>
      </x:c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50" t="str">
        <x:v>E03</x:v>
      </x:c>
      <x:c r="B7" s="50" t="str">
        <x:v>App/window telemetry</x:v>
      </x:c>
      <x:c r="C7" s="50" t="str">
        <x:v>Capture foreground app, process, window title and transitions.</x:v>
      </x:c>
      <x:c r="D7" s="50" t="n">
        <x:v>5</x:v>
      </x:c>
      <x:c r="E7" s="50" t="str">
        <x:v>Desktop</x:v>
      </x:c>
      <x:c r="F7" s="50" t="str">
        <x:v>Critical</x:v>
      </x:c>
      <x:c r="G7" s="50" t="str">
        <x:v>Not Started</x:v>
      </x:c>
      <x:c r="H7" s="50" t="n">
        <x:v>5</x:v>
      </x:c>
      <x:c r="I7" s="50" t="str">
        <x:v>99% foreground app transition capture in pilot.</x:v>
      </x:c>
      <x:c r="J7" s="50" t="str">
        <x:v>Agent foundation</x:v>
      </x:c>
      <x:c r="K7" s="50" t="str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50" t="str">
        <x:v>E04</x:v>
      </x:c>
      <x:c r="B8" s="50" t="str">
        <x:v>Click + visual state</x:v>
      </x:c>
      <x:c r="C8" s="50" t="str">
        <x:v>Capture mouse click with pre/post visual states and changed region.</x:v>
      </x:c>
      <x:c r="D8" s="50" t="n">
        <x:v>5</x:v>
      </x:c>
      <x:c r="E8" s="50" t="str">
        <x:v>Desktop/AI</x:v>
      </x:c>
      <x:c r="F8" s="50" t="str">
        <x:v>Critical</x:v>
      </x:c>
      <x:c r="G8" s="50" t="str">
        <x:v>Not Started</x:v>
      </x:c>
      <x:c r="H8" s="50" t="n">
        <x:v>13</x:v>
      </x:c>
      <x:c r="I8" s="50" t="str">
        <x:v>98% click-to-state correlation in supported pilot apps.</x:v>
      </x:c>
      <x:c r="J8" s="50" t="str">
        <x:v>Visual Evidence Store</x:v>
      </x:c>
      <x:c r="K8" s="50" t="str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50" t="str">
        <x:v>E05</x:v>
      </x:c>
      <x:c r="B9" s="50" t="str">
        <x:v>Text-state capture</x:v>
      </x:c>
      <x:c r="C9" s="50" t="str">
        <x:v>Reconcile physical input, text deltas and resulting artefact changes in approved controls.</x:v>
      </x:c>
      <x:c r="D9" s="50" t="n">
        <x:v>5</x:v>
      </x:c>
      <x:c r="E9" s="50" t="str">
        <x:v>Desktop/Data</x:v>
      </x:c>
      <x:c r="F9" s="50" t="str">
        <x:v>Critical</x:v>
      </x:c>
      <x:c r="G9" s="50" t="str">
        <x:v>Not Started</x:v>
      </x:c>
      <x:c r="H9" s="50" t="n">
        <x:v>21</x:v>
      </x:c>
      <x:c r="I9" s="50" t="str">
        <x:v>95% reconstruction in supported controls; zero secure-field leakage.</x:v>
      </x:c>
      <x:c r="J9" s="50" t="str">
        <x:v>Policy / UI accessibility</x:v>
      </x:c>
      <x:c r="K9" s="50" t="str">
        <x:v>Avoid raw keylogger-only logic.</x:v>
      </x:c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50" t="str">
        <x:v>E06</x:v>
      </x:c>
      <x:c r="B10" s="50" t="str">
        <x:v>File/process telemetry</x:v>
      </x:c>
      <x:c r="C10" s="50" t="str">
        <x:v>Capture process tree, file create/modify/delete and build/test process markers.</x:v>
      </x:c>
      <x:c r="D10" s="50" t="n">
        <x:v>5</x:v>
      </x:c>
      <x:c r="E10" s="50" t="str">
        <x:v>Desktop/Data</x:v>
      </x:c>
      <x:c r="F10" s="50" t="str">
        <x:v>High</x:v>
      </x:c>
      <x:c r="G10" s="50" t="str">
        <x:v>Not Started</x:v>
      </x:c>
      <x:c r="H10" s="50" t="n">
        <x:v>13</x:v>
      </x:c>
      <x:c r="I10" s="50" t="str">
        <x:v>Event causal chain links process -&gt; file/test output.</x:v>
      </x:c>
      <x:c r="J10" s="50" t="str">
        <x:v>ETW/macOS process bridge</x:v>
      </x:c>
      <x:c r="K10" s="50" t="str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50" t="str">
        <x:v>E07</x:v>
      </x:c>
      <x:c r="B11" s="50" t="str">
        <x:v>Browser adapter</x:v>
      </x:c>
      <x:c r="C11" s="50" t="str">
        <x:v>Capture active tab, title, approved URL/domain, navigation and visible page event.</x:v>
      </x:c>
      <x:c r="D11" s="50" t="n">
        <x:v>6</x:v>
      </x:c>
      <x:c r="E11" s="50" t="str">
        <x:v>Integrations</x:v>
      </x:c>
      <x:c r="F11" s="50" t="str">
        <x:v>High</x:v>
      </x:c>
      <x:c r="G11" s="50" t="str">
        <x:v>Not Started</x:v>
      </x:c>
      <x:c r="H11" s="50" t="n">
        <x:v>8</x:v>
      </x:c>
      <x:c r="I11" s="50" t="str">
        <x:v>Chrome/Edge MV3 extension sends normalized events.</x:v>
      </x:c>
      <x:c r="J11" s="50" t="str">
        <x:v>Native messaging</x:v>
      </x:c>
      <x:c r="K11" s="50" t="str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50" t="str">
        <x:v>E08</x:v>
      </x:c>
      <x:c r="B12" s="50" t="str">
        <x:v>Terminal adapter</x:v>
      </x:c>
      <x:c r="C12" s="50" t="str">
        <x:v>Capture command, cwd, exit code, stdout/stderr summary and process duration.</x:v>
      </x:c>
      <x:c r="D12" s="50" t="n">
        <x:v>6</x:v>
      </x:c>
      <x:c r="E12" s="50" t="str">
        <x:v>Integrations</x:v>
      </x:c>
      <x:c r="F12" s="50" t="str">
        <x:v>High</x:v>
      </x:c>
      <x:c r="G12" s="50" t="str">
        <x:v>Not Started</x:v>
      </x:c>
      <x:c r="H12" s="50" t="n">
        <x:v>13</x:v>
      </x:c>
      <x:c r="I12" s="50" t="str">
        <x:v>Command event links to resulting processes and files.</x:v>
      </x:c>
      <x:c r="J12" s="50" t="str">
        <x:v>Shell/PTTY hooks</x:v>
      </x:c>
      <x:c r="K12" s="50" t="str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50" t="str">
        <x:v>E09</x:v>
      </x:c>
      <x:c r="B13" s="50" t="str">
        <x:v>Git adapter</x:v>
      </x:c>
      <x:c r="C13" s="50" t="str">
        <x:v>Capture branch, diff summary, commit, PR, changed files and reviewer state.</x:v>
      </x:c>
      <x:c r="D13" s="50" t="n">
        <x:v>6</x:v>
      </x:c>
      <x:c r="E13" s="50" t="str">
        <x:v>Integrations</x:v>
      </x:c>
      <x:c r="F13" s="50" t="str">
        <x:v>High</x:v>
      </x:c>
      <x:c r="G13" s="50" t="str">
        <x:v>Not Started</x:v>
      </x:c>
      <x:c r="H13" s="50" t="n">
        <x:v>8</x:v>
      </x:c>
      <x:c r="I13" s="50" t="str">
        <x:v>Git diff/commit events linked to task and actor.</x:v>
      </x:c>
      <x:c r="J13" s="50" t="str">
        <x:v>GitHub/GitLab connectors</x:v>
      </x:c>
      <x:c r="K13" s="50" t="str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50" t="str">
        <x:v>E10</x:v>
      </x:c>
      <x:c r="B14" s="50" t="str">
        <x:v>Codex adapter</x:v>
      </x:c>
      <x:c r="C14" s="50" t="str">
        <x:v>Capture Codex prompt/tool/permission/stop lifecycle via hooks.</x:v>
      </x:c>
      <x:c r="D14" s="50" t="n">
        <x:v>6</x:v>
      </x:c>
      <x:c r="E14" s="50" t="str">
        <x:v>AI Integrations</x:v>
      </x:c>
      <x:c r="F14" s="50" t="str">
        <x:v>Critical</x:v>
      </x:c>
      <x:c r="G14" s="50" t="str">
        <x:v>Not Started</x:v>
      </x:c>
      <x:c r="H14" s="50" t="n">
        <x:v>8</x:v>
      </x:c>
      <x:c r="I14" s="50" t="str">
        <x:v>Agent events mapped to OTel-style spans and provenance graph.</x:v>
      </x:c>
      <x:c r="J14" s="50" t="str">
        <x:v>Codex hooks</x:v>
      </x:c>
      <x:c r="K14" s="50" t="str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50" t="str">
        <x:v>E11</x:v>
      </x:c>
      <x:c r="B15" s="50" t="str">
        <x:v>Claude Code adapter</x:v>
      </x:c>
      <x:c r="C15" s="50" t="str">
        <x:v>Capture Claude Code usage through hooks/OTel/MCP where available.</x:v>
      </x:c>
      <x:c r="D15" s="50" t="n">
        <x:v>6</x:v>
      </x:c>
      <x:c r="E15" s="50" t="str">
        <x:v>AI Integrations</x:v>
      </x:c>
      <x:c r="F15" s="50" t="str">
        <x:v>High</x:v>
      </x:c>
      <x:c r="G15" s="50" t="str">
        <x:v>Not Started</x:v>
      </x:c>
      <x:c r="H15" s="50" t="n">
        <x:v>8</x:v>
      </x:c>
      <x:c r="I15" s="50" t="str">
        <x:v>Prompt/tool/file/command events normalized.</x:v>
      </x:c>
      <x:c r="J15" s="50" t="str">
        <x:v>Claude Code config</x:v>
      </x:c>
      <x:c r="K15" s="50" t="str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50" t="str">
        <x:v>E12</x:v>
      </x:c>
      <x:c r="B16" s="50" t="str">
        <x:v>Episode segmentation</x:v>
      </x:c>
      <x:c r="C16" s="50" t="str">
        <x:v>Group raw events into meaningful 30-180 second work episodes.</x:v>
      </x:c>
      <x:c r="D16" s="50" t="n">
        <x:v>7</x:v>
      </x:c>
      <x:c r="E16" s="50" t="str">
        <x:v>AI/Data</x:v>
      </x:c>
      <x:c r="F16" s="50" t="str">
        <x:v>Critical</x:v>
      </x:c>
      <x:c r="G16" s="50" t="str">
        <x:v>Not Started</x:v>
      </x:c>
      <x:c r="H16" s="50" t="n">
        <x:v>21</x:v>
      </x:c>
      <x:c r="I16" s="50" t="str">
        <x:v>Episodes align with human review &gt;=90% in pilot sample.</x:v>
      </x:c>
      <x:c r="J16" s="50" t="str">
        <x:v>Evidence graph</x:v>
      </x:c>
      <x:c r="K16" s="50" t="str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50" t="str">
        <x:v>E13</x:v>
      </x:c>
      <x:c r="B17" s="50" t="str">
        <x:v>Task alignment classifier</x:v>
      </x:c>
      <x:c r="C17" s="50" t="str">
        <x:v>Classify episodes as on-task, supporting, blocked, automated-wait, idle, unrelated.</x:v>
      </x:c>
      <x:c r="D17" s="50" t="n">
        <x:v>7</x:v>
      </x:c>
      <x:c r="E17" s="50" t="str">
        <x:v>AI</x:v>
      </x:c>
      <x:c r="F17" s="50" t="str">
        <x:v>Critical</x:v>
      </x:c>
      <x:c r="G17" s="50" t="str">
        <x:v>Not Started</x:v>
      </x:c>
      <x:c r="H17" s="50" t="n">
        <x:v>21</x:v>
      </x:c>
      <x:c r="I17" s="50" t="str">
        <x:v>False idle below 5%; confidence calibrated.</x:v>
      </x:c>
      <x:c r="J17" s="50" t="str">
        <x:v>Task contracts</x:v>
      </x:c>
      <x:c r="K17" s="50" t="str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50" t="str">
        <x:v>E14</x:v>
      </x:c>
      <x:c r="B18" s="50" t="str">
        <x:v>Acceptance criteria validator</x:v>
      </x:c>
      <x:c r="C18" s="50" t="str">
        <x:v>Determine task completion evidence and missing verification.</x:v>
      </x:c>
      <x:c r="D18" s="50" t="n">
        <x:v>7</x:v>
      </x:c>
      <x:c r="E18" s="50" t="str">
        <x:v>AI/Product</x:v>
      </x:c>
      <x:c r="F18" s="50" t="str">
        <x:v>Critical</x:v>
      </x:c>
      <x:c r="G18" s="50" t="str">
        <x:v>Not Started</x:v>
      </x:c>
      <x:c r="H18" s="50" t="n">
        <x:v>21</x:v>
      </x:c>
      <x:c r="I18" s="50" t="str">
        <x:v>Every criterion has evidence, status and confidence.</x:v>
      </x:c>
      <x:c r="J18" s="50" t="str">
        <x:v>Task contract</x:v>
      </x:c>
      <x:c r="K18" s="50" t="str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50" t="str">
        <x:v>E15</x:v>
      </x:c>
      <x:c r="B19" s="50" t="str">
        <x:v>Capability graph MVP</x:v>
      </x:c>
      <x:c r="C19" s="50" t="str">
        <x:v>Create role capability profile and update capability evidence after assessed tasks.</x:v>
      </x:c>
      <x:c r="D19" s="50" t="n">
        <x:v>8</x:v>
      </x:c>
      <x:c r="E19" s="50" t="str">
        <x:v>AI/Backend</x:v>
      </x:c>
      <x:c r="F19" s="50" t="str">
        <x:v>High</x:v>
      </x:c>
      <x:c r="G19" s="50" t="str">
        <x:v>Not Started</x:v>
      </x:c>
      <x:c r="H19" s="50" t="n">
        <x:v>13</x:v>
      </x:c>
      <x:c r="I19" s="50" t="str">
        <x:v>Capability level, confidence, recency and evidence visible.</x:v>
      </x:c>
      <x:c r="J19" s="50" t="str">
        <x:v>Role ontology</x:v>
      </x:c>
      <x:c r="K19" s="50" t="str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50" t="str">
        <x:v>E16</x:v>
      </x:c>
      <x:c r="B20" s="50" t="str">
        <x:v>Growth coach MVP</x:v>
      </x:c>
      <x:c r="C20" s="50" t="str">
        <x:v>Generate non-disruptive guidance when task risk or capability gap is detected.</x:v>
      </x:c>
      <x:c r="D20" s="50" t="n">
        <x:v>9</x:v>
      </x:c>
      <x:c r="E20" s="50" t="str">
        <x:v>AI/L&amp;D</x:v>
      </x:c>
      <x:c r="F20" s="50" t="str">
        <x:v>High</x:v>
      </x:c>
      <x:c r="G20" s="50" t="str">
        <x:v>Not Started</x:v>
      </x:c>
      <x:c r="H20" s="50" t="n">
        <x:v>13</x:v>
      </x:c>
      <x:c r="I20" s="50" t="str">
        <x:v>Nudge/assist/teach messages audited; employee can dismiss/correct.</x:v>
      </x:c>
      <x:c r="J20" s="50" t="str">
        <x:v>Task intelligence</x:v>
      </x:c>
      <x:c r="K20" s="50" t="str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50" t="str">
        <x:v>E17</x:v>
      </x:c>
      <x:c r="B21" s="50" t="str">
        <x:v>Employee portal</x:v>
      </x:c>
      <x:c r="C21" s="50" t="str">
        <x:v>Employee can see timeline, report, capability profile and dispute findings.</x:v>
      </x:c>
      <x:c r="D21" s="50" t="n">
        <x:v>10</x:v>
      </x:c>
      <x:c r="E21" s="50" t="str">
        <x:v>Frontend</x:v>
      </x:c>
      <x:c r="F21" s="50" t="str">
        <x:v>Critical</x:v>
      </x:c>
      <x:c r="G21" s="50" t="str">
        <x:v>Not Started</x:v>
      </x:c>
      <x:c r="H21" s="50" t="n">
        <x:v>13</x:v>
      </x:c>
      <x:c r="I21" s="50" t="str">
        <x:v>Dispute creates review workflow; employee evidence visible.</x:v>
      </x:c>
      <x:c r="J21" s="50" t="str">
        <x:v>Reporting/Governance</x:v>
      </x:c>
      <x:c r="K21" s="50" t="str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50" t="str">
        <x:v>E18</x:v>
      </x:c>
      <x:c r="B22" s="50" t="str">
        <x:v>Manager console</x:v>
      </x:c>
      <x:c r="C22" s="50" t="str">
        <x:v>Lead sees exception-led task report, blockers, quality gaps and training recommendations.</x:v>
      </x:c>
      <x:c r="D22" s="50" t="n">
        <x:v>10</x:v>
      </x:c>
      <x:c r="E22" s="50" t="str">
        <x:v>Frontend/Product</x:v>
      </x:c>
      <x:c r="F22" s="50" t="str">
        <x:v>Critical</x:v>
      </x:c>
      <x:c r="G22" s="50" t="str">
        <x:v>Not Started</x:v>
      </x:c>
      <x:c r="H22" s="50" t="n">
        <x:v>13</x:v>
      </x:c>
      <x:c r="I22" s="50" t="str">
        <x:v>Manager report cites evidence and confidence.</x:v>
      </x:c>
      <x:c r="J22" s="50" t="str">
        <x:v>Task/capability services</x:v>
      </x:c>
      <x:c r="K22" s="50" t="str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50" t="str">
        <x:v>E19</x:v>
      </x:c>
      <x:c r="B23" s="50" t="str">
        <x:v>Skill observation log</x:v>
      </x:c>
      <x:c r="C23" s="50" t="str">
        <x:v>System logs user/system corrections as candidate skill improvements.</x:v>
      </x:c>
      <x:c r="D23" s="50" t="n">
        <x:v>11</x:v>
      </x:c>
      <x:c r="E23" s="50" t="str">
        <x:v>AI Platform</x:v>
      </x:c>
      <x:c r="F23" s="50" t="str">
        <x:v>Medium</x:v>
      </x:c>
      <x:c r="G23" s="50" t="str">
        <x:v>Not Started</x:v>
      </x:c>
      <x:c r="H23" s="50" t="n">
        <x:v>8</x:v>
      </x:c>
      <x:c r="I23" s="50" t="str">
        <x:v>Observation includes issue, improvement, principle, evidence and confidentiality class.</x:v>
      </x:c>
      <x:c r="J23" s="50" t="str">
        <x:v>Skill Forge</x:v>
      </x:c>
      <x:c r="K23" s="50" t="str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50" t="str">
        <x:v>E20</x:v>
      </x:c>
      <x:c r="B24" s="50" t="str">
        <x:v>Pilot validation</x:v>
      </x:c>
      <x:c r="C24" s="50" t="str">
        <x:v>Run internal pilot and measure capture accuracy, task alignment, worker trust and manager value.</x:v>
      </x:c>
      <x:c r="D24" s="50" t="n">
        <x:v>12</x:v>
      </x:c>
      <x:c r="E24" s="50" t="str">
        <x:v>Leadership/QA</x:v>
      </x:c>
      <x:c r="F24" s="50" t="str">
        <x:v>Critical</x:v>
      </x:c>
      <x:c r="G24" s="50" t="str">
        <x:v>Not Started</x:v>
      </x:c>
      <x:c r="H24" s="50" t="n">
        <x:v>21</x:v>
      </x:c>
      <x:c r="I24" s="50" t="str">
        <x:v>Pilot report with acceptance metrics and rollout decision.</x:v>
      </x:c>
      <x:c r="J24" s="50" t="str">
        <x:v>All MVP epics</x:v>
      </x:c>
      <x:c r="K24" s="50" t="str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mergeCells>
    <x:mergeCell ref="A1:K1"/>
    <x:mergeCell ref="A2:K2"/>
  </x:mergeCells>
  <x:conditionalFormatting sqref="F5:F24">
    <x:cfRule type="expression" dxfId="2" priority="1">
      <x:formula>F5="Critical"</x:formula>
    </x:cfRule>
  </x:conditionalFormatting>
  <x:dataValidations count="2">
    <x:dataValidation type="list" sqref="F5:F24">
      <x:formula1>"Critical,High,Medium,Low"</x:formula1>
    </x:dataValidation>
    <x:dataValidation type="list" sqref="G5:G24">
      <x:formula1>"Not Started,In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26f75ca91546e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2" hidden="0" customWidth="1"/>
    <x:col min="4" max="4" width="44" hidden="0" customWidth="1"/>
    <x:col min="5" max="5" width="24" hidden="0" customWidth="1"/>
    <x:col min="6" max="6" width="26" hidden="0" customWidth="1"/>
    <x:col min="7" max="7" width="8" hidden="0" customWidth="1"/>
    <x:col min="8" max="8" width="40" hidden="0" customWidth="1"/>
    <x:col min="9" max="9" width="30" hidden="0" customWidth="1"/>
  </x:cols>
  <x:sheetData>
    <x:row r="1" ht="34" customHeight="1">
      <x:c r="A1" s="64" t="str">
        <x:v>Event &amp; Data Model</x:v>
      </x:c>
      <x:c r="B1" s="64"/>
      <x:c r="C1" s="64"/>
      <x:c r="D1" s="64"/>
      <x:c r="E1" s="64"/>
      <x:c r="F1" s="64"/>
      <x:c r="G1" s="64"/>
      <x:c r="H1" s="64"/>
      <x:c r="I1" s="64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 ht="34" customHeight="1">
      <x:c r="A2" s="48" t="str">
        <x:v>Core evidence graph, events, entities and provenance relationships.</x:v>
      </x:c>
      <x:c r="B2" s="48"/>
      <x:c r="C2" s="48"/>
      <x:c r="D2" s="48"/>
      <x:c r="E2" s="48"/>
      <x:c r="F2" s="48"/>
      <x:c r="G2" s="48"/>
      <x:c r="H2" s="48"/>
      <x:c r="I2" s="48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 ht="32" customHeight="1">
      <x:c r="A4" s="49" t="str">
        <x:v>Model area</x:v>
      </x:c>
      <x:c r="B4" s="49" t="str">
        <x:v>Entity/Event</x:v>
      </x:c>
      <x:c r="C4" s="49" t="str">
        <x:v>Purpose</x:v>
      </x:c>
      <x:c r="D4" s="49" t="str">
        <x:v>Key fields</x:v>
      </x:c>
      <x:c r="E4" s="49" t="str">
        <x:v>Producer</x:v>
      </x:c>
      <x:c r="F4" s="49" t="str">
        <x:v>Consumer</x:v>
      </x:c>
      <x:c r="G4" s="49" t="str">
        <x:v>MVP</x:v>
      </x:c>
      <x:c r="H4" s="49" t="str">
        <x:v>Notes</x:v>
      </x:c>
      <x:c r="I4" s="49" t="str">
        <x:v>Source/ref</x:v>
      </x:c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50" t="str">
        <x:v>Entity</x:v>
      </x:c>
      <x:c r="B5" s="50" t="str">
        <x:v>WorkSession</x:v>
      </x:c>
      <x:c r="C5" s="50" t="str">
        <x:v>Tracks a monitored work period and task linkage.</x:v>
      </x:c>
      <x:c r="D5" s="50" t="str">
        <x:v>session_id, person_id, device_id, task_id, start/end, policy_version</x:v>
      </x:c>
      <x:c r="E5" s="50" t="str">
        <x:v>Device Agent Gateway</x:v>
      </x:c>
      <x:c r="F5" s="50" t="str">
        <x:v>Task Intelligence, Reporting</x:v>
      </x:c>
      <x:c r="G5" s="50" t="str">
        <x:v>Yes</x:v>
      </x:c>
      <x:c r="H5" s="50" t="str">
        <x:v>Supports pause/private/excluded segments.</x:v>
      </x:c>
      <x:c r="I5" s="50" t="str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50" t="str">
        <x:v>Entity</x:v>
      </x:c>
      <x:c r="B6" s="50" t="str">
        <x:v>TaskExecutionContract</x:v>
      </x:c>
      <x:c r="C6" s="50" t="str">
        <x:v>Structured task expectations and acceptance criteria.</x:v>
      </x:c>
      <x:c r="D6" s="50" t="str">
        <x:v>objective, criteria, evidence_required, tools, risks, reviewer</x:v>
      </x:c>
      <x:c r="E6" s="50" t="str">
        <x:v>Task Intelligence</x:v>
      </x:c>
      <x:c r="F6" s="50" t="str">
        <x:v>Task Assurance, Coach</x:v>
      </x:c>
      <x:c r="G6" s="50" t="str">
        <x:v>Yes</x:v>
      </x:c>
      <x:c r="H6" s="50" t="str">
        <x:v>Compiled from HumanOS task.</x:v>
      </x:c>
      <x:c r="I6" s="50" t="str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50" t="str">
        <x:v>Entity</x:v>
      </x:c>
      <x:c r="B7" s="50" t="str">
        <x:v>RoleCapabilityContract</x:v>
      </x:c>
      <x:c r="C7" s="50" t="str">
        <x:v>Structured role/job description capability requirements.</x:v>
      </x:c>
      <x:c r="D7" s="50" t="str">
        <x:v>role, level, capabilities, evidence rubrics, autonomy</x:v>
      </x:c>
      <x:c r="E7" s="50" t="str">
        <x:v>Role &amp; Capability</x:v>
      </x:c>
      <x:c r="F7" s="50" t="str">
        <x:v>Capability Graph</x:v>
      </x:c>
      <x:c r="G7" s="50" t="str">
        <x:v>Yes</x:v>
      </x:c>
      <x:c r="H7" s="50" t="str">
        <x:v>Job description becomes measurable contract.</x:v>
      </x:c>
      <x:c r="I7" s="50" t="str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50" t="str">
        <x:v>Event</x:v>
      </x:c>
      <x:c r="B8" s="50" t="str">
        <x:v>activity.application.changed</x:v>
      </x:c>
      <x:c r="C8" s="50" t="str">
        <x:v>Foreground app/window/process transition.</x:v>
      </x:c>
      <x:c r="D8" s="50" t="str">
        <x:v>app, pid, window_title, timestamp, confidence</x:v>
      </x:c>
      <x:c r="E8" s="50" t="str">
        <x:v>Desktop Agent</x:v>
      </x:c>
      <x:c r="F8" s="50" t="str">
        <x:v>Evidence Service</x:v>
      </x:c>
      <x:c r="G8" s="50" t="str">
        <x:v>Yes</x:v>
      </x:c>
      <x:c r="H8" s="50" t="str">
        <x:v>Universal capture stream.</x:v>
      </x:c>
      <x:c r="I8" s="50" t="str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50" t="str">
        <x:v>Event</x:v>
      </x:c>
      <x:c r="B9" s="50" t="str">
        <x:v>activity.input.observed</x:v>
      </x:c>
      <x:c r="C9" s="50" t="str">
        <x:v>Physical mouse/keyboard input metadata.</x:v>
      </x:c>
      <x:c r="D9" s="50" t="str">
        <x:v>input_type, key/button, coordinate, injected_flag, secure_field</x:v>
      </x:c>
      <x:c r="E9" s="50" t="str">
        <x:v>Desktop Agent</x:v>
      </x:c>
      <x:c r="F9" s="50" t="str">
        <x:v>Evidence Service</x:v>
      </x:c>
      <x:c r="G9" s="50" t="str">
        <x:v>Yes</x:v>
      </x:c>
      <x:c r="H9" s="50" t="str">
        <x:v>Text stored separately and controlled.</x:v>
      </x:c>
      <x:c r="I9" s="50" t="str">
        <x:v>Microsoft SetWindowsHookEx</x:v>
      </x:c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50" t="str">
        <x:v>Event</x:v>
      </x:c>
      <x:c r="B10" s="50" t="str">
        <x:v>activity.visual.changed</x:v>
      </x:c>
      <x:c r="C10" s="50" t="str">
        <x:v>Visual state changed due to click/app/action.</x:v>
      </x:c>
      <x:c r="D10" s="50" t="str">
        <x:v>before_state, after_state, changed_region, screenshot_hash</x:v>
      </x:c>
      <x:c r="E10" s="50" t="str">
        <x:v>Desktop Agent</x:v>
      </x:c>
      <x:c r="F10" s="50" t="str">
        <x:v>Evidence Service</x:v>
      </x:c>
      <x:c r="G10" s="50" t="str">
        <x:v>Yes</x:v>
      </x:c>
      <x:c r="H10" s="50" t="str">
        <x:v>Event-driven capture, not brute-force video.</x:v>
      </x:c>
      <x:c r="I10" s="50" t="str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50" t="str">
        <x:v>Event</x:v>
      </x:c>
      <x:c r="B11" s="50" t="str">
        <x:v>activity.text.changed</x:v>
      </x:c>
      <x:c r="C11" s="50" t="str">
        <x:v>Resulting text delta in an approved control/editor.</x:v>
      </x:c>
      <x:c r="D11" s="50" t="str">
        <x:v>inserted_ref, deleted_ref, source_control, privacy_class</x:v>
      </x:c>
      <x:c r="E11" s="50" t="str">
        <x:v>Desktop Agent/IDE Adapter</x:v>
      </x:c>
      <x:c r="F11" s="50" t="str">
        <x:v>Evidence, Task Intelligence</x:v>
      </x:c>
      <x:c r="G11" s="50" t="str">
        <x:v>Yes</x:v>
      </x:c>
      <x:c r="H11" s="50" t="str">
        <x:v>Authoritative text-state &gt; raw keys.</x:v>
      </x:c>
      <x:c r="I11" s="50" t="str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50" t="str">
        <x:v>Event</x:v>
      </x:c>
      <x:c r="B12" s="50" t="str">
        <x:v>agent.prompt.submitted</x:v>
      </x:c>
      <x:c r="C12" s="50" t="str">
        <x:v>Prompt sent to Codex/Claude/Cursor/etc.</x:v>
      </x:c>
      <x:c r="D12" s="50" t="str">
        <x:v>agent, prompt_ref, task_id, turn_id</x:v>
      </x:c>
      <x:c r="E12" s="50" t="str">
        <x:v>AI Agent Adapter</x:v>
      </x:c>
      <x:c r="F12" s="50" t="str">
        <x:v>Provenance, Coach</x:v>
      </x:c>
      <x:c r="G12" s="50" t="str">
        <x:v>Yes</x:v>
      </x:c>
      <x:c r="H12" s="50" t="str">
        <x:v>Use official hooks where possible.</x:v>
      </x:c>
      <x:c r="I12" s="50" t="str">
        <x:v>Codex hooks</x:v>
      </x:c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50" t="str">
        <x:v>Event</x:v>
      </x:c>
      <x:c r="B13" s="50" t="str">
        <x:v>agent.tool.completed</x:v>
      </x:c>
      <x:c r="C13" s="50" t="str">
        <x:v>Agent tool command or file operation completed.</x:v>
      </x:c>
      <x:c r="D13" s="50" t="str">
        <x:v>tool, input_ref, output_ref, exit_code, files_touched</x:v>
      </x:c>
      <x:c r="E13" s="50" t="str">
        <x:v>AI Agent Adapter</x:v>
      </x:c>
      <x:c r="F13" s="50" t="str">
        <x:v>Provenance</x:v>
      </x:c>
      <x:c r="G13" s="50" t="str">
        <x:v>Yes</x:v>
      </x:c>
      <x:c r="H13" s="50" t="str">
        <x:v>Causal parent is prompt or prior tool call.</x:v>
      </x:c>
      <x:c r="I13" s="50" t="str">
        <x:v>OpenTelemetry GenAI</x:v>
      </x:c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50" t="str">
        <x:v>Event</x:v>
      </x:c>
      <x:c r="B14" s="50" t="str">
        <x:v>process.completed</x:v>
      </x:c>
      <x:c r="C14" s="50" t="str">
        <x:v>System command/build/test process ended.</x:v>
      </x:c>
      <x:c r="D14" s="50" t="str">
        <x:v>command_ref, cwd, exit_code, duration, stdout_ref</x:v>
      </x:c>
      <x:c r="E14" s="50" t="str">
        <x:v>Terminal/OS Adapter</x:v>
      </x:c>
      <x:c r="F14" s="50" t="str">
        <x:v>Task Assurance</x:v>
      </x:c>
      <x:c r="G14" s="50" t="str">
        <x:v>Yes</x:v>
      </x:c>
      <x:c r="H14" s="50" t="str">
        <x:v>Distinguish automated wait from idle.</x:v>
      </x:c>
      <x:c r="I14" s="50" t="str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50" t="str">
        <x:v>Event</x:v>
      </x:c>
      <x:c r="B15" s="50" t="str">
        <x:v>task.criterion.verified</x:v>
      </x:c>
      <x:c r="C15" s="50" t="str">
        <x:v>Task criterion satisfied or failed with evidence.</x:v>
      </x:c>
      <x:c r="D15" s="50" t="str">
        <x:v>criterion_id, status, evidence_refs, confidence</x:v>
      </x:c>
      <x:c r="E15" s="50" t="str">
        <x:v>Task Intelligence</x:v>
      </x:c>
      <x:c r="F15" s="50" t="str">
        <x:v>Reporting/Capability</x:v>
      </x:c>
      <x:c r="G15" s="50" t="str">
        <x:v>Yes</x:v>
      </x:c>
      <x:c r="H15" s="50" t="str">
        <x:v>Outcome-driven assessment.</x:v>
      </x:c>
      <x:c r="I15" s="50" t="str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50" t="str">
        <x:v>Event</x:v>
      </x:c>
      <x:c r="B16" s="50" t="str">
        <x:v>capability.evidence.recorded</x:v>
      </x:c>
      <x:c r="C16" s="50" t="str">
        <x:v>Capability evidence gained from a task episode.</x:v>
      </x:c>
      <x:c r="D16" s="50" t="str">
        <x:v>capability_id, level_signal, confidence, evidence_refs</x:v>
      </x:c>
      <x:c r="E16" s="50" t="str">
        <x:v>Role &amp; Capability</x:v>
      </x:c>
      <x:c r="F16" s="50" t="str">
        <x:v>Learning/Reporting</x:v>
      </x:c>
      <x:c r="G16" s="50" t="str">
        <x:v>Yes</x:v>
      </x:c>
      <x:c r="H16" s="50" t="str">
        <x:v>Repeated evidence updates profile.</x:v>
      </x:c>
      <x:c r="I16" s="50" t="str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50" t="str">
        <x:v>Event</x:v>
      </x:c>
      <x:c r="B17" s="50" t="str">
        <x:v>skill.observation.created</x:v>
      </x:c>
      <x:c r="C17" s="50" t="str">
        <x:v>Candidate improvement to HumanOS skill/plugin/evaluator.</x:v>
      </x:c>
      <x:c r="D17" s="50" t="str">
        <x:v>issue, improvement, principle, evidence_refs, confidentiality</x:v>
      </x:c>
      <x:c r="E17" s="50" t="str">
        <x:v>Skill Forge</x:v>
      </x:c>
      <x:c r="F17" s="50" t="str">
        <x:v>Skill Review</x:v>
      </x:c>
      <x:c r="G17" s="50" t="str">
        <x:v>Later</x:v>
      </x:c>
      <x:c r="H17" s="50" t="str">
        <x:v>Human approval before activation.</x:v>
      </x:c>
      <x:c r="I17" s="50" t="str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d83747dc6df34ca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4" hidden="0" customWidth="1"/>
    <x:col min="3" max="3" width="28" hidden="0" customWidth="1"/>
    <x:col min="4" max="4" width="48" hidden="0" customWidth="1"/>
    <x:col min="5" max="5" width="42" hidden="0" customWidth="1"/>
    <x:col min="6" max="6" width="10" hidden="0" customWidth="1"/>
  </x:cols>
  <x:sheetData>
    <x:row r="1" ht="34" customHeight="1">
      <x:c r="A1" s="64" t="str">
        <x:v>AI Capability System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 ht="34" customHeight="1">
      <x:c r="A2" s="48" t="str">
        <x:v>How Nessovo verifies capability, improves employees, and improves HumanOS itself.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 ht="32" customHeight="1">
      <x:c r="A4" s="49" t="str">
        <x:v>Level</x:v>
      </x:c>
      <x:c r="B4" s="49" t="str">
        <x:v>Name</x:v>
      </x:c>
      <x:c r="C4" s="49" t="str">
        <x:v>Meaning</x:v>
      </x:c>
      <x:c r="D4" s="49" t="str">
        <x:v>Evidence examples</x:v>
      </x:c>
      <x:c r="E4" s="49" t="str">
        <x:v>Manager interpretation</x:v>
      </x:c>
      <x:c r="F4" s="49" t="str">
        <x:v>Employee experience</x:v>
      </x:c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50" t="n">
        <x:v>0</x:v>
      </x:c>
      <x:c r="B5" s="50" t="str">
        <x:v>Unverified</x:v>
      </x:c>
      <x:c r="C5" s="50" t="str">
        <x:v>Claim exists but no reliable evidence yet.</x:v>
      </x:c>
      <x:c r="D5" s="50" t="str">
        <x:v>Onboarding claim, CV, self-assessment.</x:v>
      </x:c>
      <x:c r="E5" s="50" t="str">
        <x:v>Do not assume capability; assign baseline tasks.</x:v>
      </x:c>
      <x:c r="F5" s="50" t="str">
        <x:v>Skill locked or greyed out.</x:v>
      </x:c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50" t="n">
        <x:v>1</x:v>
      </x:c>
      <x:c r="B6" s="50" t="str">
        <x:v>Learning</x:v>
      </x:c>
      <x:c r="C6" s="50" t="str">
        <x:v>Requires direct instruction and close guidance.</x:v>
      </x:c>
      <x:c r="D6" s="50" t="str">
        <x:v>Fails routine tasks without support; training in progress.</x:v>
      </x:c>
      <x:c r="E6" s="50" t="str">
        <x:v>Needs guided work and mentor review.</x:v>
      </x:c>
      <x:c r="F6" s="50" t="str">
        <x:v>Starter quests and basic lessons.</x:v>
      </x:c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50" t="n">
        <x:v>2</x:v>
      </x:c>
      <x:c r="B7" s="50" t="str">
        <x:v>Assisted</x:v>
      </x:c>
      <x:c r="C7" s="50" t="str">
        <x:v>Can complete routine work with support.</x:v>
      </x:c>
      <x:c r="D7" s="50" t="str">
        <x:v>Completes tasks when guided; recurring review required.</x:v>
      </x:c>
      <x:c r="E7" s="50" t="str">
        <x:v>Suitable for scoped tasks.</x:v>
      </x:c>
      <x:c r="F7" s="50" t="str">
        <x:v>Progress quests and coaching.</x:v>
      </x:c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50" t="n">
        <x:v>3</x:v>
      </x:c>
      <x:c r="B8" s="50" t="str">
        <x:v>Independent</x:v>
      </x:c>
      <x:c r="C8" s="50" t="str">
        <x:v>Reliably completes standard work independently.</x:v>
      </x:c>
      <x:c r="D8" s="50" t="str">
        <x:v>Multiple successful tasks with appropriate verification.</x:v>
      </x:c>
      <x:c r="E8" s="50" t="str">
        <x:v>Meets normal role requirement.</x:v>
      </x:c>
      <x:c r="F8" s="50" t="str">
        <x:v>Core skill unlocked.</x:v>
      </x:c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50" t="n">
        <x:v>4</x:v>
      </x:c>
      <x:c r="B9" s="50" t="str">
        <x:v>Advanced</x:v>
      </x:c>
      <x:c r="C9" s="50" t="str">
        <x:v>Handles complex/non-routine work and supports others.</x:v>
      </x:c>
      <x:c r="D9" s="50" t="str">
        <x:v>Solves unfamiliar variants; mentors peers; improves playbooks.</x:v>
      </x:c>
      <x:c r="E9" s="50" t="str">
        <x:v>Can own complex workstreams.</x:v>
      </x:c>
      <x:c r="F9" s="50" t="str">
        <x:v>Advanced challenges and mentor badges.</x:v>
      </x:c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50" t="n">
        <x:v>5</x:v>
      </x:c>
      <x:c r="B10" s="50" t="str">
        <x:v>Mastery</x:v>
      </x:c>
      <x:c r="C10" s="50" t="str">
        <x:v>Defines standards, solves novel problems and coaches others.</x:v>
      </x:c>
      <x:c r="D10" s="50" t="str">
        <x:v>Creates reusable methods; reviews designs; leads standards.</x:v>
      </x:c>
      <x:c r="E10" s="50" t="str">
        <x:v>Can define organisational practice.</x:v>
      </x:c>
      <x:c r="F10" s="50" t="str">
        <x:v>Mastery status and skill authoring.</x:v>
      </x:c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47"/>
      <x:c r="B11" s="47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47"/>
      <x:c r="B12" s="47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 ht="32" customHeight="1">
      <x:c r="A13" s="49" t="str">
        <x:v>Loop</x:v>
      </x:c>
      <x:c r="B13" s="49" t="str">
        <x:v>Input</x:v>
      </x:c>
      <x:c r="C13" s="49" t="str">
        <x:v>AI action</x:v>
      </x:c>
      <x:c r="D13" s="49" t="str">
        <x:v>Human control</x:v>
      </x:c>
      <x:c r="E13" s="49" t="str">
        <x:v>Output</x:v>
      </x:c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50" t="str">
        <x:v>Employee learning loop</x:v>
      </x:c>
      <x:c r="B14" s="50" t="str">
        <x:v>Task evidence, errors, coaching response</x:v>
      </x:c>
      <x:c r="C14" s="50" t="str">
        <x:v>Detect gap and recommend training/practice</x:v>
      </x:c>
      <x:c r="D14" s="50" t="str">
        <x:v>Employee can challenge; manager/mentor reviews</x:v>
      </x:c>
      <x:c r="E14" s="50" t="str">
        <x:v>Capability evidence and learning plan</x:v>
      </x:c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50" t="str">
        <x:v>Task assurance loop</x:v>
      </x:c>
      <x:c r="B15" s="50" t="str">
        <x:v>Task contract, activity episodes, artefacts</x:v>
      </x:c>
      <x:c r="C15" s="50" t="str">
        <x:v>Assess task alignment, progress, quality and completion</x:v>
      </x:c>
      <x:c r="D15" s="50" t="str">
        <x:v>Lead/reviewer decides status</x:v>
      </x:c>
      <x:c r="E15" s="50" t="str">
        <x:v>Evidence-backed task report</x:v>
      </x:c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50" t="str">
        <x:v>Organisational learning loop</x:v>
      </x:c>
      <x:c r="B16" s="50" t="str">
        <x:v>Repeated successful work patterns</x:v>
      </x:c>
      <x:c r="C16" s="50" t="str">
        <x:v>Propose playbooks/templates/workflows</x:v>
      </x:c>
      <x:c r="D16" s="50" t="str">
        <x:v>Domain expert approves</x:v>
      </x:c>
      <x:c r="E16" s="50" t="str">
        <x:v>HumanOS workflow / standard method</x:v>
      </x:c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50" t="str">
        <x:v>Skill Forge loop</x:v>
      </x:c>
      <x:c r="B17" s="50" t="str">
        <x:v>User correction, evaluator failure, new research</x:v>
      </x:c>
      <x:c r="C17" s="50" t="str">
        <x:v>Propose skill/plugin/evaluator update</x:v>
      </x:c>
      <x:c r="D17" s="50" t="str">
        <x:v>Skill reviewer, tests, canary, rollback</x:v>
      </x:c>
      <x:c r="E17" s="50" t="str">
        <x:v>Versioned HumanOS skill</x:v>
      </x:c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 ht="32" customHeight="1">
      <x:c r="A20" s="49" t="str">
        <x:v>Evaluator</x:v>
      </x:c>
      <x:c r="B20" s="49" t="str">
        <x:v>Purpose</x:v>
      </x:c>
      <x:c r="C20" s="49" t="str">
        <x:v>Runtime</x:v>
      </x:c>
      <x:c r="D20" s="49" t="str">
        <x:v>Inputs</x:v>
      </x:c>
      <x:c r="E20" s="49" t="str">
        <x:v>Outputs</x:v>
      </x:c>
      <x:c r="F20" s="49" t="str">
        <x:v>MVP</x:v>
      </x:c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50" t="str">
        <x:v>Task alignment classifier</x:v>
      </x:c>
      <x:c r="B21" s="50" t="str">
        <x:v>Classify episode relative to assigned task.</x:v>
      </x:c>
      <x:c r="C21" s="50" t="str">
        <x:v>Python</x:v>
      </x:c>
      <x:c r="D21" s="50" t="str">
        <x:v>Episode, task contract, app context, artefacts</x:v>
      </x:c>
      <x:c r="E21" s="50" t="str">
        <x:v>classification + confidence + evidence refs</x:v>
      </x:c>
      <x:c r="F21" s="50" t="str">
        <x:v>Yes</x:v>
      </x:c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50" t="str">
        <x:v>Provenance classifier</x:v>
      </x:c>
      <x:c r="B22" s="50" t="str">
        <x:v>Classify human/AI/automation/system actor.</x:v>
      </x:c>
      <x:c r="C22" s="50" t="str">
        <x:v>Python + rules</x:v>
      </x:c>
      <x:c r="D22" s="50" t="str">
        <x:v>Input events, agent hooks, process tree, file deltas</x:v>
      </x:c>
      <x:c r="E22" s="50" t="str">
        <x:v>actor + confidence + causal edge</x:v>
      </x:c>
      <x:c r="F22" s="50" t="str">
        <x:v>Yes</x:v>
      </x:c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50" t="str">
        <x:v>Acceptance criteria verifier</x:v>
      </x:c>
      <x:c r="B23" s="50" t="str">
        <x:v>Determine criterion status and missing evidence.</x:v>
      </x:c>
      <x:c r="C23" s="50" t="str">
        <x:v>Python + deterministic validators</x:v>
      </x:c>
      <x:c r="D23" s="50" t="str">
        <x:v>Task contract, artefacts, tests, screenshots, reports</x:v>
      </x:c>
      <x:c r="E23" s="50" t="str">
        <x:v>met/partial/missing + evidence</x:v>
      </x:c>
      <x:c r="F23" s="50" t="str">
        <x:v>Yes</x:v>
      </x:c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50" t="str">
        <x:v>Capability updater</x:v>
      </x:c>
      <x:c r="B24" s="50" t="str">
        <x:v>Update capability confidence and level from evidence.</x:v>
      </x:c>
      <x:c r="C24" s="50" t="str">
        <x:v>Python scoring + Java persistence</x:v>
      </x:c>
      <x:c r="D24" s="50" t="str">
        <x:v>Task assessment, difficulty, independence, guidance</x:v>
      </x:c>
      <x:c r="E24" s="50" t="str">
        <x:v>capability signal + level update proposal</x:v>
      </x:c>
      <x:c r="F24" s="50" t="str">
        <x:v>Yes</x:v>
      </x:c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50" t="str">
        <x:v>Coaching selector</x:v>
      </x:c>
      <x:c r="B25" s="50" t="str">
        <x:v>Choose whether/how to intervene.</x:v>
      </x:c>
      <x:c r="C25" s="50" t="str">
        <x:v>Python</x:v>
      </x:c>
      <x:c r="D25" s="50" t="str">
        <x:v>Risk, confidence, history, user preferences</x:v>
      </x:c>
      <x:c r="E25" s="50" t="str">
        <x:v>nudge/assist/teach/escalate/observe</x:v>
      </x:c>
      <x:c r="F25" s="50" t="str">
        <x:v>Yes</x:v>
      </x:c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50" t="str">
        <x:v>Skill improvement evaluator</x:v>
      </x:c>
      <x:c r="B26" s="50" t="str">
        <x:v>Test proposed skill/plugin changes.</x:v>
      </x:c>
      <x:c r="C26" s="50" t="str">
        <x:v>Python</x:v>
      </x:c>
      <x:c r="D26" s="50" t="str">
        <x:v>Observation, skill diff, test corpus, policy constraints</x:v>
      </x:c>
      <x:c r="E26" s="50" t="str">
        <x:v>pass/fail/regression/risk report</x:v>
      </x:c>
      <x:c r="F26" s="50" t="str">
        <x:v>Later</x:v>
      </x:c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mergeCells>
    <x:mergeCell ref="A1:J1"/>
    <x:mergeCell ref="A2:J2"/>
  </x:mergeCells>
  <x:pageMargins left="0.7" right="0.7" top="0.75" bottom="0.75" header="0.3" footer="0.3"/>
  <x:tableParts count="3">
    <x:tablePart xmlns:r="http://schemas.openxmlformats.org/officeDocument/2006/relationships" r:id="Rbaa1d96da3414e93"/>
    <x:tablePart xmlns:r="http://schemas.openxmlformats.org/officeDocument/2006/relationships" r:id="Rbda1f4e52a5947e0"/>
    <x:tablePart xmlns:r="http://schemas.openxmlformats.org/officeDocument/2006/relationships" r:id="Rec195d62a0784c9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6" hidden="0" customWidth="1"/>
    <x:col min="4" max="4" width="18" hidden="0" customWidth="1"/>
    <x:col min="5" max="5" width="10" hidden="0" customWidth="1"/>
    <x:col min="6" max="6" width="24" hidden="0" customWidth="1"/>
    <x:col min="7" max="7" width="26" hidden="0" customWidth="1"/>
    <x:col min="8" max="8" width="58" hidden="0" customWidth="1"/>
    <x:col min="9" max="9" width="26" hidden="0" customWidth="1"/>
  </x:cols>
  <x:sheetData>
    <x:row r="1" ht="34" customHeight="1">
      <x:c r="A1" s="64" t="str">
        <x:v>Governance &amp; Compliance Controls</x:v>
      </x:c>
      <x:c r="B1" s="64"/>
      <x:c r="C1" s="64"/>
      <x:c r="D1" s="64"/>
      <x:c r="E1" s="64"/>
      <x:c r="F1" s="64"/>
      <x:c r="G1" s="64"/>
      <x:c r="H1" s="64"/>
      <x:c r="I1" s="64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 ht="34" customHeight="1">
      <x:c r="A2" s="48" t="str">
        <x:v>Minimum controls required because this product uses intrusive monitoring and employment-related AI.</x:v>
      </x:c>
      <x:c r="B2" s="48"/>
      <x:c r="C2" s="48"/>
      <x:c r="D2" s="48"/>
      <x:c r="E2" s="48"/>
      <x:c r="F2" s="48"/>
      <x:c r="G2" s="48"/>
      <x:c r="H2" s="48"/>
      <x:c r="I2" s="48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 ht="32" customHeight="1">
      <x:c r="A4" s="49" t="str">
        <x:v>Control area</x:v>
      </x:c>
      <x:c r="B4" s="49" t="str">
        <x:v>Requirement</x:v>
      </x:c>
      <x:c r="C4" s="49" t="str">
        <x:v>Implementation</x:v>
      </x:c>
      <x:c r="D4" s="49" t="str">
        <x:v>Owner</x:v>
      </x:c>
      <x:c r="E4" s="49" t="str">
        <x:v>MVP</x:v>
      </x:c>
      <x:c r="F4" s="49" t="str">
        <x:v>Evidence</x:v>
      </x:c>
      <x:c r="G4" s="49" t="str">
        <x:v>Risk reduced</x:v>
      </x:c>
      <x:c r="H4" s="49" t="str">
        <x:v>Source URL</x:v>
      </x:c>
      <x:c r="I4" s="49" t="str">
        <x:v>Notes</x:v>
      </x:c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50" t="str">
        <x:v>Transparency</x:v>
      </x:c>
      <x:c r="B5" s="50" t="str">
        <x:v>Workers must know what is captured, why, when and how reports are used.</x:v>
      </x:c>
      <x:c r="C5" s="50" t="str">
        <x:v>Visible recording indicator, policy notice, employee portal.</x:v>
      </x:c>
      <x:c r="D5" s="50" t="str">
        <x:v>Legal/Product</x:v>
      </x:c>
      <x:c r="E5" s="50" t="str">
        <x:v>Yes</x:v>
      </x:c>
      <x:c r="F5" s="50" t="str">
        <x:v>Acknowledgement + policy version</x:v>
      </x:c>
      <x:c r="G5" s="50" t="str">
        <x:v>Employee trust/legal risk</x:v>
      </x:c>
      <x:c r="H5" s="50" t="str">
        <x:v>https://www.gov.uk/data-protection-your-business/monitoring-staff-at-work</x:v>
      </x:c>
      <x:c r="I5" s="50" t="str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50" t="str">
        <x:v>DPIA</x:v>
      </x:c>
      <x:c r="B6" s="50" t="str">
        <x:v>High-risk monitoring requires formal assessment before deployment.</x:v>
      </x:c>
      <x:c r="C6" s="50" t="str">
        <x:v>DPIA workflow, risk register, mitigation sign-off.</x:v>
      </x:c>
      <x:c r="D6" s="50" t="str">
        <x:v>DPO/Legal</x:v>
      </x:c>
      <x:c r="E6" s="50" t="str">
        <x:v>Yes</x:v>
      </x:c>
      <x:c r="F6" s="50" t="str">
        <x:v>Approved DPIA</x:v>
      </x:c>
      <x:c r="G6" s="50" t="str">
        <x:v>Regulatory breach</x:v>
      </x:c>
      <x:c r="H6" s="50" t="str">
        <x:v>https://ico.org.uk/for-organisations/uk-gdpr-guidance-and-resources/employment/monitoring-workers/data-protection-and-monitoring-workers/</x:v>
      </x:c>
      <x:c r="I6" s="50" t="str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50" t="str">
        <x:v>Human review</x:v>
      </x:c>
      <x:c r="B7" s="50" t="str">
        <x:v>AI findings cannot automatically make consequential employment decisions.</x:v>
      </x:c>
      <x:c r="C7" s="50" t="str">
        <x:v>Review queue, authority checks, reviewer notes, final decision record.</x:v>
      </x:c>
      <x:c r="D7" s="50" t="str">
        <x:v>HR/Managers</x:v>
      </x:c>
      <x:c r="E7" s="50" t="str">
        <x:v>Yes</x:v>
      </x:c>
      <x:c r="F7" s="50" t="str">
        <x:v>ReviewDecision entity</x:v>
      </x:c>
      <x:c r="G7" s="50" t="str">
        <x:v>Unfair automated decision</x:v>
      </x:c>
      <x:c r="H7" s="50" t="str">
        <x:v>https://ico.org.uk/for-organisations/advice-and-services/audits/data-protection-audit-framework/toolkits/artificial-intelligence/human-review/</x:v>
      </x:c>
      <x:c r="I7" s="50" t="str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50" t="str">
        <x:v>Employee challenge</x:v>
      </x:c>
      <x:c r="B8" s="50" t="str">
        <x:v>Employee can see evidence and challenge inaccurate assessments.</x:v>
      </x:c>
      <x:c r="C8" s="50" t="str">
        <x:v>Dispute workflow, correction UI, response SLA.</x:v>
      </x:c>
      <x:c r="D8" s="50" t="str">
        <x:v>Governance</x:v>
      </x:c>
      <x:c r="E8" s="50" t="str">
        <x:v>Yes</x:v>
      </x:c>
      <x:c r="F8" s="50" t="str">
        <x:v>Dispute log</x:v>
      </x:c>
      <x:c r="G8" s="50" t="str">
        <x:v>False allegation/trust damage</x:v>
      </x:c>
      <x:c r="H8" s="50" t="str">
        <x:v>https://ico.org.uk/for-organisations/uk-gdpr-guidance-and-resources/employment/monitoring-workers/data-protection-and-monitoring-workers/</x:v>
      </x:c>
      <x:c r="I8" s="50" t="str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50" t="str">
        <x:v>Secure-field blocking</x:v>
      </x:c>
      <x:c r="B9" s="50" t="str">
        <x:v>Passwords, secrets and sensitive fields must not be stored.</x:v>
      </x:c>
      <x:c r="C9" s="50" t="str">
        <x:v>OS secure-field detection, secret scanning, redaction before upload.</x:v>
      </x:c>
      <x:c r="D9" s="50" t="str">
        <x:v>Security/Desktop</x:v>
      </x:c>
      <x:c r="E9" s="50" t="str">
        <x:v>Yes</x:v>
      </x:c>
      <x:c r="F9" s="50" t="str">
        <x:v>Leakage tests</x:v>
      </x:c>
      <x:c r="G9" s="50" t="str">
        <x:v>Credential/data breach</x:v>
      </x:c>
      <x:c r="H9" s="50" t="str">
        <x:v>https://learn.microsoft.com/en-us/windows/win32/winmsg/lowlevelkeyboardproc</x:v>
      </x:c>
      <x:c r="I9" s="50" t="str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50" t="str">
        <x:v>Purpose limitation</x:v>
      </x:c>
      <x:c r="B10" s="50" t="str">
        <x:v>Raw evidence access must be purpose-limited and audited.</x:v>
      </x:c>
      <x:c r="C10" s="50" t="str">
        <x:v>RBAC/ABAC, reason codes, time-limited grants, audit service.</x:v>
      </x:c>
      <x:c r="D10" s="50" t="str">
        <x:v>Security</x:v>
      </x:c>
      <x:c r="E10" s="50" t="str">
        <x:v>Yes</x:v>
      </x:c>
      <x:c r="F10" s="50" t="str">
        <x:v>Access logs</x:v>
      </x:c>
      <x:c r="G10" s="50" t="str">
        <x:v>Manager misuse</x:v>
      </x:c>
      <x:c r="H10" s="50" t="str">
        <x:v>https://www.openpolicyagent.org/docs</x:v>
      </x:c>
      <x:c r="I10" s="50" t="str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50" t="str">
        <x:v>Retention</x:v>
      </x:c>
      <x:c r="B11" s="50" t="str">
        <x:v>Raw screenshots/text should have short retention unless escalated.</x:v>
      </x:c>
      <x:c r="C11" s="50" t="str">
        <x:v>Retention policy engine, auto-delete, legal hold workflow.</x:v>
      </x:c>
      <x:c r="D11" s="50" t="str">
        <x:v>Legal/Security</x:v>
      </x:c>
      <x:c r="E11" s="50" t="str">
        <x:v>Yes</x:v>
      </x:c>
      <x:c r="F11" s="50" t="str">
        <x:v>Retention job logs</x:v>
      </x:c>
      <x:c r="G11" s="50" t="str">
        <x:v>Data concentration risk</x:v>
      </x:c>
      <x:c r="H11" s="50" t="str"/>
      <x:c r="I11" s="50" t="str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50" t="str">
        <x:v>Jurisdiction packs</x:v>
      </x:c>
      <x:c r="B12" s="50" t="str">
        <x:v>UK, EU, Pakistan and future regions need separate deployment policies.</x:v>
      </x:c>
      <x:c r="C12" s="50" t="str">
        <x:v>Policy service by tenant/location, legal review checklist.</x:v>
      </x:c>
      <x:c r="D12" s="50" t="str">
        <x:v>Legal</x:v>
      </x:c>
      <x:c r="E12" s="50" t="str">
        <x:v>Yes</x:v>
      </x:c>
      <x:c r="F12" s="50" t="str">
        <x:v>Policy pack version</x:v>
      </x:c>
      <x:c r="G12" s="50" t="str">
        <x:v>Cross-border non-compliance</x:v>
      </x:c>
      <x:c r="H12" s="50" t="str">
        <x:v>https://ai-act-service-desk.ec.europa.eu/en/ai-act/annex-3</x:v>
      </x:c>
      <x:c r="I12" s="50" t="str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50" t="str">
        <x:v>No emotion/personality inference</x:v>
      </x:c>
      <x:c r="B13" s="50" t="str">
        <x:v>Do not infer emotion, personality or protected traits from behaviour.</x:v>
      </x:c>
      <x:c r="C13" s="50" t="str">
        <x:v>Prohibited classifier categories and model gating.</x:v>
      </x:c>
      <x:c r="D13" s="50" t="str">
        <x:v>AI Governance</x:v>
      </x:c>
      <x:c r="E13" s="50" t="str">
        <x:v>Yes</x:v>
      </x:c>
      <x:c r="F13" s="50" t="str">
        <x:v>Model policy tests</x:v>
      </x:c>
      <x:c r="G13" s="50" t="str">
        <x:v>AI Act/high-risk harm</x:v>
      </x:c>
      <x:c r="H13" s="50" t="str">
        <x:v>https://ai-act-service-desk.ec.europa.eu/en/ai-act/annex-3</x:v>
      </x:c>
      <x:c r="I13" s="50" t="str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50" t="str">
        <x:v>Skill governance</x:v>
      </x:c>
      <x:c r="B14" s="50" t="str">
        <x:v>Self-improvement must use evaluation, approval, canary and rollback.</x:v>
      </x:c>
      <x:c r="C14" s="50" t="str">
        <x:v>Skill lifecycle service with signed versions and tests.</x:v>
      </x:c>
      <x:c r="D14" s="50" t="str">
        <x:v>AI Platform</x:v>
      </x:c>
      <x:c r="E14" s="50" t="str">
        <x:v>Later</x:v>
      </x:c>
      <x:c r="F14" s="50" t="str">
        <x:v>Skill review records</x:v>
      </x:c>
      <x:c r="G14" s="50" t="str">
        <x:v>Unsafe self-modification</x:v>
      </x:c>
      <x:c r="H14" s="50" t="str"/>
      <x:c r="I14" s="50" t="str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47"/>
      <x:c r="B15" s="47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47"/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698106812ed0402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8" hidden="0" customWidth="1"/>
    <x:col min="4" max="4" width="12" hidden="0" customWidth="1"/>
    <x:col min="5" max="5" width="10" hidden="0" customWidth="1"/>
    <x:col min="6" max="6" width="10" hidden="0" customWidth="1"/>
    <x:col min="7" max="7" width="56" hidden="0" customWidth="1"/>
    <x:col min="8" max="8" width="18" hidden="0" customWidth="1"/>
    <x:col min="9" max="9" width="12" hidden="0" customWidth="1"/>
    <x:col min="10" max="10" width="12" hidden="0" customWidth="1"/>
  </x:cols>
  <x:sheetData>
    <x:row r="1" ht="34" customHeight="1">
      <x:c r="A1" s="64" t="str">
        <x:v>Risk Register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 ht="34" customHeight="1">
      <x:c r="A2" s="48" t="str">
        <x:v>Initial risks and mitigations for the Nessovo HumanOS Work Intelligence programme.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 ht="32" customHeight="1">
      <x:c r="A4" s="49" t="str">
        <x:v>Risk ID</x:v>
      </x:c>
      <x:c r="B4" s="49" t="str">
        <x:v>Risk</x:v>
      </x:c>
      <x:c r="C4" s="49" t="str">
        <x:v>Category</x:v>
      </x:c>
      <x:c r="D4" s="49" t="str">
        <x:v>Likelihood</x:v>
      </x:c>
      <x:c r="E4" s="49" t="str">
        <x:v>Impact</x:v>
      </x:c>
      <x:c r="F4" s="49" t="str">
        <x:v>Score</x:v>
      </x:c>
      <x:c r="G4" s="49" t="str">
        <x:v>Mitigation</x:v>
      </x:c>
      <x:c r="H4" s="49" t="str">
        <x:v>Owner</x:v>
      </x:c>
      <x:c r="I4" s="49" t="str">
        <x:v>Stage</x:v>
      </x:c>
      <x:c r="J4" s="49" t="str">
        <x:v>Status</x:v>
      </x:c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50" t="str">
        <x:v>R01</x:v>
      </x:c>
      <x:c r="B5" s="50" t="str">
        <x:v>Employee distrust due to intrusive monitoring</x:v>
      </x:c>
      <x:c r="C5" s="50" t="str">
        <x:v>Trust/Adoption</x:v>
      </x:c>
      <x:c r="D5" s="50" t="n">
        <x:v>4</x:v>
      </x:c>
      <x:c r="E5" s="50" t="n">
        <x:v>5</x:v>
      </x:c>
      <x:c r="F5" s="50" t="n">
        <x:f>D5*E5</x:f>
        <x:v>20</x:v>
      </x:c>
      <x:c r="G5" s="50" t="str">
        <x:v>Employee portal, transparency, correction workflow, coaching value, no hidden mode.</x:v>
      </x:c>
      <x:c r="H5" s="50" t="str">
        <x:v>Product/HR</x:v>
      </x:c>
      <x:c r="I5" s="50" t="str">
        <x:v>0-12</x:v>
      </x:c>
      <x:c r="J5" s="50" t="str">
        <x:v>Open</x:v>
      </x:c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50" t="str">
        <x:v>R02</x:v>
      </x:c>
      <x:c r="B6" s="50" t="str">
        <x:v>False AI conclusion damages employee</x:v>
      </x:c>
      <x:c r="C6" s="50" t="str">
        <x:v>AI/Governance</x:v>
      </x:c>
      <x:c r="D6" s="50" t="n">
        <x:v>3</x:v>
      </x:c>
      <x:c r="E6" s="50" t="n">
        <x:v>5</x:v>
      </x:c>
      <x:c r="F6" s="50" t="n">
        <x:f>D6*E6</x:f>
        <x:v>15</x:v>
      </x:c>
      <x:c r="G6" s="50" t="str">
        <x:v>Evidence links, confidence, alternative explanations, human review, dispute mechanism.</x:v>
      </x:c>
      <x:c r="H6" s="50" t="str">
        <x:v>AI Governance</x:v>
      </x:c>
      <x:c r="I6" s="50" t="str">
        <x:v>7-12</x:v>
      </x:c>
      <x:c r="J6" s="50" t="str">
        <x:v>Open</x:v>
      </x:c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50" t="str">
        <x:v>R03</x:v>
      </x:c>
      <x:c r="B7" s="50" t="str">
        <x:v>Sensitive data leakage from screenshots/text</x:v>
      </x:c>
      <x:c r="C7" s="50" t="str">
        <x:v>Security/Privacy</x:v>
      </x:c>
      <x:c r="D7" s="50" t="n">
        <x:v>3</x:v>
      </x:c>
      <x:c r="E7" s="50" t="n">
        <x:v>5</x:v>
      </x:c>
      <x:c r="F7" s="50" t="n">
        <x:f>D7*E7</x:f>
        <x:v>15</x:v>
      </x:c>
      <x:c r="G7" s="50" t="str">
        <x:v>Secure-field blocking, secret detection, local redaction, retention limits, access control.</x:v>
      </x:c>
      <x:c r="H7" s="50" t="str">
        <x:v>Security</x:v>
      </x:c>
      <x:c r="I7" s="50" t="str">
        <x:v>3-12</x:v>
      </x:c>
      <x:c r="J7" s="50" t="str">
        <x:v>Open</x:v>
      </x:c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50" t="str">
        <x:v>R04</x:v>
      </x:c>
      <x:c r="B8" s="50" t="str">
        <x:v>Device agent creates performance overhead</x:v>
      </x:c>
      <x:c r="C8" s="50" t="str">
        <x:v>Technical</x:v>
      </x:c>
      <x:c r="D8" s="50" t="n">
        <x:v>3</x:v>
      </x:c>
      <x:c r="E8" s="50" t="n">
        <x:v>4</x:v>
      </x:c>
      <x:c r="F8" s="50" t="n">
        <x:f>D8*E8</x:f>
        <x:v>12</x:v>
      </x:c>
      <x:c r="G8" s="50" t="str">
        <x:v>Event-driven capture, dedupe, CPU budgets, pilot telemetry, native implementation.</x:v>
      </x:c>
      <x:c r="H8" s="50" t="str">
        <x:v>Desktop</x:v>
      </x:c>
      <x:c r="I8" s="50" t="str">
        <x:v>3-12</x:v>
      </x:c>
      <x:c r="J8" s="50" t="str">
        <x:v>Open</x:v>
      </x:c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50" t="str">
        <x:v>R05</x:v>
      </x:c>
      <x:c r="B9" s="50" t="str">
        <x:v>Linux/Wayland capture inconsistency</x:v>
      </x:c>
      <x:c r="C9" s="50" t="str">
        <x:v>Technical</x:v>
      </x:c>
      <x:c r="D9" s="50" t="n">
        <x:v>4</x:v>
      </x:c>
      <x:c r="E9" s="50" t="n">
        <x:v>3</x:v>
      </x:c>
      <x:c r="F9" s="50" t="n">
        <x:f>D9*E9</x:f>
        <x:v>12</x:v>
      </x:c>
      <x:c r="G9" s="50" t="str">
        <x:v>Windows/macOS first; Linux later with capability matrix.</x:v>
      </x:c>
      <x:c r="H9" s="50" t="str">
        <x:v>Desktop</x:v>
      </x:c>
      <x:c r="I9" s="50" t="str">
        <x:v>Post-MVP</x:v>
      </x:c>
      <x:c r="J9" s="50" t="str">
        <x:v>Open</x:v>
      </x:c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50" t="str">
        <x:v>R06</x:v>
      </x:c>
      <x:c r="B10" s="50" t="str">
        <x:v>Legal non-compliance in employment AI</x:v>
      </x:c>
      <x:c r="C10" s="50" t="str">
        <x:v>Legal</x:v>
      </x:c>
      <x:c r="D10" s="50" t="n">
        <x:v>3</x:v>
      </x:c>
      <x:c r="E10" s="50" t="n">
        <x:v>5</x:v>
      </x:c>
      <x:c r="F10" s="50" t="n">
        <x:f>D10*E10</x:f>
        <x:v>15</x:v>
      </x:c>
      <x:c r="G10" s="50" t="str">
        <x:v>DPIA, jurisdiction packs, human review, policy notices, legal sign-off before pilot.</x:v>
      </x:c>
      <x:c r="H10" s="50" t="str">
        <x:v>Legal/DPO</x:v>
      </x:c>
      <x:c r="I10" s="50" t="str">
        <x:v>0-12</x:v>
      </x:c>
      <x:c r="J10" s="50" t="str">
        <x:v>Open</x:v>
      </x:c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50" t="str">
        <x:v>R07</x:v>
      </x:c>
      <x:c r="B11" s="50" t="str">
        <x:v>Managers misuse raw evidence</x:v>
      </x:c>
      <x:c r="C11" s="50" t="str">
        <x:v>Governance</x:v>
      </x:c>
      <x:c r="D11" s="50" t="n">
        <x:v>3</x:v>
      </x:c>
      <x:c r="E11" s="50" t="n">
        <x:v>5</x:v>
      </x:c>
      <x:c r="F11" s="50" t="n">
        <x:f>D11*E11</x:f>
        <x:v>15</x:v>
      </x:c>
      <x:c r="G11" s="50" t="str">
        <x:v>Purpose-limited access, reason codes, approvals, audit, manager training.</x:v>
      </x:c>
      <x:c r="H11" s="50" t="str">
        <x:v>Governance</x:v>
      </x:c>
      <x:c r="I11" s="50" t="str">
        <x:v>10-12</x:v>
      </x:c>
      <x:c r="J11" s="50" t="str">
        <x:v>Open</x:v>
      </x:c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50" t="str">
        <x:v>R08</x:v>
      </x:c>
      <x:c r="B12" s="50" t="str">
        <x:v>System rewards activity volume over outcomes</x:v>
      </x:c>
      <x:c r="C12" s="50" t="str">
        <x:v>Product</x:v>
      </x:c>
      <x:c r="D12" s="50" t="n">
        <x:v>3</x:v>
      </x:c>
      <x:c r="E12" s="50" t="n">
        <x:v>4</x:v>
      </x:c>
      <x:c r="F12" s="50" t="n">
        <x:f>D12*E12</x:f>
        <x:v>12</x:v>
      </x:c>
      <x:c r="G12" s="50" t="str">
        <x:v>KPIs based on acceptance criteria, quality, capability and improvement.</x:v>
      </x:c>
      <x:c r="H12" s="50" t="str">
        <x:v>Product</x:v>
      </x:c>
      <x:c r="I12" s="50" t="str">
        <x:v>2-12</x:v>
      </x:c>
      <x:c r="J12" s="50" t="str">
        <x:v>Open</x:v>
      </x:c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50" t="str">
        <x:v>R09</x:v>
      </x:c>
      <x:c r="B13" s="50" t="str">
        <x:v>AI-agent provenance incomplete</x:v>
      </x:c>
      <x:c r="C13" s="50" t="str">
        <x:v>Technical/AI</x:v>
      </x:c>
      <x:c r="D13" s="50" t="n">
        <x:v>3</x:v>
      </x:c>
      <x:c r="E13" s="50" t="n">
        <x:v>4</x:v>
      </x:c>
      <x:c r="F13" s="50" t="n">
        <x:f>D13*E13</x:f>
        <x:v>12</x:v>
      </x:c>
      <x:c r="G13" s="50" t="str">
        <x:v>Official hooks, OpenTelemetry spans, process tree correlation, manual fallback.</x:v>
      </x:c>
      <x:c r="H13" s="50" t="str">
        <x:v>AI Integrations</x:v>
      </x:c>
      <x:c r="I13" s="50" t="str">
        <x:v>6-7</x:v>
      </x:c>
      <x:c r="J13" s="50" t="str">
        <x:v>Open</x:v>
      </x:c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50" t="str">
        <x:v>R10</x:v>
      </x:c>
      <x:c r="B14" s="50" t="str">
        <x:v>Self-improving skills introduce regressions</x:v>
      </x:c>
      <x:c r="C14" s="50" t="str">
        <x:v>AI Platform</x:v>
      </x:c>
      <x:c r="D14" s="50" t="n">
        <x:v>3</x:v>
      </x:c>
      <x:c r="E14" s="50" t="n">
        <x:v>4</x:v>
      </x:c>
      <x:c r="F14" s="50" t="n">
        <x:f>D14*E14</x:f>
        <x:v>12</x:v>
      </x:c>
      <x:c r="G14" s="50" t="str">
        <x:v>Eval suites, canary, rollback, human approval, versioned skill registry.</x:v>
      </x:c>
      <x:c r="H14" s="50" t="str">
        <x:v>AI Platform</x:v>
      </x:c>
      <x:c r="I14" s="50" t="str">
        <x:v>11</x:v>
      </x:c>
      <x:c r="J14" s="50" t="str">
        <x:v>Open</x:v>
      </x:c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50" t="str">
        <x:v>R11</x:v>
      </x:c>
      <x:c r="B15" s="50" t="str">
        <x:v>Storage cost grows too quickly</x:v>
      </x:c>
      <x:c r="C15" s="50" t="str">
        <x:v>Cost</x:v>
      </x:c>
      <x:c r="D15" s="50" t="n">
        <x:v>4</x:v>
      </x:c>
      <x:c r="E15" s="50" t="n">
        <x:v>3</x:v>
      </x:c>
      <x:c r="F15" s="50" t="n">
        <x:f>D15*E15</x:f>
        <x:v>12</x:v>
      </x:c>
      <x:c r="G15" s="50" t="str">
        <x:v>Changed-region screenshots, dedupe, local summarisation, retention tiers.</x:v>
      </x:c>
      <x:c r="H15" s="50" t="str">
        <x:v>Data</x:v>
      </x:c>
      <x:c r="I15" s="50" t="str">
        <x:v>4-12</x:v>
      </x:c>
      <x:c r="J15" s="50" t="str">
        <x:v>Open</x:v>
      </x:c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50" t="str">
        <x:v>R12</x:v>
      </x:c>
      <x:c r="B16" s="50" t="str">
        <x:v>Capability model unfairly penalises thinking/research time</x:v>
      </x:c>
      <x:c r="C16" s="50" t="str">
        <x:v>AI/Product</x:v>
      </x:c>
      <x:c r="D16" s="50" t="n">
        <x:v>3</x:v>
      </x:c>
      <x:c r="E16" s="50" t="n">
        <x:v>4</x:v>
      </x:c>
      <x:c r="F16" s="50" t="n">
        <x:f>D16*E16</x:f>
        <x:v>12</x:v>
      </x:c>
      <x:c r="G16" s="50" t="str">
        <x:v>Explicit classes for reading/review/blocked/automated wait; employee explanation fields.</x:v>
      </x:c>
      <x:c r="H16" s="50" t="str">
        <x:v>AI/Product</x:v>
      </x:c>
      <x:c r="I16" s="50" t="str">
        <x:v>7-10</x:v>
      </x:c>
      <x:c r="J16" s="50" t="str">
        <x:v>Open</x:v>
      </x:c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mergeCells>
    <x:mergeCell ref="A1:J1"/>
    <x:mergeCell ref="A2:J2"/>
  </x:mergeCells>
  <x:conditionalFormatting sqref="F5:F16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18cc6ae39664d8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64" hidden="0" customWidth="1"/>
    <x:col min="5" max="5" width="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64" t="str">
        <x:v>KPI Dashboard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 ht="34" customHeight="1">
      <x:c r="A2" s="48" t="str">
        <x:v>Formula-driven project summary for the initial plan.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 ht="32" customHeight="1">
      <x:c r="A4" s="49" t="str">
        <x:v>Metric</x:v>
      </x:c>
      <x:c r="B4" s="49" t="str">
        <x:v>Formula / Value</x:v>
      </x:c>
      <x:c r="C4" s="49" t="str">
        <x:v>Interpretation</x:v>
      </x:c>
      <x:c r="D4" s="47"/>
      <x:c r="E4" s="62" t="str">
        <x:v>Leadership readout</x:v>
      </x:c>
      <x:c r="F4" s="62"/>
      <x:c r="G4" s="62"/>
      <x:c r="H4" s="62"/>
      <x:c r="I4" s="62"/>
      <x:c r="J4" s="62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50" t="str">
        <x:v>Total stages</x:v>
      </x:c>
      <x:c r="B5" s="50" t="n">
        <x:f>COUNTA('Delivery Stages'!A5:A17)</x:f>
        <x:v>13</x:v>
      </x:c>
      <x:c r="C5" s="50" t="str">
        <x:v>Includes Stage 0 plus 12 implementation stages.</x:v>
      </x:c>
      <x:c r="D5" s="47"/>
      <x:c r="E5" s="48" t="str">
        <x:v>1</x:v>
      </x:c>
      <x:c r="F5" s="48" t="str">
        <x:v>Proceed with a controlled internal pilot focused on software-development teams.</x:v>
      </x:c>
      <x:c r="G5" s="48"/>
      <x:c r="H5" s="48"/>
      <x:c r="I5" s="48"/>
      <x:c r="J5" s="48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50" t="str">
        <x:v>Total duration weeks</x:v>
      </x:c>
      <x:c r="B6" s="50" t="n">
        <x:f>SUM('Delivery Stages'!D5:D17)</x:f>
        <x:v>62</x:v>
      </x:c>
      <x:c r="C6" s="50" t="str">
        <x:v>Sequential planning placeholder, not a deadline commitment.</x:v>
      </x:c>
      <x:c r="D6" s="47"/>
      <x:c r="E6" s="48" t="str">
        <x:v>2</x:v>
      </x:c>
      <x:c r="F6" s="48" t="str">
        <x:v>Build the desktop evidence layer first, but market the product as task assurance + capability development.</x:v>
      </x:c>
      <x:c r="G6" s="48"/>
      <x:c r="H6" s="48"/>
      <x:c r="I6" s="48"/>
      <x:c r="J6" s="48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50" t="str">
        <x:v>Total effort person-weeks</x:v>
      </x:c>
      <x:c r="B7" s="50" t="n">
        <x:f>SUM('Delivery Stages'!N5:N17)</x:f>
        <x:v>421</x:v>
      </x:c>
      <x:c r="C7" s="50" t="str">
        <x:v>Stage weeks × indicative team size.</x:v>
      </x:c>
      <x:c r="D7" s="47"/>
      <x:c r="E7" s="48" t="str">
        <x:v>3</x:v>
      </x:c>
      <x:c r="F7" s="48" t="str">
        <x:v>Use Java/Spring Boot for core domain services; Python for AI/evaluators; native/Rust/Swift/C# for device capture.</x:v>
      </x:c>
      <x:c r="G7" s="48"/>
      <x:c r="H7" s="48"/>
      <x:c r="I7" s="48"/>
      <x:c r="J7" s="48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50" t="str">
        <x:v>Critical stages</x:v>
      </x:c>
      <x:c r="B8" s="50" t="n">
        <x:f>COUNTIF('Delivery Stages'!J5:J17,"Critical")</x:f>
        <x:v>7</x:v>
      </x:c>
      <x:c r="C8" s="50" t="str">
        <x:v>Stages marked critical priority.</x:v>
      </x:c>
      <x:c r="D8" s="47"/>
      <x:c r="E8" s="48" t="str">
        <x:v>4</x:v>
      </x:c>
      <x:c r="F8" s="48" t="str">
        <x:v>Design governance and employee challenge workflows before any real employee pilot.</x:v>
      </x:c>
      <x:c r="G8" s="48"/>
      <x:c r="H8" s="48"/>
      <x:c r="I8" s="48"/>
      <x:c r="J8" s="48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50" t="str">
        <x:v>High-risk stages</x:v>
      </x:c>
      <x:c r="B9" s="50" t="n">
        <x:f>COUNTIF('Delivery Stages'!K5:K17,"High")</x:f>
        <x:v>9</x:v>
      </x:c>
      <x:c r="C9" s="50" t="str">
        <x:v>Stages needing tighter governance/leadership review.</x:v>
      </x:c>
      <x:c r="D9" s="47"/>
      <x:c r="E9" s="48" t="str">
        <x:v>5</x:v>
      </x:c>
      <x:c r="F9" s="48" t="str">
        <x:v>Adopt OpenTelemetry-style traces for AI-agent activity and extend with Nessovo task/capability semantics.</x:v>
      </x:c>
      <x:c r="G9" s="48"/>
      <x:c r="H9" s="48"/>
      <x:c r="I9" s="48"/>
      <x:c r="J9" s="48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50" t="str">
        <x:v>MVP backlog items</x:v>
      </x:c>
      <x:c r="B10" s="50" t="n">
        <x:f>COUNTA('MVP Backlog'!A5:A24)</x:f>
        <x:v>20</x:v>
      </x:c>
      <x:c r="C10" s="50" t="str">
        <x:v>Initial pilot backlog items.</x:v>
      </x:c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50" t="str">
        <x:v>Critical backlog items</x:v>
      </x:c>
      <x:c r="B11" s="50" t="n">
        <x:f>COUNTIF('MVP Backlog'!F5:F24,"Critical")</x:f>
        <x:v>12</x:v>
      </x:c>
      <x:c r="C11" s="50" t="str">
        <x:v>MVP backlog items requiring early delivery.</x:v>
      </x:c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 ht="32" customHeight="1">
      <x:c r="A12" s="50" t="str">
        <x:v>Open risks</x:v>
      </x:c>
      <x:c r="B12" s="50" t="n">
        <x:f>COUNTIF('Risk Register'!J5:J16,"Open")</x:f>
        <x:v>12</x:v>
      </x:c>
      <x:c r="C12" s="50" t="str">
        <x:v>Open risks before mitigation review.</x:v>
      </x:c>
      <x:c r="D12" s="47"/>
      <x:c r="E12" s="49" t="str">
        <x:v>Priority</x:v>
      </x:c>
      <x:c r="F12" s="49" t="str">
        <x:v>Count</x:v>
      </x:c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47"/>
      <x:c r="B13" s="47"/>
      <x:c r="C13" s="47"/>
      <x:c r="D13" s="47"/>
      <x:c r="E13" s="47" t="str">
        <x:v>Critical</x:v>
      </x:c>
      <x:c r="F13" s="47" t="n">
        <x:f>COUNTIF('Delivery Stages'!J5:J17,"Critical")</x:f>
        <x:v>7</x:v>
      </x:c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47"/>
      <x:c r="B14" s="47"/>
      <x:c r="C14" s="47"/>
      <x:c r="D14" s="47"/>
      <x:c r="E14" s="47" t="str">
        <x:v>High</x:v>
      </x:c>
      <x:c r="F14" s="47" t="n">
        <x:f>COUNTIF('Delivery Stages'!J5:J17,"High")</x:f>
        <x:v>5</x:v>
      </x:c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47"/>
      <x:c r="B15" s="47"/>
      <x:c r="C15" s="47"/>
      <x:c r="D15" s="47"/>
      <x:c r="E15" s="47" t="str">
        <x:v>Medium</x:v>
      </x:c>
      <x:c r="F15" s="47" t="n">
        <x:f>COUNTIF('Delivery Stages'!J5:J17,"Medium")</x:f>
        <x:v>1</x:v>
      </x:c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47"/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mergeCells>
    <x:mergeCell ref="A1:J1"/>
    <x:mergeCell ref="A2:J2"/>
    <x:mergeCell ref="E4:J4"/>
    <x:mergeCell ref="F5:J5"/>
    <x:mergeCell ref="F6:J6"/>
    <x:mergeCell ref="F7:J7"/>
    <x:mergeCell ref="F8:J8"/>
    <x:mergeCell ref="F9:J9"/>
  </x:mergeCells>
  <x:pageMargins left="0.7" right="0.7" top="0.75" bottom="0.75" header="0.3" footer="0.3"/>
  <x:drawing xmlns:r="http://schemas.openxmlformats.org/officeDocument/2006/relationships" r:id="Rff8f1e225fea439d"/>
  <x:tableParts count="1">
    <x:tablePart xmlns:r="http://schemas.openxmlformats.org/officeDocument/2006/relationships" r:id="Rbfa9601bc4884a7d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54" hidden="0" customWidth="1"/>
    <x:col min="4" max="4" width="72" hidden="0" customWidth="1"/>
    <x:col min="5" max="5" width="12" hidden="0" customWidth="1"/>
    <x:col min="6" max="6" width="40" hidden="0" customWidth="1"/>
  </x:cols>
  <x:sheetData>
    <x:row r="1" ht="34" customHeight="1">
      <x:c r="A1" s="64" t="str">
        <x:v>Source Register</x:v>
      </x:c>
      <x:c r="B1" s="64"/>
      <x:c r="C1" s="64"/>
      <x:c r="D1" s="64"/>
      <x:c r="E1" s="64"/>
      <x:c r="F1" s="64"/>
      <x:c r="G1" s="64"/>
      <x:c r="H1" s="64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 ht="34" customHeight="1">
      <x:c r="A2" s="48" t="str">
        <x:v>Research sources and what they support in this planning workbook.</x:v>
      </x:c>
      <x:c r="B2" s="48"/>
      <x:c r="C2" s="48"/>
      <x:c r="D2" s="48"/>
      <x:c r="E2" s="48"/>
      <x:c r="F2" s="48"/>
      <x:c r="G2" s="48"/>
      <x:c r="H2" s="48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 ht="32" customHeight="1">
      <x:c r="A4" s="49" t="str">
        <x:v>Source</x:v>
      </x:c>
      <x:c r="B4" s="49" t="str">
        <x:v>Type</x:v>
      </x:c>
      <x:c r="C4" s="49" t="str">
        <x:v>Supports</x:v>
      </x:c>
      <x:c r="D4" s="49" t="str">
        <x:v>Source URL</x:v>
      </x:c>
      <x:c r="E4" s="49" t="str">
        <x:v>Priority</x:v>
      </x:c>
      <x:c r="F4" s="49" t="str">
        <x:v>Notes</x:v>
      </x:c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>
      <x:c r="A5" s="50" t="str">
        <x:v>Teramind employee monitoring</x:v>
      </x:c>
      <x:c r="B5" s="50" t="str">
        <x:v>Commercial</x:v>
      </x:c>
      <x:c r="C5" s="50" t="str">
        <x:v>Monitoring market baseline: screenshots, recordings, keystrokes, apps/web, active/idle.</x:v>
      </x:c>
      <x:c r="D5" s="50" t="str">
        <x:v>https://www.teramind.co/solutions/employee-monitoring/</x:v>
      </x:c>
      <x:c r="E5" s="50" t="str">
        <x:v>High</x:v>
      </x:c>
      <x:c r="F5" s="50" t="str"/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A6" s="50" t="str">
        <x:v>Teramind screen recording feature</x:v>
      </x:c>
      <x:c r="B6" s="50" t="str">
        <x:v>Commercial</x:v>
      </x:c>
      <x:c r="C6" s="50" t="str">
        <x:v>Live view and historical playback capabilities.</x:v>
      </x:c>
      <x:c r="D6" s="50" t="str">
        <x:v>https://www.teramind.co/features/live-desktop-view-history-playback/</x:v>
      </x:c>
      <x:c r="E6" s="50" t="str">
        <x:v>High</x:v>
      </x:c>
      <x:c r="F6" s="50" t="str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A7" s="50" t="str">
        <x:v>ActivTrak AI Insights</x:v>
      </x:c>
      <x:c r="B7" s="50" t="str">
        <x:v>Commercial</x:v>
      </x:c>
      <x:c r="C7" s="50" t="str">
        <x:v>AI tool usage/adoption and productivity impact market signal.</x:v>
      </x:c>
      <x:c r="D7" s="50" t="str">
        <x:v>https://support.activtrak.com/hc/en-us/articles/50125731483675-AI-Insights-Add-on</x:v>
      </x:c>
      <x:c r="E7" s="50" t="str">
        <x:v>High</x:v>
      </x:c>
      <x:c r="F7" s="50" t="str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A8" s="50" t="str">
        <x:v>UiPath Task Capture settings</x:v>
      </x:c>
      <x:c r="B8" s="50" t="str">
        <x:v>Commercial docs</x:v>
      </x:c>
      <x:c r="C8" s="50" t="str">
        <x:v>Screenshots per click/keyboard action and capture modes.</x:v>
      </x:c>
      <x:c r="D8" s="50" t="str">
        <x:v>https://docs.uipath.com/task-capture/standalone/2021.10/user-guide/capture-settings</x:v>
      </x:c>
      <x:c r="E8" s="50" t="str">
        <x:v>High</x:v>
      </x:c>
      <x:c r="F8" s="50" t="str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A9" s="50" t="str">
        <x:v>ABBYY Task Mining</x:v>
      </x:c>
      <x:c r="B9" s="50" t="str">
        <x:v>Commercial docs</x:v>
      </x:c>
      <x:c r="C9" s="50" t="str">
        <x:v>Screen snapshots, buttons clicked, text entered and task association.</x:v>
      </x:c>
      <x:c r="D9" s="50" t="str">
        <x:v>https://help.abbyy.com/en-us/timeline/6/user_guide/task-mining</x:v>
      </x:c>
      <x:c r="E9" s="50" t="str">
        <x:v>High</x:v>
      </x:c>
      <x:c r="F9" s="50" t="str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A10" s="50" t="str">
        <x:v>Screenpipe GitHub</x:v>
      </x:c>
      <x:c r="B10" s="50" t="str">
        <x:v>OSS/source-available</x:v>
      </x:c>
      <x:c r="C10" s="50" t="str">
        <x:v>Local screen/audio/activity memory, accessibility tree, OCR fallback, AI pipes.</x:v>
      </x:c>
      <x:c r="D10" s="50" t="str">
        <x:v>https://github.com/screenpipe/screenpipe</x:v>
      </x:c>
      <x:c r="E10" s="50" t="str">
        <x:v>High</x:v>
      </x:c>
      <x:c r="F10" s="50" t="str">
        <x:v>Commercial licence needed for commercial use.</x:v>
      </x:c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A11" s="50" t="str">
        <x:v>OpenAdapt Desktop GitHub</x:v>
      </x:c>
      <x:c r="B11" s="50" t="str">
        <x:v>OSS</x:v>
      </x:c>
      <x:c r="C11" s="50" t="str">
        <x:v>Record/compile/replay/repair/teach workflow capture concept.</x:v>
      </x:c>
      <x:c r="D11" s="50" t="str">
        <x:v>https://github.com/OpenAdaptAI/openadapt-desktop</x:v>
      </x:c>
      <x:c r="E11" s="50" t="str">
        <x:v>High</x:v>
      </x:c>
      <x:c r="F11" s="50" t="str">
        <x:v>Experimental product boundary.</x:v>
      </x:c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A12" s="50" t="str">
        <x:v>ActivityWatch GitHub</x:v>
      </x:c>
      <x:c r="B12" s="50" t="str">
        <x:v>OSS</x:v>
      </x:c>
      <x:c r="C12" s="50" t="str">
        <x:v>Active window/browser/AFK watcher model.</x:v>
      </x:c>
      <x:c r="D12" s="50" t="str">
        <x:v>https://github.com/ActivityWatch/activitywatch</x:v>
      </x:c>
      <x:c r="E12" s="50" t="str">
        <x:v>High</x:v>
      </x:c>
      <x:c r="F12" s="50" t="str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A13" s="50" t="str">
        <x:v>Claude-Mem GitHub</x:v>
      </x:c>
      <x:c r="B13" s="50" t="str">
        <x:v>OSS</x:v>
      </x:c>
      <x:c r="C13" s="50" t="str">
        <x:v>AI-agent memory architecture via hooks/worker/SQLite/FTS5.</x:v>
      </x:c>
      <x:c r="D13" s="50" t="str">
        <x:v>https://github.com/thedotmack/claude-mem</x:v>
      </x:c>
      <x:c r="E13" s="50" t="str">
        <x:v>High</x:v>
      </x:c>
      <x:c r="F13" s="50" t="str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A14" s="50" t="str">
        <x:v>Task Observer GitHub</x:v>
      </x:c>
      <x:c r="B14" s="50" t="str">
        <x:v>OSS/methodology</x:v>
      </x:c>
      <x:c r="C14" s="50" t="str">
        <x:v>Observation-to-skill-improvement methodology.</x:v>
      </x:c>
      <x:c r="D14" s="50" t="str">
        <x:v>https://github.com/rebelytics/one-skill-to-rule-them-all</x:v>
      </x:c>
      <x:c r="E14" s="50" t="str">
        <x:v>High</x:v>
      </x:c>
      <x:c r="F14" s="50" t="str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A15" s="50" t="str">
        <x:v>OpenAI Codex Hooks</x:v>
      </x:c>
      <x:c r="B15" s="50" t="str">
        <x:v>Official docs</x:v>
      </x:c>
      <x:c r="C15" s="50" t="str">
        <x:v>Codex lifecycle hook instrumentation.</x:v>
      </x:c>
      <x:c r="D15" s="50" t="str">
        <x:v>https://developers.openai.com/codex/hooks</x:v>
      </x:c>
      <x:c r="E15" s="50" t="str">
        <x:v>High</x:v>
      </x:c>
      <x:c r="F15" s="50" t="str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A16" s="50" t="str">
        <x:v>OpenAI Record &amp; Replay</x:v>
      </x:c>
      <x:c r="B16" s="50" t="str">
        <x:v>Official docs</x:v>
      </x:c>
      <x:c r="C16" s="50" t="str">
        <x:v>Demonstration-to-reusable-skill reference concept.</x:v>
      </x:c>
      <x:c r="D16" s="50" t="str">
        <x:v>https://developers.openai.com/codex/record-and-replay</x:v>
      </x:c>
      <x:c r="E16" s="50" t="str">
        <x:v>Medium</x:v>
      </x:c>
      <x:c r="F16" s="50" t="str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A17" s="50" t="str">
        <x:v>OpenTelemetry semantic conventions</x:v>
      </x:c>
      <x:c r="B17" s="50" t="str">
        <x:v>Official docs</x:v>
      </x:c>
      <x:c r="C17" s="50" t="str">
        <x:v>Standard trace/log/metric naming across platforms.</x:v>
      </x:c>
      <x:c r="D17" s="50" t="str">
        <x:v>https://opentelemetry.io/docs/concepts/semantic-conventions/</x:v>
      </x:c>
      <x:c r="E17" s="50" t="str">
        <x:v>High</x:v>
      </x:c>
      <x:c r="F17" s="50" t="str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A18" s="50" t="str">
        <x:v>OpenTelemetry GenAI conventions</x:v>
      </x:c>
      <x:c r="B18" s="50" t="str">
        <x:v>GitHub</x:v>
      </x:c>
      <x:c r="C18" s="50" t="str">
        <x:v>GenAI spans/metrics/events and MCP/provider conventions.</x:v>
      </x:c>
      <x:c r="D18" s="50" t="str">
        <x:v>https://github.com/open-telemetry/semantic-conventions-genai</x:v>
      </x:c>
      <x:c r="E18" s="50" t="str">
        <x:v>High</x:v>
      </x:c>
      <x:c r="F18" s="50" t="str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A19" s="50" t="str">
        <x:v>Spring microservices</x:v>
      </x:c>
      <x:c r="B19" s="50" t="str">
        <x:v>Official docs</x:v>
      </x:c>
      <x:c r="C19" s="50" t="str">
        <x:v>Spring Boot/Cloud for Java microservices.</x:v>
      </x:c>
      <x:c r="D19" s="50" t="str">
        <x:v>https://spring.io/microservices</x:v>
      </x:c>
      <x:c r="E19" s="50" t="str">
        <x:v>High</x:v>
      </x:c>
      <x:c r="F19" s="50" t="str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A20" s="50" t="str">
        <x:v>Spring Cloud compatibility</x:v>
      </x:c>
      <x:c r="B20" s="50" t="str">
        <x:v>Official docs</x:v>
      </x:c>
      <x:c r="C20" s="50" t="str">
        <x:v>Spring Boot and Spring Cloud release train compatibility.</x:v>
      </x:c>
      <x:c r="D20" s="50" t="str">
        <x:v>https://spring.io/projects/spring-cloud/</x:v>
      </x:c>
      <x:c r="E20" s="50" t="str">
        <x:v>Medium</x:v>
      </x:c>
      <x:c r="F20" s="50" t="str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A21" s="50" t="str">
        <x:v>Apache Kafka documentation</x:v>
      </x:c>
      <x:c r="B21" s="50" t="str">
        <x:v>Official docs</x:v>
      </x:c>
      <x:c r="C21" s="50" t="str">
        <x:v>Event streaming for event-driven microservices.</x:v>
      </x:c>
      <x:c r="D21" s="50" t="str">
        <x:v>https://kafka.apache.org/documentation/</x:v>
      </x:c>
      <x:c r="E21" s="50" t="str">
        <x:v>High</x:v>
      </x:c>
      <x:c r="F21" s="50" t="str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A22" s="50" t="str">
        <x:v>Open Policy Agent</x:v>
      </x:c>
      <x:c r="B22" s="50" t="str">
        <x:v>Official docs</x:v>
      </x:c>
      <x:c r="C22" s="50" t="str">
        <x:v>Policy-as-code for microservices, Kubernetes, CI/CD and APIs.</x:v>
      </x:c>
      <x:c r="D22" s="50" t="str">
        <x:v>https://www.openpolicyagent.org/docs</x:v>
      </x:c>
      <x:c r="E22" s="50" t="str">
        <x:v>High</x:v>
      </x:c>
      <x:c r="F22" s="50" t="str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A23" s="50" t="str">
        <x:v>Microsoft UI Automation</x:v>
      </x:c>
      <x:c r="B23" s="50" t="str">
        <x:v>Official docs</x:v>
      </x:c>
      <x:c r="C23" s="50" t="str">
        <x:v>Windows UI element tree and accessibility metadata.</x:v>
      </x:c>
      <x:c r="D23" s="50" t="str">
        <x:v>https://learn.microsoft.com/en-us/dotnet/framework/ui-automation/ui-automation-overview</x:v>
      </x:c>
      <x:c r="E23" s="50" t="str">
        <x:v>High</x:v>
      </x:c>
      <x:c r="F23" s="50" t="str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A24" s="50" t="str">
        <x:v>Microsoft Event Tracing for Windows</x:v>
      </x:c>
      <x:c r="B24" s="50" t="str">
        <x:v>Official docs</x:v>
      </x:c>
      <x:c r="C24" s="50" t="str">
        <x:v>Kernel/application event tracing.</x:v>
      </x:c>
      <x:c r="D24" s="50" t="str">
        <x:v>https://learn.microsoft.com/en-us/windows/win32/etw/about-event-tracing</x:v>
      </x:c>
      <x:c r="E24" s="50" t="str">
        <x:v>High</x:v>
      </x:c>
      <x:c r="F24" s="50" t="str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A25" s="50" t="str">
        <x:v>Microsoft SetWindowsHookEx</x:v>
      </x:c>
      <x:c r="B25" s="50" t="str">
        <x:v>Official docs</x:v>
      </x:c>
      <x:c r="C25" s="50" t="str">
        <x:v>Low-level mouse/keyboard hook capability and constraints.</x:v>
      </x:c>
      <x:c r="D25" s="50" t="str">
        <x:v>https://learn.microsoft.com/en-us/windows/win32/api/winuser/nf-winuser-setwindowshookexw</x:v>
      </x:c>
      <x:c r="E25" s="50" t="str">
        <x:v>High</x:v>
      </x:c>
      <x:c r="F25" s="50" t="str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A26" s="50" t="str">
        <x:v>Apple ScreenCaptureKit</x:v>
      </x:c>
      <x:c r="B26" s="50" t="str">
        <x:v>Official docs</x:v>
      </x:c>
      <x:c r="C26" s="50" t="str">
        <x:v>macOS screen/audio capture framework.</x:v>
      </x:c>
      <x:c r="D26" s="50" t="str">
        <x:v>https://developer.apple.com/documentation/screencapturekit</x:v>
      </x:c>
      <x:c r="E26" s="50" t="str">
        <x:v>High</x:v>
      </x:c>
      <x:c r="F26" s="50" t="str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A27" s="50" t="str">
        <x:v>Chrome tabs captureVisibleTab</x:v>
      </x:c>
      <x:c r="B27" s="50" t="str">
        <x:v>Official docs</x:v>
      </x:c>
      <x:c r="C27" s="50" t="str">
        <x:v>Browser visible tab capture limits and permissions.</x:v>
      </x:c>
      <x:c r="D27" s="50" t="str">
        <x:v>https://developer.chrome.com/docs/extensions/mv2/reference/tabs/</x:v>
      </x:c>
      <x:c r="E27" s="50" t="str">
        <x:v>Medium</x:v>
      </x:c>
      <x:c r="F27" s="50" t="str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A28" s="50" t="str">
        <x:v>UK worker monitoring GOV.UK</x:v>
      </x:c>
      <x:c r="B28" s="50" t="str">
        <x:v>Government</x:v>
      </x:c>
      <x:c r="C28" s="50" t="str">
        <x:v>Workplace monitoring notification and justification.</x:v>
      </x:c>
      <x:c r="D28" s="50" t="str">
        <x:v>https://www.gov.uk/data-protection-your-business/monitoring-staff-at-work</x:v>
      </x:c>
      <x:c r="E28" s="50" t="str">
        <x:v>High</x:v>
      </x:c>
      <x:c r="F28" s="50" t="str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A29" s="50" t="str">
        <x:v>ICO worker monitoring guidance</x:v>
      </x:c>
      <x:c r="B29" s="50" t="str">
        <x:v>Regulator</x:v>
      </x:c>
      <x:c r="C29" s="50" t="str">
        <x:v>DPIA, transparency, challenge, employment monitoring controls.</x:v>
      </x:c>
      <x:c r="D29" s="50" t="str">
        <x:v>https://ico.org.uk/for-organisations/uk-gdpr-guidance-and-resources/employment/monitoring-workers/data-protection-and-monitoring-workers/</x:v>
      </x:c>
      <x:c r="E29" s="50" t="str">
        <x:v>High</x:v>
      </x:c>
      <x:c r="F29" s="50" t="str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A30" s="50" t="str">
        <x:v>EU AI Act Annex III</x:v>
      </x:c>
      <x:c r="B30" s="50" t="str">
        <x:v>Regulatory</x:v>
      </x:c>
      <x:c r="C30" s="50" t="str">
        <x:v>High-risk employment/worker management AI categories.</x:v>
      </x:c>
      <x:c r="D30" s="50" t="str">
        <x:v>https://ai-act-service-desk.ec.europa.eu/en/ai-act/annex-3</x:v>
      </x:c>
      <x:c r="E30" s="50" t="str">
        <x:v>High</x:v>
      </x:c>
      <x:c r="F30" s="50" t="str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A31" s="50"/>
      <x:c r="B31" s="50"/>
      <x:c r="C31" s="50"/>
      <x:c r="D31" s="50"/>
      <x:c r="E31" s="50"/>
      <x:c r="F31" s="50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6b5231cb1a04dba"/>
  </x:tableParts>
</x:worksheet>
</file>