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5.xml" ContentType="application/vnd.openxmlformats-officedocument.spreadsheetml.table+xml"/>
  <Override PartName="/xl/worksheets/sheet14.xml" ContentType="application/vnd.openxmlformats-officedocument.spreadsheetml.worksheet+xml"/>
  <Override PartName="/xl/tables/table16.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drawings/drawing8.xml" ContentType="application/vnd.openxmlformats-officedocument.drawing+xml"/>
  <Override PartName="/xl/drawings/charts/chart8.xml" ContentType="application/vnd.openxmlformats-officedocument.drawingml.char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b152b56def4073" /></Relationships>
</file>

<file path=xl/workbook.xml><?xml version="1.0" encoding="utf-8"?>
<x:workbook xmlns:x="http://schemas.openxmlformats.org/spreadsheetml/2006/main">
  <x:sheets>
    <x:sheet xmlns:r="http://schemas.openxmlformats.org/officeDocument/2006/relationships" name="Index" sheetId="1" r:id="R7f4f9c9f20734b0e"/>
    <x:sheet xmlns:r="http://schemas.openxmlformats.org/officeDocument/2006/relationships" name="Executive Charter" sheetId="2" r:id="R22bdc547108a46fe"/>
    <x:sheet xmlns:r="http://schemas.openxmlformats.org/officeDocument/2006/relationships" name="Market Landscape" sheetId="3" r:id="Rcf446fb8b1a041a7"/>
    <x:sheet xmlns:r="http://schemas.openxmlformats.org/officeDocument/2006/relationships" name="GitHub OSS Scan" sheetId="4" r:id="R773863eb6a2f4423"/>
    <x:sheet xmlns:r="http://schemas.openxmlformats.org/officeDocument/2006/relationships" name="Gap Matrix" sheetId="5" r:id="R55097ed2394e4de6"/>
    <x:sheet xmlns:r="http://schemas.openxmlformats.org/officeDocument/2006/relationships" name="Delivery Stages" sheetId="6" r:id="R87f2e820be304d9e"/>
    <x:sheet xmlns:r="http://schemas.openxmlformats.org/officeDocument/2006/relationships" name="Microservices Map" sheetId="7" r:id="R4a7cd06c9a9f470d"/>
    <x:sheet xmlns:r="http://schemas.openxmlformats.org/officeDocument/2006/relationships" name="MVP Backlog" sheetId="8" r:id="Rad55968efd904edf"/>
    <x:sheet xmlns:r="http://schemas.openxmlformats.org/officeDocument/2006/relationships" name="Event Data Model" sheetId="9" r:id="R76cd4eba2d554ad8"/>
    <x:sheet xmlns:r="http://schemas.openxmlformats.org/officeDocument/2006/relationships" name="AI Capability System" sheetId="10" r:id="R7fd038103a5847eb"/>
    <x:sheet xmlns:r="http://schemas.openxmlformats.org/officeDocument/2006/relationships" name="Governance" sheetId="11" r:id="Rb442186f50e04db8"/>
    <x:sheet xmlns:r="http://schemas.openxmlformats.org/officeDocument/2006/relationships" name="Risk Register" sheetId="12" r:id="R504f6bc0535744e6"/>
    <x:sheet xmlns:r="http://schemas.openxmlformats.org/officeDocument/2006/relationships" name="KPI Dashboard" sheetId="13" r:id="R9a84492b82ad4740"/>
    <x:sheet xmlns:r="http://schemas.openxmlformats.org/officeDocument/2006/relationships" name="Source Register" sheetId="14" r:id="Rc8e4841c207944f7"/>
    <x:sheet xmlns:r="http://schemas.openxmlformats.org/officeDocument/2006/relationships" name="Master Prompts" sheetId="15" r:id="Rb046364196ce44cc"/>
    <x:sheet xmlns:r="http://schemas.openxmlformats.org/officeDocument/2006/relationships" name="Foundation Dashboard" sheetId="16" r:id="Rcb439732225c4180"/>
    <x:sheet xmlns:r="http://schemas.openxmlformats.org/officeDocument/2006/relationships" name="Stage 0-1 Workplan" sheetId="17" r:id="Re7d173f2023f4bd9"/>
    <x:sheet xmlns:r="http://schemas.openxmlformats.org/officeDocument/2006/relationships" name="Product Charter v1" sheetId="18" r:id="Rb3c4ad114acc4c0e"/>
    <x:sheet xmlns:r="http://schemas.openxmlformats.org/officeDocument/2006/relationships" name="Purpose Policy Matrix" sheetId="19" r:id="R119c6c5dc2e248e7"/>
    <x:sheet xmlns:r="http://schemas.openxmlformats.org/officeDocument/2006/relationships" name="Stakeholder RACI" sheetId="20" r:id="R6ef5d1b275ba493d"/>
    <x:sheet xmlns:r="http://schemas.openxmlformats.org/officeDocument/2006/relationships" name="Build Buy Decisions" sheetId="21" r:id="R4d5a8d252db4402f"/>
    <x:sheet xmlns:r="http://schemas.openxmlformats.org/officeDocument/2006/relationships" name="Reference Architecture" sheetId="22" r:id="R2ff87e49f9ae4b28"/>
    <x:sheet xmlns:r="http://schemas.openxmlformats.org/officeDocument/2006/relationships" name="Architecture Decisions" sheetId="23" r:id="R9ae2e14914284b06"/>
    <x:sheet xmlns:r="http://schemas.openxmlformats.org/officeDocument/2006/relationships" name="Stage 0-1 Gates" sheetId="24" r:id="R24a634b61ebc4efd"/>
    <x:sheet xmlns:r="http://schemas.openxmlformats.org/officeDocument/2006/relationships" name="Assumptions Questions" sheetId="25" r:id="R8f8ff79eebed4074"/>
    <x:sheet xmlns:r="http://schemas.openxmlformats.org/officeDocument/2006/relationships" name="Foundation Threats" sheetId="26" r:id="Rf5493c4bffc74884"/>
    <x:sheet xmlns:r="http://schemas.openxmlformats.org/officeDocument/2006/relationships" name="Pilot Definition" sheetId="27" r:id="Rd56964c7c78d4cbf"/>
    <x:sheet xmlns:r="http://schemas.openxmlformats.org/officeDocument/2006/relationships" name="Stage 2-3 Dashboard" sheetId="28" r:id="R0f3073621e114f54"/>
    <x:sheet xmlns:r="http://schemas.openxmlformats.org/officeDocument/2006/relationships" name="Ontology Overview" sheetId="29" r:id="Rbe578c4c39884611"/>
    <x:sheet xmlns:r="http://schemas.openxmlformats.org/officeDocument/2006/relationships" name="Entity Dictionary" sheetId="30" r:id="R8ac5439a37264fd1"/>
    <x:sheet xmlns:r="http://schemas.openxmlformats.org/officeDocument/2006/relationships" name="Relationship Model" sheetId="31" r:id="Rdd068c341bbd444d"/>
    <x:sheet xmlns:r="http://schemas.openxmlformats.org/officeDocument/2006/relationships" name="Capability-Level Rubric" sheetId="32" r:id="R567332cf728c4e2c"/>
    <x:sheet xmlns:r="http://schemas.openxmlformats.org/officeDocument/2006/relationships" name="Role Templates" sheetId="33" r:id="Rece8972a685040be"/>
    <x:sheet xmlns:r="http://schemas.openxmlformats.org/officeDocument/2006/relationships" name="Task Contract Templates" sheetId="34" r:id="Ref9661894aaa405e"/>
    <x:sheet xmlns:r="http://schemas.openxmlformats.org/officeDocument/2006/relationships" name="Evidence Scoring" sheetId="35" r:id="Re8f324d8ae20406b"/>
    <x:sheet xmlns:r="http://schemas.openxmlformats.org/officeDocument/2006/relationships" name="Worked Examples" sheetId="36" r:id="Rc4918dabc3ce4794"/>
    <x:sheet xmlns:r="http://schemas.openxmlformats.org/officeDocument/2006/relationships" name="APIs and Events" sheetId="37" r:id="R1ba42ca124b341e1"/>
    <x:sheet xmlns:r="http://schemas.openxmlformats.org/officeDocument/2006/relationships" name="Stage 2 Backlog" sheetId="38" r:id="R934d49366e6e459b"/>
    <x:sheet xmlns:r="http://schemas.openxmlformats.org/officeDocument/2006/relationships" name="Stage 2 Risks" sheetId="39" r:id="R217071aba0c04ce1"/>
    <x:sheet xmlns:r="http://schemas.openxmlformats.org/officeDocument/2006/relationships" name="Stage 2 Decisions" sheetId="40" r:id="R607a3a37a0ec4aec"/>
    <x:sheet xmlns:r="http://schemas.openxmlformats.org/officeDocument/2006/relationships" name="Stage 2 Gate" sheetId="41" r:id="Rfb6c350c11d74f4c"/>
    <x:sheet xmlns:r="http://schemas.openxmlformats.org/officeDocument/2006/relationships" name="Stage 2 Sources" sheetId="42" r:id="Rc7b780d852b746ad"/>
    <x:sheet xmlns:r="http://schemas.openxmlformats.org/officeDocument/2006/relationships" name="Agent Architecture" sheetId="43" r:id="R78cf053856524ba9"/>
    <x:sheet xmlns:r="http://schemas.openxmlformats.org/officeDocument/2006/relationships" name="OS Capability Matrix" sheetId="44" r:id="Rf7e005a07974490b"/>
    <x:sheet xmlns:r="http://schemas.openxmlformats.org/officeDocument/2006/relationships" name="Agent Module Specification" sheetId="45" r:id="R4528afd8873543b5"/>
    <x:sheet xmlns:r="http://schemas.openxmlformats.org/officeDocument/2006/relationships" name="Session State Machine" sheetId="46" r:id="Rcbab79b69c0741bd"/>
    <x:sheet xmlns:r="http://schemas.openxmlformats.org/officeDocument/2006/relationships" name="Device Identity and Key Model" sheetId="47" r:id="Rf2318c05fda14dea"/>
    <x:sheet xmlns:r="http://schemas.openxmlformats.org/officeDocument/2006/relationships" name="Policy Bundle" sheetId="48" r:id="Rc88a26f6d569440a"/>
    <x:sheet xmlns:r="http://schemas.openxmlformats.org/officeDocument/2006/relationships" name="Local Storage Model" sheetId="49" r:id="R03348bd2b44b471f"/>
    <x:sheet xmlns:r="http://schemas.openxmlformats.org/officeDocument/2006/relationships" name="Event and API Contracts" sheetId="50" r:id="R0eb13cfc40c446ad"/>
    <x:sheet xmlns:r="http://schemas.openxmlformats.org/officeDocument/2006/relationships" name="Technical Spikes" sheetId="51" r:id="Ra29e6b63cb3d4ad4"/>
    <x:sheet xmlns:r="http://schemas.openxmlformats.org/officeDocument/2006/relationships" name="Performance Budgets" sheetId="52" r:id="R1b903096f3284bfa"/>
    <x:sheet xmlns:r="http://schemas.openxmlformats.org/officeDocument/2006/relationships" name="Stage 3 Threat Model" sheetId="53" r:id="R692a356d1b084057"/>
    <x:sheet xmlns:r="http://schemas.openxmlformats.org/officeDocument/2006/relationships" name="Test Matrix" sheetId="54" r:id="R84c6584c734741b5"/>
    <x:sheet xmlns:r="http://schemas.openxmlformats.org/officeDocument/2006/relationships" name="Repository and CI/CD Plan" sheetId="55" r:id="R4bf80af1e0c14814"/>
    <x:sheet xmlns:r="http://schemas.openxmlformats.org/officeDocument/2006/relationships" name="Stage 3 Backlog" sheetId="56" r:id="R479093dba9c8445e"/>
    <x:sheet xmlns:r="http://schemas.openxmlformats.org/officeDocument/2006/relationships" name="Stage 3 ADRs" sheetId="57" r:id="R3573c21c339f4c58"/>
    <x:sheet xmlns:r="http://schemas.openxmlformats.org/officeDocument/2006/relationships" name="Stage 3 Gate" sheetId="58" r:id="Redcf93a7cbd6461b"/>
    <x:sheet xmlns:r="http://schemas.openxmlformats.org/officeDocument/2006/relationships" name="Stage 3 Sources" sheetId="59" r:id="Rf2ff9ac417304435"/>
    <x:sheet xmlns:r="http://schemas.openxmlformats.org/officeDocument/2006/relationships" name="Stage 4-5 Dashboard" sheetId="60" r:id="Rf4463b2bbef74714"/>
    <x:sheet xmlns:r="http://schemas.openxmlformats.org/officeDocument/2006/relationships" name="Stage 4 Architecture" sheetId="61" r:id="Rb4d26a46da3b4896"/>
    <x:sheet xmlns:r="http://schemas.openxmlformats.org/officeDocument/2006/relationships" name="Batch Contract" sheetId="62" r:id="R8fe7d747d40f45b0"/>
    <x:sheet xmlns:r="http://schemas.openxmlformats.org/officeDocument/2006/relationships" name="Event Topics" sheetId="63" r:id="R21189b7a9c9b4cde"/>
    <x:sheet xmlns:r="http://schemas.openxmlformats.org/officeDocument/2006/relationships" name="Evidence Storage Model" sheetId="64" r:id="Rfbdb2c837be04fbd"/>
    <x:sheet xmlns:r="http://schemas.openxmlformats.org/officeDocument/2006/relationships" name="Ingestion APIs" sheetId="65" r:id="R54d16653cd6d4965"/>
    <x:sheet xmlns:r="http://schemas.openxmlformats.org/officeDocument/2006/relationships" name="Replay and Timeline Semantics" sheetId="66" r:id="R08626fa38ae64e9f"/>
    <x:sheet xmlns:r="http://schemas.openxmlformats.org/officeDocument/2006/relationships" name="Retention and Access Controls" sheetId="67" r:id="Rfb32db8013ce4e7a"/>
    <x:sheet xmlns:r="http://schemas.openxmlformats.org/officeDocument/2006/relationships" name="Stage 4 Backlog" sheetId="68" r:id="Rede2de023d69426f"/>
    <x:sheet xmlns:r="http://schemas.openxmlformats.org/officeDocument/2006/relationships" name="Stage 4 Risks" sheetId="69" r:id="R30d066aabdb14a88"/>
    <x:sheet xmlns:r="http://schemas.openxmlformats.org/officeDocument/2006/relationships" name="Stage 4 ADRs" sheetId="70" r:id="R8a4d8bb78ca848d7"/>
    <x:sheet xmlns:r="http://schemas.openxmlformats.org/officeDocument/2006/relationships" name="Stage 4 Gate" sheetId="71" r:id="R2afc16f4b3074f2d"/>
    <x:sheet xmlns:r="http://schemas.openxmlformats.org/officeDocument/2006/relationships" name="Stage 4 Sources" sheetId="72" r:id="R15ea181ba9d14380"/>
    <x:sheet xmlns:r="http://schemas.openxmlformats.org/officeDocument/2006/relationships" name="Capture MVP Scope" sheetId="73" r:id="R1b34ef2b65fb4f2d"/>
    <x:sheet xmlns:r="http://schemas.openxmlformats.org/officeDocument/2006/relationships" name="Sensor Specifications" sheetId="74" r:id="R01ef087ddc7f4e0d"/>
    <x:sheet xmlns:r="http://schemas.openxmlformats.org/officeDocument/2006/relationships" name="Visual State Model" sheetId="75" r:id="R9ab8ded3d015415b"/>
    <x:sheet xmlns:r="http://schemas.openxmlformats.org/officeDocument/2006/relationships" name="Input and Text Model" sheetId="76" r:id="R4ba2279008d74867"/>
    <x:sheet xmlns:r="http://schemas.openxmlformats.org/officeDocument/2006/relationships" name="Idle and Automation Model" sheetId="77" r:id="R9702e4ccbb0b4cd3"/>
    <x:sheet xmlns:r="http://schemas.openxmlformats.org/officeDocument/2006/relationships" name="Privacy Redaction Tests" sheetId="78" r:id="R997f10d659c54ebe"/>
    <x:sheet xmlns:r="http://schemas.openxmlformats.org/officeDocument/2006/relationships" name="Supported Environment Matrix" sheetId="79" r:id="Raa11a90bb9de42a6"/>
    <x:sheet xmlns:r="http://schemas.openxmlformats.org/officeDocument/2006/relationships" name="Capture Event Contracts" sheetId="80" r:id="R195f84e5a237416c"/>
    <x:sheet xmlns:r="http://schemas.openxmlformats.org/officeDocument/2006/relationships" name="Stage 5 Backlog" sheetId="81" r:id="R7552053330dd4aa6"/>
    <x:sheet xmlns:r="http://schemas.openxmlformats.org/officeDocument/2006/relationships" name="Stage 5 Risks" sheetId="82" r:id="Rc2f646044f5f4440"/>
    <x:sheet xmlns:r="http://schemas.openxmlformats.org/officeDocument/2006/relationships" name="Stage 5 ADRs" sheetId="83" r:id="Raea6ee8007774bd5"/>
    <x:sheet xmlns:r="http://schemas.openxmlformats.org/officeDocument/2006/relationships" name="Stage 5 Gate" sheetId="84" r:id="R0efe2761ffab4720"/>
    <x:sheet xmlns:r="http://schemas.openxmlformats.org/officeDocument/2006/relationships" name="Stage 5 Sources" sheetId="85" r:id="Rd8822ed6439346b1"/>
    <x:sheet xmlns:r="http://schemas.openxmlformats.org/officeDocument/2006/relationships" name="Stage 6-7 Dashboard" sheetId="86" r:id="Re131af621b714f57"/>
    <x:sheet xmlns:r="http://schemas.openxmlformats.org/officeDocument/2006/relationships" name="Semantic Adapter Architecture" sheetId="87" r:id="Ra53a11f0308f4e01"/>
    <x:sheet xmlns:r="http://schemas.openxmlformats.org/officeDocument/2006/relationships" name="Adapter SDK Contract" sheetId="88" r:id="R141153add9a04570"/>
    <x:sheet xmlns:r="http://schemas.openxmlformats.org/officeDocument/2006/relationships" name="Provider Event Matrix" sheetId="89" r:id="Rd9d1b977a5554fba"/>
    <x:sheet xmlns:r="http://schemas.openxmlformats.org/officeDocument/2006/relationships" name="Browser Adapter" sheetId="90" r:id="R01f7eb8e054849ab"/>
    <x:sheet xmlns:r="http://schemas.openxmlformats.org/officeDocument/2006/relationships" name="Shell and Process Adapter" sheetId="91" r:id="R4a6c75f401db4329"/>
    <x:sheet xmlns:r="http://schemas.openxmlformats.org/officeDocument/2006/relationships" name="Git CI and IDE Adapters" sheetId="92" r:id="R6b9ca09be09849a1"/>
    <x:sheet xmlns:r="http://schemas.openxmlformats.org/officeDocument/2006/relationships" name="AI Agent Adapter Hub" sheetId="93" r:id="R8bea8301762f47f2"/>
    <x:sheet xmlns:r="http://schemas.openxmlformats.org/officeDocument/2006/relationships" name="Adapter Conformance Tests" sheetId="94" r:id="R8b0381a3f0b14286"/>
    <x:sheet xmlns:r="http://schemas.openxmlformats.org/officeDocument/2006/relationships" name="Provenance Graph Model" sheetId="95" r:id="Rd8bb325eb3244eb4"/>
    <x:sheet xmlns:r="http://schemas.openxmlformats.org/officeDocument/2006/relationships" name="Provenance Relationship Rules" sheetId="96" r:id="R5c4d8849650e4189"/>
    <x:sheet xmlns:r="http://schemas.openxmlformats.org/officeDocument/2006/relationships" name="Correlation Engine" sheetId="97" r:id="Rbf557c47e232497d"/>
    <x:sheet xmlns:r="http://schemas.openxmlformats.org/officeDocument/2006/relationships" name="Work Episode Model" sheetId="98" r:id="R991eb64484a24f9d"/>
    <x:sheet xmlns:r="http://schemas.openxmlformats.org/officeDocument/2006/relationships" name="Task Alignment Model" sheetId="99" r:id="Rb5197fd28b4244e6"/>
    <x:sheet xmlns:r="http://schemas.openxmlformats.org/officeDocument/2006/relationships" name="Acceptance Criteria Engine" sheetId="100" r:id="R79b5a68b0b694261"/>
    <x:sheet xmlns:r="http://schemas.openxmlformats.org/officeDocument/2006/relationships" name="Quality and Blocker Model" sheetId="101" r:id="Rd2438aa0dd0f4edb"/>
    <x:sheet xmlns:r="http://schemas.openxmlformats.org/officeDocument/2006/relationships" name="Evaluator Architecture" sheetId="102" r:id="R3875a970d611475f"/>
    <x:sheet xmlns:r="http://schemas.openxmlformats.org/officeDocument/2006/relationships" name="Evaluation Dataset" sheetId="103" r:id="R41d7d95b0c7a4bab"/>
    <x:sheet xmlns:r="http://schemas.openxmlformats.org/officeDocument/2006/relationships" name="Human Review and Correction" sheetId="104" r:id="R13e08e77e10b4b1b"/>
    <x:sheet xmlns:r="http://schemas.openxmlformats.org/officeDocument/2006/relationships" name="Stage 6-7 APIs and Events" sheetId="105" r:id="Rced221f54e0d4a0e"/>
    <x:sheet xmlns:r="http://schemas.openxmlformats.org/officeDocument/2006/relationships" name="Stage 6 Backlog" sheetId="106" r:id="R680c6223bc7a415f"/>
    <x:sheet xmlns:r="http://schemas.openxmlformats.org/officeDocument/2006/relationships" name="Stage 7 Backlog" sheetId="107" r:id="Rc87661c4c09645bd"/>
    <x:sheet xmlns:r="http://schemas.openxmlformats.org/officeDocument/2006/relationships" name="Stage 6-7 Risks" sheetId="108" r:id="R3987295e315b4fa7"/>
    <x:sheet xmlns:r="http://schemas.openxmlformats.org/officeDocument/2006/relationships" name="Stage 6-7 ADRs" sheetId="109" r:id="R94c9881a76324693"/>
    <x:sheet xmlns:r="http://schemas.openxmlformats.org/officeDocument/2006/relationships" name="Stage 6 Gate" sheetId="110" r:id="Rcca2143f4238457d"/>
    <x:sheet xmlns:r="http://schemas.openxmlformats.org/officeDocument/2006/relationships" name="Stage 7 Gate" sheetId="111" r:id="Rc2680fb5faf846d4"/>
    <x:sheet xmlns:r="http://schemas.openxmlformats.org/officeDocument/2006/relationships" name="Stage 6-7 Sources" sheetId="112" r:id="R90fc3c5150944b8b"/>
    <x:sheet xmlns:r="http://schemas.openxmlformats.org/officeDocument/2006/relationships" name="Stage 8-9 Dashboard" sheetId="113" r:id="R02a434d328374ab6"/>
    <x:sheet xmlns:r="http://schemas.openxmlformats.org/officeDocument/2006/relationships" name="Capability Graph Architecture" sheetId="114" r:id="R999f3f3ccbd44238"/>
    <x:sheet xmlns:r="http://schemas.openxmlformats.org/officeDocument/2006/relationships" name="Capability Evidence Model" sheetId="115" r:id="R8ff84567e4a04d0f"/>
    <x:sheet xmlns:r="http://schemas.openxmlformats.org/officeDocument/2006/relationships" name="Capability Scoring Model" sheetId="116" r:id="R7d56171cc9ee4fad"/>
    <x:sheet xmlns:r="http://schemas.openxmlformats.org/officeDocument/2006/relationships" name="Claim Discrepancy Workflow" sheetId="117" r:id="Rf0554d40b7844d49"/>
    <x:sheet xmlns:r="http://schemas.openxmlformats.org/officeDocument/2006/relationships" name="Baseline Assessment Model" sheetId="118" r:id="Rb1e0677e0ee74d3f"/>
    <x:sheet xmlns:r="http://schemas.openxmlformats.org/officeDocument/2006/relationships" name="Role Readiness Model" sheetId="119" r:id="R7e269f86950849f5"/>
    <x:sheet xmlns:r="http://schemas.openxmlformats.org/officeDocument/2006/relationships" name="Capability Review and Audit" sheetId="120" r:id="Rd3d3ae5c53cc4750"/>
    <x:sheet xmlns:r="http://schemas.openxmlformats.org/officeDocument/2006/relationships" name="Growth Coach Architecture" sheetId="121" r:id="Rff3a5844b10e4051"/>
    <x:sheet xmlns:r="http://schemas.openxmlformats.org/officeDocument/2006/relationships" name="Coaching Modes and Triggers" sheetId="122" r:id="R8c4f22d61ecb451e"/>
    <x:sheet xmlns:r="http://schemas.openxmlformats.org/officeDocument/2006/relationships" name="Intervention Policy" sheetId="123" r:id="R4c02deabcf46419d"/>
    <x:sheet xmlns:r="http://schemas.openxmlformats.org/officeDocument/2006/relationships" name="Learning Loop Model" sheetId="124" r:id="R983addf7d3234516"/>
    <x:sheet xmlns:r="http://schemas.openxmlformats.org/officeDocument/2006/relationships" name="Learning Artefacts" sheetId="125" r:id="R19701f8b0fb34c02"/>
    <x:sheet xmlns:r="http://schemas.openxmlformats.org/officeDocument/2006/relationships" name="Coaching Effectiveness Metrics" sheetId="126" r:id="R69c01bd7fed0443f"/>
    <x:sheet xmlns:r="http://schemas.openxmlformats.org/officeDocument/2006/relationships" name="Manager and L&amp;D Reporting" sheetId="127" r:id="R018ae6875d7f451b"/>
    <x:sheet xmlns:r="http://schemas.openxmlformats.org/officeDocument/2006/relationships" name="Stage 8-9 APIs and Events" sheetId="128" r:id="R82317eee9b214631"/>
    <x:sheet xmlns:r="http://schemas.openxmlformats.org/officeDocument/2006/relationships" name="Stage 8 Backlog" sheetId="129" r:id="Re4f088d5c17147df"/>
    <x:sheet xmlns:r="http://schemas.openxmlformats.org/officeDocument/2006/relationships" name="Stage 9 Backlog" sheetId="130" r:id="R25c5082c3c174ee9"/>
    <x:sheet xmlns:r="http://schemas.openxmlformats.org/officeDocument/2006/relationships" name="Stage 8-9 Risks" sheetId="131" r:id="Rc56f630705244511"/>
    <x:sheet xmlns:r="http://schemas.openxmlformats.org/officeDocument/2006/relationships" name="Stage 8-9 ADRs" sheetId="132" r:id="R3211a2330c8d4131"/>
    <x:sheet xmlns:r="http://schemas.openxmlformats.org/officeDocument/2006/relationships" name="Stage 8 Gate" sheetId="133" r:id="Rb0c318547bfd4e53"/>
    <x:sheet xmlns:r="http://schemas.openxmlformats.org/officeDocument/2006/relationships" name="Stage 9 Gate" sheetId="134" r:id="R1217a9ca8d164de7"/>
    <x:sheet xmlns:r="http://schemas.openxmlformats.org/officeDocument/2006/relationships" name="Stage 8-9 Sources" sheetId="135" r:id="Rdc339ee9d49e40bc"/>
    <x:sheet xmlns:r="http://schemas.openxmlformats.org/officeDocument/2006/relationships" name="Stage 10-11 Dashboard" sheetId="136" r:id="R000fb17dd6244211"/>
    <x:sheet xmlns:r="http://schemas.openxmlformats.org/officeDocument/2006/relationships" name="Experience Architecture" sheetId="137" r:id="R3ce91ae4760040d8"/>
    <x:sheet xmlns:r="http://schemas.openxmlformats.org/officeDocument/2006/relationships" name="Employee Workspace" sheetId="138" r:id="R4594812059564672"/>
    <x:sheet xmlns:r="http://schemas.openxmlformats.org/officeDocument/2006/relationships" name="Manager Console" sheetId="139" r:id="R93827f1540e84dbc"/>
    <x:sheet xmlns:r="http://schemas.openxmlformats.org/officeDocument/2006/relationships" name="Review and Governance Console" sheetId="140" r:id="Ra9c907adfd1748f6"/>
    <x:sheet xmlns:r="http://schemas.openxmlformats.org/officeDocument/2006/relationships" name="Capability Character UX" sheetId="141" r:id="Rc43c297e90614fc1"/>
    <x:sheet xmlns:r="http://schemas.openxmlformats.org/officeDocument/2006/relationships" name="Evidence Timeline UX" sheetId="142" r:id="R62d895ae2fb74c65"/>
    <x:sheet xmlns:r="http://schemas.openxmlformats.org/officeDocument/2006/relationships" name="Coaching and Learning UX" sheetId="143" r:id="Rc192e81dda664f57"/>
    <x:sheet xmlns:r="http://schemas.openxmlformats.org/officeDocument/2006/relationships" name="Notification and Interaction Model" sheetId="144" r:id="R88e0be30fa284b97"/>
    <x:sheet xmlns:r="http://schemas.openxmlformats.org/officeDocument/2006/relationships" name="Access and Privacy UX" sheetId="145" r:id="R4ce150df2acc4953"/>
    <x:sheet xmlns:r="http://schemas.openxmlformats.org/officeDocument/2006/relationships" name="Reporting Read Models" sheetId="146" r:id="Rf1329f5665c141ab"/>
    <x:sheet xmlns:r="http://schemas.openxmlformats.org/officeDocument/2006/relationships" name="User Journeys and Acceptance Tests" sheetId="147" r:id="R9419f26410d74e42"/>
    <x:sheet xmlns:r="http://schemas.openxmlformats.org/officeDocument/2006/relationships" name="Skill Forge Architecture" sheetId="148" r:id="R610161df8b7544bf"/>
    <x:sheet xmlns:r="http://schemas.openxmlformats.org/officeDocument/2006/relationships" name="Skill Observation Model" sheetId="149" r:id="Ra5c72931fc8e4af6"/>
    <x:sheet xmlns:r="http://schemas.openxmlformats.org/officeDocument/2006/relationships" name="Skill Package Contract" sheetId="150" r:id="R1fc2ea6bb2454673"/>
    <x:sheet xmlns:r="http://schemas.openxmlformats.org/officeDocument/2006/relationships" name="Skill Lifecycle" sheetId="151" r:id="Rfd9ad5ef70324b00"/>
    <x:sheet xmlns:r="http://schemas.openxmlformats.org/officeDocument/2006/relationships" name="Skill Proposal and Evaluation" sheetId="152" r:id="Rf099679ddf8e491a"/>
    <x:sheet xmlns:r="http://schemas.openxmlformats.org/officeDocument/2006/relationships" name="Skill Security and Confidentiality" sheetId="153" r:id="R31773d62274d49a1"/>
    <x:sheet xmlns:r="http://schemas.openxmlformats.org/officeDocument/2006/relationships" name="Research and Source Governance" sheetId="154" r:id="R68045376b5404945"/>
    <x:sheet xmlns:r="http://schemas.openxmlformats.org/officeDocument/2006/relationships" name="Canary Promotion and Rollback" sheetId="155" r:id="R39005efa4dbb4ef1"/>
    <x:sheet xmlns:r="http://schemas.openxmlformats.org/officeDocument/2006/relationships" name="Stage 10-11 APIs and Events" sheetId="156" r:id="R72550edf325a458a"/>
    <x:sheet xmlns:r="http://schemas.openxmlformats.org/officeDocument/2006/relationships" name="Stage 10 Backlog" sheetId="157" r:id="Rc18571eabcd84cf9"/>
    <x:sheet xmlns:r="http://schemas.openxmlformats.org/officeDocument/2006/relationships" name="Stage 11 Backlog" sheetId="158" r:id="Rc5c01c78760c42f8"/>
    <x:sheet xmlns:r="http://schemas.openxmlformats.org/officeDocument/2006/relationships" name="Stage 10-11 Risks" sheetId="159" r:id="R0ed4687f88944874"/>
    <x:sheet xmlns:r="http://schemas.openxmlformats.org/officeDocument/2006/relationships" name="Stage 10-11 ADRs" sheetId="160" r:id="Rc226f2763ab24e43"/>
    <x:sheet xmlns:r="http://schemas.openxmlformats.org/officeDocument/2006/relationships" name="Stage 10 Gate" sheetId="161" r:id="Rf2210adaada04941"/>
    <x:sheet xmlns:r="http://schemas.openxmlformats.org/officeDocument/2006/relationships" name="Stage 11 Gate" sheetId="162" r:id="R7788cde51c794f01"/>
    <x:sheet xmlns:r="http://schemas.openxmlformats.org/officeDocument/2006/relationships" name="Stage 10-11 Sources" sheetId="163" r:id="R2f91822f5dce45b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
    <x:numFmt numFmtId="203" formatCode="dd-mmm-yyyy"/>
    <x:numFmt numFmtId="204" formatCode="0.00"/>
  </x:numFmts>
  <x:fonts count="19">
    <x:font>
      <x:sz val="11"/>
      <x:name val="Carlito"/>
    </x:font>
    <x:font>
      <x:b/>
      <x:sz val="16"/>
      <x:color rgb="FFFFFFFF"/>
      <x:name val="Carlito"/>
    </x:font>
    <x:font>
      <x:sz val="11"/>
      <x:color rgb="FF111827"/>
      <x:name val="Carlito"/>
    </x:font>
    <x:font>
      <x:b/>
      <x:sz val="11"/>
      <x:color rgb="FFFFFFFF"/>
      <x:name val="Carlito"/>
    </x:font>
    <x:font>
      <x:b/>
      <x:sz val="12"/>
      <x:color rgb="FFFFFFFF"/>
      <x:name val="Carlito"/>
    </x:font>
    <x:font>
      <x:b/>
      <x:sz val="10"/>
      <x:color rgb="FFFFFFFF"/>
      <x:name val="Calibri"/>
    </x:font>
    <x:font>
      <x:sz val="10"/>
      <x:name val="Calibri"/>
    </x:font>
    <x:font>
      <x:sz val="10"/>
      <x:color rgb="FF111827"/>
      <x:name val="Calibri"/>
    </x:font>
    <x:font>
      <x:b/>
      <x:sz val="16"/>
      <x:color rgb="FFFFFFFF"/>
      <x:name val="Calibri"/>
    </x:font>
    <x:font>
      <x:b/>
      <x:sz val="18"/>
      <x:color rgb="FFFFFFFF"/>
      <x:name val="Carlito"/>
    </x:font>
    <x:font>
      <x:i/>
      <x:sz val="10"/>
      <x:color rgb="FF1F1F1F"/>
      <x:name val="Carlito"/>
    </x:font>
    <x:font>
      <x:b/>
      <x:sz val="10"/>
      <x:color rgb="FFFFFFFF"/>
      <x:name val="Carlito"/>
    </x:font>
    <x:font>
      <x:sz val="9"/>
      <x:color rgb="FF1F1F1F"/>
      <x:name val="Carlito"/>
    </x:font>
    <x:font>
      <x:b/>
      <x:sz val="13"/>
      <x:color rgb="FFFFFFFF"/>
      <x:name val="Carlito"/>
    </x:font>
    <x:font>
      <x:b/>
      <x:sz val="18"/>
      <x:color rgb="FFFFFFFF"/>
      <x:name val="Calibri"/>
    </x:font>
    <x:font>
      <x:i/>
      <x:sz val="10"/>
      <x:color rgb="FF1F1F1F"/>
      <x:name val="Calibri"/>
    </x:font>
    <x:font>
      <x:sz val="9"/>
      <x:color rgb="FF1F1F1F"/>
      <x:name val="Calibri"/>
    </x:font>
    <x:font>
      <x:b/>
      <x:sz val="9"/>
      <x:color rgb="FF1F1F1F"/>
      <x:name val="Calibri"/>
    </x:font>
    <x:font>
      <x:b/>
      <x:sz val="12"/>
      <x:color rgb="FFFFFFFF"/>
      <x:name val="Calibri"/>
    </x:font>
  </x:fonts>
  <x:fills count="41">
    <x:fill>
      <x:patternFill patternType="none"/>
    </x:fill>
    <x:fill>
      <x:patternFill patternType="gray125"/>
    </x:fill>
    <x:fill>
      <x:patternFill patternType="solid">
        <x:fgColor rgb="FF0B1F3A"/>
      </x:patternFill>
    </x:fill>
    <x:fill>
      <x:patternFill patternType="solid">
        <x:fgColor rgb="FFF3F4F6"/>
      </x:patternFill>
    </x:fill>
    <x:fill>
      <x:patternFill patternType="solid">
        <x:fgColor rgb="FF1D4ED8"/>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s>
  <x:borders count="78">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9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4" fillId="4"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horizontal="lef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0" borderId="1" xfId="0" applyNumberFormat="1" applyFont="1" applyFill="1" applyBorder="1" applyAlignment="1">
      <x:alignment wrapText="1"/>
    </x:xf>
    <x:xf numFmtId="0" fontId="5" fillId="4" borderId="1" xfId="0" applyNumberFormat="1" applyFont="1" applyFill="1" applyBorder="1" applyAlignment="1">
      <x:alignment horizontal="left" vertical="center" wrapText="1"/>
    </x:xf>
    <x:xf numFmtId="200"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0" fontId="6" fillId="0" borderId="1" xfId="0" applyNumberFormat="1" applyFont="1" applyFill="1" applyBorder="1" applyAlignment="1">
      <x:alignment wrapText="1"/>
    </x:xf>
    <x:xf numFmtId="201" fontId="6" fillId="0" borderId="1" xfId="0" applyNumberFormat="1" applyFont="1" applyFill="1" applyBorder="1" applyAlignment="1">
      <x:alignment wrapText="1"/>
    </x:xf>
    <x:xf numFmtId="0" fontId="5" fillId="4" borderId="0" xfId="0" applyNumberFormat="1" applyFont="1" applyFill="1" applyBorder="1" applyAlignment="1">
      <x:alignment horizontal="left" vertical="center"/>
    </x:xf>
    <x:xf numFmtId="0" fontId="5" fillId="4" borderId="1" xfId="0" applyNumberFormat="1" applyFont="1" applyFill="1" applyBorder="1" applyAlignment="1">
      <x:alignment horizontal="left" vertical="center"/>
    </x:xf>
    <x:xf numFmtId="0" fontId="8" fillId="2" borderId="0" xfId="0" applyNumberFormat="1" applyFont="1" applyFill="1" applyBorder="1" applyAlignment="1">
      <x:alignment horizontal="center" vertical="center"/>
    </x:xf>
    <x:xf numFmtId="0" fontId="8" fillId="0" borderId="0" xfId="0" applyNumberFormat="1" applyFont="1" applyFill="1" applyBorder="1"/>
    <x:xf numFmtId="0" fontId="8" fillId="2" borderId="1" xfId="0" applyNumberFormat="1" applyFont="1" applyFill="1" applyBorder="1" applyAlignment="1">
      <x:alignment horizontal="center" vertical="center"/>
    </x:xf>
    <x:xf numFmtId="0" fontId="8" fillId="0"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left"/>
    </x:xf>
    <x:xf numFmtId="0" fontId="9" fillId="5" borderId="0" xfId="0" applyNumberFormat="1" applyFont="1" applyFill="1" applyBorder="1" applyAlignment="1">
      <x:alignment horizontal="lef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2" xfId="0" applyNumberFormat="1" applyFont="1" applyFill="1" applyBorder="1"/>
    <x:xf numFmtId="0" fontId="11" fillId="7" borderId="3" xfId="0" applyNumberFormat="1" applyFont="1" applyFill="1" applyBorder="1"/>
    <x:xf numFmtId="0" fontId="11" fillId="7" borderId="4" xfId="0" applyNumberFormat="1" applyFont="1" applyFill="1" applyBorder="1"/>
    <x:xf numFmtId="0" fontId="11" fillId="7" borderId="2" xfId="0" applyNumberFormat="1" applyFont="1" applyFill="1" applyBorder="1" applyAlignment="1">
      <x:alignment wrapText="1"/>
    </x:xf>
    <x:xf numFmtId="0" fontId="11" fillId="7" borderId="3" xfId="0" applyNumberFormat="1" applyFont="1" applyFill="1" applyBorder="1" applyAlignment="1">
      <x:alignment wrapText="1"/>
    </x:xf>
    <x:xf numFmtId="0" fontId="11" fillId="7" borderId="4" xfId="0" applyNumberFormat="1" applyFont="1" applyFill="1" applyBorder="1" applyAlignment="1">
      <x:alignment wrapText="1"/>
    </x:xf>
    <x:xf numFmtId="0" fontId="11" fillId="7" borderId="2" xfId="0" applyNumberFormat="1" applyFont="1" applyFill="1" applyBorder="1" applyAlignment="1">
      <x:alignment horizontal="center" wrapText="1"/>
    </x:xf>
    <x:xf numFmtId="0" fontId="11" fillId="7" borderId="3" xfId="0" applyNumberFormat="1" applyFont="1" applyFill="1" applyBorder="1" applyAlignment="1">
      <x:alignment horizontal="center" wrapText="1"/>
    </x:xf>
    <x:xf numFmtId="0" fontId="11" fillId="7" borderId="4" xfId="0" applyNumberFormat="1" applyFont="1" applyFill="1" applyBorder="1" applyAlignment="1">
      <x:alignment horizontal="center" wrapText="1"/>
    </x:xf>
    <x:xf numFmtId="0" fontId="11" fillId="7" borderId="2" xfId="0" applyNumberFormat="1" applyFont="1" applyFill="1" applyBorder="1" applyAlignment="1">
      <x:alignment horizontal="center" vertical="center" wrapText="1"/>
    </x:xf>
    <x:xf numFmtId="0" fontId="11" fillId="7" borderId="3" xfId="0" applyNumberFormat="1" applyFont="1" applyFill="1" applyBorder="1" applyAlignment="1">
      <x:alignment horizontal="center" vertical="center" wrapText="1"/>
    </x:xf>
    <x:xf numFmtId="0" fontId="11" fillId="7" borderId="4" xfId="0" applyNumberFormat="1" applyFont="1" applyFill="1" applyBorder="1" applyAlignment="1">
      <x:alignment horizontal="center" vertical="center" wrapText="1"/>
    </x:xf>
    <x:xf numFmtId="0" fontId="12" fillId="0" borderId="0"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xfId="0" applyNumberFormat="1" applyFont="1" applyFill="1" applyBorder="0"/>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xfId="0" applyNumberFormat="1" applyFont="1" applyFill="1" applyBorder="0"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xfId="0" applyNumberFormat="1" applyFont="1" applyFill="1" applyBorder="0" applyAlignment="1">
      <x:alignment vertical="top" wrapText="1"/>
    </x:xf>
    <x:xf numFmtId="0" fontId="12" fillId="0" borderId="9"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xfId="0" applyNumberFormat="1" applyFont="1" applyFill="1" applyBorder="0"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0" fillId="9" borderId="0" xfId="0" applyNumberFormat="1" applyFont="1" applyFill="1" applyBorder="1"/>
    <x:xf numFmtId="0" fontId="13" fillId="9" borderId="0" xfId="0" applyNumberFormat="1" applyFont="1" applyFill="1" applyBorder="1"/>
    <x:xf numFmtId="0" fontId="0" fillId="10" borderId="0" xfId="0" applyNumberFormat="1" applyFont="1" applyFill="1" applyBorder="1"/>
    <x:xf numFmtId="0" fontId="13" fillId="1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202" fontId="12" fillId="0" borderId="6" xfId="0" applyNumberFormat="1" applyFont="1" applyFill="1" applyBorder="1" applyAlignment="1">
      <x:alignment vertical="top" wrapText="1"/>
    </x:xf>
    <x:xf numFmtId="202" fontId="12" fillId="8" xfId="0" applyNumberFormat="1" applyFont="1" applyFill="1" applyBorder="0" applyAlignment="1">
      <x:alignment vertical="top" wrapText="1"/>
    </x:xf>
    <x:xf numFmtId="202" fontId="12" fillId="0" xfId="0" applyNumberFormat="1" applyFont="1" applyFill="1" applyBorder="0" applyAlignment="1">
      <x:alignment vertical="top" wrapText="1"/>
    </x:xf>
    <x:xf numFmtId="202" fontId="12" fillId="0" borderId="11"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horizontal="center"/>
    </x:xf>
    <x:xf numFmtId="202" fontId="12" fillId="0" borderId="7" xfId="0" applyNumberFormat="1" applyFont="1" applyFill="1" applyBorder="1" applyAlignment="1">
      <x:alignment vertical="top" wrapText="1"/>
    </x:xf>
    <x:xf numFmtId="202" fontId="12" fillId="0" borderId="9" xfId="0" applyNumberFormat="1" applyFont="1" applyFill="1" applyBorder="1" applyAlignment="1">
      <x:alignment vertical="top" wrapText="1"/>
    </x:xf>
    <x:xf numFmtId="202" fontId="0" fillId="0" borderId="0" xfId="0" applyNumberFormat="1" applyFont="1" applyFill="1" applyBorder="1"/>
    <x:xf numFmtId="202" fontId="12" fillId="0" borderId="0" xfId="0" applyNumberFormat="1" applyFont="1" applyFill="1" applyBorder="1"/>
    <x:xf numFmtId="202" fontId="12" fillId="0" borderId="7" xfId="0" applyNumberFormat="1" applyFont="1" applyFill="1" applyBorder="1"/>
    <x:xf numFmtId="202" fontId="12" fillId="0" borderId="9" xfId="0" applyNumberFormat="1" applyFont="1" applyFill="1" applyBorder="1"/>
    <x:xf numFmtId="202" fontId="12" fillId="0" borderId="12" xfId="0" applyNumberFormat="1" applyFont="1" applyFill="1" applyBorder="1"/>
    <x:xf numFmtId="202" fontId="12" fillId="0" borderId="7" xfId="0" applyNumberFormat="1" applyFont="1" applyFill="1" applyBorder="1" applyAlignment="1">
      <x:alignment wrapText="1"/>
    </x:xf>
    <x:xf numFmtId="202" fontId="12" fillId="0" borderId="9" xfId="0" applyNumberFormat="1" applyFont="1" applyFill="1" applyBorder="1" applyAlignment="1">
      <x:alignment wrapText="1"/>
    </x:xf>
    <x:xf numFmtId="202" fontId="12" fillId="0" borderId="12" xfId="0" applyNumberFormat="1" applyFont="1" applyFill="1" applyBorder="1" applyAlignment="1">
      <x:alignment wrapText="1"/>
    </x:xf>
    <x:xf numFmtId="202" fontId="12" fillId="0" borderId="12" xfId="0" applyNumberFormat="1" applyFont="1" applyFill="1" applyBorder="1" applyAlignment="1">
      <x:alignment vertical="top" wrapText="1"/>
    </x:xf>
    <x:xf numFmtId="0" fontId="12" fillId="0" borderId="13" xfId="0" applyNumberFormat="1" applyFont="1" applyFill="1" applyBorder="1" applyAlignment="1">
      <x:alignment vertical="top" wrapText="1"/>
    </x:xf>
    <x:xf numFmtId="0" fontId="0" fillId="0" borderId="14" xfId="0" applyNumberFormat="1" applyFont="1" applyFill="1" applyBorder="1"/>
    <x:xf numFmtId="0" fontId="0" fillId="0" borderId="15"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4" fillId="9" borderId="0" xfId="0" applyNumberFormat="1" applyFont="1" applyFill="1" applyBorder="1"/>
    <x:xf numFmtId="0" fontId="4" fillId="10" borderId="0" xfId="0" applyNumberFormat="1" applyFont="1" applyFill="1" applyBorder="1"/>
    <x:xf numFmtId="0" fontId="8"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left" vertical="center"/>
    </x:xf>
    <x:xf numFmtId="0" fontId="7" fillId="6" borderId="0" xfId="0" applyNumberFormat="1" applyFont="1" applyFill="1" applyBorder="1" applyAlignment="1">
      <x:alignment vertical="top" wrapText="1"/>
    </x:xf>
    <x:xf numFmtId="0" fontId="15" fillId="6" borderId="0" xfId="0" applyNumberFormat="1" applyFont="1" applyFill="1" applyBorder="1" applyAlignment="1">
      <x:alignment vertical="top" wrapText="1"/>
    </x:xf>
    <x:xf numFmtId="0" fontId="15" fillId="6"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6" fillId="7"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5" fillId="7"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3" xfId="0" applyNumberFormat="1" applyFont="1" applyFill="1" applyBorder="1" applyAlignment="1">
      <x:alignment wrapText="1"/>
    </x:xf>
    <x:xf numFmtId="0" fontId="5" fillId="7" borderId="3" xfId="0" applyNumberFormat="1" applyFont="1" applyFill="1" applyBorder="1" applyAlignment="1">
      <x:alignment horizontal="left" vertical="center" wrapText="1"/>
    </x:xf>
    <x:xf numFmtId="0" fontId="5" fillId="7" borderId="4" xfId="0" applyNumberFormat="1" applyFont="1" applyFill="1" applyBorder="1" applyAlignment="1">
      <x:alignment horizontal="left" vertical="center" wrapText="1"/>
    </x:xf>
    <x:xf numFmtId="0" fontId="5" fillId="7" borderId="3" xfId="0" applyNumberFormat="1" applyFont="1" applyFill="1" applyBorder="1" applyAlignment="1">
      <x:alignment horizontal="center" wrapText="1"/>
    </x:xf>
    <x:xf numFmtId="0" fontId="5" fillId="7" borderId="4"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3" borderId="0" xfId="0" applyNumberFormat="1" applyFont="1" applyFill="1" applyBorder="1" applyAlignment="1">
      <x:alignment vertical="top" wrapText="1"/>
    </x:xf>
    <x:xf numFmtId="0" fontId="16" fillId="0" borderId="0" xfId="0" applyNumberFormat="1" applyFont="1" applyFill="1" applyBorder="1"/>
    <x:xf numFmtId="0" fontId="16" fillId="0" borderId="5" xfId="0" applyNumberFormat="1" applyFont="1" applyFill="1" applyBorder="1" applyAlignment="1">
      <x:alignment wrapText="1"/>
    </x:xf>
    <x:xf numFmtId="0" fontId="16" fillId="0" borderId="6" xfId="0" applyNumberFormat="1" applyFont="1" applyFill="1" applyBorder="1" applyAlignment="1">
      <x:alignment wrapText="1"/>
    </x:xf>
    <x:xf numFmtId="0" fontId="16" fillId="3" borderId="6" xfId="0" applyNumberFormat="1" applyFont="1" applyFill="1" applyBorder="1" applyAlignment="1">
      <x:alignment vertical="top" wrapText="1"/>
    </x:xf>
    <x:xf numFmtId="0" fontId="16" fillId="3" borderId="7" xfId="0" applyNumberFormat="1" applyFont="1" applyFill="1" applyBorder="1" applyAlignment="1">
      <x:alignment vertical="top" wrapText="1"/>
    </x:xf>
    <x:xf numFmtId="0" fontId="16" fillId="0" borderId="8" xfId="0" applyNumberFormat="1" applyFont="1" applyFill="1" applyBorder="1" applyAlignment="1">
      <x:alignment wrapText="1"/>
    </x:xf>
    <x:xf numFmtId="0" fontId="16" fillId="0" xfId="0" applyNumberFormat="1" applyFont="1" applyFill="1" applyBorder="0" applyAlignment="1">
      <x:alignment wrapText="1"/>
    </x:xf>
    <x:xf numFmtId="0" fontId="16" fillId="3" xfId="0" applyNumberFormat="1" applyFont="1" applyFill="1" applyBorder="0" applyAlignment="1">
      <x:alignment vertical="top" wrapText="1"/>
    </x:xf>
    <x:xf numFmtId="0" fontId="16" fillId="3" borderId="9" xfId="0" applyNumberFormat="1" applyFont="1" applyFill="1" applyBorder="1" applyAlignment="1">
      <x:alignment vertical="top" wrapText="1"/>
    </x:xf>
    <x:xf numFmtId="0" fontId="16" fillId="0" borderId="9" xfId="0" applyNumberFormat="1" applyFont="1" applyFill="1" applyBorder="1" applyAlignment="1">
      <x:alignment wrapText="1"/>
    </x:xf>
    <x:xf numFmtId="0" fontId="16" fillId="0" borderId="8" xfId="0" applyNumberFormat="1" applyFont="1" applyFill="1" applyBorder="1"/>
    <x:xf numFmtId="0" fontId="16" fillId="0" xfId="0" applyNumberFormat="1" applyFont="1" applyFill="1" applyBorder="0"/>
    <x:xf numFmtId="0" fontId="16" fillId="0" borderId="9" xfId="0" applyNumberFormat="1" applyFont="1" applyFill="1" applyBorder="1"/>
    <x:xf numFmtId="0" fontId="16" fillId="0" borderId="10" xfId="0" applyNumberFormat="1" applyFont="1" applyFill="1" applyBorder="1"/>
    <x:xf numFmtId="0" fontId="16" fillId="0" borderId="11" xfId="0" applyNumberFormat="1" applyFont="1" applyFill="1" applyBorder="1"/>
    <x:xf numFmtId="0" fontId="16" fillId="0" borderId="12" xfId="0" applyNumberFormat="1" applyFont="1" applyFill="1" applyBorder="1"/>
    <x:xf numFmtId="0" fontId="16" fillId="0" borderId="10" xfId="0" applyNumberFormat="1" applyFont="1" applyFill="1" applyBorder="1" applyAlignment="1">
      <x:alignment wrapText="1"/>
    </x:xf>
    <x:xf numFmtId="0" fontId="16" fillId="0" borderId="11" xfId="0" applyNumberFormat="1" applyFont="1" applyFill="1" applyBorder="1" applyAlignment="1">
      <x:alignment wrapText="1"/>
    </x:xf>
    <x:xf numFmtId="0" fontId="16" fillId="0" borderId="12" xfId="0" applyNumberFormat="1" applyFont="1" applyFill="1" applyBorder="1" applyAlignment="1">
      <x:alignment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xfId="0" applyNumberFormat="1" applyFont="1" applyFill="1" applyBorder="0" applyAlignment="1">
      <x:alignment vertical="top" wrapText="1"/>
    </x:xf>
    <x:xf numFmtId="0" fontId="16" fillId="0" borderId="9"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8" borderId="8" xfId="0" applyNumberFormat="1" applyFont="1" applyFill="1" applyBorder="1" applyAlignment="1">
      <x:alignment vertical="top" wrapText="1"/>
    </x:xf>
    <x:xf numFmtId="0" fontId="16" fillId="8" xfId="0" applyNumberFormat="1" applyFont="1" applyFill="1" applyBorder="0" applyAlignment="1">
      <x:alignment vertical="top" wrapText="1"/>
    </x:xf>
    <x:xf numFmtId="0" fontId="16" fillId="8" borderId="9" xfId="0" applyNumberFormat="1" applyFont="1" applyFill="1" applyBorder="1" applyAlignment="1">
      <x:alignment vertical="top" wrapText="1"/>
    </x:xf>
    <x:xf numFmtId="0" fontId="16" fillId="8" borderId="10"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8" borderId="12" xfId="0" applyNumberFormat="1" applyFont="1" applyFill="1" applyBorder="1" applyAlignment="1">
      <x:alignment vertical="top" wrapText="1"/>
    </x:xf>
    <x:xf numFmtId="0" fontId="6" fillId="7" borderId="0" xfId="0" applyNumberFormat="1" applyFont="1" applyFill="1" applyBorder="1"/>
    <x:xf numFmtId="0" fontId="5" fillId="7" borderId="0"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4" xfId="0" applyNumberFormat="1" applyFont="1" applyFill="1" applyBorder="1" applyAlignment="1">
      <x:alignment wrapText="1"/>
    </x:xf>
    <x:xf numFmtId="0" fontId="5" fillId="7" borderId="4" xfId="0" applyNumberFormat="1" applyFont="1" applyFill="1" applyBorder="1" applyAlignment="1">
      <x:alignment horizontal="center" wrapText="1"/>
    </x:xf>
    <x:xf numFmtId="0" fontId="16" fillId="0" borderId="6" xfId="0" applyNumberFormat="1" applyFont="1" applyFill="1" applyBorder="1"/>
    <x:xf numFmtId="0" fontId="16" fillId="0" borderId="7" xfId="0" applyNumberFormat="1" applyFont="1" applyFill="1" applyBorder="1"/>
    <x:xf numFmtId="0" fontId="16" fillId="0" borderId="7" xfId="0" applyNumberFormat="1" applyFont="1" applyFill="1" applyBorder="1" applyAlignment="1">
      <x:alignment wrapText="1"/>
    </x:xf>
    <x:xf numFmtId="0" fontId="16" fillId="0" borderId="7" xfId="0" applyNumberFormat="1" applyFont="1" applyFill="1" applyBorder="1" applyAlignment="1">
      <x:alignment vertical="top" wrapText="1"/>
    </x:xf>
    <x:xf numFmtId="0" fontId="8" fillId="5" borderId="0" xfId="0" applyNumberFormat="1" applyFont="1" applyFill="1" applyBorder="1"/>
    <x:xf numFmtId="0" fontId="14" fillId="5" borderId="0" xfId="0" applyNumberFormat="1" applyFont="1" applyFill="1" applyBorder="1"/>
    <x:xf numFmtId="0" fontId="14" fillId="5" borderId="0" xfId="0" applyNumberFormat="1" applyFont="1" applyFill="1" applyBorder="1" applyAlignment="1">
      <x:alignment horizontal="left"/>
    </x:xf>
    <x:xf numFmtId="0" fontId="6" fillId="6" borderId="0" xfId="0" applyNumberFormat="1" applyFont="1" applyFill="1" applyBorder="1"/>
    <x:xf numFmtId="0" fontId="15" fillId="6" borderId="0" xfId="0" applyNumberFormat="1" applyFont="1" applyFill="1" applyBorder="1"/>
    <x:xf numFmtId="0" fontId="15" fillId="6" borderId="0" xfId="0" applyNumberFormat="1" applyFont="1" applyFill="1" applyBorder="1" applyAlignment="1">
      <x:alignment wrapText="1"/>
    </x:xf>
    <x:xf numFmtId="200" fontId="16" fillId="0" borderId="0" xfId="0" applyNumberFormat="1" applyFont="1" applyFill="1" applyBorder="1" applyAlignment="1">
      <x:alignment wrapText="1"/>
    </x:xf>
    <x:xf numFmtId="201" fontId="16" fillId="0" borderId="0" xfId="0" applyNumberFormat="1" applyFont="1" applyFill="1" applyBorder="1" applyAlignment="1">
      <x:alignment wrapText="1"/>
    </x:xf>
    <x:xf numFmtId="200" fontId="16" fillId="0" borderId="6" xfId="0" applyNumberFormat="1" applyFont="1" applyFill="1" applyBorder="1" applyAlignment="1">
      <x:alignment wrapText="1"/>
    </x:xf>
    <x:xf numFmtId="201" fontId="16" fillId="0" borderId="7" xfId="0" applyNumberFormat="1" applyFont="1" applyFill="1" applyBorder="1" applyAlignment="1">
      <x:alignment wrapText="1"/>
    </x:xf>
    <x:xf numFmtId="200" fontId="16" fillId="0" xfId="0" applyNumberFormat="1" applyFont="1" applyFill="1" applyBorder="0" applyAlignment="1">
      <x:alignment wrapText="1"/>
    </x:xf>
    <x:xf numFmtId="201" fontId="16" fillId="0" borderId="9" xfId="0" applyNumberFormat="1" applyFont="1" applyFill="1" applyBorder="1" applyAlignment="1">
      <x:alignment wrapText="1"/>
    </x:xf>
    <x:xf numFmtId="200" fontId="16" fillId="0" borderId="11" xfId="0" applyNumberFormat="1" applyFont="1" applyFill="1" applyBorder="1" applyAlignment="1">
      <x:alignment wrapText="1"/>
    </x:xf>
    <x:xf numFmtId="201" fontId="16" fillId="0" borderId="12" xfId="0" applyNumberFormat="1" applyFont="1" applyFill="1" applyBorder="1" applyAlignment="1">
      <x:alignment wrapText="1"/>
    </x:xf>
    <x:xf numFmtId="200" fontId="16" fillId="0" borderId="6" xfId="0" applyNumberFormat="1" applyFont="1" applyFill="1" applyBorder="1" applyAlignment="1">
      <x:alignment vertical="top" wrapText="1"/>
    </x:xf>
    <x:xf numFmtId="201" fontId="16" fillId="0" borderId="7" xfId="0" applyNumberFormat="1" applyFont="1" applyFill="1" applyBorder="1" applyAlignment="1">
      <x:alignment vertical="top" wrapText="1"/>
    </x:xf>
    <x:xf numFmtId="200" fontId="16" fillId="0" xfId="0" applyNumberFormat="1" applyFont="1" applyFill="1" applyBorder="0" applyAlignment="1">
      <x:alignment vertical="top" wrapText="1"/>
    </x:xf>
    <x:xf numFmtId="201" fontId="16" fillId="0" borderId="9" xfId="0" applyNumberFormat="1" applyFont="1" applyFill="1" applyBorder="1" applyAlignment="1">
      <x:alignment vertical="top" wrapText="1"/>
    </x:xf>
    <x:xf numFmtId="200" fontId="16" fillId="0" borderId="11" xfId="0" applyNumberFormat="1" applyFont="1" applyFill="1" applyBorder="1" applyAlignment="1">
      <x:alignment vertical="top" wrapText="1"/>
    </x:xf>
    <x:xf numFmtId="201" fontId="16" fillId="0" borderId="12" xfId="0" applyNumberFormat="1" applyFont="1" applyFill="1" applyBorder="1" applyAlignment="1">
      <x:alignment vertical="top" wrapText="1"/>
    </x:xf>
    <x:xf numFmtId="200" fontId="16" fillId="8" xfId="0" applyNumberFormat="1" applyFont="1" applyFill="1" applyBorder="0" applyAlignment="1">
      <x:alignment vertical="top" wrapText="1"/>
    </x:xf>
    <x:xf numFmtId="201" fontId="16" fillId="8" borderId="9" xfId="0" applyNumberFormat="1" applyFont="1" applyFill="1" applyBorder="1" applyAlignment="1">
      <x:alignment vertical="top" wrapText="1"/>
    </x:xf>
    <x:xf numFmtId="203" fontId="16" fillId="0" borderId="6" xfId="0" applyNumberFormat="1" applyFont="1" applyFill="1" applyBorder="1" applyAlignment="1">
      <x:alignment vertical="top" wrapText="1"/>
    </x:xf>
    <x:xf numFmtId="203" fontId="16" fillId="8" xfId="0" applyNumberFormat="1" applyFont="1" applyFill="1" applyBorder="0" applyAlignment="1">
      <x:alignment vertical="top" wrapText="1"/>
    </x:xf>
    <x:xf numFmtId="203" fontId="16" fillId="0" xfId="0" applyNumberFormat="1" applyFont="1" applyFill="1" applyBorder="0" applyAlignment="1">
      <x:alignment vertical="top" wrapText="1"/>
    </x:xf>
    <x:xf numFmtId="203" fontId="16" fillId="0" borderId="11" xfId="0" applyNumberFormat="1" applyFont="1" applyFill="1" applyBorder="1" applyAlignment="1">
      <x:alignment vertical="top" wrapText="1"/>
    </x:xf>
    <x:xf numFmtId="202" fontId="16" fillId="0" borderId="9" xfId="0" applyNumberFormat="1" applyFont="1" applyFill="1" applyBorder="1" applyAlignment="1">
      <x:alignment vertical="top" wrapText="1"/>
    </x:xf>
    <x:xf numFmtId="0" fontId="5" fillId="7" borderId="0" xfId="0" applyNumberFormat="1" applyFont="1" applyFill="1" applyBorder="1" applyAlignment="1">
      <x:alignment horizontal="left" vertical="center"/>
    </x:xf>
    <x:xf numFmtId="0" fontId="5" fillId="7" borderId="2" xfId="0" applyNumberFormat="1" applyFont="1" applyFill="1" applyBorder="1"/>
    <x:xf numFmtId="0" fontId="5" fillId="7" borderId="3" xfId="0" applyNumberFormat="1" applyFont="1" applyFill="1" applyBorder="1" applyAlignment="1">
      <x:alignment horizontal="left" vertical="center"/>
    </x:xf>
    <x:xf numFmtId="0" fontId="5" fillId="7" borderId="4" xfId="0" applyNumberFormat="1" applyFont="1" applyFill="1" applyBorder="1" applyAlignment="1">
      <x:alignment horizontal="left" vertical="center"/>
    </x:xf>
    <x:xf numFmtId="0" fontId="5" fillId="7" borderId="2" xfId="0" applyNumberFormat="1" applyFont="1" applyFill="1" applyBorder="1" applyAlignment="1">
      <x:alignment wrapText="1"/>
    </x:xf>
    <x:xf numFmtId="0" fontId="5" fillId="7" borderId="2" xfId="0" applyNumberFormat="1" applyFont="1" applyFill="1" applyBorder="1" applyAlignment="1">
      <x:alignment horizontal="center" wrapText="1"/>
    </x:xf>
    <x:xf numFmtId="0" fontId="17" fillId="2" borderId="0" xfId="0" applyNumberFormat="1" applyFont="1" applyFill="1" applyBorder="1" applyAlignment="1">
      <x:alignment horizontal="center" vertical="center" wrapText="1"/>
    </x:xf>
    <x:xf numFmtId="0" fontId="16" fillId="0" borderId="5" xfId="0" applyNumberFormat="1" applyFont="1" applyFill="1" applyBorder="1"/>
    <x:xf numFmtId="0" fontId="17" fillId="2" xfId="0" applyNumberFormat="1" applyFont="1" applyFill="1" applyBorder="0" applyAlignment="1">
      <x:alignment horizontal="center" vertical="center" wrapText="1"/>
    </x:xf>
    <x:xf numFmtId="0" fontId="17" fillId="2" borderId="9" xfId="0" applyNumberFormat="1" applyFont="1" applyFill="1" applyBorder="1" applyAlignment="1">
      <x:alignment horizontal="center" vertical="center" wrapText="1"/>
    </x:xf>
    <x:xf numFmtId="0" fontId="17" fillId="2" xfId="0" applyNumberFormat="1" applyFont="1" applyFill="1" applyBorder="0" applyAlignment="1">
      <x:alignment horizontal="center" vertical="top" wrapText="1"/>
    </x:xf>
    <x:xf numFmtId="0" fontId="17" fillId="2" borderId="9" xfId="0" applyNumberFormat="1" applyFont="1" applyFill="1" applyBorder="1" applyAlignment="1">
      <x:alignment horizontal="center" vertical="top" wrapText="1"/>
    </x:xf>
    <x:xf numFmtId="0" fontId="6" fillId="9" borderId="0" xfId="0" applyNumberFormat="1" applyFont="1" applyFill="1" applyBorder="1"/>
    <x:xf numFmtId="0" fontId="18" fillId="9" borderId="0" xfId="0" applyNumberFormat="1" applyFont="1" applyFill="1" applyBorder="1"/>
    <x:xf numFmtId="0" fontId="16" fillId="0" borderId="13" xfId="0" applyNumberFormat="1" applyFont="1" applyFill="1" applyBorder="1" applyAlignment="1">
      <x:alignment vertical="top" wrapText="1"/>
    </x:xf>
    <x:xf numFmtId="0" fontId="6" fillId="0" borderId="14" xfId="0" applyNumberFormat="1" applyFont="1" applyFill="1" applyBorder="1"/>
    <x:xf numFmtId="0" fontId="6" fillId="0" borderId="15" xfId="0" applyNumberFormat="1" applyFont="1" applyFill="1" applyBorder="1"/>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201" fontId="12" fillId="0" borderId="12" xfId="0" applyNumberFormat="1" applyFont="1" applyFill="1" applyBorder="1" applyAlignment="1">
      <x:alignment vertical="top" wrapText="1"/>
    </x:xf>
    <x:xf numFmtId="0" fontId="11" fillId="7" borderId="0" xfId="0" applyNumberFormat="1" applyFont="1" applyFill="1" applyBorder="1" applyAlignment="1">
      <x:alignment wrapText="1"/>
    </x:xf>
    <x:xf numFmtId="0" fontId="11" fillId="7" borderId="0" xfId="0" applyNumberFormat="1" applyFont="1" applyFill="1" applyBorder="1" applyAlignment="1">
      <x:alignment horizontal="center" wrapText="1"/>
    </x:xf>
    <x:xf numFmtId="0" fontId="11" fillId="7" borderId="0"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202" fontId="12" fillId="0" borderId="0" xfId="0" applyNumberFormat="1" applyFont="1" applyFill="1" applyBorder="1" applyAlignment="1">
      <x:alignment vertical="top" wrapText="1"/>
    </x:xf>
    <x:xf numFmtId="202" fontId="12"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7" borderId="0"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16" fillId="8" borderId="0" xfId="0" applyNumberFormat="1" applyFont="1" applyFill="1" applyBorder="1" applyAlignment="1">
      <x:alignment vertical="top" wrapText="1"/>
    </x:xf>
    <x:xf numFmtId="200" fontId="16" fillId="0" borderId="0" xfId="0" applyNumberFormat="1" applyFont="1" applyFill="1" applyBorder="1" applyAlignment="1">
      <x:alignment vertical="top" wrapText="1"/>
    </x:xf>
    <x:xf numFmtId="201" fontId="16" fillId="0" borderId="0" xfId="0" applyNumberFormat="1" applyFont="1" applyFill="1" applyBorder="1" applyAlignment="1">
      <x:alignment vertical="top" wrapText="1"/>
    </x:xf>
    <x:xf numFmtId="201" fontId="16" fillId="8" borderId="0" xfId="0" applyNumberFormat="1" applyFont="1" applyFill="1" applyBorder="1" applyAlignment="1">
      <x:alignment vertical="top" wrapText="1"/>
    </x:xf>
    <x:xf numFmtId="203" fontId="16" fillId="0" borderId="0" xfId="0" applyNumberFormat="1" applyFont="1" applyFill="1" applyBorder="1" applyAlignment="1">
      <x:alignment vertical="top" wrapText="1"/>
    </x:xf>
    <x:xf numFmtId="202" fontId="16" fillId="0"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left"/>
    </x:xf>
    <x:xf numFmtId="0" fontId="9" fillId="11" borderId="0" xfId="0" applyNumberFormat="1" applyFont="1" applyFill="1" applyBorder="1" applyAlignment="1">
      <x:alignment horizontal="left" vertic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8" xfId="0" applyNumberFormat="1" applyFont="1" applyFill="1" applyBorder="1"/>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8" xfId="0" applyNumberFormat="1" applyFont="1" applyFill="1" applyBorder="1" applyAlignment="1">
      <x:alignment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8" xfId="0" applyNumberFormat="1" applyFont="1" applyFill="1" applyBorder="1" applyAlignment="1">
      <x:alignment horizont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11" fillId="13" borderId="18" xfId="0" applyNumberFormat="1" applyFont="1" applyFill="1" applyBorder="1" applyAlignment="1">
      <x:alignment horizontal="center" vertical="center" wrapText="1"/>
    </x:xf>
    <x:xf numFmtId="0" fontId="12" fillId="0" borderId="19" xfId="0" applyNumberFormat="1" applyFont="1" applyFill="1" applyBorder="1"/>
    <x:xf numFmtId="0" fontId="12" fillId="0" borderId="20" xfId="0" applyNumberFormat="1" applyFont="1" applyFill="1" applyBorder="1"/>
    <x:xf numFmtId="0" fontId="12" fillId="0" borderId="21" xfId="0" applyNumberFormat="1" applyFont="1" applyFill="1" applyBorder="1"/>
    <x:xf numFmtId="0" fontId="12" fillId="0" borderId="22" xfId="0" applyNumberFormat="1" applyFont="1" applyFill="1" applyBorder="1"/>
    <x:xf numFmtId="0" fontId="12" fillId="0" borderId="23" xfId="0" applyNumberFormat="1" applyFont="1" applyFill="1" applyBorder="1"/>
    <x:xf numFmtId="0" fontId="12" fillId="0" borderId="24" xfId="0" applyNumberFormat="1" applyFont="1" applyFill="1" applyBorder="1"/>
    <x:xf numFmtId="0" fontId="12" fillId="0" borderId="25" xfId="0" applyNumberFormat="1" applyFont="1" applyFill="1" applyBorder="1"/>
    <x:xf numFmtId="0" fontId="12" fillId="0" borderId="26" xfId="0" applyNumberFormat="1" applyFont="1" applyFill="1" applyBorder="1"/>
    <x:xf numFmtId="0" fontId="12" fillId="0" borderId="19" xfId="0" applyNumberFormat="1" applyFont="1" applyFill="1" applyBorder="1" applyAlignment="1">
      <x:alignment wrapText="1"/>
    </x:xf>
    <x:xf numFmtId="0" fontId="12" fillId="0" borderId="20" xfId="0" applyNumberFormat="1" applyFont="1" applyFill="1" applyBorder="1" applyAlignment="1">
      <x:alignment wrapText="1"/>
    </x:xf>
    <x:xf numFmtId="0" fontId="12" fillId="0" borderId="21" xfId="0" applyNumberFormat="1" applyFont="1" applyFill="1" applyBorder="1" applyAlignment="1">
      <x:alignment wrapText="1"/>
    </x:xf>
    <x:xf numFmtId="0" fontId="12" fillId="0" borderId="22" xfId="0" applyNumberFormat="1" applyFont="1" applyFill="1" applyBorder="1" applyAlignment="1">
      <x:alignment wrapText="1"/>
    </x:xf>
    <x:xf numFmtId="0" fontId="12" fillId="0" borderId="23" xfId="0" applyNumberFormat="1" applyFont="1" applyFill="1" applyBorder="1" applyAlignment="1">
      <x:alignment wrapText="1"/>
    </x:xf>
    <x:xf numFmtId="0" fontId="12" fillId="0" borderId="24" xfId="0" applyNumberFormat="1" applyFont="1" applyFill="1" applyBorder="1" applyAlignment="1">
      <x:alignment wrapText="1"/>
    </x:xf>
    <x:xf numFmtId="0" fontId="12" fillId="0" borderId="25" xfId="0" applyNumberFormat="1" applyFont="1" applyFill="1" applyBorder="1" applyAlignment="1">
      <x:alignment wrapText="1"/>
    </x:xf>
    <x:xf numFmtId="0" fontId="12" fillId="0" borderId="26" xfId="0" applyNumberFormat="1" applyFont="1" applyFill="1" applyBorder="1" applyAlignment="1">
      <x:alignment wrapText="1"/>
    </x:xf>
    <x:xf numFmtId="0" fontId="12" fillId="0" borderId="19" xfId="0" applyNumberFormat="1" applyFont="1" applyFill="1" applyBorder="1" applyAlignment="1">
      <x:alignment vertical="top" wrapText="1"/>
    </x:xf>
    <x:xf numFmtId="0" fontId="12" fillId="0" borderId="20" xfId="0" applyNumberFormat="1" applyFont="1" applyFill="1" applyBorder="1" applyAlignment="1">
      <x:alignment vertical="top" wrapText="1"/>
    </x:xf>
    <x:xf numFmtId="0" fontId="12" fillId="0" borderId="21" xfId="0" applyNumberFormat="1" applyFont="1" applyFill="1" applyBorder="1" applyAlignment="1">
      <x:alignment vertical="top" wrapText="1"/>
    </x:xf>
    <x:xf numFmtId="0" fontId="12" fillId="0" borderId="22" xfId="0" applyNumberFormat="1" applyFont="1" applyFill="1" applyBorder="1" applyAlignment="1">
      <x:alignment vertical="top" wrapText="1"/>
    </x:xf>
    <x:xf numFmtId="0" fontId="12" fillId="0" borderId="23" xfId="0" applyNumberFormat="1" applyFont="1" applyFill="1" applyBorder="1" applyAlignment="1">
      <x:alignment vertical="top" wrapText="1"/>
    </x:xf>
    <x:xf numFmtId="0" fontId="12" fillId="0" borderId="24" xfId="0" applyNumberFormat="1" applyFont="1" applyFill="1" applyBorder="1" applyAlignment="1">
      <x:alignment vertical="top" wrapText="1"/>
    </x:xf>
    <x:xf numFmtId="0" fontId="12" fillId="0" borderId="25"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2" fillId="14" borderId="22" xfId="0" applyNumberFormat="1" applyFont="1" applyFill="1" applyBorder="1" applyAlignment="1">
      <x:alignment vertical="top" wrapText="1"/>
    </x:xf>
    <x:xf numFmtId="0" fontId="12" fillId="14" xfId="0" applyNumberFormat="1" applyFont="1" applyFill="1" applyBorder="0" applyAlignment="1">
      <x:alignment vertical="top" wrapText="1"/>
    </x:xf>
    <x:xf numFmtId="0" fontId="12" fillId="14" borderId="23" xfId="0" applyNumberFormat="1" applyFont="1" applyFill="1" applyBorder="1" applyAlignment="1">
      <x:alignment vertical="top" wrapText="1"/>
    </x:xf>
    <x:xf numFmtId="0" fontId="12" fillId="14" borderId="24" xfId="0" applyNumberFormat="1" applyFont="1" applyFill="1" applyBorder="1" applyAlignment="1">
      <x:alignment vertical="top" wrapText="1"/>
    </x:xf>
    <x:xf numFmtId="0" fontId="12" fillId="14" borderId="25" xfId="0" applyNumberFormat="1" applyFont="1" applyFill="1" applyBorder="1" applyAlignment="1">
      <x:alignment vertical="top" wrapText="1"/>
    </x:xf>
    <x:xf numFmtId="0" fontId="12" fillId="14" borderId="26" xfId="0" applyNumberFormat="1" applyFont="1" applyFill="1" applyBorder="1" applyAlignment="1">
      <x:alignment vertical="top" wrapText="1"/>
    </x:xf>
    <x:xf numFmtId="204" fontId="12" fillId="0" borderId="20" xfId="0" applyNumberFormat="1" applyFont="1" applyFill="1" applyBorder="1" applyAlignment="1">
      <x:alignment vertical="top" wrapText="1"/>
    </x:xf>
    <x:xf numFmtId="204" fontId="12" fillId="14" xfId="0" applyNumberFormat="1" applyFont="1" applyFill="1" applyBorder="0" applyAlignment="1">
      <x:alignment vertical="top" wrapText="1"/>
    </x:xf>
    <x:xf numFmtId="204" fontId="12" fillId="0" xfId="0" applyNumberFormat="1" applyFont="1" applyFill="1" applyBorder="0" applyAlignment="1">
      <x:alignment vertical="top" wrapText="1"/>
    </x:xf>
    <x:xf numFmtId="204" fontId="12" fillId="14" borderId="25" xfId="0" applyNumberFormat="1" applyFont="1" applyFill="1" applyBorder="1" applyAlignment="1">
      <x:alignment vertical="top" wrapText="1"/>
    </x:xf>
    <x:xf numFmtId="202" fontId="12" fillId="0" borderId="20" xfId="0" applyNumberFormat="1" applyFont="1" applyFill="1" applyBorder="1" applyAlignment="1">
      <x:alignment vertical="top" wrapText="1"/>
    </x:xf>
    <x:xf numFmtId="202" fontId="12" fillId="14" xfId="0" applyNumberFormat="1" applyFont="1" applyFill="1" applyBorder="0" applyAlignment="1">
      <x:alignment vertical="top" wrapText="1"/>
    </x:xf>
    <x:xf numFmtId="202" fontId="12" fillId="14" borderId="25" xfId="0" applyNumberFormat="1" applyFont="1" applyFill="1" applyBorder="1" applyAlignment="1">
      <x:alignment vertical="top" wrapText="1"/>
    </x:xf>
    <x:xf numFmtId="202" fontId="12" fillId="0" borderId="21" xfId="0" applyNumberFormat="1" applyFont="1" applyFill="1" applyBorder="1" applyAlignment="1">
      <x:alignment vertical="top" wrapText="1"/>
    </x:xf>
    <x:xf numFmtId="202" fontId="12" fillId="0" borderId="25" xfId="0" applyNumberFormat="1" applyFont="1" applyFill="1" applyBorder="1" applyAlignment="1">
      <x:alignment vertical="top" wrapText="1"/>
    </x:xf>
    <x:xf numFmtId="202" fontId="12" fillId="0" borderId="23" xfId="0" applyNumberFormat="1" applyFont="1" applyFill="1" applyBorder="1" applyAlignment="1">
      <x:alignment vertical="top" wrapText="1"/>
    </x:xf>
    <x:xf numFmtId="201" fontId="12" fillId="0" borderId="0" xfId="0" applyNumberFormat="1" applyFont="1" applyFill="1" applyBorder="1"/>
    <x:xf numFmtId="201" fontId="12" fillId="0" borderId="21" xfId="0" applyNumberFormat="1" applyFont="1" applyFill="1" applyBorder="1"/>
    <x:xf numFmtId="201" fontId="12" fillId="0" borderId="23" xfId="0" applyNumberFormat="1" applyFont="1" applyFill="1" applyBorder="1"/>
    <x:xf numFmtId="201" fontId="12" fillId="0" borderId="26" xfId="0" applyNumberFormat="1" applyFont="1" applyFill="1" applyBorder="1"/>
    <x:xf numFmtId="201" fontId="12" fillId="0" borderId="21" xfId="0" applyNumberFormat="1" applyFont="1" applyFill="1" applyBorder="1" applyAlignment="1">
      <x:alignment wrapText="1"/>
    </x:xf>
    <x:xf numFmtId="201" fontId="12" fillId="0" borderId="23" xfId="0" applyNumberFormat="1" applyFont="1" applyFill="1" applyBorder="1" applyAlignment="1">
      <x:alignment wrapText="1"/>
    </x:xf>
    <x:xf numFmtId="201" fontId="12" fillId="0" borderId="26" xfId="0" applyNumberFormat="1" applyFont="1" applyFill="1" applyBorder="1" applyAlignment="1">
      <x:alignment wrapText="1"/>
    </x:xf>
    <x:xf numFmtId="201" fontId="12" fillId="0" borderId="21" xfId="0" applyNumberFormat="1" applyFont="1" applyFill="1" applyBorder="1" applyAlignment="1">
      <x:alignment vertical="top" wrapText="1"/>
    </x:xf>
    <x:xf numFmtId="201" fontId="12" fillId="0" borderId="23" xfId="0" applyNumberFormat="1" applyFont="1" applyFill="1" applyBorder="1" applyAlignment="1">
      <x:alignment vertical="top" wrapText="1"/>
    </x:xf>
    <x:xf numFmtId="201" fontId="12" fillId="0" borderId="26"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18" fillId="13" borderId="0" xfId="0" applyNumberFormat="1" applyFont="1" applyFill="1" applyBorder="1"/>
    <x:xf numFmtId="0" fontId="5" fillId="13" borderId="0" xfId="0" applyNumberFormat="1" applyFont="1" applyFill="1" applyBorder="1"/>
    <x:xf numFmtId="0" fontId="5" fillId="13" borderId="16" xfId="0" applyNumberFormat="1" applyFont="1" applyFill="1" applyBorder="1"/>
    <x:xf numFmtId="0" fontId="5" fillId="13" borderId="17" xfId="0" applyNumberFormat="1" applyFont="1" applyFill="1" applyBorder="1"/>
    <x:xf numFmtId="0" fontId="5" fillId="13" borderId="18" xfId="0" applyNumberFormat="1" applyFont="1" applyFill="1" applyBorder="1"/>
    <x:xf numFmtId="0" fontId="5" fillId="13" borderId="16" xfId="0" applyNumberFormat="1" applyFont="1" applyFill="1" applyBorder="1" applyAlignment="1">
      <x:alignment wrapText="1"/>
    </x:xf>
    <x:xf numFmtId="0" fontId="5" fillId="13" borderId="17" xfId="0" applyNumberFormat="1" applyFont="1" applyFill="1" applyBorder="1" applyAlignment="1">
      <x:alignment wrapText="1"/>
    </x:xf>
    <x:xf numFmtId="0" fontId="5" fillId="13" borderId="18" xfId="0" applyNumberFormat="1" applyFont="1" applyFill="1" applyBorder="1" applyAlignment="1">
      <x:alignment wrapText="1"/>
    </x:xf>
    <x:xf numFmtId="0" fontId="5" fillId="13" borderId="16" xfId="0" applyNumberFormat="1" applyFont="1" applyFill="1" applyBorder="1" applyAlignment="1">
      <x:alignment horizontal="center" wrapText="1"/>
    </x:xf>
    <x:xf numFmtId="0" fontId="5" fillId="13" borderId="17" xfId="0" applyNumberFormat="1" applyFont="1" applyFill="1" applyBorder="1" applyAlignment="1">
      <x:alignment horizontal="center" wrapText="1"/>
    </x:xf>
    <x:xf numFmtId="0" fontId="5" fillId="13" borderId="18" xfId="0" applyNumberFormat="1" applyFont="1" applyFill="1" applyBorder="1" applyAlignment="1">
      <x:alignment horizontal="center" wrapText="1"/>
    </x:xf>
    <x:xf numFmtId="0" fontId="5" fillId="13" borderId="16" xfId="0" applyNumberFormat="1" applyFont="1" applyFill="1" applyBorder="1" applyAlignment="1">
      <x:alignment horizontal="center" vertical="center" wrapText="1"/>
    </x:xf>
    <x:xf numFmtId="0" fontId="5" fillId="13" borderId="17" xfId="0" applyNumberFormat="1" applyFont="1" applyFill="1" applyBorder="1" applyAlignment="1">
      <x:alignment horizontal="center" vertical="center" wrapText="1"/>
    </x:xf>
    <x:xf numFmtId="0" fontId="5" fillId="13" borderId="18" xfId="0" applyNumberFormat="1" applyFont="1" applyFill="1" applyBorder="1" applyAlignment="1">
      <x:alignment horizontal="center" vertical="center" wrapText="1"/>
    </x:xf>
    <x:xf numFmtId="0" fontId="16" fillId="0" borderId="3" xfId="0" applyNumberFormat="1" applyFont="1" applyFill="1" applyBorder="1" applyAlignment="1">
      <x:alignment vertical="top" wrapText="1"/>
    </x:xf>
    <x:xf numFmtId="0" fontId="16" fillId="0" borderId="19" xfId="0" applyNumberFormat="1" applyFont="1" applyFill="1" applyBorder="1"/>
    <x:xf numFmtId="0" fontId="16" fillId="0" borderId="20" xfId="0" applyNumberFormat="1" applyFont="1" applyFill="1" applyBorder="1"/>
    <x:xf numFmtId="0" fontId="16" fillId="0" borderId="21" xfId="0" applyNumberFormat="1" applyFont="1" applyFill="1" applyBorder="1"/>
    <x:xf numFmtId="0" fontId="16" fillId="0" borderId="27" xfId="0" applyNumberFormat="1" applyFont="1" applyFill="1" applyBorder="1" applyAlignment="1">
      <x:alignment vertical="top" wrapText="1"/>
    </x:xf>
    <x:xf numFmtId="0" fontId="16" fillId="0" borderId="28" xfId="0" applyNumberFormat="1" applyFont="1" applyFill="1" applyBorder="1" applyAlignment="1">
      <x:alignment vertical="top" wrapText="1"/>
    </x:xf>
    <x:xf numFmtId="0" fontId="16" fillId="0" borderId="29" xfId="0" applyNumberFormat="1" applyFont="1" applyFill="1" applyBorder="1" applyAlignment="1">
      <x:alignment vertical="top" wrapText="1"/>
    </x:xf>
    <x:xf numFmtId="0" fontId="16" fillId="0" borderId="30" xfId="0" applyNumberFormat="1" applyFont="1" applyFill="1" applyBorder="1" applyAlignment="1">
      <x:alignment vertical="top" wrapText="1"/>
    </x:xf>
    <x:xf numFmtId="0" fontId="16" fillId="0" borderId="31" xfId="0" applyNumberFormat="1" applyFont="1" applyFill="1" applyBorder="1" applyAlignment="1">
      <x:alignment vertical="top" wrapText="1"/>
    </x:xf>
    <x:xf numFmtId="0" fontId="16" fillId="0" borderId="19" xfId="0" applyNumberFormat="1" applyFont="1" applyFill="1" applyBorder="1" applyAlignment="1">
      <x:alignment wrapText="1"/>
    </x:xf>
    <x:xf numFmtId="0" fontId="16" fillId="0" borderId="20" xfId="0" applyNumberFormat="1" applyFont="1" applyFill="1" applyBorder="1" applyAlignment="1">
      <x:alignment wrapText="1"/>
    </x:xf>
    <x:xf numFmtId="0" fontId="16" fillId="0" borderId="21" xfId="0" applyNumberFormat="1" applyFont="1" applyFill="1" applyBorder="1" applyAlignment="1">
      <x:alignment wrapText="1"/>
    </x:xf>
    <x:xf numFmtId="0" fontId="16" fillId="0" borderId="19" xfId="0" applyNumberFormat="1" applyFont="1" applyFill="1" applyBorder="1" applyAlignment="1">
      <x:alignment vertical="top" wrapText="1"/>
    </x:xf>
    <x:xf numFmtId="0" fontId="16" fillId="0" borderId="20" xfId="0" applyNumberFormat="1" applyFont="1" applyFill="1" applyBorder="1" applyAlignment="1">
      <x:alignment vertical="top" wrapText="1"/>
    </x:xf>
    <x:xf numFmtId="0" fontId="16" fillId="0" borderId="21" xfId="0" applyNumberFormat="1" applyFont="1" applyFill="1" applyBorder="1" applyAlignment="1">
      <x:alignment vertical="top" wrapText="1"/>
    </x:xf>
    <x:xf numFmtId="0" fontId="16" fillId="0" borderId="22" xfId="0" applyNumberFormat="1" applyFont="1" applyFill="1" applyBorder="1" applyAlignment="1">
      <x:alignment vertical="top" wrapText="1"/>
    </x:xf>
    <x:xf numFmtId="0" fontId="16" fillId="0" borderId="23" xfId="0" applyNumberFormat="1" applyFont="1" applyFill="1" applyBorder="1" applyAlignment="1">
      <x:alignment vertical="top" wrapText="1"/>
    </x:xf>
    <x:xf numFmtId="0" fontId="16" fillId="0" borderId="24" xfId="0" applyNumberFormat="1" applyFont="1" applyFill="1" applyBorder="1" applyAlignment="1">
      <x:alignment vertical="top" wrapText="1"/>
    </x:xf>
    <x:xf numFmtId="0" fontId="16" fillId="0" borderId="25" xfId="0" applyNumberFormat="1" applyFont="1" applyFill="1" applyBorder="1" applyAlignment="1">
      <x:alignment vertical="top" wrapText="1"/>
    </x:xf>
    <x:xf numFmtId="0" fontId="16" fillId="0" borderId="26" xfId="0" applyNumberFormat="1" applyFont="1" applyFill="1" applyBorder="1" applyAlignment="1">
      <x:alignment vertical="top" wrapText="1"/>
    </x:xf>
    <x:xf numFmtId="202" fontId="16" fillId="0" borderId="20" xfId="0" applyNumberFormat="1" applyFont="1" applyFill="1" applyBorder="1" applyAlignment="1">
      <x:alignment vertical="top" wrapText="1"/>
    </x:xf>
    <x:xf numFmtId="202" fontId="16" fillId="0" borderId="3"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top" wrapText="1"/>
    </x:xf>
    <x:xf numFmtId="0" fontId="14" fillId="11" borderId="0" xfId="0" applyNumberFormat="1" applyFont="1" applyFill="1" applyBorder="1" applyAlignment="1">
      <x:alignment horizontal="left" vertical="center"/>
    </x:xf>
    <x:xf numFmtId="0" fontId="15" fillId="12" borderId="0" xfId="0" applyNumberFormat="1" applyFont="1" applyFill="1" applyBorder="1" applyAlignment="1">
      <x:alignment vertical="center"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5" fillId="13" borderId="0" xfId="0" applyNumberFormat="1" applyFont="1" applyFill="1" applyBorder="1" applyAlignment="1">
      <x:alignment horizontal="center" vertical="center" wrapText="1"/>
    </x:xf>
    <x:xf numFmtId="0" fontId="16" fillId="3" borderId="20" xfId="0" applyNumberFormat="1" applyFont="1" applyFill="1" applyBorder="1" applyAlignment="1">
      <x:alignment vertical="top" wrapText="1"/>
    </x:xf>
    <x:xf numFmtId="0" fontId="16" fillId="3" borderId="21" xfId="0" applyNumberFormat="1" applyFont="1" applyFill="1" applyBorder="1" applyAlignment="1">
      <x:alignment vertical="top" wrapText="1"/>
    </x:xf>
    <x:xf numFmtId="0" fontId="16" fillId="8" borderId="22" xfId="0" applyNumberFormat="1" applyFont="1" applyFill="1" applyBorder="1" applyAlignment="1">
      <x:alignment vertical="top" wrapText="1"/>
    </x:xf>
    <x:xf numFmtId="0" fontId="16" fillId="8" borderId="23" xfId="0" applyNumberFormat="1" applyFont="1" applyFill="1" applyBorder="1" applyAlignment="1">
      <x:alignment vertical="top" wrapText="1"/>
    </x:xf>
    <x:xf numFmtId="0" fontId="16" fillId="3" borderId="23" xfId="0" applyNumberFormat="1" applyFont="1" applyFill="1" applyBorder="1" applyAlignment="1">
      <x:alignment vertical="top" wrapText="1"/>
    </x:xf>
    <x:xf numFmtId="0" fontId="16" fillId="8" borderId="32" xfId="0" applyNumberFormat="1" applyFont="1" applyFill="1" applyBorder="1" applyAlignment="1">
      <x:alignment vertical="top" wrapText="1"/>
    </x:xf>
    <x:xf numFmtId="0" fontId="16" fillId="8" borderId="33" xfId="0" applyNumberFormat="1" applyFont="1" applyFill="1" applyBorder="1" applyAlignment="1">
      <x:alignment vertical="top" wrapText="1"/>
    </x:xf>
    <x:xf numFmtId="0" fontId="16" fillId="0" borderId="22" xfId="0" applyNumberFormat="1" applyFont="1" applyFill="1" applyBorder="1"/>
    <x:xf numFmtId="0" fontId="16" fillId="0" borderId="23" xfId="0" applyNumberFormat="1" applyFont="1" applyFill="1" applyBorder="1"/>
    <x:xf numFmtId="0" fontId="16" fillId="0" borderId="24" xfId="0" applyNumberFormat="1" applyFont="1" applyFill="1" applyBorder="1"/>
    <x:xf numFmtId="0" fontId="16" fillId="0" borderId="25" xfId="0" applyNumberFormat="1" applyFont="1" applyFill="1" applyBorder="1"/>
    <x:xf numFmtId="0" fontId="16" fillId="0" borderId="26" xfId="0" applyNumberFormat="1" applyFont="1" applyFill="1" applyBorder="1"/>
    <x:xf numFmtId="0" fontId="16" fillId="0" borderId="22" xfId="0" applyNumberFormat="1" applyFont="1" applyFill="1" applyBorder="1" applyAlignment="1">
      <x:alignment wrapText="1"/>
    </x:xf>
    <x:xf numFmtId="0" fontId="16" fillId="0" borderId="23" xfId="0" applyNumberFormat="1" applyFont="1" applyFill="1" applyBorder="1" applyAlignment="1">
      <x:alignment wrapText="1"/>
    </x:xf>
    <x:xf numFmtId="0" fontId="16" fillId="0" borderId="24" xfId="0" applyNumberFormat="1" applyFont="1" applyFill="1" applyBorder="1" applyAlignment="1">
      <x:alignment wrapText="1"/>
    </x:xf>
    <x:xf numFmtId="0" fontId="16" fillId="0" borderId="25" xfId="0" applyNumberFormat="1" applyFont="1" applyFill="1" applyBorder="1" applyAlignment="1">
      <x:alignment wrapText="1"/>
    </x:xf>
    <x:xf numFmtId="0" fontId="16" fillId="0" borderId="26" xfId="0" applyNumberFormat="1" applyFont="1" applyFill="1" applyBorder="1" applyAlignment="1">
      <x:alignment wrapText="1"/>
    </x:xf>
    <x:xf numFmtId="0" fontId="16" fillId="14" borderId="22" xfId="0" applyNumberFormat="1" applyFont="1" applyFill="1" applyBorder="1" applyAlignment="1">
      <x:alignment vertical="top" wrapText="1"/>
    </x:xf>
    <x:xf numFmtId="0" fontId="16" fillId="14" xfId="0" applyNumberFormat="1" applyFont="1" applyFill="1" applyBorder="0" applyAlignment="1">
      <x:alignment vertical="top" wrapText="1"/>
    </x:xf>
    <x:xf numFmtId="0" fontId="16" fillId="14" borderId="23" xfId="0" applyNumberFormat="1" applyFont="1" applyFill="1" applyBorder="1" applyAlignment="1">
      <x:alignment vertical="top" wrapText="1"/>
    </x:xf>
    <x:xf numFmtId="0" fontId="16" fillId="14" borderId="32" xfId="0" applyNumberFormat="1" applyFont="1" applyFill="1" applyBorder="1" applyAlignment="1">
      <x:alignment vertical="top" wrapText="1"/>
    </x:xf>
    <x:xf numFmtId="0" fontId="16" fillId="14" borderId="11" xfId="0" applyNumberFormat="1" applyFont="1" applyFill="1" applyBorder="1" applyAlignment="1">
      <x:alignment vertical="top" wrapText="1"/>
    </x:xf>
    <x:xf numFmtId="0" fontId="16" fillId="14" borderId="33" xfId="0" applyNumberFormat="1" applyFont="1" applyFill="1" applyBorder="1" applyAlignment="1">
      <x:alignment vertical="top" wrapText="1"/>
    </x:xf>
    <x:xf numFmtId="0" fontId="16" fillId="14" borderId="0" xfId="0" applyNumberFormat="1" applyFont="1" applyFill="1" applyBorder="1" applyAlignment="1">
      <x:alignment vertical="top" wrapText="1"/>
    </x:xf>
    <x:xf numFmtId="0" fontId="16" fillId="14" borderId="24" xfId="0" applyNumberFormat="1" applyFont="1" applyFill="1" applyBorder="1" applyAlignment="1">
      <x:alignment vertical="top" wrapText="1"/>
    </x:xf>
    <x:xf numFmtId="0" fontId="16" fillId="14" borderId="25" xfId="0" applyNumberFormat="1" applyFont="1" applyFill="1" applyBorder="1" applyAlignment="1">
      <x:alignment vertical="top" wrapText="1"/>
    </x:xf>
    <x:xf numFmtId="0" fontId="16" fillId="14" borderId="26" xfId="0" applyNumberFormat="1" applyFont="1" applyFill="1" applyBorder="1" applyAlignment="1">
      <x:alignment vertical="top" wrapText="1"/>
    </x:xf>
    <x:xf numFmtId="204" fontId="12" fillId="0" borderId="0" xfId="0" applyNumberFormat="1" applyFont="1" applyFill="1" applyBorder="1" applyAlignment="1">
      <x:alignment vertical="top" wrapText="1"/>
    </x:xf>
    <x:xf numFmtId="204" fontId="12" fillId="8" xfId="0" applyNumberFormat="1" applyFont="1" applyFill="1" applyBorder="0" applyAlignment="1">
      <x:alignment vertical="top" wrapText="1"/>
    </x:xf>
    <x:xf numFmtId="204" fontId="12" fillId="8" borderId="0" xfId="0" applyNumberFormat="1" applyFont="1" applyFill="1" applyBorder="1" applyAlignment="1">
      <x:alignment vertical="top" wrapText="1"/>
    </x:xf>
    <x:xf numFmtId="202" fontId="12" fillId="8" borderId="0" xfId="0" applyNumberFormat="1" applyFont="1" applyFill="1" applyBorder="1" applyAlignment="1">
      <x:alignment vertical="top" wrapText="1"/>
    </x:xf>
    <x:xf numFmtId="201" fontId="12" fillId="0" borderId="0" xfId="0" applyNumberFormat="1" applyFont="1" applyFill="1" applyBorder="1" applyAlignment="1">
      <x:alignment wrapText="1"/>
    </x:xf>
    <x:xf numFmtId="0" fontId="18" fillId="7"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horizontal="left"/>
    </x:xf>
    <x:xf numFmtId="0" fontId="9" fillId="17" borderId="0" xfId="0" applyNumberFormat="1" applyFont="1" applyFill="1" applyBorder="1" applyAlignment="1">
      <x:alignment horizontal="left" vertical="center"/>
    </x:xf>
    <x:xf numFmtId="0" fontId="0" fillId="18" borderId="0" xfId="0" applyNumberFormat="1" applyFont="1" applyFill="1" applyBorder="1"/>
    <x:xf numFmtId="0" fontId="10" fillId="18" borderId="0" xfId="0" applyNumberFormat="1" applyFont="1" applyFill="1" applyBorder="1"/>
    <x:xf numFmtId="0" fontId="10" fillId="18" borderId="0" xfId="0" applyNumberFormat="1" applyFont="1" applyFill="1" applyBorder="1" applyAlignment="1">
      <x:alignment wrapText="1"/>
    </x:xf>
    <x:xf numFmtId="0" fontId="10" fillId="18" borderId="0" xfId="0" applyNumberFormat="1" applyFont="1" applyFill="1" applyBorder="1" applyAlignment="1">
      <x:alignment vertical="center" wrapText="1"/>
    </x:xf>
    <x:xf numFmtId="0" fontId="0" fillId="19" borderId="0" xfId="0" applyNumberFormat="1" applyFont="1" applyFill="1" applyBorder="1"/>
    <x:xf numFmtId="0" fontId="11" fillId="19" borderId="0" xfId="0" applyNumberFormat="1" applyFont="1" applyFill="1" applyBorder="1"/>
    <x:xf numFmtId="0" fontId="11" fillId="19" borderId="34" xfId="0" applyNumberFormat="1" applyFont="1" applyFill="1" applyBorder="1"/>
    <x:xf numFmtId="0" fontId="11" fillId="19" borderId="35" xfId="0" applyNumberFormat="1" applyFont="1" applyFill="1" applyBorder="1"/>
    <x:xf numFmtId="0" fontId="11" fillId="19" borderId="36" xfId="0" applyNumberFormat="1" applyFont="1" applyFill="1" applyBorder="1"/>
    <x:xf numFmtId="0" fontId="11" fillId="19" borderId="34" xfId="0" applyNumberFormat="1" applyFont="1" applyFill="1" applyBorder="1" applyAlignment="1">
      <x:alignment wrapText="1"/>
    </x:xf>
    <x:xf numFmtId="0" fontId="11" fillId="19" borderId="35" xfId="0" applyNumberFormat="1" applyFont="1" applyFill="1" applyBorder="1" applyAlignment="1">
      <x:alignment wrapText="1"/>
    </x:xf>
    <x:xf numFmtId="0" fontId="11" fillId="19" borderId="36" xfId="0" applyNumberFormat="1" applyFont="1" applyFill="1" applyBorder="1" applyAlignment="1">
      <x:alignment wrapText="1"/>
    </x:xf>
    <x:xf numFmtId="0" fontId="11" fillId="19" borderId="34" xfId="0" applyNumberFormat="1" applyFont="1" applyFill="1" applyBorder="1" applyAlignment="1">
      <x:alignment horizontal="center" wrapText="1"/>
    </x:xf>
    <x:xf numFmtId="0" fontId="11" fillId="19" borderId="35" xfId="0" applyNumberFormat="1" applyFont="1" applyFill="1" applyBorder="1" applyAlignment="1">
      <x:alignment horizontal="center" wrapText="1"/>
    </x:xf>
    <x:xf numFmtId="0" fontId="11" fillId="19" borderId="36" xfId="0" applyNumberFormat="1" applyFont="1" applyFill="1" applyBorder="1" applyAlignment="1">
      <x:alignment horizontal="center" wrapText="1"/>
    </x:xf>
    <x:xf numFmtId="0" fontId="11" fillId="19" borderId="34" xfId="0" applyNumberFormat="1" applyFont="1" applyFill="1" applyBorder="1" applyAlignment="1">
      <x:alignment horizontal="center" vertical="center" wrapText="1"/>
    </x:xf>
    <x:xf numFmtId="0" fontId="11" fillId="19" borderId="35" xfId="0" applyNumberFormat="1" applyFont="1" applyFill="1" applyBorder="1" applyAlignment="1">
      <x:alignment horizontal="center" vertical="center" wrapText="1"/>
    </x:xf>
    <x:xf numFmtId="0" fontId="11" fillId="19" borderId="36" xfId="0" applyNumberFormat="1" applyFont="1" applyFill="1" applyBorder="1" applyAlignment="1">
      <x:alignment horizontal="center" vertical="center" wrapText="1"/>
    </x:xf>
    <x:xf numFmtId="0" fontId="12" fillId="0" borderId="37" xfId="0" applyNumberFormat="1" applyFont="1" applyFill="1" applyBorder="1"/>
    <x:xf numFmtId="0" fontId="12" fillId="0" borderId="38" xfId="0" applyNumberFormat="1" applyFont="1" applyFill="1" applyBorder="1"/>
    <x:xf numFmtId="0" fontId="12" fillId="0" borderId="39" xfId="0" applyNumberFormat="1" applyFont="1" applyFill="1" applyBorder="1"/>
    <x:xf numFmtId="0" fontId="12" fillId="0" borderId="40" xfId="0" applyNumberFormat="1" applyFont="1" applyFill="1" applyBorder="1"/>
    <x:xf numFmtId="0" fontId="12" fillId="0" borderId="41" xfId="0" applyNumberFormat="1" applyFont="1" applyFill="1" applyBorder="1"/>
    <x:xf numFmtId="0" fontId="12" fillId="0" borderId="42" xfId="0" applyNumberFormat="1" applyFont="1" applyFill="1" applyBorder="1"/>
    <x:xf numFmtId="0" fontId="12" fillId="0" borderId="43" xfId="0" applyNumberFormat="1" applyFont="1" applyFill="1" applyBorder="1"/>
    <x:xf numFmtId="0" fontId="12" fillId="0" borderId="44" xfId="0" applyNumberFormat="1" applyFont="1" applyFill="1" applyBorder="1"/>
    <x:xf numFmtId="0" fontId="12" fillId="0" borderId="37" xfId="0" applyNumberFormat="1" applyFont="1" applyFill="1" applyBorder="1" applyAlignment="1">
      <x:alignment wrapText="1"/>
    </x:xf>
    <x:xf numFmtId="0" fontId="12" fillId="0" borderId="38" xfId="0" applyNumberFormat="1" applyFont="1" applyFill="1" applyBorder="1" applyAlignment="1">
      <x:alignment wrapText="1"/>
    </x:xf>
    <x:xf numFmtId="0" fontId="12" fillId="0" borderId="39" xfId="0" applyNumberFormat="1" applyFont="1" applyFill="1" applyBorder="1" applyAlignment="1">
      <x:alignment wrapText="1"/>
    </x:xf>
    <x:xf numFmtId="0" fontId="12" fillId="0" borderId="40" xfId="0" applyNumberFormat="1" applyFont="1" applyFill="1" applyBorder="1" applyAlignment="1">
      <x:alignment wrapText="1"/>
    </x:xf>
    <x:xf numFmtId="0" fontId="12" fillId="0" borderId="41" xfId="0" applyNumberFormat="1" applyFont="1" applyFill="1" applyBorder="1" applyAlignment="1">
      <x:alignment wrapText="1"/>
    </x:xf>
    <x:xf numFmtId="0" fontId="12" fillId="0" borderId="42" xfId="0" applyNumberFormat="1" applyFont="1" applyFill="1" applyBorder="1" applyAlignment="1">
      <x:alignment wrapText="1"/>
    </x:xf>
    <x:xf numFmtId="0" fontId="12" fillId="0" borderId="43" xfId="0" applyNumberFormat="1" applyFont="1" applyFill="1" applyBorder="1" applyAlignment="1">
      <x:alignment wrapText="1"/>
    </x:xf>
    <x:xf numFmtId="0" fontId="12" fillId="0" borderId="44" xfId="0" applyNumberFormat="1" applyFont="1" applyFill="1" applyBorder="1" applyAlignment="1">
      <x:alignment wrapText="1"/>
    </x:xf>
    <x:xf numFmtId="0" fontId="12" fillId="0" borderId="37" xfId="0" applyNumberFormat="1" applyFont="1" applyFill="1" applyBorder="1" applyAlignment="1">
      <x:alignment vertical="top" wrapText="1"/>
    </x:xf>
    <x:xf numFmtId="0" fontId="12" fillId="0" borderId="38" xfId="0" applyNumberFormat="1" applyFont="1" applyFill="1" applyBorder="1" applyAlignment="1">
      <x:alignment vertical="top" wrapText="1"/>
    </x:xf>
    <x:xf numFmtId="0" fontId="12" fillId="0" borderId="39" xfId="0" applyNumberFormat="1" applyFont="1" applyFill="1" applyBorder="1" applyAlignment="1">
      <x:alignment vertical="top" wrapText="1"/>
    </x:xf>
    <x:xf numFmtId="0" fontId="12" fillId="0" borderId="40" xfId="0" applyNumberFormat="1" applyFont="1" applyFill="1" applyBorder="1" applyAlignment="1">
      <x:alignment vertical="top" wrapText="1"/>
    </x:xf>
    <x:xf numFmtId="0" fontId="12" fillId="0" borderId="41" xfId="0" applyNumberFormat="1" applyFont="1" applyFill="1" applyBorder="1" applyAlignment="1">
      <x:alignment vertical="top" wrapText="1"/>
    </x:xf>
    <x:xf numFmtId="0" fontId="12" fillId="0" borderId="42" xfId="0" applyNumberFormat="1" applyFont="1" applyFill="1" applyBorder="1" applyAlignment="1">
      <x:alignment vertical="top" wrapText="1"/>
    </x:xf>
    <x:xf numFmtId="0" fontId="12" fillId="0" borderId="43" xfId="0" applyNumberFormat="1" applyFont="1" applyFill="1" applyBorder="1" applyAlignment="1">
      <x:alignment vertical="top" wrapText="1"/>
    </x:xf>
    <x:xf numFmtId="0" fontId="12" fillId="0" borderId="44" xfId="0" applyNumberFormat="1" applyFont="1" applyFill="1" applyBorder="1" applyAlignment="1">
      <x:alignment vertical="top" wrapText="1"/>
    </x:xf>
    <x:xf numFmtId="0" fontId="12" fillId="20" borderId="40" xfId="0" applyNumberFormat="1" applyFont="1" applyFill="1" applyBorder="1" applyAlignment="1">
      <x:alignment vertical="top" wrapText="1"/>
    </x:xf>
    <x:xf numFmtId="0" fontId="12" fillId="20" xfId="0" applyNumberFormat="1" applyFont="1" applyFill="1" applyBorder="0" applyAlignment="1">
      <x:alignment vertical="top" wrapText="1"/>
    </x:xf>
    <x:xf numFmtId="0" fontId="12" fillId="20" borderId="41" xfId="0" applyNumberFormat="1" applyFont="1" applyFill="1" applyBorder="1" applyAlignment="1">
      <x:alignment vertical="top" wrapText="1"/>
    </x:xf>
    <x:xf numFmtId="0" fontId="12" fillId="20" borderId="42" xfId="0" applyNumberFormat="1" applyFont="1" applyFill="1" applyBorder="1" applyAlignment="1">
      <x:alignment vertical="top" wrapText="1"/>
    </x:xf>
    <x:xf numFmtId="0" fontId="12" fillId="20" borderId="43" xfId="0" applyNumberFormat="1" applyFont="1" applyFill="1" applyBorder="1" applyAlignment="1">
      <x:alignment vertical="top" wrapText="1"/>
    </x:xf>
    <x:xf numFmtId="0" fontId="12" fillId="20" borderId="44" xfId="0" applyNumberFormat="1" applyFont="1" applyFill="1" applyBorder="1" applyAlignment="1">
      <x:alignment vertical="top" wrapText="1"/>
    </x:xf>
    <x:xf numFmtId="202" fontId="12" fillId="0" borderId="38" xfId="0" applyNumberFormat="1" applyFont="1" applyFill="1" applyBorder="1" applyAlignment="1">
      <x:alignment vertical="top" wrapText="1"/>
    </x:xf>
    <x:xf numFmtId="202" fontId="12" fillId="20" xfId="0" applyNumberFormat="1" applyFont="1" applyFill="1" applyBorder="0" applyAlignment="1">
      <x:alignment vertical="top" wrapText="1"/>
    </x:xf>
    <x:xf numFmtId="202" fontId="12" fillId="20" borderId="43" xfId="0" applyNumberFormat="1" applyFont="1" applyFill="1" applyBorder="1" applyAlignment="1">
      <x:alignment vertical="top" wrapText="1"/>
    </x:xf>
    <x:xf numFmtId="202" fontId="12" fillId="0" borderId="43" xfId="0" applyNumberFormat="1" applyFont="1" applyFill="1" applyBorder="1" applyAlignment="1">
      <x:alignment vertical="top" wrapText="1"/>
    </x:xf>
    <x:xf numFmtId="202" fontId="12" fillId="0" borderId="39" xfId="0" applyNumberFormat="1" applyFont="1" applyFill="1" applyBorder="1" applyAlignment="1">
      <x:alignment vertical="top" wrapText="1"/>
    </x:xf>
    <x:xf numFmtId="0" fontId="0" fillId="21" borderId="0" xfId="0" applyNumberFormat="1" applyFont="1" applyFill="1" applyBorder="1"/>
    <x:xf numFmtId="0" fontId="13" fillId="21" borderId="0" xfId="0" applyNumberFormat="1" applyFont="1" applyFill="1" applyBorder="1"/>
    <x:xf numFmtId="0" fontId="0" fillId="22" borderId="0" xfId="0" applyNumberFormat="1" applyFont="1" applyFill="1" applyBorder="1"/>
    <x:xf numFmtId="0" fontId="12" fillId="22" borderId="0" xfId="0" applyNumberFormat="1" applyFont="1" applyFill="1" applyBorder="1"/>
    <x:xf numFmtId="0" fontId="12" fillId="22" borderId="0" xfId="0" applyNumberFormat="1" applyFont="1" applyFill="1" applyBorder="1" applyAlignment="1">
      <x:alignment wrapText="1"/>
    </x:xf>
    <x:xf numFmtId="0" fontId="12" fillId="22" borderId="0" xfId="0" applyNumberFormat="1" applyFont="1" applyFill="1" applyBorder="1" applyAlignment="1">
      <x:alignment vertical="top" wrapText="1"/>
    </x:xf>
    <x:xf numFmtId="202" fontId="12" fillId="0" borderId="41" xfId="0" applyNumberFormat="1" applyFont="1" applyFill="1" applyBorder="1" applyAlignment="1">
      <x:alignment vertical="top" wrapText="1"/>
    </x:xf>
    <x:xf numFmtId="201" fontId="12" fillId="0" borderId="39" xfId="0" applyNumberFormat="1" applyFont="1" applyFill="1" applyBorder="1"/>
    <x:xf numFmtId="201" fontId="12" fillId="0" borderId="41" xfId="0" applyNumberFormat="1" applyFont="1" applyFill="1" applyBorder="1"/>
    <x:xf numFmtId="201" fontId="12" fillId="0" borderId="44" xfId="0" applyNumberFormat="1" applyFont="1" applyFill="1" applyBorder="1"/>
    <x:xf numFmtId="201" fontId="12" fillId="0" borderId="39" xfId="0" applyNumberFormat="1" applyFont="1" applyFill="1" applyBorder="1" applyAlignment="1">
      <x:alignment wrapText="1"/>
    </x:xf>
    <x:xf numFmtId="201" fontId="12" fillId="0" borderId="41" xfId="0" applyNumberFormat="1" applyFont="1" applyFill="1" applyBorder="1" applyAlignment="1">
      <x:alignment wrapText="1"/>
    </x:xf>
    <x:xf numFmtId="201" fontId="12" fillId="0" borderId="44" xfId="0" applyNumberFormat="1" applyFont="1" applyFill="1" applyBorder="1" applyAlignment="1">
      <x:alignment wrapText="1"/>
    </x:xf>
    <x:xf numFmtId="201" fontId="12" fillId="0" borderId="39" xfId="0" applyNumberFormat="1" applyFont="1" applyFill="1" applyBorder="1" applyAlignment="1">
      <x:alignment vertical="top" wrapText="1"/>
    </x:xf>
    <x:xf numFmtId="201" fontId="12" fillId="0" borderId="41" xfId="0" applyNumberFormat="1" applyFont="1" applyFill="1" applyBorder="1" applyAlignment="1">
      <x:alignment vertical="top" wrapText="1"/>
    </x:xf>
    <x:xf numFmtId="201" fontId="12" fillId="0" borderId="44" xfId="0" applyNumberFormat="1" applyFont="1" applyFill="1" applyBorder="1" applyAlignment="1">
      <x:alignment vertical="top" wrapText="1"/>
    </x:xf>
    <x:xf numFmtId="0" fontId="4" fillId="21" borderId="0" xfId="0" applyNumberFormat="1" applyFont="1" applyFill="1" applyBorder="1"/>
    <x:xf numFmtId="0" fontId="6" fillId="19" borderId="0" xfId="0" applyNumberFormat="1" applyFont="1" applyFill="1" applyBorder="1"/>
    <x:xf numFmtId="0" fontId="5" fillId="19" borderId="0" xfId="0" applyNumberFormat="1" applyFont="1" applyFill="1" applyBorder="1"/>
    <x:xf numFmtId="0" fontId="5" fillId="19" borderId="34" xfId="0" applyNumberFormat="1" applyFont="1" applyFill="1" applyBorder="1"/>
    <x:xf numFmtId="0" fontId="5" fillId="19" borderId="35" xfId="0" applyNumberFormat="1" applyFont="1" applyFill="1" applyBorder="1"/>
    <x:xf numFmtId="0" fontId="5" fillId="19" borderId="36" xfId="0" applyNumberFormat="1" applyFont="1" applyFill="1" applyBorder="1"/>
    <x:xf numFmtId="0" fontId="5" fillId="19" borderId="34" xfId="0" applyNumberFormat="1" applyFont="1" applyFill="1" applyBorder="1" applyAlignment="1">
      <x:alignment wrapText="1"/>
    </x:xf>
    <x:xf numFmtId="0" fontId="5" fillId="19" borderId="35" xfId="0" applyNumberFormat="1" applyFont="1" applyFill="1" applyBorder="1" applyAlignment="1">
      <x:alignment wrapText="1"/>
    </x:xf>
    <x:xf numFmtId="0" fontId="5" fillId="19" borderId="36" xfId="0" applyNumberFormat="1" applyFont="1" applyFill="1" applyBorder="1" applyAlignment="1">
      <x:alignment wrapText="1"/>
    </x:xf>
    <x:xf numFmtId="0" fontId="5" fillId="19" borderId="34" xfId="0" applyNumberFormat="1" applyFont="1" applyFill="1" applyBorder="1" applyAlignment="1">
      <x:alignment horizontal="center" wrapText="1"/>
    </x:xf>
    <x:xf numFmtId="0" fontId="5" fillId="19" borderId="35" xfId="0" applyNumberFormat="1" applyFont="1" applyFill="1" applyBorder="1" applyAlignment="1">
      <x:alignment horizontal="center" wrapText="1"/>
    </x:xf>
    <x:xf numFmtId="0" fontId="5" fillId="19" borderId="36" xfId="0" applyNumberFormat="1" applyFont="1" applyFill="1" applyBorder="1" applyAlignment="1">
      <x:alignment horizontal="center" wrapText="1"/>
    </x:xf>
    <x:xf numFmtId="0" fontId="5" fillId="19" borderId="34" xfId="0" applyNumberFormat="1" applyFont="1" applyFill="1" applyBorder="1" applyAlignment="1">
      <x:alignment horizontal="center" vertical="center" wrapText="1"/>
    </x:xf>
    <x:xf numFmtId="0" fontId="5" fillId="19" borderId="35" xfId="0" applyNumberFormat="1" applyFont="1" applyFill="1" applyBorder="1" applyAlignment="1">
      <x:alignment horizontal="center" vertical="center" wrapText="1"/>
    </x:xf>
    <x:xf numFmtId="0" fontId="5" fillId="19" borderId="36" xfId="0" applyNumberFormat="1" applyFont="1" applyFill="1" applyBorder="1" applyAlignment="1">
      <x:alignment horizontal="center" vertical="center" wrapText="1"/>
    </x:xf>
    <x:xf numFmtId="0" fontId="16" fillId="0" borderId="37" xfId="0" applyNumberFormat="1" applyFont="1" applyFill="1" applyBorder="1"/>
    <x:xf numFmtId="0" fontId="16" fillId="0" borderId="38" xfId="0" applyNumberFormat="1" applyFont="1" applyFill="1" applyBorder="1"/>
    <x:xf numFmtId="0" fontId="16" fillId="0" borderId="39" xfId="0" applyNumberFormat="1" applyFont="1" applyFill="1" applyBorder="1"/>
    <x:xf numFmtId="0" fontId="16" fillId="0" borderId="40" xfId="0" applyNumberFormat="1" applyFont="1" applyFill="1" applyBorder="1"/>
    <x:xf numFmtId="0" fontId="16" fillId="0" borderId="41" xfId="0" applyNumberFormat="1" applyFont="1" applyFill="1" applyBorder="1"/>
    <x:xf numFmtId="0" fontId="16" fillId="0" borderId="42" xfId="0" applyNumberFormat="1" applyFont="1" applyFill="1" applyBorder="1"/>
    <x:xf numFmtId="0" fontId="16" fillId="0" borderId="43" xfId="0" applyNumberFormat="1" applyFont="1" applyFill="1" applyBorder="1"/>
    <x:xf numFmtId="0" fontId="16" fillId="0" borderId="44" xfId="0" applyNumberFormat="1" applyFont="1" applyFill="1" applyBorder="1"/>
    <x:xf numFmtId="0" fontId="16" fillId="0" borderId="37" xfId="0" applyNumberFormat="1" applyFont="1" applyFill="1" applyBorder="1" applyAlignment="1">
      <x:alignment wrapText="1"/>
    </x:xf>
    <x:xf numFmtId="0" fontId="16" fillId="0" borderId="38" xfId="0" applyNumberFormat="1" applyFont="1" applyFill="1" applyBorder="1" applyAlignment="1">
      <x:alignment wrapText="1"/>
    </x:xf>
    <x:xf numFmtId="0" fontId="16" fillId="0" borderId="39" xfId="0" applyNumberFormat="1" applyFont="1" applyFill="1" applyBorder="1" applyAlignment="1">
      <x:alignment wrapText="1"/>
    </x:xf>
    <x:xf numFmtId="0" fontId="16" fillId="0" borderId="40" xfId="0" applyNumberFormat="1" applyFont="1" applyFill="1" applyBorder="1" applyAlignment="1">
      <x:alignment wrapText="1"/>
    </x:xf>
    <x:xf numFmtId="0" fontId="16" fillId="0" borderId="41" xfId="0" applyNumberFormat="1" applyFont="1" applyFill="1" applyBorder="1" applyAlignment="1">
      <x:alignment wrapText="1"/>
    </x:xf>
    <x:xf numFmtId="0" fontId="16" fillId="0" borderId="42" xfId="0" applyNumberFormat="1" applyFont="1" applyFill="1" applyBorder="1" applyAlignment="1">
      <x:alignment wrapText="1"/>
    </x:xf>
    <x:xf numFmtId="0" fontId="16" fillId="0" borderId="43" xfId="0" applyNumberFormat="1" applyFont="1" applyFill="1" applyBorder="1" applyAlignment="1">
      <x:alignment wrapText="1"/>
    </x:xf>
    <x:xf numFmtId="0" fontId="16" fillId="0" borderId="44" xfId="0" applyNumberFormat="1" applyFont="1" applyFill="1" applyBorder="1" applyAlignment="1">
      <x:alignment wrapText="1"/>
    </x:xf>
    <x:xf numFmtId="0" fontId="16" fillId="0" borderId="37" xfId="0" applyNumberFormat="1" applyFont="1" applyFill="1" applyBorder="1" applyAlignment="1">
      <x:alignment vertical="top" wrapText="1"/>
    </x:xf>
    <x:xf numFmtId="0" fontId="16" fillId="0" borderId="38" xfId="0" applyNumberFormat="1" applyFont="1" applyFill="1" applyBorder="1" applyAlignment="1">
      <x:alignment vertical="top" wrapText="1"/>
    </x:xf>
    <x:xf numFmtId="0" fontId="16" fillId="0" borderId="39" xfId="0" applyNumberFormat="1" applyFont="1" applyFill="1" applyBorder="1" applyAlignment="1">
      <x:alignment vertical="top" wrapText="1"/>
    </x:xf>
    <x:xf numFmtId="0" fontId="16" fillId="0" borderId="40" xfId="0" applyNumberFormat="1" applyFont="1" applyFill="1" applyBorder="1" applyAlignment="1">
      <x:alignment vertical="top" wrapText="1"/>
    </x:xf>
    <x:xf numFmtId="0" fontId="16" fillId="0" borderId="41" xfId="0" applyNumberFormat="1" applyFont="1" applyFill="1" applyBorder="1" applyAlignment="1">
      <x:alignment vertical="top" wrapText="1"/>
    </x:xf>
    <x:xf numFmtId="0" fontId="16" fillId="0" borderId="42" xfId="0" applyNumberFormat="1" applyFont="1" applyFill="1" applyBorder="1" applyAlignment="1">
      <x:alignment vertical="top" wrapText="1"/>
    </x:xf>
    <x:xf numFmtId="0" fontId="16" fillId="0" borderId="43" xfId="0" applyNumberFormat="1" applyFont="1" applyFill="1" applyBorder="1" applyAlignment="1">
      <x:alignment vertical="top" wrapText="1"/>
    </x:xf>
    <x:xf numFmtId="0" fontId="16" fillId="0" borderId="44" xfId="0" applyNumberFormat="1" applyFont="1" applyFill="1" applyBorder="1" applyAlignment="1">
      <x:alignment vertical="top" wrapText="1"/>
    </x:xf>
    <x:xf numFmtId="202" fontId="16" fillId="0" borderId="38" xfId="0" applyNumberFormat="1" applyFont="1" applyFill="1" applyBorder="1" applyAlignment="1">
      <x:alignment vertical="top" wrapText="1"/>
    </x:xf>
    <x:xf numFmtId="202" fontId="16" fillId="0" xfId="0" applyNumberFormat="1" applyFont="1" applyFill="1" applyBorder="0" applyAlignment="1">
      <x:alignment vertical="top" wrapText="1"/>
    </x:xf>
    <x:xf numFmtId="0" fontId="16" fillId="20" borderId="40" xfId="0" applyNumberFormat="1" applyFont="1" applyFill="1" applyBorder="1" applyAlignment="1">
      <x:alignment vertical="top" wrapText="1"/>
    </x:xf>
    <x:xf numFmtId="0" fontId="16" fillId="20" xfId="0" applyNumberFormat="1" applyFont="1" applyFill="1" applyBorder="0" applyAlignment="1">
      <x:alignment vertical="top" wrapText="1"/>
    </x:xf>
    <x:xf numFmtId="0" fontId="16" fillId="20" borderId="41" xfId="0" applyNumberFormat="1" applyFont="1" applyFill="1" applyBorder="1" applyAlignment="1">
      <x:alignment vertical="top" wrapText="1"/>
    </x:xf>
    <x:xf numFmtId="0" fontId="16" fillId="20" borderId="42" xfId="0" applyNumberFormat="1" applyFont="1" applyFill="1" applyBorder="1" applyAlignment="1">
      <x:alignment vertical="top" wrapText="1"/>
    </x:xf>
    <x:xf numFmtId="0" fontId="16" fillId="20" borderId="43" xfId="0" applyNumberFormat="1" applyFont="1" applyFill="1" applyBorder="1" applyAlignment="1">
      <x:alignment vertical="top" wrapText="1"/>
    </x:xf>
    <x:xf numFmtId="0" fontId="16" fillId="20" borderId="44" xfId="0" applyNumberFormat="1" applyFont="1" applyFill="1" applyBorder="1" applyAlignment="1">
      <x:alignment vertical="top" wrapText="1"/>
    </x:xf>
    <x:xf numFmtId="0" fontId="0" fillId="23" borderId="0" xfId="0" applyNumberFormat="1" applyFont="1" applyFill="1" applyBorder="1"/>
    <x:xf numFmtId="0" fontId="9" fillId="23" borderId="0" xfId="0" applyNumberFormat="1" applyFont="1" applyFill="1" applyBorder="1"/>
    <x:xf numFmtId="0" fontId="9" fillId="23" borderId="0" xfId="0" applyNumberFormat="1" applyFont="1" applyFill="1" applyBorder="1" applyAlignment="1">
      <x:alignment horizontal="left"/>
    </x:xf>
    <x:xf numFmtId="0" fontId="9" fillId="23" borderId="0" xfId="0" applyNumberFormat="1" applyFont="1" applyFill="1" applyBorder="1" applyAlignment="1">
      <x:alignment horizontal="left" vertical="center"/>
    </x:xf>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10" fillId="24" borderId="0" xfId="0" applyNumberFormat="1" applyFont="1" applyFill="1" applyBorder="1" applyAlignment="1">
      <x:alignment vertical="center" wrapText="1"/>
    </x:xf>
    <x:xf numFmtId="0" fontId="0" fillId="25" borderId="0" xfId="0" applyNumberFormat="1" applyFont="1" applyFill="1" applyBorder="1"/>
    <x:xf numFmtId="0" fontId="11" fillId="25" borderId="0" xfId="0" applyNumberFormat="1" applyFont="1" applyFill="1" applyBorder="1"/>
    <x:xf numFmtId="0" fontId="11" fillId="25" borderId="45" xfId="0" applyNumberFormat="1" applyFont="1" applyFill="1" applyBorder="1"/>
    <x:xf numFmtId="0" fontId="11" fillId="25" borderId="46" xfId="0" applyNumberFormat="1" applyFont="1" applyFill="1" applyBorder="1"/>
    <x:xf numFmtId="0" fontId="11" fillId="25" borderId="47" xfId="0" applyNumberFormat="1" applyFont="1" applyFill="1" applyBorder="1"/>
    <x:xf numFmtId="0" fontId="11" fillId="25" borderId="45" xfId="0" applyNumberFormat="1" applyFont="1" applyFill="1" applyBorder="1" applyAlignment="1">
      <x:alignment wrapText="1"/>
    </x:xf>
    <x:xf numFmtId="0" fontId="11" fillId="25" borderId="46" xfId="0" applyNumberFormat="1" applyFont="1" applyFill="1" applyBorder="1" applyAlignment="1">
      <x:alignment wrapText="1"/>
    </x:xf>
    <x:xf numFmtId="0" fontId="11" fillId="25" borderId="47" xfId="0" applyNumberFormat="1" applyFont="1" applyFill="1" applyBorder="1" applyAlignment="1">
      <x:alignment wrapText="1"/>
    </x:xf>
    <x:xf numFmtId="0" fontId="11" fillId="25" borderId="45" xfId="0" applyNumberFormat="1" applyFont="1" applyFill="1" applyBorder="1" applyAlignment="1">
      <x:alignment horizontal="center" wrapText="1"/>
    </x:xf>
    <x:xf numFmtId="0" fontId="11" fillId="25" borderId="46" xfId="0" applyNumberFormat="1" applyFont="1" applyFill="1" applyBorder="1" applyAlignment="1">
      <x:alignment horizontal="center" wrapText="1"/>
    </x:xf>
    <x:xf numFmtId="0" fontId="11" fillId="25" borderId="47" xfId="0" applyNumberFormat="1" applyFont="1" applyFill="1" applyBorder="1" applyAlignment="1">
      <x:alignment horizontal="center" wrapText="1"/>
    </x:xf>
    <x:xf numFmtId="0" fontId="11" fillId="25" borderId="45" xfId="0" applyNumberFormat="1" applyFont="1" applyFill="1" applyBorder="1" applyAlignment="1">
      <x:alignment horizontal="center" vertical="center" wrapText="1"/>
    </x:xf>
    <x:xf numFmtId="0" fontId="11" fillId="25" borderId="46" xfId="0" applyNumberFormat="1" applyFont="1" applyFill="1" applyBorder="1" applyAlignment="1">
      <x:alignment horizontal="center" vertical="center" wrapText="1"/>
    </x:xf>
    <x:xf numFmtId="0" fontId="11" fillId="25" borderId="47" xfId="0" applyNumberFormat="1" applyFont="1" applyFill="1" applyBorder="1" applyAlignment="1">
      <x:alignment horizontal="center" vertical="center" wrapText="1"/>
    </x:xf>
    <x:xf numFmtId="0" fontId="12" fillId="0" borderId="48" xfId="0" applyNumberFormat="1" applyFont="1" applyFill="1" applyBorder="1"/>
    <x:xf numFmtId="0" fontId="12" fillId="0" borderId="49" xfId="0" applyNumberFormat="1" applyFont="1" applyFill="1" applyBorder="1"/>
    <x:xf numFmtId="0" fontId="12" fillId="0" borderId="50" xfId="0" applyNumberFormat="1" applyFont="1" applyFill="1" applyBorder="1"/>
    <x:xf numFmtId="0" fontId="12" fillId="0" borderId="51" xfId="0" applyNumberFormat="1" applyFont="1" applyFill="1" applyBorder="1"/>
    <x:xf numFmtId="0" fontId="12" fillId="0" borderId="52" xfId="0" applyNumberFormat="1" applyFont="1" applyFill="1" applyBorder="1"/>
    <x:xf numFmtId="0" fontId="12" fillId="0" borderId="53" xfId="0" applyNumberFormat="1" applyFont="1" applyFill="1" applyBorder="1"/>
    <x:xf numFmtId="0" fontId="12" fillId="0" borderId="54" xfId="0" applyNumberFormat="1" applyFont="1" applyFill="1" applyBorder="1"/>
    <x:xf numFmtId="0" fontId="12" fillId="0" borderId="55" xfId="0" applyNumberFormat="1" applyFont="1" applyFill="1" applyBorder="1"/>
    <x:xf numFmtId="0" fontId="12" fillId="0" borderId="48" xfId="0" applyNumberFormat="1" applyFont="1" applyFill="1" applyBorder="1" applyAlignment="1">
      <x:alignment wrapText="1"/>
    </x:xf>
    <x:xf numFmtId="0" fontId="12" fillId="0" borderId="49" xfId="0" applyNumberFormat="1" applyFont="1" applyFill="1" applyBorder="1" applyAlignment="1">
      <x:alignment wrapText="1"/>
    </x:xf>
    <x:xf numFmtId="0" fontId="12" fillId="0" borderId="50" xfId="0" applyNumberFormat="1" applyFont="1" applyFill="1" applyBorder="1" applyAlignment="1">
      <x:alignment wrapText="1"/>
    </x:xf>
    <x:xf numFmtId="0" fontId="12" fillId="0" borderId="51" xfId="0" applyNumberFormat="1" applyFont="1" applyFill="1" applyBorder="1" applyAlignment="1">
      <x:alignment wrapText="1"/>
    </x:xf>
    <x:xf numFmtId="0" fontId="12" fillId="0" borderId="52" xfId="0" applyNumberFormat="1" applyFont="1" applyFill="1" applyBorder="1" applyAlignment="1">
      <x:alignment wrapText="1"/>
    </x:xf>
    <x:xf numFmtId="0" fontId="12" fillId="0" borderId="53" xfId="0" applyNumberFormat="1" applyFont="1" applyFill="1" applyBorder="1" applyAlignment="1">
      <x:alignment wrapText="1"/>
    </x:xf>
    <x:xf numFmtId="0" fontId="12" fillId="0" borderId="54" xfId="0" applyNumberFormat="1" applyFont="1" applyFill="1" applyBorder="1" applyAlignment="1">
      <x:alignment wrapText="1"/>
    </x:xf>
    <x:xf numFmtId="0" fontId="12" fillId="0" borderId="55" xfId="0" applyNumberFormat="1" applyFont="1" applyFill="1" applyBorder="1" applyAlignment="1">
      <x:alignment wrapText="1"/>
    </x:xf>
    <x:xf numFmtId="0" fontId="12" fillId="0" borderId="48" xfId="0" applyNumberFormat="1" applyFont="1" applyFill="1" applyBorder="1" applyAlignment="1">
      <x:alignment vertical="top" wrapText="1"/>
    </x:xf>
    <x:xf numFmtId="0" fontId="12" fillId="0" borderId="49" xfId="0" applyNumberFormat="1" applyFont="1" applyFill="1" applyBorder="1" applyAlignment="1">
      <x:alignment vertical="top" wrapText="1"/>
    </x:xf>
    <x:xf numFmtId="0" fontId="12" fillId="0" borderId="50" xfId="0" applyNumberFormat="1" applyFont="1" applyFill="1" applyBorder="1" applyAlignment="1">
      <x:alignment vertical="top" wrapText="1"/>
    </x:xf>
    <x:xf numFmtId="0" fontId="12" fillId="0" borderId="51" xfId="0" applyNumberFormat="1" applyFont="1" applyFill="1" applyBorder="1" applyAlignment="1">
      <x:alignment vertical="top" wrapText="1"/>
    </x:xf>
    <x:xf numFmtId="0" fontId="12" fillId="0" borderId="52" xfId="0" applyNumberFormat="1" applyFont="1" applyFill="1" applyBorder="1" applyAlignment="1">
      <x:alignment vertical="top" wrapText="1"/>
    </x:xf>
    <x:xf numFmtId="0" fontId="12" fillId="0" borderId="53" xfId="0" applyNumberFormat="1" applyFont="1" applyFill="1" applyBorder="1" applyAlignment="1">
      <x:alignment vertical="top" wrapText="1"/>
    </x:xf>
    <x:xf numFmtId="0" fontId="12" fillId="0" borderId="54" xfId="0" applyNumberFormat="1" applyFont="1" applyFill="1" applyBorder="1" applyAlignment="1">
      <x:alignment vertical="top" wrapText="1"/>
    </x:xf>
    <x:xf numFmtId="0" fontId="12" fillId="0" borderId="55" xfId="0" applyNumberFormat="1" applyFont="1" applyFill="1" applyBorder="1" applyAlignment="1">
      <x:alignment vertical="top" wrapText="1"/>
    </x:xf>
    <x:xf numFmtId="0" fontId="12" fillId="26" borderId="51" xfId="0" applyNumberFormat="1" applyFont="1" applyFill="1" applyBorder="1" applyAlignment="1">
      <x:alignment vertical="top" wrapText="1"/>
    </x:xf>
    <x:xf numFmtId="0" fontId="12" fillId="26" xfId="0" applyNumberFormat="1" applyFont="1" applyFill="1" applyBorder="0" applyAlignment="1">
      <x:alignment vertical="top" wrapText="1"/>
    </x:xf>
    <x:xf numFmtId="0" fontId="12" fillId="26" borderId="52" xfId="0" applyNumberFormat="1" applyFont="1" applyFill="1" applyBorder="1" applyAlignment="1">
      <x:alignment vertical="top" wrapText="1"/>
    </x:xf>
    <x:xf numFmtId="0" fontId="12" fillId="26" borderId="53" xfId="0" applyNumberFormat="1" applyFont="1" applyFill="1" applyBorder="1" applyAlignment="1">
      <x:alignment vertical="top" wrapText="1"/>
    </x:xf>
    <x:xf numFmtId="0" fontId="12" fillId="26" borderId="54" xfId="0" applyNumberFormat="1" applyFont="1" applyFill="1" applyBorder="1" applyAlignment="1">
      <x:alignment vertical="top" wrapText="1"/>
    </x:xf>
    <x:xf numFmtId="0" fontId="12" fillId="26" borderId="55" xfId="0" applyNumberFormat="1" applyFont="1" applyFill="1" applyBorder="1" applyAlignment="1">
      <x:alignment vertical="top" wrapText="1"/>
    </x:xf>
    <x:xf numFmtId="202" fontId="12" fillId="0" borderId="49" xfId="0" applyNumberFormat="1" applyFont="1" applyFill="1" applyBorder="1" applyAlignment="1">
      <x:alignment vertical="top" wrapText="1"/>
    </x:xf>
    <x:xf numFmtId="202" fontId="12" fillId="26" xfId="0" applyNumberFormat="1" applyFont="1" applyFill="1" applyBorder="0" applyAlignment="1">
      <x:alignment vertical="top" wrapText="1"/>
    </x:xf>
    <x:xf numFmtId="202" fontId="12" fillId="26" borderId="54" xfId="0" applyNumberFormat="1" applyFont="1" applyFill="1" applyBorder="1" applyAlignment="1">
      <x:alignment vertical="top" wrapText="1"/>
    </x:xf>
    <x:xf numFmtId="202" fontId="12" fillId="0" borderId="50" xfId="0" applyNumberFormat="1" applyFont="1" applyFill="1" applyBorder="1" applyAlignment="1">
      <x:alignment vertical="top" wrapText="1"/>
    </x:xf>
    <x:xf numFmtId="202" fontId="12" fillId="0" borderId="52" xfId="0" applyNumberFormat="1" applyFont="1" applyFill="1" applyBorder="1" applyAlignment="1">
      <x:alignment vertical="top" wrapText="1"/>
    </x:xf>
    <x:xf numFmtId="201" fontId="12" fillId="0" borderId="50" xfId="0" applyNumberFormat="1" applyFont="1" applyFill="1" applyBorder="1"/>
    <x:xf numFmtId="201" fontId="12" fillId="0" borderId="52" xfId="0" applyNumberFormat="1" applyFont="1" applyFill="1" applyBorder="1"/>
    <x:xf numFmtId="201" fontId="12" fillId="0" borderId="55" xfId="0" applyNumberFormat="1" applyFont="1" applyFill="1" applyBorder="1"/>
    <x:xf numFmtId="201" fontId="12" fillId="0" borderId="50" xfId="0" applyNumberFormat="1" applyFont="1" applyFill="1" applyBorder="1" applyAlignment="1">
      <x:alignment wrapText="1"/>
    </x:xf>
    <x:xf numFmtId="201" fontId="12" fillId="0" borderId="52" xfId="0" applyNumberFormat="1" applyFont="1" applyFill="1" applyBorder="1" applyAlignment="1">
      <x:alignment wrapText="1"/>
    </x:xf>
    <x:xf numFmtId="201" fontId="12" fillId="0" borderId="55" xfId="0" applyNumberFormat="1" applyFont="1" applyFill="1" applyBorder="1" applyAlignment="1">
      <x:alignment wrapText="1"/>
    </x:xf>
    <x:xf numFmtId="201" fontId="12" fillId="0" borderId="50" xfId="0" applyNumberFormat="1" applyFont="1" applyFill="1" applyBorder="1" applyAlignment="1">
      <x:alignment vertical="top" wrapText="1"/>
    </x:xf>
    <x:xf numFmtId="201" fontId="12" fillId="0" borderId="52" xfId="0" applyNumberFormat="1" applyFont="1" applyFill="1" applyBorder="1" applyAlignment="1">
      <x:alignment vertical="top" wrapText="1"/>
    </x:xf>
    <x:xf numFmtId="201" fontId="12" fillId="0" borderId="55" xfId="0" applyNumberFormat="1" applyFont="1" applyFill="1" applyBorder="1" applyAlignment="1">
      <x:alignment vertical="top" wrapText="1"/>
    </x:xf>
    <x:xf numFmtId="0" fontId="0" fillId="27" borderId="0" xfId="0" applyNumberFormat="1" applyFont="1" applyFill="1" applyBorder="1"/>
    <x:xf numFmtId="0" fontId="4" fillId="27" borderId="0" xfId="0" applyNumberFormat="1" applyFont="1" applyFill="1" applyBorder="1"/>
    <x:xf numFmtId="0" fontId="6" fillId="25" borderId="0" xfId="0" applyNumberFormat="1" applyFont="1" applyFill="1" applyBorder="1"/>
    <x:xf numFmtId="0" fontId="5" fillId="25" borderId="0" xfId="0" applyNumberFormat="1" applyFont="1" applyFill="1" applyBorder="1"/>
    <x:xf numFmtId="0" fontId="5" fillId="25" borderId="45" xfId="0" applyNumberFormat="1" applyFont="1" applyFill="1" applyBorder="1"/>
    <x:xf numFmtId="0" fontId="5" fillId="25" borderId="46" xfId="0" applyNumberFormat="1" applyFont="1" applyFill="1" applyBorder="1"/>
    <x:xf numFmtId="0" fontId="5" fillId="25" borderId="47" xfId="0" applyNumberFormat="1" applyFont="1" applyFill="1" applyBorder="1"/>
    <x:xf numFmtId="0" fontId="5" fillId="25" borderId="45" xfId="0" applyNumberFormat="1" applyFont="1" applyFill="1" applyBorder="1" applyAlignment="1">
      <x:alignment wrapText="1"/>
    </x:xf>
    <x:xf numFmtId="0" fontId="5" fillId="25" borderId="46" xfId="0" applyNumberFormat="1" applyFont="1" applyFill="1" applyBorder="1" applyAlignment="1">
      <x:alignment wrapText="1"/>
    </x:xf>
    <x:xf numFmtId="0" fontId="5" fillId="25" borderId="47" xfId="0" applyNumberFormat="1" applyFont="1" applyFill="1" applyBorder="1" applyAlignment="1">
      <x:alignment wrapText="1"/>
    </x:xf>
    <x:xf numFmtId="0" fontId="5" fillId="25" borderId="45" xfId="0" applyNumberFormat="1" applyFont="1" applyFill="1" applyBorder="1" applyAlignment="1">
      <x:alignment horizontal="center" wrapText="1"/>
    </x:xf>
    <x:xf numFmtId="0" fontId="5" fillId="25" borderId="46" xfId="0" applyNumberFormat="1" applyFont="1" applyFill="1" applyBorder="1" applyAlignment="1">
      <x:alignment horizontal="center" wrapText="1"/>
    </x:xf>
    <x:xf numFmtId="0" fontId="5" fillId="25" borderId="47" xfId="0" applyNumberFormat="1" applyFont="1" applyFill="1" applyBorder="1" applyAlignment="1">
      <x:alignment horizontal="center" wrapText="1"/>
    </x:xf>
    <x:xf numFmtId="0" fontId="5" fillId="25" borderId="45" xfId="0" applyNumberFormat="1" applyFont="1" applyFill="1" applyBorder="1" applyAlignment="1">
      <x:alignment horizontal="center" vertical="center" wrapText="1"/>
    </x:xf>
    <x:xf numFmtId="0" fontId="5" fillId="25" borderId="46" xfId="0" applyNumberFormat="1" applyFont="1" applyFill="1" applyBorder="1" applyAlignment="1">
      <x:alignment horizontal="center" vertical="center" wrapText="1"/>
    </x:xf>
    <x:xf numFmtId="0" fontId="5" fillId="25" borderId="47" xfId="0" applyNumberFormat="1" applyFont="1" applyFill="1" applyBorder="1" applyAlignment="1">
      <x:alignment horizontal="center" vertical="center" wrapText="1"/>
    </x:xf>
    <x:xf numFmtId="0" fontId="16" fillId="0" borderId="48" xfId="0" applyNumberFormat="1" applyFont="1" applyFill="1" applyBorder="1"/>
    <x:xf numFmtId="0" fontId="16" fillId="0" borderId="49" xfId="0" applyNumberFormat="1" applyFont="1" applyFill="1" applyBorder="1"/>
    <x:xf numFmtId="0" fontId="16" fillId="0" borderId="50" xfId="0" applyNumberFormat="1" applyFont="1" applyFill="1" applyBorder="1"/>
    <x:xf numFmtId="0" fontId="16" fillId="0" borderId="51" xfId="0" applyNumberFormat="1" applyFont="1" applyFill="1" applyBorder="1"/>
    <x:xf numFmtId="0" fontId="16" fillId="0" borderId="52" xfId="0" applyNumberFormat="1" applyFont="1" applyFill="1" applyBorder="1"/>
    <x:xf numFmtId="0" fontId="16" fillId="0" borderId="53" xfId="0" applyNumberFormat="1" applyFont="1" applyFill="1" applyBorder="1"/>
    <x:xf numFmtId="0" fontId="16" fillId="0" borderId="54" xfId="0" applyNumberFormat="1" applyFont="1" applyFill="1" applyBorder="1"/>
    <x:xf numFmtId="0" fontId="16" fillId="0" borderId="55" xfId="0" applyNumberFormat="1" applyFont="1" applyFill="1" applyBorder="1"/>
    <x:xf numFmtId="0" fontId="16" fillId="0" borderId="48" xfId="0" applyNumberFormat="1" applyFont="1" applyFill="1" applyBorder="1" applyAlignment="1">
      <x:alignment wrapText="1"/>
    </x:xf>
    <x:xf numFmtId="0" fontId="16" fillId="0" borderId="49" xfId="0" applyNumberFormat="1" applyFont="1" applyFill="1" applyBorder="1" applyAlignment="1">
      <x:alignment wrapText="1"/>
    </x:xf>
    <x:xf numFmtId="0" fontId="16" fillId="0" borderId="50" xfId="0" applyNumberFormat="1" applyFont="1" applyFill="1" applyBorder="1" applyAlignment="1">
      <x:alignment wrapText="1"/>
    </x:xf>
    <x:xf numFmtId="0" fontId="16" fillId="0" borderId="51" xfId="0" applyNumberFormat="1" applyFont="1" applyFill="1" applyBorder="1" applyAlignment="1">
      <x:alignment wrapText="1"/>
    </x:xf>
    <x:xf numFmtId="0" fontId="16" fillId="0" borderId="52" xfId="0" applyNumberFormat="1" applyFont="1" applyFill="1" applyBorder="1" applyAlignment="1">
      <x:alignment wrapText="1"/>
    </x:xf>
    <x:xf numFmtId="0" fontId="16" fillId="0" borderId="53" xfId="0" applyNumberFormat="1" applyFont="1" applyFill="1" applyBorder="1" applyAlignment="1">
      <x:alignment wrapText="1"/>
    </x:xf>
    <x:xf numFmtId="0" fontId="16" fillId="0" borderId="54" xfId="0" applyNumberFormat="1" applyFont="1" applyFill="1" applyBorder="1" applyAlignment="1">
      <x:alignment wrapText="1"/>
    </x:xf>
    <x:xf numFmtId="0" fontId="16" fillId="0" borderId="55" xfId="0" applyNumberFormat="1" applyFont="1" applyFill="1" applyBorder="1" applyAlignment="1">
      <x:alignment wrapText="1"/>
    </x:xf>
    <x:xf numFmtId="0" fontId="16" fillId="0" borderId="48" xfId="0" applyNumberFormat="1" applyFont="1" applyFill="1" applyBorder="1" applyAlignment="1">
      <x:alignment vertical="top" wrapText="1"/>
    </x:xf>
    <x:xf numFmtId="0" fontId="16" fillId="0" borderId="49" xfId="0" applyNumberFormat="1" applyFont="1" applyFill="1" applyBorder="1" applyAlignment="1">
      <x:alignment vertical="top" wrapText="1"/>
    </x:xf>
    <x:xf numFmtId="0" fontId="16" fillId="0" borderId="50" xfId="0" applyNumberFormat="1" applyFont="1" applyFill="1" applyBorder="1" applyAlignment="1">
      <x:alignment vertical="top" wrapText="1"/>
    </x:xf>
    <x:xf numFmtId="0" fontId="16" fillId="0" borderId="51" xfId="0" applyNumberFormat="1" applyFont="1" applyFill="1" applyBorder="1" applyAlignment="1">
      <x:alignment vertical="top" wrapText="1"/>
    </x:xf>
    <x:xf numFmtId="0" fontId="16" fillId="0" borderId="52" xfId="0" applyNumberFormat="1" applyFont="1" applyFill="1" applyBorder="1" applyAlignment="1">
      <x:alignment vertical="top" wrapText="1"/>
    </x:xf>
    <x:xf numFmtId="0" fontId="16" fillId="0" borderId="53" xfId="0" applyNumberFormat="1" applyFont="1" applyFill="1" applyBorder="1" applyAlignment="1">
      <x:alignment vertical="top" wrapText="1"/>
    </x:xf>
    <x:xf numFmtId="0" fontId="16" fillId="0" borderId="54" xfId="0" applyNumberFormat="1" applyFont="1" applyFill="1" applyBorder="1" applyAlignment="1">
      <x:alignment vertical="top" wrapText="1"/>
    </x:xf>
    <x:xf numFmtId="0" fontId="16" fillId="0" borderId="55" xfId="0" applyNumberFormat="1" applyFont="1" applyFill="1" applyBorder="1" applyAlignment="1">
      <x:alignment vertical="top" wrapText="1"/>
    </x:xf>
    <x:xf numFmtId="202" fontId="16" fillId="0" borderId="49" xfId="0" applyNumberFormat="1" applyFont="1" applyFill="1" applyBorder="1" applyAlignment="1">
      <x:alignment vertical="top" wrapText="1"/>
    </x:xf>
    <x:xf numFmtId="0" fontId="16" fillId="26" borderId="51" xfId="0" applyNumberFormat="1" applyFont="1" applyFill="1" applyBorder="1" applyAlignment="1">
      <x:alignment vertical="top" wrapText="1"/>
    </x:xf>
    <x:xf numFmtId="0" fontId="16" fillId="26" xfId="0" applyNumberFormat="1" applyFont="1" applyFill="1" applyBorder="0" applyAlignment="1">
      <x:alignment vertical="top" wrapText="1"/>
    </x:xf>
    <x:xf numFmtId="0" fontId="16" fillId="26" borderId="52" xfId="0" applyNumberFormat="1" applyFont="1" applyFill="1" applyBorder="1" applyAlignment="1">
      <x:alignment vertical="top" wrapText="1"/>
    </x:xf>
    <x:xf numFmtId="0" fontId="16" fillId="26" borderId="53" xfId="0" applyNumberFormat="1" applyFont="1" applyFill="1" applyBorder="1" applyAlignment="1">
      <x:alignment vertical="top" wrapText="1"/>
    </x:xf>
    <x:xf numFmtId="0" fontId="16" fillId="26" borderId="54" xfId="0" applyNumberFormat="1" applyFont="1" applyFill="1" applyBorder="1" applyAlignment="1">
      <x:alignment vertical="top" wrapText="1"/>
    </x:xf>
    <x:xf numFmtId="0" fontId="16" fillId="26" borderId="55" xfId="0" applyNumberFormat="1" applyFont="1" applyFill="1" applyBorder="1" applyAlignment="1">
      <x:alignment vertical="top" wrapText="1"/>
    </x:xf>
    <x:xf numFmtId="0" fontId="13" fillId="27" borderId="0" xfId="0" applyNumberFormat="1" applyFont="1" applyFill="1" applyBorder="1"/>
    <x:xf numFmtId="0" fontId="0" fillId="28" borderId="0" xfId="0" applyNumberFormat="1" applyFont="1" applyFill="1" applyBorder="1"/>
    <x:xf numFmtId="0" fontId="12" fillId="28" borderId="0" xfId="0" applyNumberFormat="1" applyFont="1" applyFill="1" applyBorder="1"/>
    <x:xf numFmtId="0" fontId="12" fillId="28" borderId="0" xfId="0" applyNumberFormat="1" applyFont="1" applyFill="1" applyBorder="1" applyAlignment="1">
      <x:alignment wrapText="1"/>
    </x:xf>
    <x:xf numFmtId="0" fontId="12" fillId="28" borderId="0" xfId="0" applyNumberFormat="1" applyFont="1" applyFill="1" applyBorder="1" applyAlignment="1">
      <x:alignment vertical="top" wrapText="1"/>
    </x:xf>
    <x:xf numFmtId="0" fontId="0" fillId="29" borderId="0" xfId="0" applyNumberFormat="1" applyFont="1" applyFill="1" applyBorder="1"/>
    <x:xf numFmtId="0" fontId="9" fillId="29" borderId="0" xfId="0" applyNumberFormat="1" applyFont="1" applyFill="1" applyBorder="1"/>
    <x:xf numFmtId="0" fontId="9" fillId="29" borderId="0" xfId="0" applyNumberFormat="1" applyFont="1" applyFill="1" applyBorder="1" applyAlignment="1">
      <x:alignment horizontal="left"/>
    </x:xf>
    <x:xf numFmtId="0" fontId="9" fillId="29" borderId="0" xfId="0" applyNumberFormat="1" applyFont="1" applyFill="1" applyBorder="1" applyAlignment="1">
      <x:alignment horizontal="left" vertical="center"/>
    </x:xf>
    <x:xf numFmtId="0" fontId="0" fillId="30" borderId="0" xfId="0" applyNumberFormat="1" applyFont="1" applyFill="1" applyBorder="1"/>
    <x:xf numFmtId="0" fontId="10" fillId="30" borderId="0" xfId="0" applyNumberFormat="1" applyFont="1" applyFill="1" applyBorder="1"/>
    <x:xf numFmtId="0" fontId="10" fillId="30" borderId="0" xfId="0" applyNumberFormat="1" applyFont="1" applyFill="1" applyBorder="1" applyAlignment="1">
      <x:alignment wrapText="1"/>
    </x:xf>
    <x:xf numFmtId="0" fontId="10" fillId="30" borderId="0" xfId="0" applyNumberFormat="1" applyFont="1" applyFill="1" applyBorder="1" applyAlignment="1">
      <x:alignment vertical="center" wrapText="1"/>
    </x:xf>
    <x:xf numFmtId="0" fontId="0" fillId="31" borderId="0" xfId="0" applyNumberFormat="1" applyFont="1" applyFill="1" applyBorder="1"/>
    <x:xf numFmtId="0" fontId="11" fillId="31" borderId="0" xfId="0" applyNumberFormat="1" applyFont="1" applyFill="1" applyBorder="1"/>
    <x:xf numFmtId="0" fontId="11" fillId="31" borderId="56" xfId="0" applyNumberFormat="1" applyFont="1" applyFill="1" applyBorder="1"/>
    <x:xf numFmtId="0" fontId="11" fillId="31" borderId="57" xfId="0" applyNumberFormat="1" applyFont="1" applyFill="1" applyBorder="1"/>
    <x:xf numFmtId="0" fontId="11" fillId="31" borderId="58" xfId="0" applyNumberFormat="1" applyFont="1" applyFill="1" applyBorder="1"/>
    <x:xf numFmtId="0" fontId="11" fillId="31" borderId="56" xfId="0" applyNumberFormat="1" applyFont="1" applyFill="1" applyBorder="1" applyAlignment="1">
      <x:alignment wrapText="1"/>
    </x:xf>
    <x:xf numFmtId="0" fontId="11" fillId="31" borderId="57" xfId="0" applyNumberFormat="1" applyFont="1" applyFill="1" applyBorder="1" applyAlignment="1">
      <x:alignment wrapText="1"/>
    </x:xf>
    <x:xf numFmtId="0" fontId="11" fillId="31" borderId="58" xfId="0" applyNumberFormat="1" applyFont="1" applyFill="1" applyBorder="1" applyAlignment="1">
      <x:alignment wrapText="1"/>
    </x:xf>
    <x:xf numFmtId="0" fontId="11" fillId="31" borderId="56" xfId="0" applyNumberFormat="1" applyFont="1" applyFill="1" applyBorder="1" applyAlignment="1">
      <x:alignment horizontal="center" wrapText="1"/>
    </x:xf>
    <x:xf numFmtId="0" fontId="11" fillId="31" borderId="57" xfId="0" applyNumberFormat="1" applyFont="1" applyFill="1" applyBorder="1" applyAlignment="1">
      <x:alignment horizontal="center" wrapText="1"/>
    </x:xf>
    <x:xf numFmtId="0" fontId="11" fillId="31" borderId="58" xfId="0" applyNumberFormat="1" applyFont="1" applyFill="1" applyBorder="1" applyAlignment="1">
      <x:alignment horizontal="center" wrapText="1"/>
    </x:xf>
    <x:xf numFmtId="0" fontId="11" fillId="31" borderId="56" xfId="0" applyNumberFormat="1" applyFont="1" applyFill="1" applyBorder="1" applyAlignment="1">
      <x:alignment horizontal="center" vertical="center" wrapText="1"/>
    </x:xf>
    <x:xf numFmtId="0" fontId="11" fillId="31" borderId="57" xfId="0" applyNumberFormat="1" applyFont="1" applyFill="1" applyBorder="1" applyAlignment="1">
      <x:alignment horizontal="center" vertical="center" wrapText="1"/>
    </x:xf>
    <x:xf numFmtId="0" fontId="11" fillId="31" borderId="58" xfId="0" applyNumberFormat="1" applyFont="1" applyFill="1" applyBorder="1" applyAlignment="1">
      <x:alignment horizontal="center" vertical="center" wrapText="1"/>
    </x:xf>
    <x:xf numFmtId="0" fontId="12" fillId="0" borderId="59" xfId="0" applyNumberFormat="1" applyFont="1" applyFill="1" applyBorder="1"/>
    <x:xf numFmtId="0" fontId="12" fillId="0" borderId="60" xfId="0" applyNumberFormat="1" applyFont="1" applyFill="1" applyBorder="1"/>
    <x:xf numFmtId="0" fontId="12" fillId="0" borderId="61" xfId="0" applyNumberFormat="1" applyFont="1" applyFill="1" applyBorder="1"/>
    <x:xf numFmtId="0" fontId="12" fillId="0" borderId="62" xfId="0" applyNumberFormat="1" applyFont="1" applyFill="1" applyBorder="1"/>
    <x:xf numFmtId="0" fontId="12" fillId="0" borderId="63" xfId="0" applyNumberFormat="1" applyFont="1" applyFill="1" applyBorder="1"/>
    <x:xf numFmtId="0" fontId="12" fillId="0" borderId="64" xfId="0" applyNumberFormat="1" applyFont="1" applyFill="1" applyBorder="1"/>
    <x:xf numFmtId="0" fontId="12" fillId="0" borderId="65" xfId="0" applyNumberFormat="1" applyFont="1" applyFill="1" applyBorder="1"/>
    <x:xf numFmtId="0" fontId="12" fillId="0" borderId="66" xfId="0" applyNumberFormat="1" applyFont="1" applyFill="1" applyBorder="1"/>
    <x:xf numFmtId="0" fontId="12" fillId="0" borderId="59" xfId="0" applyNumberFormat="1" applyFont="1" applyFill="1" applyBorder="1" applyAlignment="1">
      <x:alignment wrapText="1"/>
    </x:xf>
    <x:xf numFmtId="0" fontId="12" fillId="0" borderId="60" xfId="0" applyNumberFormat="1" applyFont="1" applyFill="1" applyBorder="1" applyAlignment="1">
      <x:alignment wrapText="1"/>
    </x:xf>
    <x:xf numFmtId="0" fontId="12" fillId="0" borderId="61" xfId="0" applyNumberFormat="1" applyFont="1" applyFill="1" applyBorder="1" applyAlignment="1">
      <x:alignment wrapText="1"/>
    </x:xf>
    <x:xf numFmtId="0" fontId="12" fillId="0" borderId="62" xfId="0" applyNumberFormat="1" applyFont="1" applyFill="1" applyBorder="1" applyAlignment="1">
      <x:alignment wrapText="1"/>
    </x:xf>
    <x:xf numFmtId="0" fontId="12" fillId="0" borderId="63" xfId="0" applyNumberFormat="1" applyFont="1" applyFill="1" applyBorder="1" applyAlignment="1">
      <x:alignment wrapText="1"/>
    </x:xf>
    <x:xf numFmtId="0" fontId="12" fillId="0" borderId="64" xfId="0" applyNumberFormat="1" applyFont="1" applyFill="1" applyBorder="1" applyAlignment="1">
      <x:alignment wrapText="1"/>
    </x:xf>
    <x:xf numFmtId="0" fontId="12" fillId="0" borderId="65" xfId="0" applyNumberFormat="1" applyFont="1" applyFill="1" applyBorder="1" applyAlignment="1">
      <x:alignment wrapText="1"/>
    </x:xf>
    <x:xf numFmtId="0" fontId="12" fillId="0" borderId="66" xfId="0" applyNumberFormat="1" applyFont="1" applyFill="1" applyBorder="1" applyAlignment="1">
      <x:alignment wrapText="1"/>
    </x:xf>
    <x:xf numFmtId="0" fontId="12" fillId="0" borderId="59" xfId="0" applyNumberFormat="1" applyFont="1" applyFill="1" applyBorder="1" applyAlignment="1">
      <x:alignment vertical="top" wrapText="1"/>
    </x:xf>
    <x:xf numFmtId="0" fontId="12" fillId="0" borderId="60" xfId="0" applyNumberFormat="1" applyFont="1" applyFill="1" applyBorder="1" applyAlignment="1">
      <x:alignment vertical="top" wrapText="1"/>
    </x:xf>
    <x:xf numFmtId="0" fontId="12" fillId="0" borderId="61" xfId="0" applyNumberFormat="1" applyFont="1" applyFill="1" applyBorder="1" applyAlignment="1">
      <x:alignment vertical="top" wrapText="1"/>
    </x:xf>
    <x:xf numFmtId="0" fontId="12" fillId="0" borderId="62" xfId="0" applyNumberFormat="1" applyFont="1" applyFill="1" applyBorder="1" applyAlignment="1">
      <x:alignment vertical="top" wrapText="1"/>
    </x:xf>
    <x:xf numFmtId="0" fontId="12" fillId="0" borderId="63" xfId="0" applyNumberFormat="1" applyFont="1" applyFill="1" applyBorder="1" applyAlignment="1">
      <x:alignment vertical="top" wrapText="1"/>
    </x:xf>
    <x:xf numFmtId="0" fontId="12" fillId="0" borderId="64" xfId="0" applyNumberFormat="1" applyFont="1" applyFill="1" applyBorder="1" applyAlignment="1">
      <x:alignment vertical="top" wrapText="1"/>
    </x:xf>
    <x:xf numFmtId="0" fontId="12" fillId="0" borderId="65" xfId="0" applyNumberFormat="1" applyFont="1" applyFill="1" applyBorder="1" applyAlignment="1">
      <x:alignment vertical="top" wrapText="1"/>
    </x:xf>
    <x:xf numFmtId="0" fontId="12" fillId="0" borderId="66" xfId="0" applyNumberFormat="1" applyFont="1" applyFill="1" applyBorder="1" applyAlignment="1">
      <x:alignment vertical="top" wrapText="1"/>
    </x:xf>
    <x:xf numFmtId="0" fontId="12" fillId="32" borderId="62" xfId="0" applyNumberFormat="1" applyFont="1" applyFill="1" applyBorder="1" applyAlignment="1">
      <x:alignment vertical="top" wrapText="1"/>
    </x:xf>
    <x:xf numFmtId="0" fontId="12" fillId="32" xfId="0" applyNumberFormat="1" applyFont="1" applyFill="1" applyBorder="0" applyAlignment="1">
      <x:alignment vertical="top" wrapText="1"/>
    </x:xf>
    <x:xf numFmtId="0" fontId="12" fillId="32" borderId="63" xfId="0" applyNumberFormat="1" applyFont="1" applyFill="1" applyBorder="1" applyAlignment="1">
      <x:alignment vertical="top" wrapText="1"/>
    </x:xf>
    <x:xf numFmtId="0" fontId="12" fillId="32" borderId="64" xfId="0" applyNumberFormat="1" applyFont="1" applyFill="1" applyBorder="1" applyAlignment="1">
      <x:alignment vertical="top" wrapText="1"/>
    </x:xf>
    <x:xf numFmtId="0" fontId="12" fillId="32" borderId="65" xfId="0" applyNumberFormat="1" applyFont="1" applyFill="1" applyBorder="1" applyAlignment="1">
      <x:alignment vertical="top" wrapText="1"/>
    </x:xf>
    <x:xf numFmtId="0" fontId="12" fillId="32" borderId="66" xfId="0" applyNumberFormat="1" applyFont="1" applyFill="1" applyBorder="1" applyAlignment="1">
      <x:alignment vertical="top" wrapText="1"/>
    </x:xf>
    <x:xf numFmtId="204" fontId="12" fillId="0" borderId="60" xfId="0" applyNumberFormat="1" applyFont="1" applyFill="1" applyBorder="1" applyAlignment="1">
      <x:alignment vertical="top" wrapText="1"/>
    </x:xf>
    <x:xf numFmtId="204" fontId="12" fillId="32" xfId="0" applyNumberFormat="1" applyFont="1" applyFill="1" applyBorder="0" applyAlignment="1">
      <x:alignment vertical="top" wrapText="1"/>
    </x:xf>
    <x:xf numFmtId="204" fontId="12" fillId="32" borderId="65" xfId="0" applyNumberFormat="1" applyFont="1" applyFill="1" applyBorder="1" applyAlignment="1">
      <x:alignment vertical="top" wrapText="1"/>
    </x:xf>
    <x:xf numFmtId="202" fontId="12" fillId="0" borderId="60" xfId="0" applyNumberFormat="1" applyFont="1" applyFill="1" applyBorder="1" applyAlignment="1">
      <x:alignment vertical="top" wrapText="1"/>
    </x:xf>
    <x:xf numFmtId="202" fontId="12" fillId="32" xfId="0" applyNumberFormat="1" applyFont="1" applyFill="1" applyBorder="0" applyAlignment="1">
      <x:alignment vertical="top" wrapText="1"/>
    </x:xf>
    <x:xf numFmtId="202" fontId="12" fillId="0" borderId="65" xfId="0" applyNumberFormat="1" applyFont="1" applyFill="1" applyBorder="1" applyAlignment="1">
      <x:alignment vertical="top" wrapText="1"/>
    </x:xf>
    <x:xf numFmtId="202" fontId="12" fillId="32" borderId="65" xfId="0" applyNumberFormat="1" applyFont="1" applyFill="1" applyBorder="1" applyAlignment="1">
      <x:alignment vertical="top" wrapText="1"/>
    </x:xf>
    <x:xf numFmtId="202" fontId="12" fillId="0" borderId="61" xfId="0" applyNumberFormat="1" applyFont="1" applyFill="1" applyBorder="1" applyAlignment="1">
      <x:alignment vertical="top" wrapText="1"/>
    </x:xf>
    <x:xf numFmtId="202" fontId="12" fillId="0" borderId="63" xfId="0" applyNumberFormat="1" applyFont="1" applyFill="1" applyBorder="1" applyAlignment="1">
      <x:alignment vertical="top" wrapText="1"/>
    </x:xf>
    <x:xf numFmtId="201" fontId="12" fillId="0" borderId="61" xfId="0" applyNumberFormat="1" applyFont="1" applyFill="1" applyBorder="1"/>
    <x:xf numFmtId="201" fontId="12" fillId="0" borderId="63" xfId="0" applyNumberFormat="1" applyFont="1" applyFill="1" applyBorder="1"/>
    <x:xf numFmtId="201" fontId="12" fillId="0" borderId="66" xfId="0" applyNumberFormat="1" applyFont="1" applyFill="1" applyBorder="1"/>
    <x:xf numFmtId="201" fontId="12" fillId="0" borderId="61" xfId="0" applyNumberFormat="1" applyFont="1" applyFill="1" applyBorder="1" applyAlignment="1">
      <x:alignment wrapText="1"/>
    </x:xf>
    <x:xf numFmtId="201" fontId="12" fillId="0" borderId="63" xfId="0" applyNumberFormat="1" applyFont="1" applyFill="1" applyBorder="1" applyAlignment="1">
      <x:alignment wrapText="1"/>
    </x:xf>
    <x:xf numFmtId="201" fontId="12" fillId="0" borderId="66" xfId="0" applyNumberFormat="1" applyFont="1" applyFill="1" applyBorder="1" applyAlignment="1">
      <x:alignment wrapText="1"/>
    </x:xf>
    <x:xf numFmtId="201" fontId="12" fillId="0" borderId="61" xfId="0" applyNumberFormat="1" applyFont="1" applyFill="1" applyBorder="1" applyAlignment="1">
      <x:alignment vertical="top" wrapText="1"/>
    </x:xf>
    <x:xf numFmtId="201" fontId="12" fillId="0" borderId="63" xfId="0" applyNumberFormat="1" applyFont="1" applyFill="1" applyBorder="1" applyAlignment="1">
      <x:alignment vertical="top" wrapText="1"/>
    </x:xf>
    <x:xf numFmtId="201" fontId="12" fillId="0" borderId="66" xfId="0" applyNumberFormat="1" applyFont="1" applyFill="1" applyBorder="1" applyAlignment="1">
      <x:alignment vertical="top" wrapText="1"/>
    </x:xf>
    <x:xf numFmtId="0" fontId="0" fillId="33" borderId="0" xfId="0" applyNumberFormat="1" applyFont="1" applyFill="1" applyBorder="1"/>
    <x:xf numFmtId="0" fontId="4" fillId="33" borderId="0" xfId="0" applyNumberFormat="1" applyFont="1" applyFill="1" applyBorder="1"/>
    <x:xf numFmtId="0" fontId="6" fillId="31" borderId="0" xfId="0" applyNumberFormat="1" applyFont="1" applyFill="1" applyBorder="1"/>
    <x:xf numFmtId="0" fontId="5" fillId="31" borderId="0" xfId="0" applyNumberFormat="1" applyFont="1" applyFill="1" applyBorder="1"/>
    <x:xf numFmtId="0" fontId="5" fillId="31" borderId="56" xfId="0" applyNumberFormat="1" applyFont="1" applyFill="1" applyBorder="1"/>
    <x:xf numFmtId="0" fontId="5" fillId="31" borderId="57" xfId="0" applyNumberFormat="1" applyFont="1" applyFill="1" applyBorder="1"/>
    <x:xf numFmtId="0" fontId="5" fillId="31" borderId="58" xfId="0" applyNumberFormat="1" applyFont="1" applyFill="1" applyBorder="1"/>
    <x:xf numFmtId="0" fontId="5" fillId="31" borderId="56" xfId="0" applyNumberFormat="1" applyFont="1" applyFill="1" applyBorder="1" applyAlignment="1">
      <x:alignment wrapText="1"/>
    </x:xf>
    <x:xf numFmtId="0" fontId="5" fillId="31" borderId="57" xfId="0" applyNumberFormat="1" applyFont="1" applyFill="1" applyBorder="1" applyAlignment="1">
      <x:alignment wrapText="1"/>
    </x:xf>
    <x:xf numFmtId="0" fontId="5" fillId="31" borderId="58" xfId="0" applyNumberFormat="1" applyFont="1" applyFill="1" applyBorder="1" applyAlignment="1">
      <x:alignment wrapText="1"/>
    </x:xf>
    <x:xf numFmtId="0" fontId="5" fillId="31" borderId="56" xfId="0" applyNumberFormat="1" applyFont="1" applyFill="1" applyBorder="1" applyAlignment="1">
      <x:alignment horizontal="center" wrapText="1"/>
    </x:xf>
    <x:xf numFmtId="0" fontId="5" fillId="31" borderId="57" xfId="0" applyNumberFormat="1" applyFont="1" applyFill="1" applyBorder="1" applyAlignment="1">
      <x:alignment horizontal="center" wrapText="1"/>
    </x:xf>
    <x:xf numFmtId="0" fontId="5" fillId="31" borderId="58" xfId="0" applyNumberFormat="1" applyFont="1" applyFill="1" applyBorder="1" applyAlignment="1">
      <x:alignment horizontal="center" wrapText="1"/>
    </x:xf>
    <x:xf numFmtId="0" fontId="5" fillId="31" borderId="56" xfId="0" applyNumberFormat="1" applyFont="1" applyFill="1" applyBorder="1" applyAlignment="1">
      <x:alignment horizontal="center" vertical="center" wrapText="1"/>
    </x:xf>
    <x:xf numFmtId="0" fontId="5" fillId="31" borderId="57" xfId="0" applyNumberFormat="1" applyFont="1" applyFill="1" applyBorder="1" applyAlignment="1">
      <x:alignment horizontal="center" vertical="center" wrapText="1"/>
    </x:xf>
    <x:xf numFmtId="0" fontId="5" fillId="31" borderId="58" xfId="0" applyNumberFormat="1" applyFont="1" applyFill="1" applyBorder="1" applyAlignment="1">
      <x:alignment horizontal="center" vertical="center" wrapText="1"/>
    </x:xf>
    <x:xf numFmtId="0" fontId="16" fillId="0" borderId="59" xfId="0" applyNumberFormat="1" applyFont="1" applyFill="1" applyBorder="1"/>
    <x:xf numFmtId="0" fontId="16" fillId="0" borderId="60" xfId="0" applyNumberFormat="1" applyFont="1" applyFill="1" applyBorder="1"/>
    <x:xf numFmtId="0" fontId="16" fillId="0" borderId="61" xfId="0" applyNumberFormat="1" applyFont="1" applyFill="1" applyBorder="1"/>
    <x:xf numFmtId="0" fontId="16" fillId="0" borderId="62" xfId="0" applyNumberFormat="1" applyFont="1" applyFill="1" applyBorder="1"/>
    <x:xf numFmtId="0" fontId="16" fillId="0" borderId="63" xfId="0" applyNumberFormat="1" applyFont="1" applyFill="1" applyBorder="1"/>
    <x:xf numFmtId="0" fontId="16" fillId="0" borderId="64" xfId="0" applyNumberFormat="1" applyFont="1" applyFill="1" applyBorder="1"/>
    <x:xf numFmtId="0" fontId="16" fillId="0" borderId="65" xfId="0" applyNumberFormat="1" applyFont="1" applyFill="1" applyBorder="1"/>
    <x:xf numFmtId="0" fontId="16" fillId="0" borderId="66" xfId="0" applyNumberFormat="1" applyFont="1" applyFill="1" applyBorder="1"/>
    <x:xf numFmtId="0" fontId="16" fillId="0" borderId="59" xfId="0" applyNumberFormat="1" applyFont="1" applyFill="1" applyBorder="1" applyAlignment="1">
      <x:alignment wrapText="1"/>
    </x:xf>
    <x:xf numFmtId="0" fontId="16" fillId="0" borderId="60" xfId="0" applyNumberFormat="1" applyFont="1" applyFill="1" applyBorder="1" applyAlignment="1">
      <x:alignment wrapText="1"/>
    </x:xf>
    <x:xf numFmtId="0" fontId="16" fillId="0" borderId="61" xfId="0" applyNumberFormat="1" applyFont="1" applyFill="1" applyBorder="1" applyAlignment="1">
      <x:alignment wrapText="1"/>
    </x:xf>
    <x:xf numFmtId="0" fontId="16" fillId="0" borderId="62" xfId="0" applyNumberFormat="1" applyFont="1" applyFill="1" applyBorder="1" applyAlignment="1">
      <x:alignment wrapText="1"/>
    </x:xf>
    <x:xf numFmtId="0" fontId="16" fillId="0" borderId="63" xfId="0" applyNumberFormat="1" applyFont="1" applyFill="1" applyBorder="1" applyAlignment="1">
      <x:alignment wrapText="1"/>
    </x:xf>
    <x:xf numFmtId="0" fontId="16" fillId="0" borderId="64" xfId="0" applyNumberFormat="1" applyFont="1" applyFill="1" applyBorder="1" applyAlignment="1">
      <x:alignment wrapText="1"/>
    </x:xf>
    <x:xf numFmtId="0" fontId="16" fillId="0" borderId="65" xfId="0" applyNumberFormat="1" applyFont="1" applyFill="1" applyBorder="1" applyAlignment="1">
      <x:alignment wrapText="1"/>
    </x:xf>
    <x:xf numFmtId="0" fontId="16" fillId="0" borderId="66" xfId="0" applyNumberFormat="1" applyFont="1" applyFill="1" applyBorder="1" applyAlignment="1">
      <x:alignment wrapText="1"/>
    </x:xf>
    <x:xf numFmtId="0" fontId="16" fillId="0" borderId="59" xfId="0" applyNumberFormat="1" applyFont="1" applyFill="1" applyBorder="1" applyAlignment="1">
      <x:alignment vertical="top" wrapText="1"/>
    </x:xf>
    <x:xf numFmtId="0" fontId="16" fillId="0" borderId="60" xfId="0" applyNumberFormat="1" applyFont="1" applyFill="1" applyBorder="1" applyAlignment="1">
      <x:alignment vertical="top" wrapText="1"/>
    </x:xf>
    <x:xf numFmtId="0" fontId="16" fillId="0" borderId="61" xfId="0" applyNumberFormat="1" applyFont="1" applyFill="1" applyBorder="1" applyAlignment="1">
      <x:alignment vertical="top" wrapText="1"/>
    </x:xf>
    <x:xf numFmtId="0" fontId="16" fillId="0" borderId="62" xfId="0" applyNumberFormat="1" applyFont="1" applyFill="1" applyBorder="1" applyAlignment="1">
      <x:alignment vertical="top" wrapText="1"/>
    </x:xf>
    <x:xf numFmtId="0" fontId="16" fillId="0" borderId="63" xfId="0" applyNumberFormat="1" applyFont="1" applyFill="1" applyBorder="1" applyAlignment="1">
      <x:alignment vertical="top" wrapText="1"/>
    </x:xf>
    <x:xf numFmtId="0" fontId="16" fillId="0" borderId="64" xfId="0" applyNumberFormat="1" applyFont="1" applyFill="1" applyBorder="1" applyAlignment="1">
      <x:alignment vertical="top" wrapText="1"/>
    </x:xf>
    <x:xf numFmtId="0" fontId="16" fillId="0" borderId="65" xfId="0" applyNumberFormat="1" applyFont="1" applyFill="1" applyBorder="1" applyAlignment="1">
      <x:alignment vertical="top" wrapText="1"/>
    </x:xf>
    <x:xf numFmtId="0" fontId="16" fillId="0" borderId="66" xfId="0" applyNumberFormat="1" applyFont="1" applyFill="1" applyBorder="1" applyAlignment="1">
      <x:alignment vertical="top" wrapText="1"/>
    </x:xf>
    <x:xf numFmtId="202" fontId="16" fillId="0" borderId="60" xfId="0" applyNumberFormat="1" applyFont="1" applyFill="1" applyBorder="1" applyAlignment="1">
      <x:alignment vertical="top" wrapText="1"/>
    </x:xf>
    <x:xf numFmtId="0" fontId="13" fillId="33" borderId="0" xfId="0" applyNumberFormat="1" applyFont="1" applyFill="1" applyBorder="1"/>
    <x:xf numFmtId="0" fontId="0" fillId="34" borderId="0" xfId="0" applyNumberFormat="1" applyFont="1" applyFill="1" applyBorder="1"/>
    <x:xf numFmtId="0" fontId="12" fillId="34" borderId="0" xfId="0" applyNumberFormat="1" applyFont="1" applyFill="1" applyBorder="1"/>
    <x:xf numFmtId="0" fontId="12" fillId="34" borderId="0" xfId="0" applyNumberFormat="1" applyFont="1" applyFill="1" applyBorder="1" applyAlignment="1">
      <x:alignment wrapText="1"/>
    </x:xf>
    <x:xf numFmtId="0" fontId="12" fillId="34" borderId="0" xfId="0" applyNumberFormat="1" applyFont="1" applyFill="1" applyBorder="1" applyAlignment="1">
      <x:alignment vertical="top" wrapText="1"/>
    </x:xf>
    <x:xf numFmtId="0" fontId="16" fillId="32" borderId="62" xfId="0" applyNumberFormat="1" applyFont="1" applyFill="1" applyBorder="1" applyAlignment="1">
      <x:alignment vertical="top" wrapText="1"/>
    </x:xf>
    <x:xf numFmtId="0" fontId="16" fillId="32" xfId="0" applyNumberFormat="1" applyFont="1" applyFill="1" applyBorder="0" applyAlignment="1">
      <x:alignment vertical="top" wrapText="1"/>
    </x:xf>
    <x:xf numFmtId="0" fontId="16" fillId="32" borderId="63" xfId="0" applyNumberFormat="1" applyFont="1" applyFill="1" applyBorder="1" applyAlignment="1">
      <x:alignment vertical="top" wrapText="1"/>
    </x:xf>
    <x:xf numFmtId="0" fontId="16" fillId="32" borderId="64" xfId="0" applyNumberFormat="1" applyFont="1" applyFill="1" applyBorder="1" applyAlignment="1">
      <x:alignment vertical="top" wrapText="1"/>
    </x:xf>
    <x:xf numFmtId="0" fontId="16" fillId="32" borderId="65" xfId="0" applyNumberFormat="1" applyFont="1" applyFill="1" applyBorder="1" applyAlignment="1">
      <x:alignment vertical="top" wrapText="1"/>
    </x:xf>
    <x:xf numFmtId="0" fontId="16" fillId="32" borderId="66" xfId="0" applyNumberFormat="1" applyFont="1" applyFill="1" applyBorder="1" applyAlignment="1">
      <x:alignment vertical="top" wrapText="1"/>
    </x:xf>
    <x:xf numFmtId="0" fontId="0" fillId="35" borderId="0" xfId="0" applyNumberFormat="1" applyFont="1" applyFill="1" applyBorder="1"/>
    <x:xf numFmtId="0" fontId="9" fillId="35" borderId="0" xfId="0" applyNumberFormat="1" applyFont="1" applyFill="1" applyBorder="1"/>
    <x:xf numFmtId="0" fontId="9" fillId="35" borderId="0" xfId="0" applyNumberFormat="1" applyFont="1" applyFill="1" applyBorder="1" applyAlignment="1">
      <x:alignment horizontal="left"/>
    </x:xf>
    <x:xf numFmtId="0" fontId="9" fillId="35" borderId="0" xfId="0" applyNumberFormat="1" applyFont="1" applyFill="1" applyBorder="1" applyAlignment="1">
      <x:alignment horizontal="left" vertical="center"/>
    </x:xf>
    <x:xf numFmtId="0" fontId="0" fillId="36" borderId="0" xfId="0" applyNumberFormat="1" applyFont="1" applyFill="1" applyBorder="1"/>
    <x:xf numFmtId="0" fontId="10" fillId="36" borderId="0" xfId="0" applyNumberFormat="1" applyFont="1" applyFill="1" applyBorder="1"/>
    <x:xf numFmtId="0" fontId="10" fillId="36" borderId="0" xfId="0" applyNumberFormat="1" applyFont="1" applyFill="1" applyBorder="1" applyAlignment="1">
      <x:alignment wrapText="1"/>
    </x:xf>
    <x:xf numFmtId="0" fontId="10" fillId="36" borderId="0" xfId="0" applyNumberFormat="1" applyFont="1" applyFill="1" applyBorder="1" applyAlignment="1">
      <x:alignment vertical="center" wrapText="1"/>
    </x:xf>
    <x:xf numFmtId="0" fontId="0" fillId="37" borderId="0" xfId="0" applyNumberFormat="1" applyFont="1" applyFill="1" applyBorder="1"/>
    <x:xf numFmtId="0" fontId="11" fillId="37" borderId="0" xfId="0" applyNumberFormat="1" applyFont="1" applyFill="1" applyBorder="1"/>
    <x:xf numFmtId="0" fontId="11" fillId="37" borderId="67" xfId="0" applyNumberFormat="1" applyFont="1" applyFill="1" applyBorder="1"/>
    <x:xf numFmtId="0" fontId="11" fillId="37" borderId="68" xfId="0" applyNumberFormat="1" applyFont="1" applyFill="1" applyBorder="1"/>
    <x:xf numFmtId="0" fontId="11" fillId="37" borderId="69" xfId="0" applyNumberFormat="1" applyFont="1" applyFill="1" applyBorder="1"/>
    <x:xf numFmtId="0" fontId="11" fillId="37" borderId="67" xfId="0" applyNumberFormat="1" applyFont="1" applyFill="1" applyBorder="1" applyAlignment="1">
      <x:alignment wrapText="1"/>
    </x:xf>
    <x:xf numFmtId="0" fontId="11" fillId="37" borderId="68" xfId="0" applyNumberFormat="1" applyFont="1" applyFill="1" applyBorder="1" applyAlignment="1">
      <x:alignment wrapText="1"/>
    </x:xf>
    <x:xf numFmtId="0" fontId="11" fillId="37" borderId="69" xfId="0" applyNumberFormat="1" applyFont="1" applyFill="1" applyBorder="1" applyAlignment="1">
      <x:alignment wrapText="1"/>
    </x:xf>
    <x:xf numFmtId="0" fontId="11" fillId="37" borderId="67" xfId="0" applyNumberFormat="1" applyFont="1" applyFill="1" applyBorder="1" applyAlignment="1">
      <x:alignment horizontal="center" wrapText="1"/>
    </x:xf>
    <x:xf numFmtId="0" fontId="11" fillId="37" borderId="68" xfId="0" applyNumberFormat="1" applyFont="1" applyFill="1" applyBorder="1" applyAlignment="1">
      <x:alignment horizontal="center" wrapText="1"/>
    </x:xf>
    <x:xf numFmtId="0" fontId="11" fillId="37" borderId="69" xfId="0" applyNumberFormat="1" applyFont="1" applyFill="1" applyBorder="1" applyAlignment="1">
      <x:alignment horizontal="center" wrapText="1"/>
    </x:xf>
    <x:xf numFmtId="0" fontId="11" fillId="37" borderId="67" xfId="0" applyNumberFormat="1" applyFont="1" applyFill="1" applyBorder="1" applyAlignment="1">
      <x:alignment horizontal="center" vertical="center" wrapText="1"/>
    </x:xf>
    <x:xf numFmtId="0" fontId="11" fillId="37" borderId="68" xfId="0" applyNumberFormat="1" applyFont="1" applyFill="1" applyBorder="1" applyAlignment="1">
      <x:alignment horizontal="center" vertical="center" wrapText="1"/>
    </x:xf>
    <x:xf numFmtId="0" fontId="11" fillId="37" borderId="69" xfId="0" applyNumberFormat="1" applyFont="1" applyFill="1" applyBorder="1" applyAlignment="1">
      <x:alignment horizontal="center" vertical="center" wrapText="1"/>
    </x:xf>
    <x:xf numFmtId="0" fontId="12" fillId="0" borderId="70" xfId="0" applyNumberFormat="1" applyFont="1" applyFill="1" applyBorder="1"/>
    <x:xf numFmtId="0" fontId="12" fillId="0" borderId="71" xfId="0" applyNumberFormat="1" applyFont="1" applyFill="1" applyBorder="1"/>
    <x:xf numFmtId="0" fontId="12" fillId="0" borderId="72" xfId="0" applyNumberFormat="1" applyFont="1" applyFill="1" applyBorder="1"/>
    <x:xf numFmtId="0" fontId="12" fillId="0" borderId="73" xfId="0" applyNumberFormat="1" applyFont="1" applyFill="1" applyBorder="1"/>
    <x:xf numFmtId="0" fontId="12" fillId="0" borderId="74" xfId="0" applyNumberFormat="1" applyFont="1" applyFill="1" applyBorder="1"/>
    <x:xf numFmtId="0" fontId="12" fillId="0" borderId="75" xfId="0" applyNumberFormat="1" applyFont="1" applyFill="1" applyBorder="1"/>
    <x:xf numFmtId="0" fontId="12" fillId="0" borderId="76" xfId="0" applyNumberFormat="1" applyFont="1" applyFill="1" applyBorder="1"/>
    <x:xf numFmtId="0" fontId="12" fillId="0" borderId="77" xfId="0" applyNumberFormat="1" applyFont="1" applyFill="1" applyBorder="1"/>
    <x:xf numFmtId="0" fontId="12" fillId="0" borderId="70" xfId="0" applyNumberFormat="1" applyFont="1" applyFill="1" applyBorder="1" applyAlignment="1">
      <x:alignment wrapText="1"/>
    </x:xf>
    <x:xf numFmtId="0" fontId="12" fillId="0" borderId="71" xfId="0" applyNumberFormat="1" applyFont="1" applyFill="1" applyBorder="1" applyAlignment="1">
      <x:alignment wrapText="1"/>
    </x:xf>
    <x:xf numFmtId="0" fontId="12" fillId="0" borderId="72" xfId="0" applyNumberFormat="1" applyFont="1" applyFill="1" applyBorder="1" applyAlignment="1">
      <x:alignment wrapText="1"/>
    </x:xf>
    <x:xf numFmtId="0" fontId="12" fillId="0" borderId="73" xfId="0" applyNumberFormat="1" applyFont="1" applyFill="1" applyBorder="1" applyAlignment="1">
      <x:alignment wrapText="1"/>
    </x:xf>
    <x:xf numFmtId="0" fontId="12" fillId="0" borderId="74" xfId="0" applyNumberFormat="1" applyFont="1" applyFill="1" applyBorder="1" applyAlignment="1">
      <x:alignment wrapText="1"/>
    </x:xf>
    <x:xf numFmtId="0" fontId="12" fillId="0" borderId="75" xfId="0" applyNumberFormat="1" applyFont="1" applyFill="1" applyBorder="1" applyAlignment="1">
      <x:alignment wrapText="1"/>
    </x:xf>
    <x:xf numFmtId="0" fontId="12" fillId="0" borderId="76" xfId="0" applyNumberFormat="1" applyFont="1" applyFill="1" applyBorder="1" applyAlignment="1">
      <x:alignment wrapText="1"/>
    </x:xf>
    <x:xf numFmtId="0" fontId="12" fillId="0" borderId="77" xfId="0" applyNumberFormat="1" applyFont="1" applyFill="1" applyBorder="1" applyAlignment="1">
      <x:alignment wrapText="1"/>
    </x:xf>
    <x:xf numFmtId="0" fontId="12" fillId="0" borderId="70" xfId="0" applyNumberFormat="1" applyFont="1" applyFill="1" applyBorder="1" applyAlignment="1">
      <x:alignment vertical="top" wrapText="1"/>
    </x:xf>
    <x:xf numFmtId="0" fontId="12" fillId="0" borderId="71" xfId="0" applyNumberFormat="1" applyFont="1" applyFill="1" applyBorder="1" applyAlignment="1">
      <x:alignment vertical="top" wrapText="1"/>
    </x:xf>
    <x:xf numFmtId="0" fontId="12" fillId="0" borderId="72" xfId="0" applyNumberFormat="1" applyFont="1" applyFill="1" applyBorder="1" applyAlignment="1">
      <x:alignment vertical="top" wrapText="1"/>
    </x:xf>
    <x:xf numFmtId="0" fontId="12" fillId="0" borderId="73" xfId="0" applyNumberFormat="1" applyFont="1" applyFill="1" applyBorder="1" applyAlignment="1">
      <x:alignment vertical="top" wrapText="1"/>
    </x:xf>
    <x:xf numFmtId="0" fontId="12" fillId="0" borderId="74" xfId="0" applyNumberFormat="1" applyFont="1" applyFill="1" applyBorder="1" applyAlignment="1">
      <x:alignment vertical="top" wrapText="1"/>
    </x:xf>
    <x:xf numFmtId="0" fontId="12" fillId="0" borderId="75" xfId="0" applyNumberFormat="1" applyFont="1" applyFill="1" applyBorder="1" applyAlignment="1">
      <x:alignment vertical="top" wrapText="1"/>
    </x:xf>
    <x:xf numFmtId="0" fontId="12" fillId="0" borderId="76" xfId="0" applyNumberFormat="1" applyFont="1" applyFill="1" applyBorder="1" applyAlignment="1">
      <x:alignment vertical="top" wrapText="1"/>
    </x:xf>
    <x:xf numFmtId="0" fontId="12" fillId="0" borderId="77" xfId="0" applyNumberFormat="1" applyFont="1" applyFill="1" applyBorder="1" applyAlignment="1">
      <x:alignment vertical="top" wrapText="1"/>
    </x:xf>
    <x:xf numFmtId="0" fontId="12" fillId="38" borderId="73" xfId="0" applyNumberFormat="1" applyFont="1" applyFill="1" applyBorder="1" applyAlignment="1">
      <x:alignment vertical="top" wrapText="1"/>
    </x:xf>
    <x:xf numFmtId="0" fontId="12" fillId="38" xfId="0" applyNumberFormat="1" applyFont="1" applyFill="1" applyBorder="0" applyAlignment="1">
      <x:alignment vertical="top" wrapText="1"/>
    </x:xf>
    <x:xf numFmtId="0" fontId="12" fillId="38" borderId="74" xfId="0" applyNumberFormat="1" applyFont="1" applyFill="1" applyBorder="1" applyAlignment="1">
      <x:alignment vertical="top" wrapText="1"/>
    </x:xf>
    <x:xf numFmtId="0" fontId="12" fillId="38" borderId="75" xfId="0" applyNumberFormat="1" applyFont="1" applyFill="1" applyBorder="1" applyAlignment="1">
      <x:alignment vertical="top" wrapText="1"/>
    </x:xf>
    <x:xf numFmtId="0" fontId="12" fillId="38" borderId="76" xfId="0" applyNumberFormat="1" applyFont="1" applyFill="1" applyBorder="1" applyAlignment="1">
      <x:alignment vertical="top" wrapText="1"/>
    </x:xf>
    <x:xf numFmtId="0" fontId="12" fillId="38" borderId="77" xfId="0" applyNumberFormat="1" applyFont="1" applyFill="1" applyBorder="1" applyAlignment="1">
      <x:alignment vertical="top" wrapText="1"/>
    </x:xf>
    <x:xf numFmtId="202" fontId="12" fillId="0" borderId="71" xfId="0" applyNumberFormat="1" applyFont="1" applyFill="1" applyBorder="1" applyAlignment="1">
      <x:alignment vertical="top" wrapText="1"/>
    </x:xf>
    <x:xf numFmtId="202" fontId="12" fillId="38" xfId="0" applyNumberFormat="1" applyFont="1" applyFill="1" applyBorder="0" applyAlignment="1">
      <x:alignment vertical="top" wrapText="1"/>
    </x:xf>
    <x:xf numFmtId="202" fontId="12" fillId="38" borderId="76" xfId="0" applyNumberFormat="1" applyFont="1" applyFill="1" applyBorder="1" applyAlignment="1">
      <x:alignment vertical="top" wrapText="1"/>
    </x:xf>
    <x:xf numFmtId="202" fontId="12" fillId="0" borderId="72" xfId="0" applyNumberFormat="1" applyFont="1" applyFill="1" applyBorder="1" applyAlignment="1">
      <x:alignment vertical="top" wrapText="1"/>
    </x:xf>
    <x:xf numFmtId="202" fontId="12" fillId="0" borderId="74" xfId="0" applyNumberFormat="1" applyFont="1" applyFill="1" applyBorder="1" applyAlignment="1">
      <x:alignment vertical="top" wrapText="1"/>
    </x:xf>
    <x:xf numFmtId="201" fontId="12" fillId="0" borderId="72" xfId="0" applyNumberFormat="1" applyFont="1" applyFill="1" applyBorder="1"/>
    <x:xf numFmtId="201" fontId="12" fillId="0" borderId="74" xfId="0" applyNumberFormat="1" applyFont="1" applyFill="1" applyBorder="1"/>
    <x:xf numFmtId="201" fontId="12" fillId="0" borderId="77" xfId="0" applyNumberFormat="1" applyFont="1" applyFill="1" applyBorder="1"/>
    <x:xf numFmtId="201" fontId="12" fillId="0" borderId="72" xfId="0" applyNumberFormat="1" applyFont="1" applyFill="1" applyBorder="1" applyAlignment="1">
      <x:alignment wrapText="1"/>
    </x:xf>
    <x:xf numFmtId="201" fontId="12" fillId="0" borderId="74" xfId="0" applyNumberFormat="1" applyFont="1" applyFill="1" applyBorder="1" applyAlignment="1">
      <x:alignment wrapText="1"/>
    </x:xf>
    <x:xf numFmtId="201" fontId="12" fillId="0" borderId="77" xfId="0" applyNumberFormat="1" applyFont="1" applyFill="1" applyBorder="1" applyAlignment="1">
      <x:alignment wrapText="1"/>
    </x:xf>
    <x:xf numFmtId="201" fontId="12" fillId="0" borderId="72" xfId="0" applyNumberFormat="1" applyFont="1" applyFill="1" applyBorder="1" applyAlignment="1">
      <x:alignment vertical="top" wrapText="1"/>
    </x:xf>
    <x:xf numFmtId="201" fontId="12" fillId="0" borderId="74" xfId="0" applyNumberFormat="1" applyFont="1" applyFill="1" applyBorder="1" applyAlignment="1">
      <x:alignment vertical="top" wrapText="1"/>
    </x:xf>
    <x:xf numFmtId="201" fontId="12" fillId="0" borderId="77" xfId="0" applyNumberFormat="1" applyFont="1" applyFill="1" applyBorder="1" applyAlignment="1">
      <x:alignment vertical="top" wrapText="1"/>
    </x:xf>
    <x:xf numFmtId="0" fontId="0" fillId="39" borderId="0" xfId="0" applyNumberFormat="1" applyFont="1" applyFill="1" applyBorder="1"/>
    <x:xf numFmtId="0" fontId="4" fillId="39" borderId="0" xfId="0" applyNumberFormat="1" applyFont="1" applyFill="1" applyBorder="1"/>
    <x:xf numFmtId="0" fontId="6" fillId="37" borderId="0" xfId="0" applyNumberFormat="1" applyFont="1" applyFill="1" applyBorder="1"/>
    <x:xf numFmtId="0" fontId="5" fillId="37" borderId="0" xfId="0" applyNumberFormat="1" applyFont="1" applyFill="1" applyBorder="1"/>
    <x:xf numFmtId="0" fontId="5" fillId="37" borderId="67" xfId="0" applyNumberFormat="1" applyFont="1" applyFill="1" applyBorder="1"/>
    <x:xf numFmtId="0" fontId="5" fillId="37" borderId="68" xfId="0" applyNumberFormat="1" applyFont="1" applyFill="1" applyBorder="1"/>
    <x:xf numFmtId="0" fontId="5" fillId="37" borderId="69" xfId="0" applyNumberFormat="1" applyFont="1" applyFill="1" applyBorder="1"/>
    <x:xf numFmtId="0" fontId="5" fillId="37" borderId="67" xfId="0" applyNumberFormat="1" applyFont="1" applyFill="1" applyBorder="1" applyAlignment="1">
      <x:alignment wrapText="1"/>
    </x:xf>
    <x:xf numFmtId="0" fontId="5" fillId="37" borderId="68" xfId="0" applyNumberFormat="1" applyFont="1" applyFill="1" applyBorder="1" applyAlignment="1">
      <x:alignment wrapText="1"/>
    </x:xf>
    <x:xf numFmtId="0" fontId="5" fillId="37" borderId="69" xfId="0" applyNumberFormat="1" applyFont="1" applyFill="1" applyBorder="1" applyAlignment="1">
      <x:alignment wrapText="1"/>
    </x:xf>
    <x:xf numFmtId="0" fontId="5" fillId="37" borderId="67" xfId="0" applyNumberFormat="1" applyFont="1" applyFill="1" applyBorder="1" applyAlignment="1">
      <x:alignment horizontal="center" wrapText="1"/>
    </x:xf>
    <x:xf numFmtId="0" fontId="5" fillId="37" borderId="68" xfId="0" applyNumberFormat="1" applyFont="1" applyFill="1" applyBorder="1" applyAlignment="1">
      <x:alignment horizontal="center" wrapText="1"/>
    </x:xf>
    <x:xf numFmtId="0" fontId="5" fillId="37" borderId="69" xfId="0" applyNumberFormat="1" applyFont="1" applyFill="1" applyBorder="1" applyAlignment="1">
      <x:alignment horizontal="center" wrapText="1"/>
    </x:xf>
    <x:xf numFmtId="0" fontId="5" fillId="37" borderId="67" xfId="0" applyNumberFormat="1" applyFont="1" applyFill="1" applyBorder="1" applyAlignment="1">
      <x:alignment horizontal="center" vertical="center" wrapText="1"/>
    </x:xf>
    <x:xf numFmtId="0" fontId="5" fillId="37" borderId="68" xfId="0" applyNumberFormat="1" applyFont="1" applyFill="1" applyBorder="1" applyAlignment="1">
      <x:alignment horizontal="center" vertical="center" wrapText="1"/>
    </x:xf>
    <x:xf numFmtId="0" fontId="5" fillId="37" borderId="69" xfId="0" applyNumberFormat="1" applyFont="1" applyFill="1" applyBorder="1" applyAlignment="1">
      <x:alignment horizontal="center" vertical="center" wrapText="1"/>
    </x:xf>
    <x:xf numFmtId="0" fontId="16" fillId="0" borderId="70" xfId="0" applyNumberFormat="1" applyFont="1" applyFill="1" applyBorder="1"/>
    <x:xf numFmtId="0" fontId="16" fillId="0" borderId="71" xfId="0" applyNumberFormat="1" applyFont="1" applyFill="1" applyBorder="1"/>
    <x:xf numFmtId="0" fontId="16" fillId="0" borderId="72" xfId="0" applyNumberFormat="1" applyFont="1" applyFill="1" applyBorder="1"/>
    <x:xf numFmtId="0" fontId="16" fillId="0" borderId="73" xfId="0" applyNumberFormat="1" applyFont="1" applyFill="1" applyBorder="1"/>
    <x:xf numFmtId="0" fontId="16" fillId="0" borderId="74" xfId="0" applyNumberFormat="1" applyFont="1" applyFill="1" applyBorder="1"/>
    <x:xf numFmtId="0" fontId="16" fillId="0" borderId="75" xfId="0" applyNumberFormat="1" applyFont="1" applyFill="1" applyBorder="1"/>
    <x:xf numFmtId="0" fontId="16" fillId="0" borderId="76" xfId="0" applyNumberFormat="1" applyFont="1" applyFill="1" applyBorder="1"/>
    <x:xf numFmtId="0" fontId="16" fillId="0" borderId="77" xfId="0" applyNumberFormat="1" applyFont="1" applyFill="1" applyBorder="1"/>
    <x:xf numFmtId="0" fontId="16" fillId="0" borderId="70" xfId="0" applyNumberFormat="1" applyFont="1" applyFill="1" applyBorder="1" applyAlignment="1">
      <x:alignment wrapText="1"/>
    </x:xf>
    <x:xf numFmtId="0" fontId="16" fillId="0" borderId="71" xfId="0" applyNumberFormat="1" applyFont="1" applyFill="1" applyBorder="1" applyAlignment="1">
      <x:alignment wrapText="1"/>
    </x:xf>
    <x:xf numFmtId="0" fontId="16" fillId="0" borderId="72" xfId="0" applyNumberFormat="1" applyFont="1" applyFill="1" applyBorder="1" applyAlignment="1">
      <x:alignment wrapText="1"/>
    </x:xf>
    <x:xf numFmtId="0" fontId="16" fillId="0" borderId="73" xfId="0" applyNumberFormat="1" applyFont="1" applyFill="1" applyBorder="1" applyAlignment="1">
      <x:alignment wrapText="1"/>
    </x:xf>
    <x:xf numFmtId="0" fontId="16" fillId="0" borderId="74" xfId="0" applyNumberFormat="1" applyFont="1" applyFill="1" applyBorder="1" applyAlignment="1">
      <x:alignment wrapText="1"/>
    </x:xf>
    <x:xf numFmtId="0" fontId="16" fillId="0" borderId="75" xfId="0" applyNumberFormat="1" applyFont="1" applyFill="1" applyBorder="1" applyAlignment="1">
      <x:alignment wrapText="1"/>
    </x:xf>
    <x:xf numFmtId="0" fontId="16" fillId="0" borderId="76" xfId="0" applyNumberFormat="1" applyFont="1" applyFill="1" applyBorder="1" applyAlignment="1">
      <x:alignment wrapText="1"/>
    </x:xf>
    <x:xf numFmtId="0" fontId="16" fillId="0" borderId="77" xfId="0" applyNumberFormat="1" applyFont="1" applyFill="1" applyBorder="1" applyAlignment="1">
      <x:alignment wrapText="1"/>
    </x:xf>
    <x:xf numFmtId="0" fontId="16" fillId="0" borderId="70" xfId="0" applyNumberFormat="1" applyFont="1" applyFill="1" applyBorder="1" applyAlignment="1">
      <x:alignment vertical="top" wrapText="1"/>
    </x:xf>
    <x:xf numFmtId="0" fontId="16" fillId="0" borderId="71" xfId="0" applyNumberFormat="1" applyFont="1" applyFill="1" applyBorder="1" applyAlignment="1">
      <x:alignment vertical="top" wrapText="1"/>
    </x:xf>
    <x:xf numFmtId="0" fontId="16" fillId="0" borderId="72" xfId="0" applyNumberFormat="1" applyFont="1" applyFill="1" applyBorder="1" applyAlignment="1">
      <x:alignment vertical="top" wrapText="1"/>
    </x:xf>
    <x:xf numFmtId="0" fontId="16" fillId="0" borderId="73" xfId="0" applyNumberFormat="1" applyFont="1" applyFill="1" applyBorder="1" applyAlignment="1">
      <x:alignment vertical="top" wrapText="1"/>
    </x:xf>
    <x:xf numFmtId="0" fontId="16" fillId="0" borderId="74" xfId="0" applyNumberFormat="1" applyFont="1" applyFill="1" applyBorder="1" applyAlignment="1">
      <x:alignment vertical="top" wrapText="1"/>
    </x:xf>
    <x:xf numFmtId="0" fontId="16" fillId="0" borderId="75" xfId="0" applyNumberFormat="1" applyFont="1" applyFill="1" applyBorder="1" applyAlignment="1">
      <x:alignment vertical="top" wrapText="1"/>
    </x:xf>
    <x:xf numFmtId="0" fontId="16" fillId="0" borderId="76" xfId="0" applyNumberFormat="1" applyFont="1" applyFill="1" applyBorder="1" applyAlignment="1">
      <x:alignment vertical="top" wrapText="1"/>
    </x:xf>
    <x:xf numFmtId="0" fontId="16" fillId="0" borderId="77" xfId="0" applyNumberFormat="1" applyFont="1" applyFill="1" applyBorder="1" applyAlignment="1">
      <x:alignment vertical="top" wrapText="1"/>
    </x:xf>
    <x:xf numFmtId="202" fontId="16" fillId="0" borderId="71" xfId="0" applyNumberFormat="1" applyFont="1" applyFill="1" applyBorder="1" applyAlignment="1">
      <x:alignment vertical="top" wrapText="1"/>
    </x:xf>
    <x:xf numFmtId="0" fontId="16" fillId="38" borderId="73" xfId="0" applyNumberFormat="1" applyFont="1" applyFill="1" applyBorder="1" applyAlignment="1">
      <x:alignment vertical="top" wrapText="1"/>
    </x:xf>
    <x:xf numFmtId="0" fontId="16" fillId="38" xfId="0" applyNumberFormat="1" applyFont="1" applyFill="1" applyBorder="0" applyAlignment="1">
      <x:alignment vertical="top" wrapText="1"/>
    </x:xf>
    <x:xf numFmtId="0" fontId="16" fillId="38" borderId="74" xfId="0" applyNumberFormat="1" applyFont="1" applyFill="1" applyBorder="1" applyAlignment="1">
      <x:alignment vertical="top" wrapText="1"/>
    </x:xf>
    <x:xf numFmtId="0" fontId="16" fillId="38" borderId="75" xfId="0" applyNumberFormat="1" applyFont="1" applyFill="1" applyBorder="1" applyAlignment="1">
      <x:alignment vertical="top" wrapText="1"/>
    </x:xf>
    <x:xf numFmtId="0" fontId="16" fillId="38" borderId="76" xfId="0" applyNumberFormat="1" applyFont="1" applyFill="1" applyBorder="1" applyAlignment="1">
      <x:alignment vertical="top" wrapText="1"/>
    </x:xf>
    <x:xf numFmtId="0" fontId="16" fillId="38" borderId="77" xfId="0" applyNumberFormat="1" applyFont="1" applyFill="1" applyBorder="1" applyAlignment="1">
      <x:alignment vertical="top" wrapText="1"/>
    </x:xf>
    <x:xf numFmtId="0" fontId="13" fillId="39" borderId="0" xfId="0" applyNumberFormat="1" applyFont="1" applyFill="1" applyBorder="1"/>
    <x:xf numFmtId="0" fontId="0" fillId="40" borderId="0" xfId="0" applyNumberFormat="1" applyFont="1" applyFill="1" applyBorder="1"/>
    <x:xf numFmtId="0" fontId="12" fillId="40" borderId="0" xfId="0" applyNumberFormat="1" applyFont="1" applyFill="1" applyBorder="1"/>
    <x:xf numFmtId="0" fontId="12" fillId="40" borderId="0" xfId="0" applyNumberFormat="1" applyFont="1" applyFill="1" applyBorder="1" applyAlignment="1">
      <x:alignment wrapText="1"/>
    </x:xf>
    <x:xf numFmtId="0" fontId="12" fillId="40" borderId="0" xfId="0" applyNumberFormat="1" applyFont="1" applyFill="1" applyBorder="1" applyAlignment="1">
      <x:alignment vertical="top" wrapText="1"/>
    </x:xf>
  </x:cellXfs>
  <x:cellStyles count="1">
    <x:cellStyle name="Normal" xfId="0"/>
  </x:cellStyles>
  <x:dxfs count="14">
    <x:dxf>
      <x:fill>
        <x:patternFill>
          <x:bgColor rgb="FFFEE2E2"/>
        </x:patternFill>
      </x:fill>
    </x:dxf>
    <x:dxf>
      <x:fill>
        <x:patternFill>
          <x:bgColor rgb="FFFEF3C7"/>
        </x:patternFill>
      </x:fill>
    </x:dxf>
    <x:dxf>
      <x:fill>
        <x:patternFill>
          <x:bgColor rgb="FFFEF3C7"/>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color rgb="FF7F8C8D"/>
      </x:font>
      <x:fill>
        <x:patternFill>
          <x:bgColor rgb="FFF2F2F2"/>
        </x:patternFill>
      </x:fill>
    </x:dxf>
    <x:dxf>
      <x:font>
        <x:b/>
        <x:color rgb="FFC00000"/>
      </x:font>
      <x:fill>
        <x:patternFill>
          <x:bgColor rgb="FFFCE4D6"/>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af4012717b845dd" /><Relationship Type="http://schemas.openxmlformats.org/officeDocument/2006/relationships/theme" Target="/xl/theme/theme1.xml" Id="Rccbe491987ae46a8" /><Relationship Type="http://schemas.openxmlformats.org/officeDocument/2006/relationships/sharedStrings" Target="/xl/sharedStrings.xml" Id="Rf1c084dc1fac4a8c" /><Relationship Type="http://schemas.openxmlformats.org/officeDocument/2006/relationships/worksheet" Target="/xl/worksheets/sheet1.xml" Id="R7f4f9c9f20734b0e" /><Relationship Type="http://schemas.openxmlformats.org/officeDocument/2006/relationships/worksheet" Target="/xl/worksheets/sheet2.xml" Id="R22bdc547108a46fe" /><Relationship Type="http://schemas.openxmlformats.org/officeDocument/2006/relationships/worksheet" Target="/xl/worksheets/sheet3.xml" Id="Rcf446fb8b1a041a7" /><Relationship Type="http://schemas.openxmlformats.org/officeDocument/2006/relationships/worksheet" Target="/xl/worksheets/sheet4.xml" Id="R773863eb6a2f4423" /><Relationship Type="http://schemas.openxmlformats.org/officeDocument/2006/relationships/worksheet" Target="/xl/worksheets/sheet5.xml" Id="R55097ed2394e4de6" /><Relationship Type="http://schemas.openxmlformats.org/officeDocument/2006/relationships/worksheet" Target="/xl/worksheets/sheet6.xml" Id="R87f2e820be304d9e" /><Relationship Type="http://schemas.openxmlformats.org/officeDocument/2006/relationships/worksheet" Target="/xl/worksheets/sheet7.xml" Id="R4a7cd06c9a9f470d" /><Relationship Type="http://schemas.openxmlformats.org/officeDocument/2006/relationships/worksheet" Target="/xl/worksheets/sheet8.xml" Id="Rad55968efd904edf" /><Relationship Type="http://schemas.openxmlformats.org/officeDocument/2006/relationships/worksheet" Target="/xl/worksheets/sheet9.xml" Id="R76cd4eba2d554ad8" /><Relationship Type="http://schemas.openxmlformats.org/officeDocument/2006/relationships/worksheet" Target="/xl/worksheets/sheet10.xml" Id="R7fd038103a5847eb" /><Relationship Type="http://schemas.openxmlformats.org/officeDocument/2006/relationships/worksheet" Target="/xl/worksheets/sheet11.xml" Id="Rb442186f50e04db8" /><Relationship Type="http://schemas.openxmlformats.org/officeDocument/2006/relationships/worksheet" Target="/xl/worksheets/sheet12.xml" Id="R504f6bc0535744e6" /><Relationship Type="http://schemas.openxmlformats.org/officeDocument/2006/relationships/worksheet" Target="/xl/worksheets/sheet13.xml" Id="R9a84492b82ad4740" /><Relationship Type="http://schemas.openxmlformats.org/officeDocument/2006/relationships/worksheet" Target="/xl/worksheets/sheet14.xml" Id="Rc8e4841c207944f7" /><Relationship Type="http://schemas.openxmlformats.org/officeDocument/2006/relationships/worksheet" Target="/xl/worksheets/sheet15.xml" Id="Rb046364196ce44cc" /><Relationship Type="http://schemas.openxmlformats.org/officeDocument/2006/relationships/worksheet" Target="/xl/worksheets/sheet16.xml" Id="Rcb439732225c4180" /><Relationship Type="http://schemas.openxmlformats.org/officeDocument/2006/relationships/worksheet" Target="/xl/worksheets/sheet17.xml" Id="Re7d173f2023f4bd9" /><Relationship Type="http://schemas.openxmlformats.org/officeDocument/2006/relationships/worksheet" Target="/xl/worksheets/sheet18.xml" Id="Rb3c4ad114acc4c0e" /><Relationship Type="http://schemas.openxmlformats.org/officeDocument/2006/relationships/worksheet" Target="/xl/worksheets/sheet19.xml" Id="R119c6c5dc2e248e7" /><Relationship Type="http://schemas.openxmlformats.org/officeDocument/2006/relationships/worksheet" Target="/xl/worksheets/sheet20.xml" Id="R6ef5d1b275ba493d" /><Relationship Type="http://schemas.openxmlformats.org/officeDocument/2006/relationships/worksheet" Target="/xl/worksheets/sheet21.xml" Id="R4d5a8d252db4402f" /><Relationship Type="http://schemas.openxmlformats.org/officeDocument/2006/relationships/worksheet" Target="/xl/worksheets/sheet22.xml" Id="R2ff87e49f9ae4b28" /><Relationship Type="http://schemas.openxmlformats.org/officeDocument/2006/relationships/worksheet" Target="/xl/worksheets/sheet23.xml" Id="R9ae2e14914284b06" /><Relationship Type="http://schemas.openxmlformats.org/officeDocument/2006/relationships/worksheet" Target="/xl/worksheets/sheet24.xml" Id="R24a634b61ebc4efd" /><Relationship Type="http://schemas.openxmlformats.org/officeDocument/2006/relationships/worksheet" Target="/xl/worksheets/sheet25.xml" Id="R8f8ff79eebed4074" /><Relationship Type="http://schemas.openxmlformats.org/officeDocument/2006/relationships/worksheet" Target="/xl/worksheets/sheet26.xml" Id="Rf5493c4bffc74884" /><Relationship Type="http://schemas.openxmlformats.org/officeDocument/2006/relationships/worksheet" Target="/xl/worksheets/sheet27.xml" Id="Rd56964c7c78d4cbf" /><Relationship Type="http://schemas.openxmlformats.org/officeDocument/2006/relationships/worksheet" Target="/xl/worksheets/sheet28.xml" Id="R0f3073621e114f54" /><Relationship Type="http://schemas.openxmlformats.org/officeDocument/2006/relationships/worksheet" Target="/xl/worksheets/sheet29.xml" Id="Rbe578c4c39884611" /><Relationship Type="http://schemas.openxmlformats.org/officeDocument/2006/relationships/worksheet" Target="/xl/worksheets/sheet30.xml" Id="R8ac5439a37264fd1" /><Relationship Type="http://schemas.openxmlformats.org/officeDocument/2006/relationships/worksheet" Target="/xl/worksheets/sheet31.xml" Id="Rdd068c341bbd444d" /><Relationship Type="http://schemas.openxmlformats.org/officeDocument/2006/relationships/worksheet" Target="/xl/worksheets/sheet32.xml" Id="R567332cf728c4e2c" /><Relationship Type="http://schemas.openxmlformats.org/officeDocument/2006/relationships/worksheet" Target="/xl/worksheets/sheet33.xml" Id="Rece8972a685040be" /><Relationship Type="http://schemas.openxmlformats.org/officeDocument/2006/relationships/worksheet" Target="/xl/worksheets/sheet34.xml" Id="Ref9661894aaa405e" /><Relationship Type="http://schemas.openxmlformats.org/officeDocument/2006/relationships/worksheet" Target="/xl/worksheets/sheet35.xml" Id="Re8f324d8ae20406b" /><Relationship Type="http://schemas.openxmlformats.org/officeDocument/2006/relationships/worksheet" Target="/xl/worksheets/sheet36.xml" Id="Rc4918dabc3ce4794" /><Relationship Type="http://schemas.openxmlformats.org/officeDocument/2006/relationships/worksheet" Target="/xl/worksheets/sheet37.xml" Id="R1ba42ca124b341e1" /><Relationship Type="http://schemas.openxmlformats.org/officeDocument/2006/relationships/worksheet" Target="/xl/worksheets/sheet38.xml" Id="R934d49366e6e459b" /><Relationship Type="http://schemas.openxmlformats.org/officeDocument/2006/relationships/worksheet" Target="/xl/worksheets/sheet39.xml" Id="R217071aba0c04ce1" /><Relationship Type="http://schemas.openxmlformats.org/officeDocument/2006/relationships/worksheet" Target="/xl/worksheets/sheet40.xml" Id="R607a3a37a0ec4aec" /><Relationship Type="http://schemas.openxmlformats.org/officeDocument/2006/relationships/worksheet" Target="/xl/worksheets/sheet41.xml" Id="Rfb6c350c11d74f4c" /><Relationship Type="http://schemas.openxmlformats.org/officeDocument/2006/relationships/worksheet" Target="/xl/worksheets/sheet42.xml" Id="Rc7b780d852b746ad" /><Relationship Type="http://schemas.openxmlformats.org/officeDocument/2006/relationships/worksheet" Target="/xl/worksheets/sheet43.xml" Id="R78cf053856524ba9" /><Relationship Type="http://schemas.openxmlformats.org/officeDocument/2006/relationships/worksheet" Target="/xl/worksheets/sheet44.xml" Id="Rf7e005a07974490b" /><Relationship Type="http://schemas.openxmlformats.org/officeDocument/2006/relationships/worksheet" Target="/xl/worksheets/sheet45.xml" Id="R4528afd8873543b5" /><Relationship Type="http://schemas.openxmlformats.org/officeDocument/2006/relationships/worksheet" Target="/xl/worksheets/sheet46.xml" Id="Rcbab79b69c0741bd" /><Relationship Type="http://schemas.openxmlformats.org/officeDocument/2006/relationships/worksheet" Target="/xl/worksheets/sheet47.xml" Id="Rf2318c05fda14dea" /><Relationship Type="http://schemas.openxmlformats.org/officeDocument/2006/relationships/worksheet" Target="/xl/worksheets/sheet48.xml" Id="Rc88a26f6d569440a" /><Relationship Type="http://schemas.openxmlformats.org/officeDocument/2006/relationships/worksheet" Target="/xl/worksheets/sheet49.xml" Id="R03348bd2b44b471f" /><Relationship Type="http://schemas.openxmlformats.org/officeDocument/2006/relationships/worksheet" Target="/xl/worksheets/sheet50.xml" Id="R0eb13cfc40c446ad" /><Relationship Type="http://schemas.openxmlformats.org/officeDocument/2006/relationships/worksheet" Target="/xl/worksheets/sheet51.xml" Id="Ra29e6b63cb3d4ad4" /><Relationship Type="http://schemas.openxmlformats.org/officeDocument/2006/relationships/worksheet" Target="/xl/worksheets/sheet52.xml" Id="R1b903096f3284bfa" /><Relationship Type="http://schemas.openxmlformats.org/officeDocument/2006/relationships/worksheet" Target="/xl/worksheets/sheet53.xml" Id="R692a356d1b084057" /><Relationship Type="http://schemas.openxmlformats.org/officeDocument/2006/relationships/worksheet" Target="/xl/worksheets/sheet54.xml" Id="R84c6584c734741b5" /><Relationship Type="http://schemas.openxmlformats.org/officeDocument/2006/relationships/worksheet" Target="/xl/worksheets/sheet55.xml" Id="R4bf80af1e0c14814" /><Relationship Type="http://schemas.openxmlformats.org/officeDocument/2006/relationships/worksheet" Target="/xl/worksheets/sheet56.xml" Id="R479093dba9c8445e" /><Relationship Type="http://schemas.openxmlformats.org/officeDocument/2006/relationships/worksheet" Target="/xl/worksheets/sheet57.xml" Id="R3573c21c339f4c58" /><Relationship Type="http://schemas.openxmlformats.org/officeDocument/2006/relationships/worksheet" Target="/xl/worksheets/sheet58.xml" Id="Redcf93a7cbd6461b" /><Relationship Type="http://schemas.openxmlformats.org/officeDocument/2006/relationships/worksheet" Target="/xl/worksheets/sheet59.xml" Id="Rf2ff9ac417304435" /><Relationship Type="http://schemas.openxmlformats.org/officeDocument/2006/relationships/worksheet" Target="/xl/worksheets/sheet60.xml" Id="Rf4463b2bbef74714" /><Relationship Type="http://schemas.openxmlformats.org/officeDocument/2006/relationships/worksheet" Target="/xl/worksheets/sheet61.xml" Id="Rb4d26a46da3b4896" /><Relationship Type="http://schemas.openxmlformats.org/officeDocument/2006/relationships/worksheet" Target="/xl/worksheets/sheet62.xml" Id="R8fe7d747d40f45b0" /><Relationship Type="http://schemas.openxmlformats.org/officeDocument/2006/relationships/worksheet" Target="/xl/worksheets/sheet63.xml" Id="R21189b7a9c9b4cde" /><Relationship Type="http://schemas.openxmlformats.org/officeDocument/2006/relationships/worksheet" Target="/xl/worksheets/sheet64.xml" Id="Rfbdb2c837be04fbd" /><Relationship Type="http://schemas.openxmlformats.org/officeDocument/2006/relationships/worksheet" Target="/xl/worksheets/sheet65.xml" Id="R54d16653cd6d4965" /><Relationship Type="http://schemas.openxmlformats.org/officeDocument/2006/relationships/worksheet" Target="/xl/worksheets/sheet66.xml" Id="R08626fa38ae64e9f" /><Relationship Type="http://schemas.openxmlformats.org/officeDocument/2006/relationships/worksheet" Target="/xl/worksheets/sheet67.xml" Id="Rfb32db8013ce4e7a" /><Relationship Type="http://schemas.openxmlformats.org/officeDocument/2006/relationships/worksheet" Target="/xl/worksheets/sheet68.xml" Id="Rede2de023d69426f" /><Relationship Type="http://schemas.openxmlformats.org/officeDocument/2006/relationships/worksheet" Target="/xl/worksheets/sheet69.xml" Id="R30d066aabdb14a88" /><Relationship Type="http://schemas.openxmlformats.org/officeDocument/2006/relationships/worksheet" Target="/xl/worksheets/sheet70.xml" Id="R8a4d8bb78ca848d7" /><Relationship Type="http://schemas.openxmlformats.org/officeDocument/2006/relationships/worksheet" Target="/xl/worksheets/sheet71.xml" Id="R2afc16f4b3074f2d" /><Relationship Type="http://schemas.openxmlformats.org/officeDocument/2006/relationships/worksheet" Target="/xl/worksheets/sheet72.xml" Id="R15ea181ba9d14380" /><Relationship Type="http://schemas.openxmlformats.org/officeDocument/2006/relationships/worksheet" Target="/xl/worksheets/sheet73.xml" Id="R1b34ef2b65fb4f2d" /><Relationship Type="http://schemas.openxmlformats.org/officeDocument/2006/relationships/worksheet" Target="/xl/worksheets/sheet74.xml" Id="R01ef087ddc7f4e0d" /><Relationship Type="http://schemas.openxmlformats.org/officeDocument/2006/relationships/worksheet" Target="/xl/worksheets/sheet75.xml" Id="R9ab8ded3d015415b" /><Relationship Type="http://schemas.openxmlformats.org/officeDocument/2006/relationships/worksheet" Target="/xl/worksheets/sheet76.xml" Id="R4ba2279008d74867" /><Relationship Type="http://schemas.openxmlformats.org/officeDocument/2006/relationships/worksheet" Target="/xl/worksheets/sheet77.xml" Id="R9702e4ccbb0b4cd3" /><Relationship Type="http://schemas.openxmlformats.org/officeDocument/2006/relationships/worksheet" Target="/xl/worksheets/sheet78.xml" Id="R997f10d659c54ebe" /><Relationship Type="http://schemas.openxmlformats.org/officeDocument/2006/relationships/worksheet" Target="/xl/worksheets/sheet79.xml" Id="Raa11a90bb9de42a6" /><Relationship Type="http://schemas.openxmlformats.org/officeDocument/2006/relationships/worksheet" Target="/xl/worksheets/sheet80.xml" Id="R195f84e5a237416c" /><Relationship Type="http://schemas.openxmlformats.org/officeDocument/2006/relationships/worksheet" Target="/xl/worksheets/sheet81.xml" Id="R7552053330dd4aa6" /><Relationship Type="http://schemas.openxmlformats.org/officeDocument/2006/relationships/worksheet" Target="/xl/worksheets/sheet82.xml" Id="Rc2f646044f5f4440" /><Relationship Type="http://schemas.openxmlformats.org/officeDocument/2006/relationships/worksheet" Target="/xl/worksheets/sheet83.xml" Id="Raea6ee8007774bd5" /><Relationship Type="http://schemas.openxmlformats.org/officeDocument/2006/relationships/worksheet" Target="/xl/worksheets/sheet84.xml" Id="R0efe2761ffab4720" /><Relationship Type="http://schemas.openxmlformats.org/officeDocument/2006/relationships/worksheet" Target="/xl/worksheets/sheet85.xml" Id="Rd8822ed6439346b1" /><Relationship Type="http://schemas.openxmlformats.org/officeDocument/2006/relationships/worksheet" Target="/xl/worksheets/sheet86.xml" Id="Re131af621b714f57" /><Relationship Type="http://schemas.openxmlformats.org/officeDocument/2006/relationships/worksheet" Target="/xl/worksheets/sheet87.xml" Id="Ra53a11f0308f4e01" /><Relationship Type="http://schemas.openxmlformats.org/officeDocument/2006/relationships/worksheet" Target="/xl/worksheets/sheet88.xml" Id="R141153add9a04570" /><Relationship Type="http://schemas.openxmlformats.org/officeDocument/2006/relationships/worksheet" Target="/xl/worksheets/sheet89.xml" Id="Rd9d1b977a5554fba" /><Relationship Type="http://schemas.openxmlformats.org/officeDocument/2006/relationships/worksheet" Target="/xl/worksheets/sheet90.xml" Id="R01f7eb8e054849ab" /><Relationship Type="http://schemas.openxmlformats.org/officeDocument/2006/relationships/worksheet" Target="/xl/worksheets/sheet91.xml" Id="R4a6c75f401db4329" /><Relationship Type="http://schemas.openxmlformats.org/officeDocument/2006/relationships/worksheet" Target="/xl/worksheets/sheet92.xml" Id="R6b9ca09be09849a1" /><Relationship Type="http://schemas.openxmlformats.org/officeDocument/2006/relationships/worksheet" Target="/xl/worksheets/sheet93.xml" Id="R8bea8301762f47f2" /><Relationship Type="http://schemas.openxmlformats.org/officeDocument/2006/relationships/worksheet" Target="/xl/worksheets/sheet94.xml" Id="R8b0381a3f0b14286" /><Relationship Type="http://schemas.openxmlformats.org/officeDocument/2006/relationships/worksheet" Target="/xl/worksheets/sheet95.xml" Id="Rd8bb325eb3244eb4" /><Relationship Type="http://schemas.openxmlformats.org/officeDocument/2006/relationships/worksheet" Target="/xl/worksheets/sheet96.xml" Id="R5c4d8849650e4189" /><Relationship Type="http://schemas.openxmlformats.org/officeDocument/2006/relationships/worksheet" Target="/xl/worksheets/sheet97.xml" Id="Rbf557c47e232497d" /><Relationship Type="http://schemas.openxmlformats.org/officeDocument/2006/relationships/worksheet" Target="/xl/worksheets/sheet98.xml" Id="R991eb64484a24f9d" /><Relationship Type="http://schemas.openxmlformats.org/officeDocument/2006/relationships/worksheet" Target="/xl/worksheets/sheet99.xml" Id="Rb5197fd28b4244e6" /><Relationship Type="http://schemas.openxmlformats.org/officeDocument/2006/relationships/worksheet" Target="/xl/worksheets/sheet100.xml" Id="R79b5a68b0b694261" /><Relationship Type="http://schemas.openxmlformats.org/officeDocument/2006/relationships/worksheet" Target="/xl/worksheets/sheet101.xml" Id="Rd2438aa0dd0f4edb" /><Relationship Type="http://schemas.openxmlformats.org/officeDocument/2006/relationships/worksheet" Target="/xl/worksheets/sheet102.xml" Id="R3875a970d611475f" /><Relationship Type="http://schemas.openxmlformats.org/officeDocument/2006/relationships/worksheet" Target="/xl/worksheets/sheet103.xml" Id="R41d7d95b0c7a4bab" /><Relationship Type="http://schemas.openxmlformats.org/officeDocument/2006/relationships/worksheet" Target="/xl/worksheets/sheet104.xml" Id="R13e08e77e10b4b1b" /><Relationship Type="http://schemas.openxmlformats.org/officeDocument/2006/relationships/worksheet" Target="/xl/worksheets/sheet105.xml" Id="Rced221f54e0d4a0e" /><Relationship Type="http://schemas.openxmlformats.org/officeDocument/2006/relationships/worksheet" Target="/xl/worksheets/sheet106.xml" Id="R680c6223bc7a415f" /><Relationship Type="http://schemas.openxmlformats.org/officeDocument/2006/relationships/worksheet" Target="/xl/worksheets/sheet107.xml" Id="Rc87661c4c09645bd" /><Relationship Type="http://schemas.openxmlformats.org/officeDocument/2006/relationships/worksheet" Target="/xl/worksheets/sheet108.xml" Id="R3987295e315b4fa7" /><Relationship Type="http://schemas.openxmlformats.org/officeDocument/2006/relationships/worksheet" Target="/xl/worksheets/sheet109.xml" Id="R94c9881a76324693" /><Relationship Type="http://schemas.openxmlformats.org/officeDocument/2006/relationships/worksheet" Target="/xl/worksheets/sheet110.xml" Id="Rcca2143f4238457d" /><Relationship Type="http://schemas.openxmlformats.org/officeDocument/2006/relationships/worksheet" Target="/xl/worksheets/sheet111.xml" Id="Rc2680fb5faf846d4" /><Relationship Type="http://schemas.openxmlformats.org/officeDocument/2006/relationships/worksheet" Target="/xl/worksheets/sheet112.xml" Id="R90fc3c5150944b8b" /><Relationship Type="http://schemas.openxmlformats.org/officeDocument/2006/relationships/worksheet" Target="/xl/worksheets/sheet113.xml" Id="R02a434d328374ab6" /><Relationship Type="http://schemas.openxmlformats.org/officeDocument/2006/relationships/worksheet" Target="/xl/worksheets/sheet114.xml" Id="R999f3f3ccbd44238" /><Relationship Type="http://schemas.openxmlformats.org/officeDocument/2006/relationships/worksheet" Target="/xl/worksheets/sheet115.xml" Id="R8ff84567e4a04d0f" /><Relationship Type="http://schemas.openxmlformats.org/officeDocument/2006/relationships/worksheet" Target="/xl/worksheets/sheet116.xml" Id="R7d56171cc9ee4fad" /><Relationship Type="http://schemas.openxmlformats.org/officeDocument/2006/relationships/worksheet" Target="/xl/worksheets/sheet117.xml" Id="Rf0554d40b7844d49" /><Relationship Type="http://schemas.openxmlformats.org/officeDocument/2006/relationships/worksheet" Target="/xl/worksheets/sheet118.xml" Id="Rb1e0677e0ee74d3f" /><Relationship Type="http://schemas.openxmlformats.org/officeDocument/2006/relationships/worksheet" Target="/xl/worksheets/sheet119.xml" Id="R7e269f86950849f5" /><Relationship Type="http://schemas.openxmlformats.org/officeDocument/2006/relationships/worksheet" Target="/xl/worksheets/sheet120.xml" Id="Rd3d3ae5c53cc4750" /><Relationship Type="http://schemas.openxmlformats.org/officeDocument/2006/relationships/worksheet" Target="/xl/worksheets/sheet121.xml" Id="Rff3a5844b10e4051" /><Relationship Type="http://schemas.openxmlformats.org/officeDocument/2006/relationships/worksheet" Target="/xl/worksheets/sheet122.xml" Id="R8c4f22d61ecb451e" /><Relationship Type="http://schemas.openxmlformats.org/officeDocument/2006/relationships/worksheet" Target="/xl/worksheets/sheet123.xml" Id="R4c02deabcf46419d" /><Relationship Type="http://schemas.openxmlformats.org/officeDocument/2006/relationships/worksheet" Target="/xl/worksheets/sheet124.xml" Id="R983addf7d3234516" /><Relationship Type="http://schemas.openxmlformats.org/officeDocument/2006/relationships/worksheet" Target="/xl/worksheets/sheet125.xml" Id="R19701f8b0fb34c02" /><Relationship Type="http://schemas.openxmlformats.org/officeDocument/2006/relationships/worksheet" Target="/xl/worksheets/sheet126.xml" Id="R69c01bd7fed0443f" /><Relationship Type="http://schemas.openxmlformats.org/officeDocument/2006/relationships/worksheet" Target="/xl/worksheets/sheet127.xml" Id="R018ae6875d7f451b" /><Relationship Type="http://schemas.openxmlformats.org/officeDocument/2006/relationships/worksheet" Target="/xl/worksheets/sheet128.xml" Id="R82317eee9b214631" /><Relationship Type="http://schemas.openxmlformats.org/officeDocument/2006/relationships/worksheet" Target="/xl/worksheets/sheet129.xml" Id="Re4f088d5c17147df" /><Relationship Type="http://schemas.openxmlformats.org/officeDocument/2006/relationships/worksheet" Target="/xl/worksheets/sheet130.xml" Id="R25c5082c3c174ee9" /><Relationship Type="http://schemas.openxmlformats.org/officeDocument/2006/relationships/worksheet" Target="/xl/worksheets/sheet131.xml" Id="Rc56f630705244511" /><Relationship Type="http://schemas.openxmlformats.org/officeDocument/2006/relationships/worksheet" Target="/xl/worksheets/sheet132.xml" Id="R3211a2330c8d4131" /><Relationship Type="http://schemas.openxmlformats.org/officeDocument/2006/relationships/worksheet" Target="/xl/worksheets/sheet133.xml" Id="Rb0c318547bfd4e53" /><Relationship Type="http://schemas.openxmlformats.org/officeDocument/2006/relationships/worksheet" Target="/xl/worksheets/sheet134.xml" Id="R1217a9ca8d164de7" /><Relationship Type="http://schemas.openxmlformats.org/officeDocument/2006/relationships/worksheet" Target="/xl/worksheets/sheet135.xml" Id="Rdc339ee9d49e40bc" /><Relationship Type="http://schemas.openxmlformats.org/officeDocument/2006/relationships/worksheet" Target="/xl/worksheets/sheet136.xml" Id="R000fb17dd6244211" /><Relationship Type="http://schemas.openxmlformats.org/officeDocument/2006/relationships/worksheet" Target="/xl/worksheets/sheet137.xml" Id="R3ce91ae4760040d8" /><Relationship Type="http://schemas.openxmlformats.org/officeDocument/2006/relationships/worksheet" Target="/xl/worksheets/sheet138.xml" Id="R4594812059564672" /><Relationship Type="http://schemas.openxmlformats.org/officeDocument/2006/relationships/worksheet" Target="/xl/worksheets/sheet139.xml" Id="R93827f1540e84dbc" /><Relationship Type="http://schemas.openxmlformats.org/officeDocument/2006/relationships/worksheet" Target="/xl/worksheets/sheet140.xml" Id="Ra9c907adfd1748f6" /><Relationship Type="http://schemas.openxmlformats.org/officeDocument/2006/relationships/worksheet" Target="/xl/worksheets/sheet141.xml" Id="Rc43c297e90614fc1" /><Relationship Type="http://schemas.openxmlformats.org/officeDocument/2006/relationships/worksheet" Target="/xl/worksheets/sheet142.xml" Id="R62d895ae2fb74c65" /><Relationship Type="http://schemas.openxmlformats.org/officeDocument/2006/relationships/worksheet" Target="/xl/worksheets/sheet143.xml" Id="Rc192e81dda664f57" /><Relationship Type="http://schemas.openxmlformats.org/officeDocument/2006/relationships/worksheet" Target="/xl/worksheets/sheet144.xml" Id="R88e0be30fa284b97" /><Relationship Type="http://schemas.openxmlformats.org/officeDocument/2006/relationships/worksheet" Target="/xl/worksheets/sheet145.xml" Id="R4ce150df2acc4953" /><Relationship Type="http://schemas.openxmlformats.org/officeDocument/2006/relationships/worksheet" Target="/xl/worksheets/sheet146.xml" Id="Rf1329f5665c141ab" /><Relationship Type="http://schemas.openxmlformats.org/officeDocument/2006/relationships/worksheet" Target="/xl/worksheets/sheet147.xml" Id="R9419f26410d74e42" /><Relationship Type="http://schemas.openxmlformats.org/officeDocument/2006/relationships/worksheet" Target="/xl/worksheets/sheet148.xml" Id="R610161df8b7544bf" /><Relationship Type="http://schemas.openxmlformats.org/officeDocument/2006/relationships/worksheet" Target="/xl/worksheets/sheet149.xml" Id="Ra5c72931fc8e4af6" /><Relationship Type="http://schemas.openxmlformats.org/officeDocument/2006/relationships/worksheet" Target="/xl/worksheets/sheet150.xml" Id="R1fc2ea6bb2454673" /><Relationship Type="http://schemas.openxmlformats.org/officeDocument/2006/relationships/worksheet" Target="/xl/worksheets/sheet151.xml" Id="Rfd9ad5ef70324b00" /><Relationship Type="http://schemas.openxmlformats.org/officeDocument/2006/relationships/worksheet" Target="/xl/worksheets/sheet152.xml" Id="Rf099679ddf8e491a" /><Relationship Type="http://schemas.openxmlformats.org/officeDocument/2006/relationships/worksheet" Target="/xl/worksheets/sheet153.xml" Id="R31773d62274d49a1" /><Relationship Type="http://schemas.openxmlformats.org/officeDocument/2006/relationships/worksheet" Target="/xl/worksheets/sheet154.xml" Id="R68045376b5404945" /><Relationship Type="http://schemas.openxmlformats.org/officeDocument/2006/relationships/worksheet" Target="/xl/worksheets/sheet155.xml" Id="R39005efa4dbb4ef1" /><Relationship Type="http://schemas.openxmlformats.org/officeDocument/2006/relationships/worksheet" Target="/xl/worksheets/sheet156.xml" Id="R72550edf325a458a" /><Relationship Type="http://schemas.openxmlformats.org/officeDocument/2006/relationships/worksheet" Target="/xl/worksheets/sheet157.xml" Id="Rc18571eabcd84cf9" /><Relationship Type="http://schemas.openxmlformats.org/officeDocument/2006/relationships/worksheet" Target="/xl/worksheets/sheet158.xml" Id="Rc5c01c78760c42f8" /><Relationship Type="http://schemas.openxmlformats.org/officeDocument/2006/relationships/worksheet" Target="/xl/worksheets/sheet159.xml" Id="R0ed4687f88944874" /><Relationship Type="http://schemas.openxmlformats.org/officeDocument/2006/relationships/worksheet" Target="/xl/worksheets/sheet160.xml" Id="Rc226f2763ab24e43" /><Relationship Type="http://schemas.openxmlformats.org/officeDocument/2006/relationships/worksheet" Target="/xl/worksheets/sheet161.xml" Id="Rf2210adaada04941" /><Relationship Type="http://schemas.openxmlformats.org/officeDocument/2006/relationships/worksheet" Target="/xl/worksheets/sheet162.xml" Id="R7788cde51c794f01" /><Relationship Type="http://schemas.openxmlformats.org/officeDocument/2006/relationships/worksheet" Target="/xl/worksheets/sheet163.xml" Id="R2f91822f5dce45bb" /></Relationships>
</file>

<file path=xl/drawings/_rels/drawing1.xml.rels>&#65279;<?xml version="1.0" encoding="utf-8"?><Relationships xmlns="http://schemas.openxmlformats.org/package/2006/relationships"><Relationship Type="http://schemas.openxmlformats.org/officeDocument/2006/relationships/chart" Target="/xl/drawings/charts/chart1.xml" Id="Rc83db0ac84b34096" /></Relationships>
</file>

<file path=xl/drawings/_rels/drawing2.xml.rels>&#65279;<?xml version="1.0" encoding="utf-8"?><Relationships xmlns="http://schemas.openxmlformats.org/package/2006/relationships"><Relationship Type="http://schemas.openxmlformats.org/officeDocument/2006/relationships/chart" Target="/xl/drawings/charts/chart2.xml" Id="Ra2baf7d68e0f42bb" /></Relationships>
</file>

<file path=xl/drawings/_rels/drawing3.xml.rels>&#65279;<?xml version="1.0" encoding="utf-8"?><Relationships xmlns="http://schemas.openxmlformats.org/package/2006/relationships"><Relationship Type="http://schemas.openxmlformats.org/officeDocument/2006/relationships/chart" Target="/xl/drawings/charts/chart3.xml" Id="R1a6789d2cbcc42e7" /></Relationships>
</file>

<file path=xl/drawings/_rels/drawing4.xml.rels>&#65279;<?xml version="1.0" encoding="utf-8"?><Relationships xmlns="http://schemas.openxmlformats.org/package/2006/relationships"><Relationship Type="http://schemas.openxmlformats.org/officeDocument/2006/relationships/chart" Target="/xl/drawings/charts/chart4.xml" Id="R80f1580efb154eda" /></Relationships>
</file>

<file path=xl/drawings/_rels/drawing5.xml.rels>&#65279;<?xml version="1.0" encoding="utf-8"?><Relationships xmlns="http://schemas.openxmlformats.org/package/2006/relationships"><Relationship Type="http://schemas.openxmlformats.org/officeDocument/2006/relationships/chart" Target="/xl/drawings/charts/chart5.xml" Id="Ra2f9382bcb63498c" /></Relationships>
</file>

<file path=xl/drawings/_rels/drawing6.xml.rels>&#65279;<?xml version="1.0" encoding="utf-8"?><Relationships xmlns="http://schemas.openxmlformats.org/package/2006/relationships"><Relationship Type="http://schemas.openxmlformats.org/officeDocument/2006/relationships/chart" Target="/xl/drawings/charts/chart6.xml" Id="R40d5bdd40df94613" /></Relationships>
</file>

<file path=xl/drawings/_rels/drawing7.xml.rels>&#65279;<?xml version="1.0" encoding="utf-8"?><Relationships xmlns="http://schemas.openxmlformats.org/package/2006/relationships"><Relationship Type="http://schemas.openxmlformats.org/officeDocument/2006/relationships/chart" Target="/xl/drawings/charts/chart7.xml" Id="Rf87bf9b4b08e4d95" /></Relationships>
</file>

<file path=xl/drawings/_rels/drawing8.xml.rels>&#65279;<?xml version="1.0" encoding="utf-8"?><Relationships xmlns="http://schemas.openxmlformats.org/package/2006/relationships"><Relationship Type="http://schemas.openxmlformats.org/officeDocument/2006/relationships/chart" Target="/xl/drawings/charts/chart8.xml" Id="Rc9dcb271f13e4747"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Weeks</c:v>
          </c:tx>
          <c:cat>
            <c:strRef>
              <c:f>'Delivery Stages'!$B$5:$B$17</c:f>
              <c:strCache>
                <c:ptCount val="0"/>
              </c:strCache>
            </c:strRef>
          </c:cat>
          <c:val>
            <c:numRef>
              <c:f>'Delivery Stages'!$D$5:$D$17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Effort by Stage</a:t>
            </a:r>
          </a:p>
        </c:rich>
      </c:tx>
      <c:overlay val="0"/>
    </c:title>
    <c:autoTitleDeleted val="0"/>
    <c:plotArea>
      <c:layout/>
      <c:barChart>
        <c:barDir val="col"/>
        <c:grouping val="clustered"/>
        <c:varyColors val="0"/>
        <c:ser>
          <c:idx val="0"/>
          <c:order val="0"/>
          <c:tx>
            <c:v>Stage name</c:v>
          </c:tx>
          <c:cat>
            <c:strRef>
              <c:f>'KPI Dashboard'!$D$5:$D$17</c:f>
              <c:strCache>
                <c:ptCount val="0"/>
              </c:strCache>
            </c:strRef>
          </c:cat>
          <c:val>
            <c:numRef>
              <c:f>'KPI Dashboard'!$E$5:$E$17</c:f>
              <c:numCache>
                <c:formatCode>General</c:formatCode>
                <c:ptCount val="0"/>
              </c:numCache>
            </c:numRef>
          </c:val>
        </c:ser>
        <c:ser>
          <c:idx val="1"/>
          <c:order val="1"/>
          <c:tx>
            <c:v>Effort PW</c:v>
          </c:tx>
          <c:cat>
            <c:strRef>
              <c:f>'KPI Dashboard'!$D$5:$D$17</c:f>
              <c:strCache>
                <c:ptCount val="0"/>
              </c:strCache>
            </c:strRef>
          </c:cat>
          <c:val>
            <c:numRef>
              <c:f>'KPI Dashboard'!$F$5:$F$17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Foundation Workplan Maturity</a:t>
            </a:r>
          </a:p>
        </c:rich>
      </c:tx>
      <c:overlay val="0"/>
    </c:title>
    <c:autoTitleDeleted val="0"/>
    <c:plotArea>
      <c:layout/>
      <c:barChart>
        <c:barDir val="col"/>
        <c:varyColors val="0"/>
        <c:ser>
          <c:idx val="0"/>
          <c:order val="0"/>
          <c:tx>
            <c:v>Readiness</c:v>
          </c:tx>
          <c:cat>
            <c:strRef>
              <c:f>'Foundation Dashboard'!$A$18:$A$20</c:f>
              <c:strCache>
                <c:ptCount val="0"/>
              </c:strCache>
            </c:strRef>
          </c:cat>
          <c:val>
            <c:numRef>
              <c:f>'Foundation Dashboard'!$B$18:$B$20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2–3 Readiness</a:t>
            </a:r>
          </a:p>
        </c:rich>
      </c:tx>
      <c:overlay val="0"/>
    </c:title>
    <c:autoTitleDeleted val="0"/>
    <c:plotArea>
      <c:layout/>
      <c:barChart>
        <c:barDir val="col"/>
        <c:varyColors val="0"/>
        <c:ser>
          <c:idx val="0"/>
          <c:order val="0"/>
          <c:tx>
            <c:v>Readiness %</c:v>
          </c:tx>
          <c:cat>
            <c:strRef>
              <c:f>'Stage 2-3 Dashboard'!$D$5:$D$8</c:f>
              <c:strCache>
                <c:ptCount val="0"/>
              </c:strCache>
            </c:strRef>
          </c:cat>
          <c:val>
            <c:numRef>
              <c:f>'Stage 2-3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4–5 Readiness</a:t>
            </a:r>
          </a:p>
        </c:rich>
      </c:tx>
      <c:overlay val="0"/>
    </c:title>
    <c:autoTitleDeleted val="0"/>
    <c:plotArea>
      <c:layout/>
      <c:barChart>
        <c:barDir val="col"/>
        <c:varyColors val="0"/>
        <c:ser>
          <c:idx val="0"/>
          <c:order val="0"/>
          <c:tx>
            <c:v>Readiness %</c:v>
          </c:tx>
          <c:cat>
            <c:strRef>
              <c:f>'Stage 4-5 Dashboard'!$D$5:$D$8</c:f>
              <c:strCache>
                <c:ptCount val="0"/>
              </c:strCache>
            </c:strRef>
          </c:cat>
          <c:val>
            <c:numRef>
              <c:f>'Stage 4-5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6–7 Readiness</a:t>
            </a:r>
          </a:p>
        </c:rich>
      </c:tx>
      <c:overlay val="0"/>
    </c:title>
    <c:autoTitleDeleted val="0"/>
    <c:plotArea>
      <c:layout/>
      <c:barChart>
        <c:barDir val="col"/>
        <c:varyColors val="0"/>
        <c:ser>
          <c:idx val="0"/>
          <c:order val="0"/>
          <c:tx>
            <c:v>Readiness %</c:v>
          </c:tx>
          <c:cat>
            <c:strRef>
              <c:f>'Stage 6-7 Dashboard'!$D$5:$D$8</c:f>
              <c:strCache>
                <c:ptCount val="0"/>
              </c:strCache>
            </c:strRef>
          </c:cat>
          <c:val>
            <c:numRef>
              <c:f>'Stage 6-7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8–9 Readiness</a:t>
            </a:r>
          </a:p>
        </c:rich>
      </c:tx>
      <c:overlay val="0"/>
    </c:title>
    <c:autoTitleDeleted val="0"/>
    <c:plotArea>
      <c:layout/>
      <c:barChart>
        <c:barDir val="col"/>
        <c:varyColors val="0"/>
        <c:ser>
          <c:idx val="0"/>
          <c:order val="0"/>
          <c:tx>
            <c:v>Readiness %</c:v>
          </c:tx>
          <c:cat>
            <c:strRef>
              <c:f>'Stage 8-9 Dashboard'!$D$5:$D$8</c:f>
              <c:strCache>
                <c:ptCount val="0"/>
              </c:strCache>
            </c:strRef>
          </c:cat>
          <c:val>
            <c:numRef>
              <c:f>'Stage 8-9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10–11 Readiness</a:t>
            </a:r>
          </a:p>
        </c:rich>
      </c:tx>
      <c:overlay val="0"/>
    </c:title>
    <c:autoTitleDeleted val="0"/>
    <c:plotArea>
      <c:layout/>
      <c:barChart>
        <c:barDir val="col"/>
        <c:varyColors val="0"/>
        <c:ser>
          <c:idx val="0"/>
          <c:order val="0"/>
          <c:tx>
            <c:v>Readiness %</c:v>
          </c:tx>
          <c:cat>
            <c:strRef>
              <c:f>'Stage 10-11 Dashboard'!$D$5:$D$8</c:f>
              <c:strCache>
                <c:ptCount val="0"/>
              </c:strCache>
            </c:strRef>
          </c:cat>
          <c:val>
            <c:numRef>
              <c:f>'Stage 10-11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15</xdr:col>
      <xdr:colOff>0</xdr:colOff>
      <xdr:row>3</xdr:row>
      <xdr:rowOff>0</xdr:rowOff>
    </xdr:from>
    <xdr:to>
      <xdr:col>24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83db0ac84b34096"/>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baf7d68e0f42bb"/>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3</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a6789d2cbcc42e7"/>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0f1580efb154eda"/>
        </a:graphicData>
      </a:graphic>
    </xdr:graphicFrame>
    <xdr:clientData/>
  </xdr:twoCellAnchor>
</xdr:wsDr>
</file>

<file path=xl/drawings/drawing5.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f9382bcb63498c"/>
        </a:graphicData>
      </a:graphic>
    </xdr:graphicFrame>
    <xdr:clientData/>
  </xdr:twoCellAnchor>
</xdr:wsDr>
</file>

<file path=xl/drawings/drawing6.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d5bdd40df94613"/>
        </a:graphicData>
      </a:graphic>
    </xdr:graphicFrame>
    <xdr:clientData/>
  </xdr:twoCellAnchor>
</xdr:wsDr>
</file>

<file path=xl/drawings/drawing7.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7bf9b4b08e4d95"/>
        </a:graphicData>
      </a:graphic>
    </xdr:graphicFrame>
    <xdr:clientData/>
  </xdr:twoCellAnchor>
</xdr:wsDr>
</file>

<file path=xl/drawings/drawing8.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dcb271f13e4747"/>
        </a:graphicData>
      </a:graphic>
    </xdr:graphicFrame>
    <xdr:clientData/>
  </xdr:twoCellAnchor>
</xdr:wsDr>
</file>

<file path=xl/tables/table1.xml><?xml version="1.0" encoding="utf-8"?>
<x:table xmlns:x="http://schemas.openxmlformats.org/spreadsheetml/2006/main" id="1" name="IndexTable" displayName="IndexTable" ref="A4:D18" headerRowCount="1">
  <x:tableColumns count="4">
    <x:tableColumn id="1" name="Workbook section"/>
    <x:tableColumn id="2" name="Purpose"/>
    <x:tableColumn id="3" name="Primary users"/>
    <x:tableColumn id="4" name="Status"/>
  </x:tableColumns>
  <x:tableStyleInfo name="TableStyleMedium2" showRowStripes="1"/>
</x:table>
</file>

<file path=xl/tables/table2.xml><?xml version="1.0" encoding="utf-8"?>
<x:table xmlns:x="http://schemas.openxmlformats.org/spreadsheetml/2006/main" id="2" name="CharterTable" displayName="CharterTable" ref="A4:B14" headerRowCount="1">
  <x:tableColumns count="2">
    <x:tableColumn id="1" name="Area"/>
    <x:tableColumn id="2" name="Content"/>
  </x:tableColumns>
  <x:tableStyleInfo name="TableStyleMedium2" showRowStripes="1"/>
</x:table>
</file>

<file path=xl/tables/table3.xml><?xml version="1.0" encoding="utf-8"?>
<x:table xmlns:x="http://schemas.openxmlformats.org/spreadsheetml/2006/main" id="3" name="MarketTable" displayName="MarketTable" ref="A4:H14" headerRowCount="1">
  <x:tableColumns count="8">
    <x:tableColumn id="1" name="Reference"/>
    <x:tableColumn id="2" name="Category"/>
    <x:tableColumn id="3" name="Relevant capabilities"/>
    <x:tableColumn id="4" name="Lesson for Nessovo"/>
    <x:tableColumn id="5" name="Gap vs Nessovo target"/>
    <x:tableColumn id="6" name="Build/Buy/Watch"/>
    <x:tableColumn id="7" name="Priority"/>
    <x:tableColumn id="8" name="Source URL"/>
  </x:tableColumns>
  <x:tableStyleInfo name="TableStyleMedium2" showRowStripes="1"/>
</x:table>
</file>

<file path=xl/tables/table4.xml><?xml version="1.0" encoding="utf-8"?>
<x:table xmlns:x="http://schemas.openxmlformats.org/spreadsheetml/2006/main" id="4" name="OSSScanTable" displayName="OSSScanTable" ref="A4:I13" headerRowCount="1">
  <x:tableColumns count="9">
    <x:tableColumn id="1" name="Repository"/>
    <x:tableColumn id="2" name="Category"/>
    <x:tableColumn id="3" name="Relevance"/>
    <x:tableColumn id="4" name="Useful patterns"/>
    <x:tableColumn id="5" name="Limitations / risk"/>
    <x:tableColumn id="6" name="Licence note"/>
    <x:tableColumn id="7" name="Adopt stance"/>
    <x:tableColumn id="8" name="Priority"/>
    <x:tableColumn id="9" name="Source URL"/>
  </x:tableColumns>
  <x:tableStyleInfo name="TableStyleMedium2" showRowStripes="1"/>
</x:table>
</file>

<file path=xl/tables/table5.xml><?xml version="1.0" encoding="utf-8"?>
<x:table xmlns:x="http://schemas.openxmlformats.org/spreadsheetml/2006/main" id="5" name="GapMatrixTable" displayName="GapMatrixTable" ref="A4:I16" headerRowCount="1">
  <x:tableColumns count="9">
    <x:tableColumn id="1" name="Capability"/>
    <x:tableColumn id="2" name="Employee monitoring"/>
    <x:tableColumn id="3" name="Task mining"/>
    <x:tableColumn id="4" name="Developer telemetry"/>
    <x:tableColumn id="5" name="AI-agent memory"/>
    <x:tableColumn id="6" name="Nessovo target"/>
    <x:tableColumn id="7" name="Differentiation note"/>
    <x:tableColumn id="8" name="Priority"/>
    <x:tableColumn id="9" name="MVP"/>
  </x:tableColumns>
  <x:tableStyleInfo name="TableStyleMedium2" showRowStripes="1"/>
</x:table>
</file>

<file path=xl/tables/table6.xml><?xml version="1.0" encoding="utf-8"?>
<x:table xmlns:x="http://schemas.openxmlformats.org/spreadsheetml/2006/main" id="6" name="DeliveryStagesTable" displayName="DeliveryStagesTable" ref="A4:N17" headerRowCount="1">
  <x:tableColumns count="14">
    <x:tableColumn id="1" name="Stage #"/>
    <x:tableColumn id="2" name="Stage"/>
    <x:tableColumn id="3" name="Objective"/>
    <x:tableColumn id="4" name="Duration weeks"/>
    <x:tableColumn id="5" name="Team size"/>
    <x:tableColumn id="6" name="Dependencies"/>
    <x:tableColumn id="7" name="Exit deliverables"/>
    <x:tableColumn id="8" name="Lead role"/>
    <x:tableColumn id="9" name="Status"/>
    <x:tableColumn id="10" name="Priority"/>
    <x:tableColumn id="11" name="Risk"/>
    <x:tableColumn id="12" name="Start date"/>
    <x:tableColumn id="13" name="End date"/>
    <x:tableColumn id="14" name="Effort PW"/>
  </x:tableColumns>
  <x:tableStyleInfo name="TableStyleMedium2" showRowStripes="1"/>
</x:table>
</file>

<file path=xl/tables/table7.xml><?xml version="1.0" encoding="utf-8"?>
<x:table xmlns:x="http://schemas.openxmlformats.org/spreadsheetml/2006/main" id="7" name="MicroservicesTable" displayName="MicroservicesTable" ref="A4:J19" headerRowCount="1">
  <x:tableColumns count="10">
    <x:tableColumn id="1" name="Service"/>
    <x:tableColumn id="2" name="Boundary / responsibility"/>
    <x:tableColumn id="3" name="Primary runtime"/>
    <x:tableColumn id="4" name="Data store"/>
    <x:tableColumn id="5" name="Consumes"/>
    <x:tableColumn id="6" name="Publishes"/>
    <x:tableColumn id="7" name="MVP"/>
    <x:tableColumn id="8" name="Owner"/>
    <x:tableColumn id="9" name="Notes / dependencies"/>
    <x:tableColumn id="10" name="Source / reference"/>
  </x:tableColumns>
  <x:tableStyleInfo name="TableStyleMedium2" showRowStripes="1"/>
</x:table>
</file>

<file path=xl/tables/table8.xml><?xml version="1.0" encoding="utf-8"?>
<x:table xmlns:x="http://schemas.openxmlformats.org/spreadsheetml/2006/main" id="8" name="MVPBacklogTable" displayName="MVPBacklogTable" ref="A4:K24" headerRowCount="1">
  <x:tableColumns count="11">
    <x:tableColumn id="1" name="Epic ID"/>
    <x:tableColumn id="2" name="Epic"/>
    <x:tableColumn id="3" name="Feature / user story"/>
    <x:tableColumn id="4" name="Stage"/>
    <x:tableColumn id="5" name="Owner"/>
    <x:tableColumn id="6" name="Priority"/>
    <x:tableColumn id="7" name="Status"/>
    <x:tableColumn id="8" name="Effort pts"/>
    <x:tableColumn id="9" name="Acceptance criteria"/>
    <x:tableColumn id="10" name="Dependencies"/>
    <x:tableColumn id="11" name="Notes"/>
  </x:tableColumns>
  <x:tableStyleInfo name="TableStyleMedium2" showRowStripes="1"/>
</x:table>
</file>

<file path=xl/tables/table9.xml><?xml version="1.0" encoding="utf-8"?>
<x:table xmlns:x="http://schemas.openxmlformats.org/spreadsheetml/2006/main" id="9" name="EventModelTable" displayName="EventModelTable" ref="A4:I17" headerRowCount="1">
  <x:tableColumns count="9">
    <x:tableColumn id="1" name="Model area"/>
    <x:tableColumn id="2" name="Entity/Event"/>
    <x:tableColumn id="3" name="Purpose"/>
    <x:tableColumn id="4" name="Key fields"/>
    <x:tableColumn id="5" name="Producer"/>
    <x:tableColumn id="6" name="Consumer"/>
    <x:tableColumn id="7" name="MVP"/>
    <x:tableColumn id="8" name="Notes"/>
    <x:tableColumn id="9" name="Source/ref"/>
  </x:tableColumns>
  <x:tableStyleInfo name="TableStyleMedium2" showRowStripes="1"/>
</x:table>
</file>

<file path=xl/tables/table10.xml><?xml version="1.0" encoding="utf-8"?>
<x:table xmlns:x="http://schemas.openxmlformats.org/spreadsheetml/2006/main" id="10" name="CapabilityLevelsTable" displayName="CapabilityLevelsTable" ref="A4:F10" headerRowCount="1">
  <x:tableColumns count="6">
    <x:tableColumn id="1" name="Level"/>
    <x:tableColumn id="2" name="Name"/>
    <x:tableColumn id="3" name="Meaning"/>
    <x:tableColumn id="4" name="Evidence examples"/>
    <x:tableColumn id="5" name="Manager interpretation"/>
    <x:tableColumn id="6" name="Employee experience"/>
  </x:tableColumns>
  <x:tableStyleInfo name="TableStyleMedium2" showRowStripes="1"/>
</x:table>
</file>

<file path=xl/tables/table11.xml><?xml version="1.0" encoding="utf-8"?>
<x:table xmlns:x="http://schemas.openxmlformats.org/spreadsheetml/2006/main" id="11" name="AILoopsTable" displayName="AILoopsTable" ref="A13:E17" headerRowCount="1">
  <x:tableColumns count="5">
    <x:tableColumn id="1" name="Loop"/>
    <x:tableColumn id="2" name="Input"/>
    <x:tableColumn id="3" name="AI action"/>
    <x:tableColumn id="4" name="Human control"/>
    <x:tableColumn id="5" name="Output"/>
  </x:tableColumns>
  <x:tableStyleInfo name="TableStyleMedium2" showRowStripes="1"/>
</x:table>
</file>

<file path=xl/tables/table12.xml><?xml version="1.0" encoding="utf-8"?>
<x:table xmlns:x="http://schemas.openxmlformats.org/spreadsheetml/2006/main" id="12" name="EvaluatorsTable" displayName="EvaluatorsTable" ref="A20:F26" headerRowCount="1">
  <x:tableColumns count="6">
    <x:tableColumn id="1" name="Evaluator"/>
    <x:tableColumn id="2" name="Purpose"/>
    <x:tableColumn id="3" name="Runtime"/>
    <x:tableColumn id="4" name="Inputs"/>
    <x:tableColumn id="5" name="Outputs"/>
    <x:tableColumn id="6" name="MVP"/>
  </x:tableColumns>
  <x:tableStyleInfo name="TableStyleMedium2" showRowStripes="1"/>
</x:table>
</file>

<file path=xl/tables/table13.xml><?xml version="1.0" encoding="utf-8"?>
<x:table xmlns:x="http://schemas.openxmlformats.org/spreadsheetml/2006/main" id="13" name="GovernanceTable" displayName="GovernanceTable" ref="A4:I14" headerRowCount="1">
  <x:tableColumns count="9">
    <x:tableColumn id="1" name="Control area"/>
    <x:tableColumn id="2" name="Requirement"/>
    <x:tableColumn id="3" name="Implementation"/>
    <x:tableColumn id="4" name="Owner"/>
    <x:tableColumn id="5" name="MVP"/>
    <x:tableColumn id="6" name="Evidence"/>
    <x:tableColumn id="7" name="Risk reduced"/>
    <x:tableColumn id="8" name="Source URL"/>
    <x:tableColumn id="9" name="Notes"/>
  </x:tableColumns>
  <x:tableStyleInfo name="TableStyleMedium2" showRowStripes="1"/>
</x:table>
</file>

<file path=xl/tables/table14.xml><?xml version="1.0" encoding="utf-8"?>
<x:table xmlns:x="http://schemas.openxmlformats.org/spreadsheetml/2006/main" id="14" name="RiskRegisterTable" displayName="RiskRegisterTable" ref="A4:J16" headerRowCount="1">
  <x:tableColumns count="10">
    <x:tableColumn id="1" name="Risk ID"/>
    <x:tableColumn id="2" name="Risk"/>
    <x:tableColumn id="3" name="Category"/>
    <x:tableColumn id="4" name="Likelihood"/>
    <x:tableColumn id="5" name="Impact"/>
    <x:tableColumn id="6" name="Score"/>
    <x:tableColumn id="7" name="Mitigation"/>
    <x:tableColumn id="8" name="Owner"/>
    <x:tableColumn id="9" name="Stage"/>
    <x:tableColumn id="10" name="Status"/>
  </x:tableColumns>
  <x:tableStyleInfo name="TableStyleMedium2" showRowStripes="1"/>
</x:table>
</file>

<file path=xl/tables/table15.xml><?xml version="1.0" encoding="utf-8"?>
<x:table xmlns:x="http://schemas.openxmlformats.org/spreadsheetml/2006/main" id="15" name="KPIDashboardTable" displayName="KPIDashboardTable" ref="A4:C12" headerRowCount="1">
  <x:tableColumns count="3">
    <x:tableColumn id="1" name="Metric"/>
    <x:tableColumn id="2" name="Formula / Value"/>
    <x:tableColumn id="3" name="Interpretation"/>
  </x:tableColumns>
  <x:tableStyleInfo name="TableStyleMedium2" showRowStripes="1"/>
</x:table>
</file>

<file path=xl/tables/table16.xml><?xml version="1.0" encoding="utf-8"?>
<x:table xmlns:x="http://schemas.openxmlformats.org/spreadsheetml/2006/main" id="16" name="SourceRegisterTable" displayName="SourceRegisterTable" ref="A4:F31" headerRowCount="1">
  <x:tableColumns count="6">
    <x:tableColumn id="1" name="Source"/>
    <x:tableColumn id="2" name="Type"/>
    <x:tableColumn id="3" name="Supports"/>
    <x:tableColumn id="4" name="Source URL"/>
    <x:tableColumn id="5" name="Priority"/>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ac4becfb334e7d" /></Relationships>
</file>

<file path=xl/worksheets/_rels/sheet2.xml.rels>&#65279;<?xml version="1.0" encoding="utf-8"?><Relationships xmlns="http://schemas.openxmlformats.org/package/2006/relationships"><Relationship Type="http://schemas.openxmlformats.org/officeDocument/2006/relationships/table" Target="/xl/tables/table2.xml" Id="R307f9ce1cef04cdf" /></Relationships>
</file>

<file path=xl/worksheets/_rels/sheet3.xml.rels>&#65279;<?xml version="1.0" encoding="utf-8"?><Relationships xmlns="http://schemas.openxmlformats.org/package/2006/relationships"><Relationship Type="http://schemas.openxmlformats.org/officeDocument/2006/relationships/table" Target="/xl/tables/table3.xml" Id="Rc0b42444d1324954" /></Relationships>
</file>

<file path=xl/worksheets/_rels/sheet4.xml.rels>&#65279;<?xml version="1.0" encoding="utf-8"?><Relationships xmlns="http://schemas.openxmlformats.org/package/2006/relationships"><Relationship Type="http://schemas.openxmlformats.org/officeDocument/2006/relationships/table" Target="/xl/tables/table4.xml" Id="R6ebb0e7004854a80" /></Relationships>
</file>

<file path=xl/worksheets/_rels/sheet5.xml.rels>&#65279;<?xml version="1.0" encoding="utf-8"?><Relationships xmlns="http://schemas.openxmlformats.org/package/2006/relationships"><Relationship Type="http://schemas.openxmlformats.org/officeDocument/2006/relationships/table" Target="/xl/tables/table5.xml" Id="R58861635df3d45f6" /></Relationships>
</file>

<file path=xl/worksheets/_rels/sheet6.xml.rels>&#65279;<?xml version="1.0" encoding="utf-8"?><Relationships xmlns="http://schemas.openxmlformats.org/package/2006/relationships"><Relationship Type="http://schemas.openxmlformats.org/officeDocument/2006/relationships/drawing" Target="/xl/drawings/drawing1.xml" Id="Rf1290157305b4f0d" /><Relationship Type="http://schemas.openxmlformats.org/officeDocument/2006/relationships/table" Target="/xl/tables/table6.xml" Id="R4c0c5377129940cb" /></Relationships>
</file>

<file path=xl/worksheets/_rels/sheet7.xml.rels>&#65279;<?xml version="1.0" encoding="utf-8"?><Relationships xmlns="http://schemas.openxmlformats.org/package/2006/relationships"><Relationship Type="http://schemas.openxmlformats.org/officeDocument/2006/relationships/table" Target="/xl/tables/table7.xml" Id="Re628ffe370b04755" /></Relationships>
</file>

<file path=xl/worksheets/_rels/sheet8.xml.rels>&#65279;<?xml version="1.0" encoding="utf-8"?><Relationships xmlns="http://schemas.openxmlformats.org/package/2006/relationships"><Relationship Type="http://schemas.openxmlformats.org/officeDocument/2006/relationships/table" Target="/xl/tables/table8.xml" Id="R4d59f4ed671b4969" /></Relationships>
</file>

<file path=xl/worksheets/_rels/sheet9.xml.rels>&#65279;<?xml version="1.0" encoding="utf-8"?><Relationships xmlns="http://schemas.openxmlformats.org/package/2006/relationships"><Relationship Type="http://schemas.openxmlformats.org/officeDocument/2006/relationships/table" Target="/xl/tables/table9.xml" Id="Rf80e04855616445b" /></Relationships>
</file>

<file path=xl/worksheets/_rels/sheet10.xml.rels>&#65279;<?xml version="1.0" encoding="utf-8"?><Relationships xmlns="http://schemas.openxmlformats.org/package/2006/relationships"><Relationship Type="http://schemas.openxmlformats.org/officeDocument/2006/relationships/table" Target="/xl/tables/table10.xml" Id="R1d01a155341244cf" /><Relationship Type="http://schemas.openxmlformats.org/officeDocument/2006/relationships/table" Target="/xl/tables/table11.xml" Id="R937ec5c857b544da" /><Relationship Type="http://schemas.openxmlformats.org/officeDocument/2006/relationships/table" Target="/xl/tables/table12.xml" Id="R612ce9ab13ae4caa" /></Relationships>
</file>

<file path=xl/worksheets/_rels/sheet11.xml.rels>&#65279;<?xml version="1.0" encoding="utf-8"?><Relationships xmlns="http://schemas.openxmlformats.org/package/2006/relationships"><Relationship Type="http://schemas.openxmlformats.org/officeDocument/2006/relationships/table" Target="/xl/tables/table13.xml" Id="Rd0484d76a1d94fb4" /></Relationships>
</file>

<file path=xl/worksheets/_rels/sheet12.xml.rels>&#65279;<?xml version="1.0" encoding="utf-8"?><Relationships xmlns="http://schemas.openxmlformats.org/package/2006/relationships"><Relationship Type="http://schemas.openxmlformats.org/officeDocument/2006/relationships/table" Target="/xl/tables/table14.xml" Id="Rbfd32d37e9604fca" /></Relationships>
</file>

<file path=xl/worksheets/_rels/sheet13.xml.rels>&#65279;<?xml version="1.0" encoding="utf-8"?><Relationships xmlns="http://schemas.openxmlformats.org/package/2006/relationships"><Relationship Type="http://schemas.openxmlformats.org/officeDocument/2006/relationships/drawing" Target="/xl/drawings/drawing2.xml" Id="Ra78d4078891a4119" /><Relationship Type="http://schemas.openxmlformats.org/officeDocument/2006/relationships/table" Target="/xl/tables/table15.xml" Id="Rd5a350030e374e8b" /></Relationships>
</file>

<file path=xl/worksheets/_rels/sheet14.xml.rels>&#65279;<?xml version="1.0" encoding="utf-8"?><Relationships xmlns="http://schemas.openxmlformats.org/package/2006/relationships"><Relationship Type="http://schemas.openxmlformats.org/officeDocument/2006/relationships/table" Target="/xl/tables/table16.xml" Id="R1bee3049699e49f8" /></Relationships>
</file>

<file path=xl/worksheets/_rels/sheet16.xml.rels>&#65279;<?xml version="1.0" encoding="utf-8"?><Relationships xmlns="http://schemas.openxmlformats.org/package/2006/relationships"><Relationship Type="http://schemas.openxmlformats.org/officeDocument/2006/relationships/drawing" Target="/xl/drawings/drawing3.xml" Id="Ra1a64644221f47f0" /></Relationships>
</file>

<file path=xl/worksheets/_rels/sheet28.xml.rels>&#65279;<?xml version="1.0" encoding="utf-8"?><Relationships xmlns="http://schemas.openxmlformats.org/package/2006/relationships"><Relationship Type="http://schemas.openxmlformats.org/officeDocument/2006/relationships/drawing" Target="/xl/drawings/drawing4.xml" Id="Rcd3cc6fa51064052" /></Relationships>
</file>

<file path=xl/worksheets/_rels/sheet60.xml.rels>&#65279;<?xml version="1.0" encoding="utf-8"?><Relationships xmlns="http://schemas.openxmlformats.org/package/2006/relationships"><Relationship Type="http://schemas.openxmlformats.org/officeDocument/2006/relationships/drawing" Target="/xl/drawings/drawing5.xml" Id="R4a35fafa4b384b0a" /></Relationships>
</file>

<file path=xl/worksheets/_rels/sheet86.xml.rels>&#65279;<?xml version="1.0" encoding="utf-8"?><Relationships xmlns="http://schemas.openxmlformats.org/package/2006/relationships"><Relationship Type="http://schemas.openxmlformats.org/officeDocument/2006/relationships/drawing" Target="/xl/drawings/drawing6.xml" Id="Rf6c6a506b6114b8e" /></Relationships>
</file>

<file path=xl/worksheets/_rels/sheet113.xml.rels>&#65279;<?xml version="1.0" encoding="utf-8"?><Relationships xmlns="http://schemas.openxmlformats.org/package/2006/relationships"><Relationship Type="http://schemas.openxmlformats.org/officeDocument/2006/relationships/drawing" Target="/xl/drawings/drawing7.xml" Id="Rc3d6088d64544275" /></Relationships>
</file>

<file path=xl/worksheets/_rels/sheet136.xml.rels>&#65279;<?xml version="1.0" encoding="utf-8"?><Relationships xmlns="http://schemas.openxmlformats.org/package/2006/relationships"><Relationship Type="http://schemas.openxmlformats.org/officeDocument/2006/relationships/drawing" Target="/xl/drawings/drawing8.xml" Id="R1fd5683f66bf4d32" /></Relationships>
</file>

<file path=xl/worksheets/sheet1.xml><?xml version="1.0" encoding="utf-8"?>
<x:worksheet xmlns:x="http://schemas.openxmlformats.org/spreadsheetml/2006/main">
  <x:sheetFormatPr defaultRowHeight="15"/>
  <x:cols>
    <x:col min="1" max="1" width="32" hidden="0" customWidth="1"/>
    <x:col min="2" max="2" width="50" hidden="0" customWidth="1"/>
    <x:col min="3" max="3" width="28" hidden="0" customWidth="1"/>
    <x:col min="4" max="4" width="10" hidden="0" customWidth="1"/>
    <x:col min="6" max="6" width="30" hidden="0" customWidth="1"/>
    <x:col min="7" max="7" width="34" hidden="0" customWidth="1"/>
    <x:col min="8" max="8" width="24" hidden="0" customWidth="1"/>
    <x:col min="9" max="9" width="18" hidden="0" customWidth="1"/>
    <x:col min="10" max="10" width="18" hidden="0" customWidth="1"/>
    <x:col min="5" max="5" width="24" hidden="0" customWidth="1"/>
  </x:cols>
  <x:sheetData>
    <x:row r="1" ht="30" customHeight="1">
      <x:c r="A1" s="407" t="str">
        <x:v>Nessovo HumanOS Work Intelligence — Programme Workbook</x:v>
      </x:c>
      <x:c r="B1" s="407"/>
      <x:c r="C1" s="407"/>
      <x:c r="D1" s="407"/>
      <x:c r="E1" s="407"/>
      <x:c r="F1" s="407"/>
      <x:c r="G1" s="407"/>
      <x:c r="H1" s="407"/>
      <x:c r="I1" s="64"/>
      <x:c r="J1" s="64"/>
      <x:c r="K1" s="65"/>
      <x:c r="L1" s="65"/>
      <x:c r="M1" s="65"/>
      <x:c r="N1" s="65"/>
      <x:c r="O1" s="65"/>
      <x:c r="P1" s="65"/>
      <x:c r="Q1" s="65"/>
      <x:c r="R1" s="65"/>
      <x:c r="S1" s="65"/>
      <x:c r="T1" s="65"/>
      <x:c r="U1" s="65"/>
      <x:c r="V1" s="65"/>
      <x:c r="W1" s="65"/>
      <x:c r="X1" s="65"/>
      <x:c r="Y1" s="65"/>
      <x:c r="Z1" s="65"/>
    </x:row>
    <x:row r="2" ht="36" customHeight="1">
      <x:c r="A2" s="408" t="str">
        <x:v>Stage 0–11 workbook. Stages 10 and 11 now contain complete HumanOS experience and Skill Forge specifications; the final combined prompt is prepared for Stage 12 hardening, controlled pilot and rollout decision.</x:v>
      </x:c>
      <x:c r="B2" s="408"/>
      <x:c r="C2" s="408"/>
      <x:c r="D2" s="408"/>
      <x:c r="E2" s="408"/>
      <x:c r="F2" s="408"/>
      <x:c r="G2" s="408"/>
      <x:c r="H2" s="40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0" customHeight="1">
      <x:c r="A4" s="376" t="str">
        <x:v>Workbook section</x:v>
      </x:c>
      <x:c r="B4" s="377" t="str">
        <x:v>Purpose</x:v>
      </x:c>
      <x:c r="C4" s="377" t="str">
        <x:v>Primary users</x:v>
      </x:c>
      <x:c r="D4" s="377" t="str">
        <x:v>Stage</x:v>
      </x:c>
      <x:c r="E4" s="377" t="str">
        <x:v>Current state</x:v>
      </x:c>
      <x:c r="F4" s="377" t="str">
        <x:v>Approval state</x:v>
      </x:c>
      <x:c r="G4" s="377" t="str">
        <x:v>Next action</x:v>
      </x:c>
      <x:c r="H4" s="378" t="str">
        <x:v>Notes</x:v>
      </x:c>
      <x:c r="I4" s="51" t="str"/>
      <x:c r="J4" s="51" t="str"/>
      <x:c r="K4" s="47"/>
      <x:c r="L4" s="47"/>
      <x:c r="M4" s="47"/>
      <x:c r="N4" s="47"/>
      <x:c r="O4" s="47"/>
      <x:c r="P4" s="47"/>
      <x:c r="Q4" s="47"/>
      <x:c r="R4" s="47"/>
      <x:c r="S4" s="47"/>
      <x:c r="T4" s="47"/>
      <x:c r="U4" s="47"/>
      <x:c r="V4" s="47"/>
      <x:c r="W4" s="47"/>
      <x:c r="X4" s="47"/>
      <x:c r="Y4" s="47"/>
      <x:c r="Z4" s="47"/>
    </x:row>
    <x:row r="5">
      <x:c r="A5" s="391" t="str">
        <x:v>Foundation Dashboard</x:v>
      </x:c>
      <x:c r="B5" s="392" t="str">
        <x:v>Stage 0–1 readiness, blockers and decisions.</x:v>
      </x:c>
      <x:c r="C5" s="392" t="str">
        <x:v>Leadership</x:v>
      </x:c>
      <x:c r="D5" s="392" t="str">
        <x:v>0–1</x:v>
      </x:c>
      <x:c r="E5" s="392" t="str">
        <x:v>Complete</x:v>
      </x:c>
      <x:c r="F5" s="413" t="str">
        <x:v>Gates pending</x:v>
      </x:c>
      <x:c r="G5" s="413" t="str">
        <x:v>Resolve formal Stage 0–1 approvals.</x:v>
      </x:c>
      <x:c r="H5" s="414" t="str"/>
      <x:c r="I5" s="48" t="str"/>
      <x:c r="J5" s="48" t="str"/>
      <x:c r="K5" s="47"/>
      <x:c r="L5" s="47"/>
      <x:c r="M5" s="47"/>
      <x:c r="N5" s="47"/>
      <x:c r="O5" s="47"/>
      <x:c r="P5" s="47"/>
      <x:c r="Q5" s="47"/>
      <x:c r="R5" s="47"/>
      <x:c r="S5" s="47"/>
      <x:c r="T5" s="47"/>
      <x:c r="U5" s="47"/>
      <x:c r="V5" s="47"/>
      <x:c r="W5" s="47"/>
      <x:c r="X5" s="47"/>
      <x:c r="Y5" s="47"/>
      <x:c r="Z5" s="47"/>
    </x:row>
    <x:row r="6">
      <x:c r="A6" s="430" t="str">
        <x:v>Stage 2-3 Dashboard</x:v>
      </x:c>
      <x:c r="B6" s="431" t="str">
        <x:v>Stage 2 and 3 readiness, backlog maturity, sources and interpretation.</x:v>
      </x:c>
      <x:c r="C6" s="431" t="str">
        <x:v>Leadership/Programme</x:v>
      </x:c>
      <x:c r="D6" s="431" t="str">
        <x:v>2–3</x:v>
      </x:c>
      <x:c r="E6" s="431" t="str">
        <x:v>Complete</x:v>
      </x:c>
      <x:c r="F6" s="431" t="str">
        <x:v>Gates pending</x:v>
      </x:c>
      <x:c r="G6" s="431" t="str">
        <x:v>Review Stage 2–3 gate items.</x:v>
      </x:c>
      <x:c r="H6" s="432" t="str"/>
      <x:c r="I6" s="48" t="str"/>
      <x:c r="J6" s="48" t="str"/>
      <x:c r="K6" s="47"/>
      <x:c r="L6" s="47"/>
      <x:c r="M6" s="47"/>
      <x:c r="N6" s="47"/>
      <x:c r="O6" s="47"/>
      <x:c r="P6" s="47"/>
      <x:c r="Q6" s="47"/>
      <x:c r="R6" s="47"/>
      <x:c r="S6" s="47"/>
      <x:c r="T6" s="47"/>
      <x:c r="U6" s="47"/>
      <x:c r="V6" s="47"/>
      <x:c r="W6" s="47"/>
      <x:c r="X6" s="47"/>
      <x:c r="Y6" s="47"/>
      <x:c r="Z6" s="47"/>
    </x:row>
    <x:row r="7">
      <x:c r="A7" s="394" t="str">
        <x:v>Master Prompts</x:v>
      </x:c>
      <x:c r="B7" s="200" t="str">
        <x:v>Applied and next-stage prompts including Stages 4 and 5.</x:v>
      </x:c>
      <x:c r="C7" s="200" t="str">
        <x:v>Programme/Product/Architecture</x:v>
      </x:c>
      <x:c r="D7" s="200" t="str">
        <x:v>0–5</x:v>
      </x:c>
      <x:c r="E7" s="200" t="str">
        <x:v>Updated</x:v>
      </x:c>
      <x:c r="F7" s="185" t="str">
        <x:v>N/A</x:v>
      </x:c>
      <x:c r="G7" s="185" t="str">
        <x:v>Use prompts for next stages.</x:v>
      </x:c>
      <x:c r="H7" s="417" t="str"/>
      <x:c r="I7" s="48" t="str"/>
      <x:c r="J7" s="48" t="str"/>
      <x:c r="K7" s="47"/>
      <x:c r="L7" s="47"/>
      <x:c r="M7" s="47"/>
      <x:c r="N7" s="47"/>
      <x:c r="O7" s="47"/>
      <x:c r="P7" s="47"/>
      <x:c r="Q7" s="47"/>
      <x:c r="R7" s="47"/>
      <x:c r="S7" s="47"/>
      <x:c r="T7" s="47"/>
      <x:c r="U7" s="47"/>
      <x:c r="V7" s="47"/>
      <x:c r="W7" s="47"/>
      <x:c r="X7" s="47"/>
      <x:c r="Y7" s="47"/>
      <x:c r="Z7" s="47"/>
    </x:row>
    <x:row r="8">
      <x:c r="A8" s="430" t="str">
        <x:v>Executive Charter</x:v>
      </x:c>
      <x:c r="B8" s="431" t="str">
        <x:v>Concise executive decision summary.</x:v>
      </x:c>
      <x:c r="C8" s="431" t="str">
        <x:v>Leadership</x:v>
      </x:c>
      <x:c r="D8" s="431" t="str">
        <x:v>0–3</x:v>
      </x:c>
      <x:c r="E8" s="431" t="str">
        <x:v>Updated</x:v>
      </x:c>
      <x:c r="F8" s="431" t="str">
        <x:v>Leadership approval pending</x:v>
      </x:c>
      <x:c r="G8" s="431" t="str">
        <x:v>Use with dashboards.</x:v>
      </x:c>
      <x:c r="H8" s="432" t="str"/>
      <x:c r="I8" s="48" t="str"/>
      <x:c r="J8" s="48" t="str"/>
      <x:c r="K8" s="47"/>
      <x:c r="L8" s="47"/>
      <x:c r="M8" s="47"/>
      <x:c r="N8" s="47"/>
      <x:c r="O8" s="47"/>
      <x:c r="P8" s="47"/>
      <x:c r="Q8" s="47"/>
      <x:c r="R8" s="47"/>
      <x:c r="S8" s="47"/>
      <x:c r="T8" s="47"/>
      <x:c r="U8" s="47"/>
      <x:c r="V8" s="47"/>
      <x:c r="W8" s="47"/>
      <x:c r="X8" s="47"/>
      <x:c r="Y8" s="47"/>
      <x:c r="Z8" s="47"/>
    </x:row>
    <x:row r="9">
      <x:c r="A9" s="394" t="str">
        <x:v>Delivery Stages</x:v>
      </x:c>
      <x:c r="B9" s="200" t="str">
        <x:v>13-stage roadmap and current stage statuses.</x:v>
      </x:c>
      <x:c r="C9" s="200" t="str">
        <x:v>Programme</x:v>
      </x:c>
      <x:c r="D9" s="200" t="str">
        <x:v>All</x:v>
      </x:c>
      <x:c r="E9" s="200" t="str">
        <x:v>Updated</x:v>
      </x:c>
      <x:c r="F9" s="185" t="str">
        <x:v>Pending leadership approval</x:v>
      </x:c>
      <x:c r="G9" s="185" t="str">
        <x:v>Mobilise Stage 4–5 after gates.</x:v>
      </x:c>
      <x:c r="H9" s="417" t="str"/>
      <x:c r="I9" s="48" t="str"/>
      <x:c r="J9" s="48" t="str"/>
      <x:c r="K9" s="47"/>
      <x:c r="L9" s="47"/>
      <x:c r="M9" s="47"/>
      <x:c r="N9" s="47"/>
      <x:c r="O9" s="47"/>
      <x:c r="P9" s="47"/>
      <x:c r="Q9" s="47"/>
      <x:c r="R9" s="47"/>
      <x:c r="S9" s="47"/>
      <x:c r="T9" s="47"/>
      <x:c r="U9" s="47"/>
      <x:c r="V9" s="47"/>
      <x:c r="W9" s="47"/>
      <x:c r="X9" s="47"/>
      <x:c r="Y9" s="47"/>
      <x:c r="Z9" s="47"/>
    </x:row>
    <x:row r="10">
      <x:c r="A10" s="430" t="str">
        <x:v>Product Charter v1</x:v>
      </x:c>
      <x:c r="B10" s="431" t="str">
        <x:v>Strategic purpose, principles and scope.</x:v>
      </x:c>
      <x:c r="C10" s="431" t="str">
        <x:v>CEO/CTO/Product</x:v>
      </x:c>
      <x:c r="D10" s="431" t="str">
        <x:v>0</x:v>
      </x:c>
      <x:c r="E10" s="431" t="str">
        <x:v>Draft complete</x:v>
      </x:c>
      <x:c r="F10" s="431" t="str">
        <x:v>Stage 0 approval pending</x:v>
      </x:c>
      <x:c r="G10" s="431" t="str">
        <x:v>Approve or condition.</x:v>
      </x:c>
      <x:c r="H10" s="432" t="str"/>
      <x:c r="I10" s="50"/>
      <x:c r="J10" s="50"/>
      <x:c r="K10" s="47"/>
      <x:c r="L10" s="47"/>
      <x:c r="M10" s="47"/>
      <x:c r="N10" s="47"/>
      <x:c r="O10" s="47"/>
      <x:c r="P10" s="47"/>
      <x:c r="Q10" s="47"/>
      <x:c r="R10" s="47"/>
      <x:c r="S10" s="47"/>
      <x:c r="T10" s="47"/>
      <x:c r="U10" s="47"/>
      <x:c r="V10" s="47"/>
      <x:c r="W10" s="47"/>
      <x:c r="X10" s="47"/>
      <x:c r="Y10" s="47"/>
      <x:c r="Z10" s="47"/>
    </x:row>
    <x:row r="11">
      <x:c r="A11" s="394" t="str">
        <x:v>Purpose Policy Matrix</x:v>
      </x:c>
      <x:c r="B11" s="200" t="str">
        <x:v>Purpose, necessity and minimisation by data category.</x:v>
      </x:c>
      <x:c r="C11" s="200" t="str">
        <x:v>DPO/Legal/Security</x:v>
      </x:c>
      <x:c r="D11" s="200" t="str">
        <x:v>0</x:v>
      </x:c>
      <x:c r="E11" s="200" t="str">
        <x:v>Draft complete</x:v>
      </x:c>
      <x:c r="F11" s="200" t="str">
        <x:v>DPIA/legal approval pending</x:v>
      </x:c>
      <x:c r="G11" s="200" t="str">
        <x:v>Review before capture.</x:v>
      </x:c>
      <x:c r="H11" s="395" t="str"/>
      <x:c r="I11" s="50"/>
      <x:c r="J11" s="50"/>
      <x:c r="K11" s="47"/>
      <x:c r="L11" s="47"/>
      <x:c r="M11" s="47"/>
      <x:c r="N11" s="47"/>
      <x:c r="O11" s="47"/>
      <x:c r="P11" s="47"/>
      <x:c r="Q11" s="47"/>
      <x:c r="R11" s="47"/>
      <x:c r="S11" s="47"/>
      <x:c r="T11" s="47"/>
      <x:c r="U11" s="47"/>
      <x:c r="V11" s="47"/>
      <x:c r="W11" s="47"/>
      <x:c r="X11" s="47"/>
      <x:c r="Y11" s="47"/>
      <x:c r="Z11" s="47"/>
    </x:row>
    <x:row r="12">
      <x:c r="A12" s="430" t="str">
        <x:v>Stakeholder RACI</x:v>
      </x:c>
      <x:c r="B12" s="431" t="str">
        <x:v>Accountability matrix.</x:v>
      </x:c>
      <x:c r="C12" s="431" t="str">
        <x:v>Programme/Leadership</x:v>
      </x:c>
      <x:c r="D12" s="431" t="str">
        <x:v>0–1</x:v>
      </x:c>
      <x:c r="E12" s="431" t="str">
        <x:v>Draft complete</x:v>
      </x:c>
      <x:c r="F12" s="431" t="str">
        <x:v>Named owners pending</x:v>
      </x:c>
      <x:c r="G12" s="431" t="str">
        <x:v>Replace roles with names.</x:v>
      </x:c>
      <x:c r="H12" s="432" t="str"/>
      <x:c r="I12" s="50"/>
      <x:c r="J12" s="50"/>
      <x:c r="K12" s="47"/>
      <x:c r="L12" s="47"/>
      <x:c r="M12" s="47"/>
      <x:c r="N12" s="47"/>
      <x:c r="O12" s="47"/>
      <x:c r="P12" s="47"/>
      <x:c r="Q12" s="47"/>
      <x:c r="R12" s="47"/>
      <x:c r="S12" s="47"/>
      <x:c r="T12" s="47"/>
      <x:c r="U12" s="47"/>
      <x:c r="V12" s="47"/>
      <x:c r="W12" s="47"/>
      <x:c r="X12" s="47"/>
      <x:c r="Y12" s="47"/>
      <x:c r="Z12" s="47"/>
    </x:row>
    <x:row r="13">
      <x:c r="A13" s="394" t="str">
        <x:v>Market Landscape</x:v>
      </x:c>
      <x:c r="B13" s="200" t="str">
        <x:v>Commercial category research.</x:v>
      </x:c>
      <x:c r="C13" s="200" t="str">
        <x:v>Product/Strategy</x:v>
      </x:c>
      <x:c r="D13" s="200" t="str">
        <x:v>1</x:v>
      </x:c>
      <x:c r="E13" s="200" t="str">
        <x:v>Updated</x:v>
      </x:c>
      <x:c r="F13" s="200" t="str">
        <x:v>Review pending</x:v>
      </x:c>
      <x:c r="G13" s="200" t="str">
        <x:v>Maintain quarterly.</x:v>
      </x:c>
      <x:c r="H13" s="395" t="str"/>
      <x:c r="I13" s="50"/>
      <x:c r="J13" s="50"/>
      <x:c r="K13" s="47"/>
      <x:c r="L13" s="47"/>
      <x:c r="M13" s="47"/>
      <x:c r="N13" s="47"/>
      <x:c r="O13" s="47"/>
      <x:c r="P13" s="47"/>
      <x:c r="Q13" s="47"/>
      <x:c r="R13" s="47"/>
      <x:c r="S13" s="47"/>
      <x:c r="T13" s="47"/>
      <x:c r="U13" s="47"/>
      <x:c r="V13" s="47"/>
      <x:c r="W13" s="47"/>
      <x:c r="X13" s="47"/>
      <x:c r="Y13" s="47"/>
      <x:c r="Z13" s="47"/>
    </x:row>
    <x:row r="14">
      <x:c r="A14" s="430" t="str">
        <x:v>GitHub OSS Scan</x:v>
      </x:c>
      <x:c r="B14" s="431" t="str">
        <x:v>Open-source/source-available reference scan.</x:v>
      </x:c>
      <x:c r="C14" s="431" t="str">
        <x:v>Architecture/Legal/Security</x:v>
      </x:c>
      <x:c r="D14" s="431" t="str">
        <x:v>1</x:v>
      </x:c>
      <x:c r="E14" s="431" t="str">
        <x:v>Updated</x:v>
      </x:c>
      <x:c r="F14" s="431" t="str">
        <x:v>Licence approval pending</x:v>
      </x:c>
      <x:c r="G14" s="431" t="str">
        <x:v>Complete legal review before code reuse.</x:v>
      </x:c>
      <x:c r="H14" s="432" t="str"/>
      <x:c r="I14" s="50"/>
      <x:c r="J14" s="50"/>
      <x:c r="K14" s="47"/>
      <x:c r="L14" s="47"/>
      <x:c r="M14" s="47"/>
      <x:c r="N14" s="47"/>
      <x:c r="O14" s="47"/>
      <x:c r="P14" s="47"/>
      <x:c r="Q14" s="47"/>
      <x:c r="R14" s="47"/>
      <x:c r="S14" s="47"/>
      <x:c r="T14" s="47"/>
      <x:c r="U14" s="47"/>
      <x:c r="V14" s="47"/>
      <x:c r="W14" s="47"/>
      <x:c r="X14" s="47"/>
      <x:c r="Y14" s="47"/>
      <x:c r="Z14" s="47"/>
    </x:row>
    <x:row r="15">
      <x:c r="A15" s="394" t="str">
        <x:v>Gap Matrix</x:v>
      </x:c>
      <x:c r="B15" s="200" t="str">
        <x:v>Competitive gap and proprietary-core matrix.</x:v>
      </x:c>
      <x:c r="C15" s="200" t="str">
        <x:v>Product/Strategy</x:v>
      </x:c>
      <x:c r="D15" s="200" t="str">
        <x:v>1</x:v>
      </x:c>
      <x:c r="E15" s="200" t="str">
        <x:v>Updated</x:v>
      </x:c>
      <x:c r="F15" s="200" t="str">
        <x:v>Leadership review pending</x:v>
      </x:c>
      <x:c r="G15" s="200" t="str">
        <x:v>Approve differentiation boundary.</x:v>
      </x:c>
      <x:c r="H15" s="395" t="str"/>
      <x:c r="I15" s="50"/>
      <x:c r="J15" s="50"/>
      <x:c r="K15" s="47"/>
      <x:c r="L15" s="47"/>
      <x:c r="M15" s="47"/>
      <x:c r="N15" s="47"/>
      <x:c r="O15" s="47"/>
      <x:c r="P15" s="47"/>
      <x:c r="Q15" s="47"/>
      <x:c r="R15" s="47"/>
      <x:c r="S15" s="47"/>
      <x:c r="T15" s="47"/>
      <x:c r="U15" s="47"/>
      <x:c r="V15" s="47"/>
      <x:c r="W15" s="47"/>
      <x:c r="X15" s="47"/>
      <x:c r="Y15" s="47"/>
      <x:c r="Z15" s="47"/>
    </x:row>
    <x:row r="16">
      <x:c r="A16" s="430" t="str">
        <x:v>Build Buy Decisions</x:v>
      </x:c>
      <x:c r="B16" s="431" t="str">
        <x:v>Build/buy/integrate/defer matrix.</x:v>
      </x:c>
      <x:c r="C16" s="431" t="str">
        <x:v>CTO/Product/Legal</x:v>
      </x:c>
      <x:c r="D16" s="431" t="str">
        <x:v>1</x:v>
      </x:c>
      <x:c r="E16" s="431" t="str">
        <x:v>Draft complete</x:v>
      </x:c>
      <x:c r="F16" s="431" t="str">
        <x:v>Procurement/legal review pending</x:v>
      </x:c>
      <x:c r="G16" s="431" t="str">
        <x:v>Approve component decisions.</x:v>
      </x:c>
      <x:c r="H16" s="432" t="str"/>
      <x:c r="I16" s="50"/>
      <x:c r="J16" s="50"/>
      <x:c r="K16" s="47"/>
      <x:c r="L16" s="47"/>
      <x:c r="M16" s="47"/>
      <x:c r="N16" s="47"/>
      <x:c r="O16" s="47"/>
      <x:c r="P16" s="47"/>
      <x:c r="Q16" s="47"/>
      <x:c r="R16" s="47"/>
      <x:c r="S16" s="47"/>
      <x:c r="T16" s="47"/>
      <x:c r="U16" s="47"/>
      <x:c r="V16" s="47"/>
      <x:c r="W16" s="47"/>
      <x:c r="X16" s="47"/>
      <x:c r="Y16" s="47"/>
      <x:c r="Z16" s="47"/>
    </x:row>
    <x:row r="17">
      <x:c r="A17" s="394" t="str">
        <x:v>Reference Architecture</x:v>
      </x:c>
      <x:c r="B17" s="200" t="str">
        <x:v>HumanOS reference architecture.</x:v>
      </x:c>
      <x:c r="C17" s="200" t="str">
        <x:v>Architecture/Engineering</x:v>
      </x:c>
      <x:c r="D17" s="200" t="str">
        <x:v>1</x:v>
      </x:c>
      <x:c r="E17" s="200" t="str">
        <x:v>Draft complete</x:v>
      </x:c>
      <x:c r="F17" s="200" t="str">
        <x:v>Architecture Board pending</x:v>
      </x:c>
      <x:c r="G17" s="200" t="str">
        <x:v>Approve/condition ADRs.</x:v>
      </x:c>
      <x:c r="H17" s="395" t="str"/>
      <x:c r="I17" s="50"/>
      <x:c r="J17" s="50"/>
      <x:c r="K17" s="47"/>
      <x:c r="L17" s="47"/>
      <x:c r="M17" s="47"/>
      <x:c r="N17" s="47"/>
      <x:c r="O17" s="47"/>
      <x:c r="P17" s="47"/>
      <x:c r="Q17" s="47"/>
      <x:c r="R17" s="47"/>
      <x:c r="S17" s="47"/>
      <x:c r="T17" s="47"/>
      <x:c r="U17" s="47"/>
      <x:c r="V17" s="47"/>
      <x:c r="W17" s="47"/>
      <x:c r="X17" s="47"/>
      <x:c r="Y17" s="47"/>
      <x:c r="Z17" s="47"/>
    </x:row>
    <x:row r="18">
      <x:c r="A18" s="430" t="str">
        <x:v>Architecture Decisions</x:v>
      </x:c>
      <x:c r="B18" s="431" t="str">
        <x:v>Stage 1 ADRs.</x:v>
      </x:c>
      <x:c r="C18" s="431" t="str">
        <x:v>Architecture Board</x:v>
      </x:c>
      <x:c r="D18" s="431" t="str">
        <x:v>1</x:v>
      </x:c>
      <x:c r="E18" s="431" t="str">
        <x:v>Draft complete</x:v>
      </x:c>
      <x:c r="F18" s="431" t="str">
        <x:v>Review pending</x:v>
      </x:c>
      <x:c r="G18" s="431" t="str">
        <x:v>Record decisions.</x:v>
      </x:c>
      <x:c r="H18" s="432" t="str"/>
      <x:c r="I18" s="50"/>
      <x:c r="J18" s="50"/>
      <x:c r="K18" s="47"/>
      <x:c r="L18" s="47"/>
      <x:c r="M18" s="47"/>
      <x:c r="N18" s="47"/>
      <x:c r="O18" s="47"/>
      <x:c r="P18" s="47"/>
      <x:c r="Q18" s="47"/>
      <x:c r="R18" s="47"/>
      <x:c r="S18" s="47"/>
      <x:c r="T18" s="47"/>
      <x:c r="U18" s="47"/>
      <x:c r="V18" s="47"/>
      <x:c r="W18" s="47"/>
      <x:c r="X18" s="47"/>
      <x:c r="Y18" s="47"/>
      <x:c r="Z18" s="47"/>
    </x:row>
    <x:row r="19">
      <x:c r="A19" s="394" t="str">
        <x:v>Stage 0-1 Workplan</x:v>
      </x:c>
      <x:c r="B19" s="200" t="str">
        <x:v>Detailed Stage 0–1 actions.</x:v>
      </x:c>
      <x:c r="C19" s="200" t="str">
        <x:v>Programme</x:v>
      </x:c>
      <x:c r="D19" s="200" t="str">
        <x:v>0–1</x:v>
      </x:c>
      <x:c r="E19" s="200" t="str">
        <x:v>Complete draft</x:v>
      </x:c>
      <x:c r="F19" s="200" t="str">
        <x:v>Owner inputs pending</x:v>
      </x:c>
      <x:c r="G19" s="200" t="str">
        <x:v>Close mandatory items.</x:v>
      </x:c>
      <x:c r="H19" s="395" t="str"/>
      <x:c r="I19" s="47"/>
      <x:c r="J19" s="47"/>
      <x:c r="K19" s="47"/>
      <x:c r="L19" s="47"/>
      <x:c r="M19" s="47"/>
      <x:c r="N19" s="47"/>
      <x:c r="O19" s="47"/>
      <x:c r="P19" s="47"/>
      <x:c r="Q19" s="47"/>
      <x:c r="R19" s="47"/>
      <x:c r="S19" s="47"/>
      <x:c r="T19" s="47"/>
      <x:c r="U19" s="47"/>
      <x:c r="V19" s="47"/>
      <x:c r="W19" s="47"/>
      <x:c r="X19" s="47"/>
      <x:c r="Y19" s="47"/>
      <x:c r="Z19" s="47"/>
    </x:row>
    <x:row r="20">
      <x:c r="A20" s="430" t="str">
        <x:v>Stage 0-1 Gates</x:v>
      </x:c>
      <x:c r="B20" s="431" t="str">
        <x:v>Stage 0 and 1 approval criteria.</x:v>
      </x:c>
      <x:c r="C20" s="431" t="str">
        <x:v>Leadership/DPO/CISO/CTO</x:v>
      </x:c>
      <x:c r="D20" s="431" t="str">
        <x:v>0–1</x:v>
      </x:c>
      <x:c r="E20" s="431" t="str">
        <x:v>Complete criteria</x:v>
      </x:c>
      <x:c r="F20" s="431" t="str">
        <x:v>Decisions pending</x:v>
      </x:c>
      <x:c r="G20" s="431" t="str">
        <x:v>Record gate decisions.</x:v>
      </x:c>
      <x:c r="H20" s="432" t="str"/>
      <x:c r="I20" s="47"/>
      <x:c r="J20" s="47"/>
      <x:c r="K20" s="47"/>
      <x:c r="L20" s="47"/>
      <x:c r="M20" s="47"/>
      <x:c r="N20" s="47"/>
      <x:c r="O20" s="47"/>
      <x:c r="P20" s="47"/>
      <x:c r="Q20" s="47"/>
      <x:c r="R20" s="47"/>
      <x:c r="S20" s="47"/>
      <x:c r="T20" s="47"/>
      <x:c r="U20" s="47"/>
      <x:c r="V20" s="47"/>
      <x:c r="W20" s="47"/>
      <x:c r="X20" s="47"/>
      <x:c r="Y20" s="47"/>
      <x:c r="Z20" s="47"/>
    </x:row>
    <x:row r="21">
      <x:c r="A21" s="394" t="str">
        <x:v>Assumptions Questions</x:v>
      </x:c>
      <x:c r="B21" s="200" t="str">
        <x:v>Open assumptions and owner questions.</x:v>
      </x:c>
      <x:c r="C21" s="200" t="str">
        <x:v>All owners</x:v>
      </x:c>
      <x:c r="D21" s="200" t="str">
        <x:v>0–3</x:v>
      </x:c>
      <x:c r="E21" s="200" t="str">
        <x:v>Updated</x:v>
      </x:c>
      <x:c r="F21" s="200" t="str">
        <x:v>Resolution pending</x:v>
      </x:c>
      <x:c r="G21" s="200" t="str">
        <x:v>Assign owners and due dates.</x:v>
      </x:c>
      <x:c r="H21" s="395" t="str"/>
      <x:c r="I21" s="47"/>
      <x:c r="J21" s="47"/>
      <x:c r="K21" s="47"/>
      <x:c r="L21" s="47"/>
      <x:c r="M21" s="47"/>
      <x:c r="N21" s="47"/>
      <x:c r="O21" s="47"/>
      <x:c r="P21" s="47"/>
      <x:c r="Q21" s="47"/>
      <x:c r="R21" s="47"/>
      <x:c r="S21" s="47"/>
      <x:c r="T21" s="47"/>
      <x:c r="U21" s="47"/>
      <x:c r="V21" s="47"/>
      <x:c r="W21" s="47"/>
      <x:c r="X21" s="47"/>
      <x:c r="Y21" s="47"/>
      <x:c r="Z21" s="47"/>
    </x:row>
    <x:row r="22">
      <x:c r="A22" s="430" t="str">
        <x:v>Foundation Threats</x:v>
      </x:c>
      <x:c r="B22" s="431" t="str">
        <x:v>Foundation threat model.</x:v>
      </x:c>
      <x:c r="C22" s="431" t="str">
        <x:v>CISO/DPO/Product</x:v>
      </x:c>
      <x:c r="D22" s="431" t="str">
        <x:v>0–1</x:v>
      </x:c>
      <x:c r="E22" s="431" t="str">
        <x:v>Draft complete</x:v>
      </x:c>
      <x:c r="F22" s="431" t="str">
        <x:v>Security review pending</x:v>
      </x:c>
      <x:c r="G22" s="431" t="str">
        <x:v>Validate blocking controls.</x:v>
      </x:c>
      <x:c r="H22" s="432" t="str"/>
      <x:c r="I22" s="47"/>
      <x:c r="J22" s="47"/>
      <x:c r="K22" s="47"/>
      <x:c r="L22" s="47"/>
      <x:c r="M22" s="47"/>
      <x:c r="N22" s="47"/>
      <x:c r="O22" s="47"/>
      <x:c r="P22" s="47"/>
      <x:c r="Q22" s="47"/>
      <x:c r="R22" s="47"/>
      <x:c r="S22" s="47"/>
      <x:c r="T22" s="47"/>
      <x:c r="U22" s="47"/>
      <x:c r="V22" s="47"/>
      <x:c r="W22" s="47"/>
      <x:c r="X22" s="47"/>
      <x:c r="Y22" s="47"/>
      <x:c r="Z22" s="47"/>
    </x:row>
    <x:row r="23">
      <x:c r="A23" s="394" t="str">
        <x:v>Pilot Definition</x:v>
      </x:c>
      <x:c r="B23" s="200" t="str">
        <x:v>Internal pilot scope and success criteria.</x:v>
      </x:c>
      <x:c r="C23" s="200" t="str">
        <x:v>Leadership/Product/HR</x:v>
      </x:c>
      <x:c r="D23" s="200" t="str">
        <x:v>0–12</x:v>
      </x:c>
      <x:c r="E23" s="200" t="str">
        <x:v>Draft complete</x:v>
      </x:c>
      <x:c r="F23" s="200" t="str">
        <x:v>Pilot approval pending</x:v>
      </x:c>
      <x:c r="G23" s="200" t="str">
        <x:v>Finalise cohort/location.</x:v>
      </x:c>
      <x:c r="H23" s="395" t="str"/>
      <x:c r="I23" s="47"/>
      <x:c r="J23" s="47"/>
      <x:c r="K23" s="47"/>
      <x:c r="L23" s="47"/>
      <x:c r="M23" s="47"/>
      <x:c r="N23" s="47"/>
      <x:c r="O23" s="47"/>
      <x:c r="P23" s="47"/>
      <x:c r="Q23" s="47"/>
      <x:c r="R23" s="47"/>
      <x:c r="S23" s="47"/>
      <x:c r="T23" s="47"/>
      <x:c r="U23" s="47"/>
      <x:c r="V23" s="47"/>
      <x:c r="W23" s="47"/>
      <x:c r="X23" s="47"/>
      <x:c r="Y23" s="47"/>
      <x:c r="Z23" s="47"/>
    </x:row>
    <x:row r="24">
      <x:c r="A24" s="430" t="str">
        <x:v>Microservices Map</x:v>
      </x:c>
      <x:c r="B24" s="431" t="str">
        <x:v>Deployment map and HumanOS reuse.</x:v>
      </x:c>
      <x:c r="C24" s="431" t="str">
        <x:v>Architecture/Backend/SRE</x:v>
      </x:c>
      <x:c r="D24" s="431" t="str">
        <x:v>1–4</x:v>
      </x:c>
      <x:c r="E24" s="431" t="str">
        <x:v>Updated</x:v>
      </x:c>
      <x:c r="F24" s="431" t="str">
        <x:v>Architecture review pending</x:v>
      </x:c>
      <x:c r="G24" s="431" t="str">
        <x:v>Validate existing services.</x:v>
      </x:c>
      <x:c r="H24" s="432" t="str"/>
      <x:c r="I24" s="47"/>
      <x:c r="J24" s="47"/>
      <x:c r="K24" s="47"/>
      <x:c r="L24" s="47"/>
      <x:c r="M24" s="47"/>
      <x:c r="N24" s="47"/>
      <x:c r="O24" s="47"/>
      <x:c r="P24" s="47"/>
      <x:c r="Q24" s="47"/>
      <x:c r="R24" s="47"/>
      <x:c r="S24" s="47"/>
      <x:c r="T24" s="47"/>
      <x:c r="U24" s="47"/>
      <x:c r="V24" s="47"/>
      <x:c r="W24" s="47"/>
      <x:c r="X24" s="47"/>
      <x:c r="Y24" s="47"/>
      <x:c r="Z24" s="47"/>
    </x:row>
    <x:row r="25">
      <x:c r="A25" s="394" t="str">
        <x:v>MVP Backlog</x:v>
      </x:c>
      <x:c r="B25" s="200" t="str">
        <x:v>Earlier MVP backlog placeholder.</x:v>
      </x:c>
      <x:c r="C25" s="200" t="str">
        <x:v>Product/Engineering</x:v>
      </x:c>
      <x:c r="D25" s="200" t="str">
        <x:v>3–10</x:v>
      </x:c>
      <x:c r="E25" s="200" t="str">
        <x:v>Initial draft</x:v>
      </x:c>
      <x:c r="F25" s="200" t="str">
        <x:v>Superseded by stage backlogs</x:v>
      </x:c>
      <x:c r="G25" s="200" t="str">
        <x:v>Use stage-specific backlogs.</x:v>
      </x:c>
      <x:c r="H25" s="395" t="str"/>
      <x:c r="I25" s="47"/>
      <x:c r="J25" s="47"/>
      <x:c r="K25" s="47"/>
      <x:c r="L25" s="47"/>
      <x:c r="M25" s="47"/>
      <x:c r="N25" s="47"/>
      <x:c r="O25" s="47"/>
      <x:c r="P25" s="47"/>
      <x:c r="Q25" s="47"/>
      <x:c r="R25" s="47"/>
      <x:c r="S25" s="47"/>
      <x:c r="T25" s="47"/>
      <x:c r="U25" s="47"/>
      <x:c r="V25" s="47"/>
      <x:c r="W25" s="47"/>
      <x:c r="X25" s="47"/>
      <x:c r="Y25" s="47"/>
      <x:c r="Z25" s="47"/>
    </x:row>
    <x:row r="26">
      <x:c r="A26" s="430" t="str">
        <x:v>Event Data Model</x:v>
      </x:c>
      <x:c r="B26" s="431" t="str">
        <x:v>Initial event model placeholder.</x:v>
      </x:c>
      <x:c r="C26" s="431" t="str">
        <x:v>Data/AI</x:v>
      </x:c>
      <x:c r="D26" s="431" t="str">
        <x:v>2–7</x:v>
      </x:c>
      <x:c r="E26" s="431" t="str">
        <x:v>Initial draft</x:v>
      </x:c>
      <x:c r="F26" s="431" t="str">
        <x:v>Refine in Stage 4</x:v>
      </x:c>
      <x:c r="G26" s="431" t="str">
        <x:v>Use Stage 2/3 contracts now.</x:v>
      </x:c>
      <x:c r="H26" s="432" t="str"/>
      <x:c r="I26" s="47"/>
      <x:c r="J26" s="47"/>
      <x:c r="K26" s="47"/>
      <x:c r="L26" s="47"/>
      <x:c r="M26" s="47"/>
      <x:c r="N26" s="47"/>
      <x:c r="O26" s="47"/>
      <x:c r="P26" s="47"/>
      <x:c r="Q26" s="47"/>
      <x:c r="R26" s="47"/>
      <x:c r="S26" s="47"/>
      <x:c r="T26" s="47"/>
      <x:c r="U26" s="47"/>
      <x:c r="V26" s="47"/>
      <x:c r="W26" s="47"/>
      <x:c r="X26" s="47"/>
      <x:c r="Y26" s="47"/>
      <x:c r="Z26" s="47"/>
    </x:row>
    <x:row r="27">
      <x:c r="A27" s="394" t="str">
        <x:v>AI Capability System</x:v>
      </x:c>
      <x:c r="B27" s="200" t="str">
        <x:v>Initial capability and coaching placeholder.</x:v>
      </x:c>
      <x:c r="C27" s="200" t="str">
        <x:v>AI/Product/L&amp;D</x:v>
      </x:c>
      <x:c r="D27" s="200" t="str">
        <x:v>2,8–11</x:v>
      </x:c>
      <x:c r="E27" s="200" t="str">
        <x:v>Initial draft</x:v>
      </x:c>
      <x:c r="F27" s="200" t="str">
        <x:v>Superseded by Stage 2 sheets</x:v>
      </x:c>
      <x:c r="G27" s="200" t="str">
        <x:v>Use ontology package.</x:v>
      </x:c>
      <x:c r="H27" s="395" t="str"/>
      <x:c r="I27" s="47"/>
      <x:c r="J27" s="47"/>
      <x:c r="K27" s="47"/>
      <x:c r="L27" s="47"/>
      <x:c r="M27" s="47"/>
      <x:c r="N27" s="47"/>
      <x:c r="O27" s="47"/>
      <x:c r="P27" s="47"/>
      <x:c r="Q27" s="47"/>
      <x:c r="R27" s="47"/>
      <x:c r="S27" s="47"/>
      <x:c r="T27" s="47"/>
      <x:c r="U27" s="47"/>
      <x:c r="V27" s="47"/>
      <x:c r="W27" s="47"/>
      <x:c r="X27" s="47"/>
      <x:c r="Y27" s="47"/>
      <x:c r="Z27" s="47"/>
    </x:row>
    <x:row r="28">
      <x:c r="A28" s="430" t="str">
        <x:v>Governance</x:v>
      </x:c>
      <x:c r="B28" s="431" t="str">
        <x:v>Governance control baseline.</x:v>
      </x:c>
      <x:c r="C28" s="431" t="str">
        <x:v>DPO/Legal/HR/Security</x:v>
      </x:c>
      <x:c r="D28" s="431" t="str">
        <x:v>0+</x:v>
      </x:c>
      <x:c r="E28" s="431" t="str">
        <x:v>Updated</x:v>
      </x:c>
      <x:c r="F28" s="431" t="str">
        <x:v>Approval pending</x:v>
      </x:c>
      <x:c r="G28" s="431" t="str">
        <x:v>Operationalise before pilot.</x:v>
      </x:c>
      <x:c r="H28" s="432" t="str"/>
      <x:c r="I28" s="47"/>
      <x:c r="J28" s="47"/>
      <x:c r="K28" s="47"/>
      <x:c r="L28" s="47"/>
      <x:c r="M28" s="47"/>
      <x:c r="N28" s="47"/>
      <x:c r="O28" s="47"/>
      <x:c r="P28" s="47"/>
      <x:c r="Q28" s="47"/>
      <x:c r="R28" s="47"/>
      <x:c r="S28" s="47"/>
      <x:c r="T28" s="47"/>
      <x:c r="U28" s="47"/>
      <x:c r="V28" s="47"/>
      <x:c r="W28" s="47"/>
      <x:c r="X28" s="47"/>
      <x:c r="Y28" s="47"/>
      <x:c r="Z28" s="47"/>
    </x:row>
    <x:row r="29">
      <x:c r="A29" s="394" t="str">
        <x:v>Risk Register</x:v>
      </x:c>
      <x:c r="B29" s="200" t="str">
        <x:v>Programme-level risks.</x:v>
      </x:c>
      <x:c r="C29" s="200" t="str">
        <x:v>Leadership/Governance</x:v>
      </x:c>
      <x:c r="D29" s="200" t="str">
        <x:v>0–12</x:v>
      </x:c>
      <x:c r="E29" s="200" t="str">
        <x:v>Updated</x:v>
      </x:c>
      <x:c r="F29" s="200" t="str">
        <x:v>Risk review pending</x:v>
      </x:c>
      <x:c r="G29" s="200" t="str">
        <x:v>Review monthly.</x:v>
      </x:c>
      <x:c r="H29" s="395" t="str"/>
      <x:c r="I29" s="47"/>
      <x:c r="J29" s="47"/>
      <x:c r="K29" s="47"/>
      <x:c r="L29" s="47"/>
      <x:c r="M29" s="47"/>
      <x:c r="N29" s="47"/>
      <x:c r="O29" s="47"/>
      <x:c r="P29" s="47"/>
      <x:c r="Q29" s="47"/>
      <x:c r="R29" s="47"/>
      <x:c r="S29" s="47"/>
      <x:c r="T29" s="47"/>
      <x:c r="U29" s="47"/>
      <x:c r="V29" s="47"/>
      <x:c r="W29" s="47"/>
      <x:c r="X29" s="47"/>
      <x:c r="Y29" s="47"/>
      <x:c r="Z29" s="47"/>
    </x:row>
    <x:row r="30">
      <x:c r="A30" s="433" t="str">
        <x:v>KPI Dashboard</x:v>
      </x:c>
      <x:c r="B30" s="434" t="str">
        <x:v>Programme KPIs and stage summaries.</x:v>
      </x:c>
      <x:c r="C30" s="434" t="str">
        <x:v>Leadership</x:v>
      </x:c>
      <x:c r="D30" s="434" t="str">
        <x:v>All</x:v>
      </x:c>
      <x:c r="E30" s="434" t="str">
        <x:v>Updated</x:v>
      </x:c>
      <x:c r="F30" s="434" t="str">
        <x:v>N/A</x:v>
      </x:c>
      <x:c r="G30" s="434" t="str">
        <x:v>Use with Stage 2–3 dashboard.</x:v>
      </x:c>
      <x:c r="H30" s="435" t="str"/>
      <x:c r="I30" s="47"/>
      <x:c r="J30" s="47"/>
      <x:c r="K30" s="47"/>
      <x:c r="L30" s="47"/>
      <x:c r="M30" s="47"/>
      <x:c r="N30" s="47"/>
      <x:c r="O30" s="47"/>
      <x:c r="P30" s="47"/>
      <x:c r="Q30" s="47"/>
      <x:c r="R30" s="47"/>
      <x:c r="S30" s="47"/>
      <x:c r="T30" s="47"/>
      <x:c r="U30" s="47"/>
      <x:c r="V30" s="47"/>
      <x:c r="W30" s="47"/>
      <x:c r="X30" s="47"/>
      <x:c r="Y30" s="47"/>
      <x:c r="Z30" s="47"/>
    </x:row>
    <x:row r="31">
      <x:c r="A31" s="394" t="str">
        <x:v>Source Register</x:v>
      </x:c>
      <x:c r="B31" s="200" t="str">
        <x:v>Central Stage 0–1 source register.</x:v>
      </x:c>
      <x:c r="C31" s="200" t="str">
        <x:v>All</x:v>
      </x:c>
      <x:c r="D31" s="200" t="str">
        <x:v>0–1</x:v>
      </x:c>
      <x:c r="E31" s="200" t="str">
        <x:v>Updated</x:v>
      </x:c>
      <x:c r="F31" s="200" t="str">
        <x:v>N/A</x:v>
      </x:c>
      <x:c r="G31" s="200" t="str">
        <x:v>Use with Stage 2/3 source sheets.</x:v>
      </x:c>
      <x:c r="H31" s="395" t="str"/>
      <x:c r="I31" s="47"/>
      <x:c r="J31" s="47"/>
      <x:c r="K31" s="47"/>
      <x:c r="L31" s="47"/>
      <x:c r="M31" s="47"/>
      <x:c r="N31" s="47"/>
      <x:c r="O31" s="47"/>
      <x:c r="P31" s="47"/>
      <x:c r="Q31" s="47"/>
      <x:c r="R31" s="47"/>
      <x:c r="S31" s="47"/>
      <x:c r="T31" s="47"/>
      <x:c r="U31" s="47"/>
      <x:c r="V31" s="47"/>
      <x:c r="W31" s="47"/>
      <x:c r="X31" s="47"/>
      <x:c r="Y31" s="47"/>
      <x:c r="Z31" s="47"/>
    </x:row>
    <x:row r="32">
      <x:c r="A32" s="430" t="str">
        <x:v>Ontology Overview</x:v>
      </x:c>
      <x:c r="B32" s="431" t="str">
        <x:v>Stage 2 ontology principles and core flows.</x:v>
      </x:c>
      <x:c r="C32" s="431" t="str">
        <x:v>Product/Capability/Architecture</x:v>
      </x:c>
      <x:c r="D32" s="431" t="str">
        <x:v>2</x:v>
      </x:c>
      <x:c r="E32" s="431" t="str">
        <x:v>Complete draft</x:v>
      </x:c>
      <x:c r="F32" s="431" t="str">
        <x:v>Stage 2 gate pending</x:v>
      </x:c>
      <x:c r="G32" s="431" t="str">
        <x:v>Review ontology.</x:v>
      </x:c>
      <x:c r="H32" s="432" t="str"/>
      <x:c r="I32" s="47"/>
      <x:c r="J32" s="47"/>
      <x:c r="K32" s="47"/>
      <x:c r="L32" s="47"/>
      <x:c r="M32" s="47"/>
      <x:c r="N32" s="47"/>
      <x:c r="O32" s="47"/>
      <x:c r="P32" s="47"/>
      <x:c r="Q32" s="47"/>
      <x:c r="R32" s="47"/>
      <x:c r="S32" s="47"/>
      <x:c r="T32" s="47"/>
      <x:c r="U32" s="47"/>
      <x:c r="V32" s="47"/>
      <x:c r="W32" s="47"/>
      <x:c r="X32" s="47"/>
      <x:c r="Y32" s="47"/>
      <x:c r="Z32" s="47"/>
    </x:row>
    <x:row r="33">
      <x:c r="A33" s="394" t="str">
        <x:v>Entity Dictionary</x:v>
      </x:c>
      <x:c r="B33" s="200" t="str">
        <x:v>Canonical Stage 2 entities and implementation contracts.</x:v>
      </x:c>
      <x:c r="C33" s="200" t="str">
        <x:v>Backend/Data/Product</x:v>
      </x:c>
      <x:c r="D33" s="200" t="str">
        <x:v>2</x:v>
      </x:c>
      <x:c r="E33" s="200" t="str">
        <x:v>Complete draft</x:v>
      </x:c>
      <x:c r="F33" s="200" t="str">
        <x:v>Stage 2 gate pending</x:v>
      </x:c>
      <x:c r="G33" s="200" t="str">
        <x:v>Translate to schemas/DDL.</x:v>
      </x:c>
      <x:c r="H33" s="395" t="str"/>
      <x:c r="I33" s="47"/>
      <x:c r="J33" s="47"/>
      <x:c r="K33" s="47"/>
      <x:c r="L33" s="47"/>
      <x:c r="M33" s="47"/>
      <x:c r="N33" s="47"/>
      <x:c r="O33" s="47"/>
      <x:c r="P33" s="47"/>
      <x:c r="Q33" s="47"/>
      <x:c r="R33" s="47"/>
      <x:c r="S33" s="47"/>
      <x:c r="T33" s="47"/>
      <x:c r="U33" s="47"/>
      <x:c r="V33" s="47"/>
      <x:c r="W33" s="47"/>
      <x:c r="X33" s="47"/>
      <x:c r="Y33" s="47"/>
      <x:c r="Z33" s="47"/>
    </x:row>
    <x:row r="34">
      <x:c r="A34" s="430" t="str">
        <x:v>Relationship Model</x:v>
      </x:c>
      <x:c r="B34" s="431" t="str">
        <x:v>Role-task-evidence-capability traceability.</x:v>
      </x:c>
      <x:c r="C34" s="431" t="str">
        <x:v>Data/Architecture</x:v>
      </x:c>
      <x:c r="D34" s="431" t="str">
        <x:v>2</x:v>
      </x:c>
      <x:c r="E34" s="431" t="str">
        <x:v>Complete draft</x:v>
      </x:c>
      <x:c r="F34" s="431" t="str">
        <x:v>Stage 2 gate pending</x:v>
      </x:c>
      <x:c r="G34" s="431" t="str">
        <x:v>Build trace matrix.</x:v>
      </x:c>
      <x:c r="H34" s="432" t="str"/>
      <x:c r="I34" s="47"/>
      <x:c r="J34" s="47"/>
      <x:c r="K34" s="47"/>
      <x:c r="L34" s="47"/>
      <x:c r="M34" s="47"/>
      <x:c r="N34" s="47"/>
      <x:c r="O34" s="47"/>
      <x:c r="P34" s="47"/>
      <x:c r="Q34" s="47"/>
      <x:c r="R34" s="47"/>
      <x:c r="S34" s="47"/>
      <x:c r="T34" s="47"/>
      <x:c r="U34" s="47"/>
      <x:c r="V34" s="47"/>
      <x:c r="W34" s="47"/>
      <x:c r="X34" s="47"/>
      <x:c r="Y34" s="47"/>
      <x:c r="Z34" s="47"/>
    </x:row>
    <x:row r="35">
      <x:c r="A35" s="394" t="str">
        <x:v>Capability-Level Rubric</x:v>
      </x:c>
      <x:c r="B35" s="200" t="str">
        <x:v>Capability levels 0–5 with descriptors.</x:v>
      </x:c>
      <x:c r="C35" s="200" t="str">
        <x:v>HR/L&amp;D/Product/AI</x:v>
      </x:c>
      <x:c r="D35" s="200" t="str">
        <x:v>2</x:v>
      </x:c>
      <x:c r="E35" s="200" t="str">
        <x:v>Complete draft</x:v>
      </x:c>
      <x:c r="F35" s="200" t="str">
        <x:v>Stage 2 gate pending</x:v>
      </x:c>
      <x:c r="G35" s="200" t="str">
        <x:v>Calibrate levels.</x:v>
      </x:c>
      <x:c r="H35" s="395" t="str"/>
      <x:c r="I35" s="47"/>
      <x:c r="J35" s="47"/>
      <x:c r="K35" s="47"/>
      <x:c r="L35" s="47"/>
      <x:c r="M35" s="47"/>
      <x:c r="N35" s="47"/>
      <x:c r="O35" s="47"/>
      <x:c r="P35" s="47"/>
      <x:c r="Q35" s="47"/>
      <x:c r="R35" s="47"/>
      <x:c r="S35" s="47"/>
      <x:c r="T35" s="47"/>
      <x:c r="U35" s="47"/>
      <x:c r="V35" s="47"/>
      <x:c r="W35" s="47"/>
      <x:c r="X35" s="47"/>
      <x:c r="Y35" s="47"/>
      <x:c r="Z35" s="47"/>
    </x:row>
    <x:row r="36">
      <x:c r="A36" s="430" t="str">
        <x:v>Role Templates</x:v>
      </x:c>
      <x:c r="B36" s="431" t="str">
        <x:v>Software-development role contract examples.</x:v>
      </x:c>
      <x:c r="C36" s="431" t="str">
        <x:v>HR/Product/Engineering</x:v>
      </x:c>
      <x:c r="D36" s="431" t="str">
        <x:v>2</x:v>
      </x:c>
      <x:c r="E36" s="431" t="str">
        <x:v>Complete draft</x:v>
      </x:c>
      <x:c r="F36" s="431" t="str">
        <x:v>HR/domain review pending</x:v>
      </x:c>
      <x:c r="G36" s="431" t="str">
        <x:v>Approve role templates.</x:v>
      </x:c>
      <x:c r="H36" s="432" t="str"/>
      <x:c r="I36" s="47"/>
      <x:c r="J36" s="47"/>
      <x:c r="K36" s="47"/>
      <x:c r="L36" s="47"/>
      <x:c r="M36" s="47"/>
      <x:c r="N36" s="47"/>
      <x:c r="O36" s="47"/>
      <x:c r="P36" s="47"/>
      <x:c r="Q36" s="47"/>
      <x:c r="R36" s="47"/>
      <x:c r="S36" s="47"/>
      <x:c r="T36" s="47"/>
      <x:c r="U36" s="47"/>
      <x:c r="V36" s="47"/>
      <x:c r="W36" s="47"/>
      <x:c r="X36" s="47"/>
      <x:c r="Y36" s="47"/>
      <x:c r="Z36" s="47"/>
    </x:row>
    <x:row r="37">
      <x:c r="A37" s="394" t="str">
        <x:v>Task Contract Templates</x:v>
      </x:c>
      <x:c r="B37" s="200" t="str">
        <x:v>Twelve representative task contracts.</x:v>
      </x:c>
      <x:c r="C37" s="200" t="str">
        <x:v>Product/Engineering/QA</x:v>
      </x:c>
      <x:c r="D37" s="200" t="str">
        <x:v>2</x:v>
      </x:c>
      <x:c r="E37" s="200" t="str">
        <x:v>Complete draft</x:v>
      </x:c>
      <x:c r="F37" s="200" t="str">
        <x:v>Domain review pending</x:v>
      </x:c>
      <x:c r="G37" s="200" t="str">
        <x:v>Convert to JSON contracts.</x:v>
      </x:c>
      <x:c r="H37" s="395" t="str"/>
      <x:c r="I37" s="47"/>
      <x:c r="J37" s="47"/>
      <x:c r="K37" s="47"/>
      <x:c r="L37" s="47"/>
      <x:c r="M37" s="47"/>
      <x:c r="N37" s="47"/>
      <x:c r="O37" s="47"/>
      <x:c r="P37" s="47"/>
      <x:c r="Q37" s="47"/>
      <x:c r="R37" s="47"/>
      <x:c r="S37" s="47"/>
      <x:c r="T37" s="47"/>
      <x:c r="U37" s="47"/>
      <x:c r="V37" s="47"/>
      <x:c r="W37" s="47"/>
      <x:c r="X37" s="47"/>
      <x:c r="Y37" s="47"/>
      <x:c r="Z37" s="47"/>
    </x:row>
    <x:row r="38">
      <x:c r="A38" s="430" t="str">
        <x:v>Evidence Scoring</x:v>
      </x:c>
      <x:c r="B38" s="431" t="str">
        <x:v>Evidence weighting and update rules.</x:v>
      </x:c>
      <x:c r="C38" s="431" t="str">
        <x:v>AI/Capability/Data</x:v>
      </x:c>
      <x:c r="D38" s="431" t="str">
        <x:v>2</x:v>
      </x:c>
      <x:c r="E38" s="431" t="str">
        <x:v>Complete draft</x:v>
      </x:c>
      <x:c r="F38" s="431" t="str">
        <x:v>Calibration pending</x:v>
      </x:c>
      <x:c r="G38" s="431" t="str">
        <x:v>Prototype scoring.</x:v>
      </x:c>
      <x:c r="H38" s="432" t="str"/>
      <x:c r="I38" s="47"/>
      <x:c r="J38" s="47"/>
      <x:c r="K38" s="47"/>
      <x:c r="L38" s="47"/>
      <x:c r="M38" s="47"/>
      <x:c r="N38" s="47"/>
      <x:c r="O38" s="47"/>
      <x:c r="P38" s="47"/>
      <x:c r="Q38" s="47"/>
      <x:c r="R38" s="47"/>
      <x:c r="S38" s="47"/>
      <x:c r="T38" s="47"/>
      <x:c r="U38" s="47"/>
      <x:c r="V38" s="47"/>
      <x:c r="W38" s="47"/>
      <x:c r="X38" s="47"/>
      <x:c r="Y38" s="47"/>
      <x:c r="Z38" s="47"/>
    </x:row>
    <x:row r="39">
      <x:c r="A39" s="394" t="str">
        <x:v>Worked Examples</x:v>
      </x:c>
      <x:c r="B39" s="200" t="str">
        <x:v>Valid/invalid assessment examples.</x:v>
      </x:c>
      <x:c r="C39" s="200" t="str">
        <x:v>AI Evaluation/HR</x:v>
      </x:c>
      <x:c r="D39" s="200" t="str">
        <x:v>2</x:v>
      </x:c>
      <x:c r="E39" s="200" t="str">
        <x:v>Complete draft</x:v>
      </x:c>
      <x:c r="F39" s="200" t="str">
        <x:v>Review pending</x:v>
      </x:c>
      <x:c r="G39" s="200" t="str">
        <x:v>Use as test corpus.</x:v>
      </x:c>
      <x:c r="H39" s="395" t="str"/>
      <x:c r="I39" s="47"/>
      <x:c r="J39" s="47"/>
      <x:c r="K39" s="47"/>
      <x:c r="L39" s="47"/>
      <x:c r="M39" s="47"/>
      <x:c r="N39" s="47"/>
      <x:c r="O39" s="47"/>
      <x:c r="P39" s="47"/>
      <x:c r="Q39" s="47"/>
      <x:c r="R39" s="47"/>
      <x:c r="S39" s="47"/>
      <x:c r="T39" s="47"/>
      <x:c r="U39" s="47"/>
      <x:c r="V39" s="47"/>
      <x:c r="W39" s="47"/>
      <x:c r="X39" s="47"/>
      <x:c r="Y39" s="47"/>
      <x:c r="Z39" s="47"/>
    </x:row>
    <x:row r="40">
      <x:c r="A40" s="430" t="str">
        <x:v>APIs and Events</x:v>
      </x:c>
      <x:c r="B40" s="431" t="str">
        <x:v>Stage 2 REST/events/schema contracts.</x:v>
      </x:c>
      <x:c r="C40" s="431" t="str">
        <x:v>Backend/Data</x:v>
      </x:c>
      <x:c r="D40" s="431" t="str">
        <x:v>2</x:v>
      </x:c>
      <x:c r="E40" s="431" t="str">
        <x:v>Complete draft</x:v>
      </x:c>
      <x:c r="F40" s="431" t="str">
        <x:v>Architecture review pending</x:v>
      </x:c>
      <x:c r="G40" s="431" t="str">
        <x:v>Draft OpenAPI/schema files.</x:v>
      </x:c>
      <x:c r="H40" s="432" t="str"/>
      <x:c r="I40" s="47"/>
      <x:c r="J40" s="47"/>
      <x:c r="K40" s="47"/>
      <x:c r="L40" s="47"/>
      <x:c r="M40" s="47"/>
      <x:c r="N40" s="47"/>
      <x:c r="O40" s="47"/>
      <x:c r="P40" s="47"/>
      <x:c r="Q40" s="47"/>
      <x:c r="R40" s="47"/>
      <x:c r="S40" s="47"/>
      <x:c r="T40" s="47"/>
      <x:c r="U40" s="47"/>
      <x:c r="V40" s="47"/>
      <x:c r="W40" s="47"/>
      <x:c r="X40" s="47"/>
      <x:c r="Y40" s="47"/>
      <x:c r="Z40" s="47"/>
    </x:row>
    <x:row r="41">
      <x:c r="A41" s="394" t="str">
        <x:v>Stage 2 Backlog</x:v>
      </x:c>
      <x:c r="B41" s="200" t="str">
        <x:v>Implementation backlog for ontology and contracts.</x:v>
      </x:c>
      <x:c r="C41" s="200" t="str">
        <x:v>Programme/Engineering</x:v>
      </x:c>
      <x:c r="D41" s="200" t="str">
        <x:v>2</x:v>
      </x:c>
      <x:c r="E41" s="200" t="str">
        <x:v>Complete draft</x:v>
      </x:c>
      <x:c r="F41" s="200" t="str">
        <x:v>Resource approval pending</x:v>
      </x:c>
      <x:c r="G41" s="200" t="str">
        <x:v>Start after gate.</x:v>
      </x:c>
      <x:c r="H41" s="395" t="str"/>
      <x:c r="I41" s="47"/>
      <x:c r="J41" s="47"/>
      <x:c r="K41" s="47"/>
      <x:c r="L41" s="47"/>
      <x:c r="M41" s="47"/>
      <x:c r="N41" s="47"/>
      <x:c r="O41" s="47"/>
      <x:c r="P41" s="47"/>
      <x:c r="Q41" s="47"/>
      <x:c r="R41" s="47"/>
      <x:c r="S41" s="47"/>
      <x:c r="T41" s="47"/>
      <x:c r="U41" s="47"/>
      <x:c r="V41" s="47"/>
      <x:c r="W41" s="47"/>
      <x:c r="X41" s="47"/>
      <x:c r="Y41" s="47"/>
      <x:c r="Z41" s="47"/>
    </x:row>
    <x:row r="42">
      <x:c r="A42" s="430" t="str">
        <x:v>Stage 2 Risks</x:v>
      </x:c>
      <x:c r="B42" s="431" t="str">
        <x:v>Stage 2 risk register.</x:v>
      </x:c>
      <x:c r="C42" s="431" t="str">
        <x:v>Governance/Product</x:v>
      </x:c>
      <x:c r="D42" s="431" t="str">
        <x:v>2</x:v>
      </x:c>
      <x:c r="E42" s="431" t="str">
        <x:v>Complete draft</x:v>
      </x:c>
      <x:c r="F42" s="431" t="str">
        <x:v>Review pending</x:v>
      </x:c>
      <x:c r="G42" s="431" t="str">
        <x:v>Mitigate blocking risks.</x:v>
      </x:c>
      <x:c r="H42" s="432" t="str"/>
      <x:c r="I42" s="47"/>
      <x:c r="J42" s="47"/>
      <x:c r="K42" s="47"/>
      <x:c r="L42" s="47"/>
      <x:c r="M42" s="47"/>
      <x:c r="N42" s="47"/>
      <x:c r="O42" s="47"/>
      <x:c r="P42" s="47"/>
      <x:c r="Q42" s="47"/>
      <x:c r="R42" s="47"/>
      <x:c r="S42" s="47"/>
      <x:c r="T42" s="47"/>
      <x:c r="U42" s="47"/>
      <x:c r="V42" s="47"/>
      <x:c r="W42" s="47"/>
      <x:c r="X42" s="47"/>
      <x:c r="Y42" s="47"/>
      <x:c r="Z42" s="47"/>
    </x:row>
    <x:row r="43">
      <x:c r="A43" s="394" t="str">
        <x:v>Stage 2 Decisions</x:v>
      </x:c>
      <x:c r="B43" s="200" t="str">
        <x:v>Stage 2 ADR/product decisions.</x:v>
      </x:c>
      <x:c r="C43" s="200" t="str">
        <x:v>Architecture/Product</x:v>
      </x:c>
      <x:c r="D43" s="200" t="str">
        <x:v>2</x:v>
      </x:c>
      <x:c r="E43" s="200" t="str">
        <x:v>Complete draft</x:v>
      </x:c>
      <x:c r="F43" s="200" t="str">
        <x:v>Decision review pending</x:v>
      </x:c>
      <x:c r="G43" s="200" t="str">
        <x:v>Accept/condition decisions.</x:v>
      </x:c>
      <x:c r="H43" s="395" t="str"/>
      <x:c r="I43" s="47"/>
      <x:c r="J43" s="47"/>
      <x:c r="K43" s="47"/>
      <x:c r="L43" s="47"/>
      <x:c r="M43" s="47"/>
      <x:c r="N43" s="47"/>
      <x:c r="O43" s="47"/>
      <x:c r="P43" s="47"/>
      <x:c r="Q43" s="47"/>
      <x:c r="R43" s="47"/>
      <x:c r="S43" s="47"/>
      <x:c r="T43" s="47"/>
      <x:c r="U43" s="47"/>
      <x:c r="V43" s="47"/>
      <x:c r="W43" s="47"/>
      <x:c r="X43" s="47"/>
      <x:c r="Y43" s="47"/>
      <x:c r="Z43" s="47"/>
    </x:row>
    <x:row r="44">
      <x:c r="A44" s="430" t="str">
        <x:v>Stage 2 Gate</x:v>
      </x:c>
      <x:c r="B44" s="431" t="str">
        <x:v>Stage 2 go/no-go criteria.</x:v>
      </x:c>
      <x:c r="C44" s="431" t="str">
        <x:v>Leadership/Architecture/HR/DPO</x:v>
      </x:c>
      <x:c r="D44" s="431" t="str">
        <x:v>2</x:v>
      </x:c>
      <x:c r="E44" s="431" t="str">
        <x:v>Complete criteria</x:v>
      </x:c>
      <x:c r="F44" s="431" t="str">
        <x:v>Decision pending</x:v>
      </x:c>
      <x:c r="G44" s="431" t="str">
        <x:v>Record gate outcome.</x:v>
      </x:c>
      <x:c r="H44" s="432" t="str"/>
      <x:c r="I44" s="47"/>
      <x:c r="J44" s="47"/>
      <x:c r="K44" s="47"/>
      <x:c r="L44" s="47"/>
      <x:c r="M44" s="47"/>
      <x:c r="N44" s="47"/>
      <x:c r="O44" s="47"/>
      <x:c r="P44" s="47"/>
      <x:c r="Q44" s="47"/>
      <x:c r="R44" s="47"/>
      <x:c r="S44" s="47"/>
      <x:c r="T44" s="47"/>
      <x:c r="U44" s="47"/>
      <x:c r="V44" s="47"/>
      <x:c r="W44" s="47"/>
      <x:c r="X44" s="47"/>
      <x:c r="Y44" s="47"/>
      <x:c r="Z44" s="47"/>
    </x:row>
    <x:row r="45">
      <x:c r="A45" s="394" t="str">
        <x:v>Stage 2 Sources</x:v>
      </x:c>
      <x:c r="B45" s="200" t="str">
        <x:v>Stage 2 source register.</x:v>
      </x:c>
      <x:c r="C45" s="200" t="str">
        <x:v>All</x:v>
      </x:c>
      <x:c r="D45" s="200" t="str">
        <x:v>2</x:v>
      </x:c>
      <x:c r="E45" s="200" t="str">
        <x:v>Complete</x:v>
      </x:c>
      <x:c r="F45" s="200" t="str">
        <x:v>N/A</x:v>
      </x:c>
      <x:c r="G45" s="200" t="str">
        <x:v>Maintain if sources change.</x:v>
      </x:c>
      <x:c r="H45" s="395" t="str"/>
      <x:c r="I45" s="47"/>
      <x:c r="J45" s="47"/>
      <x:c r="K45" s="47"/>
      <x:c r="L45" s="47"/>
      <x:c r="M45" s="47"/>
      <x:c r="N45" s="47"/>
      <x:c r="O45" s="47"/>
      <x:c r="P45" s="47"/>
      <x:c r="Q45" s="47"/>
      <x:c r="R45" s="47"/>
      <x:c r="S45" s="47"/>
      <x:c r="T45" s="47"/>
      <x:c r="U45" s="47"/>
      <x:c r="V45" s="47"/>
      <x:c r="W45" s="47"/>
      <x:c r="X45" s="47"/>
      <x:c r="Y45" s="47"/>
      <x:c r="Z45" s="47"/>
    </x:row>
    <x:row r="46">
      <x:c r="A46" s="430" t="str">
        <x:v>Agent Architecture</x:v>
      </x:c>
      <x:c r="B46" s="431" t="str">
        <x:v>Stage 3 endpoint architecture.</x:v>
      </x:c>
      <x:c r="C46" s="431" t="str">
        <x:v>Desktop/Platform/Security</x:v>
      </x:c>
      <x:c r="D46" s="431" t="str">
        <x:v>3</x:v>
      </x:c>
      <x:c r="E46" s="431" t="str">
        <x:v>Complete draft</x:v>
      </x:c>
      <x:c r="F46" s="431" t="str">
        <x:v>Stage 3 gate pending</x:v>
      </x:c>
      <x:c r="G46" s="431" t="str">
        <x:v>Implement skeleton after gate.</x:v>
      </x:c>
      <x:c r="H46" s="432" t="str"/>
      <x:c r="I46" s="47"/>
      <x:c r="J46" s="47"/>
      <x:c r="K46" s="47"/>
      <x:c r="L46" s="47"/>
      <x:c r="M46" s="47"/>
      <x:c r="N46" s="47"/>
      <x:c r="O46" s="47"/>
      <x:c r="P46" s="47"/>
      <x:c r="Q46" s="47"/>
      <x:c r="R46" s="47"/>
      <x:c r="S46" s="47"/>
      <x:c r="T46" s="47"/>
      <x:c r="U46" s="47"/>
      <x:c r="V46" s="47"/>
      <x:c r="W46" s="47"/>
      <x:c r="X46" s="47"/>
      <x:c r="Y46" s="47"/>
      <x:c r="Z46" s="47"/>
    </x:row>
    <x:row r="47">
      <x:c r="A47" s="394" t="str">
        <x:v>OS Capability Matrix</x:v>
      </x:c>
      <x:c r="B47" s="200" t="str">
        <x:v>Windows/macOS/Linux capability matrix.</x:v>
      </x:c>
      <x:c r="C47" s="200" t="str">
        <x:v>Desktop/QA/Security</x:v>
      </x:c>
      <x:c r="D47" s="200" t="str">
        <x:v>3</x:v>
      </x:c>
      <x:c r="E47" s="200" t="str">
        <x:v>Complete draft</x:v>
      </x:c>
      <x:c r="F47" s="200" t="str">
        <x:v>Review pending</x:v>
      </x:c>
      <x:c r="G47" s="200" t="str">
        <x:v>Run spikes.</x:v>
      </x:c>
      <x:c r="H47" s="395" t="str"/>
      <x:c r="I47" s="47"/>
      <x:c r="J47" s="47"/>
      <x:c r="K47" s="47"/>
      <x:c r="L47" s="47"/>
      <x:c r="M47" s="47"/>
      <x:c r="N47" s="47"/>
      <x:c r="O47" s="47"/>
      <x:c r="P47" s="47"/>
      <x:c r="Q47" s="47"/>
      <x:c r="R47" s="47"/>
      <x:c r="S47" s="47"/>
      <x:c r="T47" s="47"/>
      <x:c r="U47" s="47"/>
      <x:c r="V47" s="47"/>
      <x:c r="W47" s="47"/>
      <x:c r="X47" s="47"/>
      <x:c r="Y47" s="47"/>
      <x:c r="Z47" s="47"/>
    </x:row>
    <x:row r="48">
      <x:c r="A48" s="430" t="str">
        <x:v>Agent Module Specification</x:v>
      </x:c>
      <x:c r="B48" s="431" t="str">
        <x:v>Agent modules and responsibilities.</x:v>
      </x:c>
      <x:c r="C48" s="431" t="str">
        <x:v>Desktop/Engineering</x:v>
      </x:c>
      <x:c r="D48" s="431" t="str">
        <x:v>3</x:v>
      </x:c>
      <x:c r="E48" s="431" t="str">
        <x:v>Complete draft</x:v>
      </x:c>
      <x:c r="F48" s="431" t="str">
        <x:v>Review pending</x:v>
      </x:c>
      <x:c r="G48" s="431" t="str">
        <x:v>Implement modules.</x:v>
      </x:c>
      <x:c r="H48" s="432" t="str"/>
      <x:c r="I48" s="47"/>
      <x:c r="J48" s="47"/>
      <x:c r="K48" s="47"/>
      <x:c r="L48" s="47"/>
      <x:c r="M48" s="47"/>
      <x:c r="N48" s="47"/>
      <x:c r="O48" s="47"/>
      <x:c r="P48" s="47"/>
      <x:c r="Q48" s="47"/>
      <x:c r="R48" s="47"/>
      <x:c r="S48" s="47"/>
      <x:c r="T48" s="47"/>
      <x:c r="U48" s="47"/>
      <x:c r="V48" s="47"/>
      <x:c r="W48" s="47"/>
      <x:c r="X48" s="47"/>
      <x:c r="Y48" s="47"/>
      <x:c r="Z48" s="47"/>
    </x:row>
    <x:row r="49">
      <x:c r="A49" s="394" t="str">
        <x:v>Session State Machine</x:v>
      </x:c>
      <x:c r="B49" s="200" t="str">
        <x:v>Work-day/task-session state machine.</x:v>
      </x:c>
      <x:c r="C49" s="200" t="str">
        <x:v>Desktop/Product/HR</x:v>
      </x:c>
      <x:c r="D49" s="200" t="str">
        <x:v>3</x:v>
      </x:c>
      <x:c r="E49" s="200" t="str">
        <x:v>Complete draft</x:v>
      </x:c>
      <x:c r="F49" s="200" t="str">
        <x:v>Review pending</x:v>
      </x:c>
      <x:c r="G49" s="200" t="str">
        <x:v>Build state controller.</x:v>
      </x:c>
      <x:c r="H49" s="395" t="str"/>
      <x:c r="I49" s="47"/>
      <x:c r="J49" s="47"/>
      <x:c r="K49" s="47"/>
      <x:c r="L49" s="47"/>
      <x:c r="M49" s="47"/>
      <x:c r="N49" s="47"/>
      <x:c r="O49" s="47"/>
      <x:c r="P49" s="47"/>
      <x:c r="Q49" s="47"/>
      <x:c r="R49" s="47"/>
      <x:c r="S49" s="47"/>
      <x:c r="T49" s="47"/>
      <x:c r="U49" s="47"/>
      <x:c r="V49" s="47"/>
      <x:c r="W49" s="47"/>
      <x:c r="X49" s="47"/>
      <x:c r="Y49" s="47"/>
      <x:c r="Z49" s="47"/>
    </x:row>
    <x:row r="50">
      <x:c r="A50" s="430" t="str">
        <x:v>Device Identity and Key Model</x:v>
      </x:c>
      <x:c r="B50" s="431" t="str">
        <x:v>Device registration, certs, keys and revocation.</x:v>
      </x:c>
      <x:c r="C50" s="431" t="str">
        <x:v>Security/Platform</x:v>
      </x:c>
      <x:c r="D50" s="431" t="str">
        <x:v>3</x:v>
      </x:c>
      <x:c r="E50" s="431" t="str">
        <x:v>Complete draft</x:v>
      </x:c>
      <x:c r="F50" s="431" t="str">
        <x:v>Security review pending</x:v>
      </x:c>
      <x:c r="G50" s="431" t="str">
        <x:v>Implement registration/key path.</x:v>
      </x:c>
      <x:c r="H50" s="432" t="str"/>
      <x:c r="I50" s="47"/>
      <x:c r="J50" s="47"/>
      <x:c r="K50" s="47"/>
      <x:c r="L50" s="47"/>
      <x:c r="M50" s="47"/>
      <x:c r="N50" s="47"/>
      <x:c r="O50" s="47"/>
      <x:c r="P50" s="47"/>
      <x:c r="Q50" s="47"/>
      <x:c r="R50" s="47"/>
      <x:c r="S50" s="47"/>
      <x:c r="T50" s="47"/>
      <x:c r="U50" s="47"/>
      <x:c r="V50" s="47"/>
      <x:c r="W50" s="47"/>
      <x:c r="X50" s="47"/>
      <x:c r="Y50" s="47"/>
      <x:c r="Z50" s="47"/>
    </x:row>
    <x:row r="51">
      <x:c r="A51" s="394" t="str">
        <x:v>Policy Bundle</x:v>
      </x:c>
      <x:c r="B51" s="200" t="str">
        <x:v>Signed local policy bundle schema.</x:v>
      </x:c>
      <x:c r="C51" s="200" t="str">
        <x:v>Policy/Security/Desktop</x:v>
      </x:c>
      <x:c r="D51" s="200" t="str">
        <x:v>3</x:v>
      </x:c>
      <x:c r="E51" s="200" t="str">
        <x:v>Complete draft</x:v>
      </x:c>
      <x:c r="F51" s="200" t="str">
        <x:v>DPO/security review pending</x:v>
      </x:c>
      <x:c r="G51" s="200" t="str">
        <x:v>Build verifier.</x:v>
      </x:c>
      <x:c r="H51" s="395" t="str"/>
      <x:c r="I51" s="47"/>
      <x:c r="J51" s="47"/>
      <x:c r="K51" s="47"/>
      <x:c r="L51" s="47"/>
      <x:c r="M51" s="47"/>
      <x:c r="N51" s="47"/>
      <x:c r="O51" s="47"/>
      <x:c r="P51" s="47"/>
      <x:c r="Q51" s="47"/>
      <x:c r="R51" s="47"/>
      <x:c r="S51" s="47"/>
      <x:c r="T51" s="47"/>
      <x:c r="U51" s="47"/>
      <x:c r="V51" s="47"/>
      <x:c r="W51" s="47"/>
      <x:c r="X51" s="47"/>
      <x:c r="Y51" s="47"/>
      <x:c r="Z51" s="47"/>
    </x:row>
    <x:row r="52">
      <x:c r="A52" s="430" t="str">
        <x:v>Local Storage Model</x:v>
      </x:c>
      <x:c r="B52" s="431" t="str">
        <x:v>Encrypted journal and object cache.</x:v>
      </x:c>
      <x:c r="C52" s="431" t="str">
        <x:v>Desktop/Data/Security</x:v>
      </x:c>
      <x:c r="D52" s="431" t="str">
        <x:v>3</x:v>
      </x:c>
      <x:c r="E52" s="431" t="str">
        <x:v>Complete draft</x:v>
      </x:c>
      <x:c r="F52" s="431" t="str">
        <x:v>Security review pending</x:v>
      </x:c>
      <x:c r="G52" s="431" t="str">
        <x:v>Build storage prototype.</x:v>
      </x:c>
      <x:c r="H52" s="432" t="str"/>
      <x:c r="I52" s="47"/>
      <x:c r="J52" s="47"/>
      <x:c r="K52" s="47"/>
      <x:c r="L52" s="47"/>
      <x:c r="M52" s="47"/>
      <x:c r="N52" s="47"/>
      <x:c r="O52" s="47"/>
      <x:c r="P52" s="47"/>
      <x:c r="Q52" s="47"/>
      <x:c r="R52" s="47"/>
      <x:c r="S52" s="47"/>
      <x:c r="T52" s="47"/>
      <x:c r="U52" s="47"/>
      <x:c r="V52" s="47"/>
      <x:c r="W52" s="47"/>
      <x:c r="X52" s="47"/>
      <x:c r="Y52" s="47"/>
      <x:c r="Z52" s="47"/>
    </x:row>
    <x:row r="53">
      <x:c r="A53" s="394" t="str">
        <x:v>Event and API Contracts</x:v>
      </x:c>
      <x:c r="B53" s="200" t="str">
        <x:v>Stage 3 device APIs and events.</x:v>
      </x:c>
      <x:c r="C53" s="200" t="str">
        <x:v>Data/Platform/Desktop</x:v>
      </x:c>
      <x:c r="D53" s="200" t="str">
        <x:v>3</x:v>
      </x:c>
      <x:c r="E53" s="200" t="str">
        <x:v>Complete draft</x:v>
      </x:c>
      <x:c r="F53" s="200" t="str">
        <x:v>Architecture review pending</x:v>
      </x:c>
      <x:c r="G53" s="200" t="str">
        <x:v>Use in Stage 4.</x:v>
      </x:c>
      <x:c r="H53" s="395" t="str"/>
      <x:c r="I53" s="47"/>
      <x:c r="J53" s="47"/>
      <x:c r="K53" s="47"/>
      <x:c r="L53" s="47"/>
      <x:c r="M53" s="47"/>
      <x:c r="N53" s="47"/>
      <x:c r="O53" s="47"/>
      <x:c r="P53" s="47"/>
      <x:c r="Q53" s="47"/>
      <x:c r="R53" s="47"/>
      <x:c r="S53" s="47"/>
      <x:c r="T53" s="47"/>
      <x:c r="U53" s="47"/>
      <x:c r="V53" s="47"/>
      <x:c r="W53" s="47"/>
      <x:c r="X53" s="47"/>
      <x:c r="Y53" s="47"/>
      <x:c r="Z53" s="47"/>
    </x:row>
    <x:row r="54">
      <x:c r="A54" s="430" t="str">
        <x:v>Technical Spikes</x:v>
      </x:c>
      <x:c r="B54" s="431" t="str">
        <x:v>Endpoint technical spike plan.</x:v>
      </x:c>
      <x:c r="C54" s="431" t="str">
        <x:v>Desktop/QA/Security</x:v>
      </x:c>
      <x:c r="D54" s="431" t="str">
        <x:v>3</x:v>
      </x:c>
      <x:c r="E54" s="431" t="str">
        <x:v>Complete draft</x:v>
      </x:c>
      <x:c r="F54" s="431" t="str">
        <x:v>Resource approval pending</x:v>
      </x:c>
      <x:c r="G54" s="431" t="str">
        <x:v>Execute spikes.</x:v>
      </x:c>
      <x:c r="H54" s="432" t="str"/>
      <x:c r="I54" s="47"/>
      <x:c r="J54" s="47"/>
      <x:c r="K54" s="47"/>
      <x:c r="L54" s="47"/>
      <x:c r="M54" s="47"/>
      <x:c r="N54" s="47"/>
      <x:c r="O54" s="47"/>
      <x:c r="P54" s="47"/>
      <x:c r="Q54" s="47"/>
      <x:c r="R54" s="47"/>
      <x:c r="S54" s="47"/>
      <x:c r="T54" s="47"/>
      <x:c r="U54" s="47"/>
      <x:c r="V54" s="47"/>
      <x:c r="W54" s="47"/>
      <x:c r="X54" s="47"/>
      <x:c r="Y54" s="47"/>
      <x:c r="Z54" s="47"/>
    </x:row>
    <x:row r="55">
      <x:c r="A55" s="394" t="str">
        <x:v>Performance Budgets</x:v>
      </x:c>
      <x:c r="B55" s="200" t="str">
        <x:v>Endpoint performance and reliability targets.</x:v>
      </x:c>
      <x:c r="C55" s="200" t="str">
        <x:v>SRE/Desktop</x:v>
      </x:c>
      <x:c r="D55" s="200" t="str">
        <x:v>3</x:v>
      </x:c>
      <x:c r="E55" s="200" t="str">
        <x:v>Complete draft</x:v>
      </x:c>
      <x:c r="F55" s="200" t="str">
        <x:v>Validation pending</x:v>
      </x:c>
      <x:c r="G55" s="200" t="str">
        <x:v>Benchmark prototype.</x:v>
      </x:c>
      <x:c r="H55" s="395" t="str"/>
      <x:c r="I55" s="47"/>
      <x:c r="J55" s="47"/>
      <x:c r="K55" s="47"/>
      <x:c r="L55" s="47"/>
      <x:c r="M55" s="47"/>
      <x:c r="N55" s="47"/>
      <x:c r="O55" s="47"/>
      <x:c r="P55" s="47"/>
      <x:c r="Q55" s="47"/>
      <x:c r="R55" s="47"/>
      <x:c r="S55" s="47"/>
      <x:c r="T55" s="47"/>
      <x:c r="U55" s="47"/>
      <x:c r="V55" s="47"/>
      <x:c r="W55" s="47"/>
      <x:c r="X55" s="47"/>
      <x:c r="Y55" s="47"/>
      <x:c r="Z55" s="47"/>
    </x:row>
    <x:row r="56">
      <x:c r="A56" s="430" t="str">
        <x:v>Stage 3 Threat Model</x:v>
      </x:c>
      <x:c r="B56" s="431" t="str">
        <x:v>Endpoint threat model.</x:v>
      </x:c>
      <x:c r="C56" s="431" t="str">
        <x:v>CISO/Desktop/DPO</x:v>
      </x:c>
      <x:c r="D56" s="431" t="str">
        <x:v>3</x:v>
      </x:c>
      <x:c r="E56" s="431" t="str">
        <x:v>Complete draft</x:v>
      </x:c>
      <x:c r="F56" s="431" t="str">
        <x:v>Security review pending</x:v>
      </x:c>
      <x:c r="G56" s="431" t="str">
        <x:v>Validate controls.</x:v>
      </x:c>
      <x:c r="H56" s="432" t="str"/>
      <x:c r="I56" s="47"/>
      <x:c r="J56" s="47"/>
      <x:c r="K56" s="47"/>
      <x:c r="L56" s="47"/>
      <x:c r="M56" s="47"/>
      <x:c r="N56" s="47"/>
      <x:c r="O56" s="47"/>
      <x:c r="P56" s="47"/>
      <x:c r="Q56" s="47"/>
      <x:c r="R56" s="47"/>
      <x:c r="S56" s="47"/>
      <x:c r="T56" s="47"/>
      <x:c r="U56" s="47"/>
      <x:c r="V56" s="47"/>
      <x:c r="W56" s="47"/>
      <x:c r="X56" s="47"/>
      <x:c r="Y56" s="47"/>
      <x:c r="Z56" s="47"/>
    </x:row>
    <x:row r="57">
      <x:c r="A57" s="394" t="str">
        <x:v>Test Matrix</x:v>
      </x:c>
      <x:c r="B57" s="200" t="str">
        <x:v>Endpoint QA/security/performance tests.</x:v>
      </x:c>
      <x:c r="C57" s="200" t="str">
        <x:v>QA/Desktop/Security</x:v>
      </x:c>
      <x:c r="D57" s="200" t="str">
        <x:v>3</x:v>
      </x:c>
      <x:c r="E57" s="200" t="str">
        <x:v>Complete draft</x:v>
      </x:c>
      <x:c r="F57" s="200" t="str">
        <x:v>Execution pending</x:v>
      </x:c>
      <x:c r="G57" s="200" t="str">
        <x:v>Automate tests.</x:v>
      </x:c>
      <x:c r="H57" s="395" t="str"/>
      <x:c r="I57" s="47"/>
      <x:c r="J57" s="47"/>
      <x:c r="K57" s="47"/>
      <x:c r="L57" s="47"/>
      <x:c r="M57" s="47"/>
      <x:c r="N57" s="47"/>
      <x:c r="O57" s="47"/>
      <x:c r="P57" s="47"/>
      <x:c r="Q57" s="47"/>
      <x:c r="R57" s="47"/>
      <x:c r="S57" s="47"/>
      <x:c r="T57" s="47"/>
      <x:c r="U57" s="47"/>
      <x:c r="V57" s="47"/>
      <x:c r="W57" s="47"/>
      <x:c r="X57" s="47"/>
      <x:c r="Y57" s="47"/>
      <x:c r="Z57" s="47"/>
    </x:row>
    <x:row r="58">
      <x:c r="A58" s="430" t="str">
        <x:v>Repository and CI/CD Plan</x:v>
      </x:c>
      <x:c r="B58" s="431" t="str">
        <x:v>Repo, signing, SBOM, test and rollout plan.</x:v>
      </x:c>
      <x:c r="C58" s="431" t="str">
        <x:v>DevSecOps/Desktop</x:v>
      </x:c>
      <x:c r="D58" s="431" t="str">
        <x:v>3</x:v>
      </x:c>
      <x:c r="E58" s="431" t="str">
        <x:v>Complete draft</x:v>
      </x:c>
      <x:c r="F58" s="431" t="str">
        <x:v>IT/security approval pending</x:v>
      </x:c>
      <x:c r="G58" s="431" t="str">
        <x:v>Create repos/pipelines.</x:v>
      </x:c>
      <x:c r="H58" s="432" t="str"/>
      <x:c r="I58" s="47"/>
      <x:c r="J58" s="47"/>
      <x:c r="K58" s="47"/>
      <x:c r="L58" s="47"/>
      <x:c r="M58" s="47"/>
      <x:c r="N58" s="47"/>
      <x:c r="O58" s="47"/>
      <x:c r="P58" s="47"/>
      <x:c r="Q58" s="47"/>
      <x:c r="R58" s="47"/>
      <x:c r="S58" s="47"/>
      <x:c r="T58" s="47"/>
      <x:c r="U58" s="47"/>
      <x:c r="V58" s="47"/>
      <x:c r="W58" s="47"/>
      <x:c r="X58" s="47"/>
      <x:c r="Y58" s="47"/>
      <x:c r="Z58" s="47"/>
    </x:row>
    <x:row r="59">
      <x:c r="A59" s="394" t="str">
        <x:v>Stage 3 Backlog</x:v>
      </x:c>
      <x:c r="B59" s="200" t="str">
        <x:v>Implementation backlog for agent foundation.</x:v>
      </x:c>
      <x:c r="C59" s="200" t="str">
        <x:v>Programme/Desktop/Platform</x:v>
      </x:c>
      <x:c r="D59" s="200" t="str">
        <x:v>3</x:v>
      </x:c>
      <x:c r="E59" s="200" t="str">
        <x:v>Complete draft</x:v>
      </x:c>
      <x:c r="F59" s="200" t="str">
        <x:v>Resource approval pending</x:v>
      </x:c>
      <x:c r="G59" s="200" t="str">
        <x:v>Start after gate.</x:v>
      </x:c>
      <x:c r="H59" s="395" t="str"/>
      <x:c r="I59" s="47"/>
      <x:c r="J59" s="47"/>
      <x:c r="K59" s="47"/>
      <x:c r="L59" s="47"/>
      <x:c r="M59" s="47"/>
      <x:c r="N59" s="47"/>
      <x:c r="O59" s="47"/>
      <x:c r="P59" s="47"/>
      <x:c r="Q59" s="47"/>
      <x:c r="R59" s="47"/>
      <x:c r="S59" s="47"/>
      <x:c r="T59" s="47"/>
      <x:c r="U59" s="47"/>
      <x:c r="V59" s="47"/>
      <x:c r="W59" s="47"/>
      <x:c r="X59" s="47"/>
      <x:c r="Y59" s="47"/>
      <x:c r="Z59" s="47"/>
    </x:row>
    <x:row r="60">
      <x:c r="A60" s="430" t="str">
        <x:v>Stage 3 ADRs</x:v>
      </x:c>
      <x:c r="B60" s="431" t="str">
        <x:v>Stage 3 architecture decisions.</x:v>
      </x:c>
      <x:c r="C60" s="431" t="str">
        <x:v>Architecture/Desktop/Security</x:v>
      </x:c>
      <x:c r="D60" s="431" t="str">
        <x:v>3</x:v>
      </x:c>
      <x:c r="E60" s="431" t="str">
        <x:v>Complete draft</x:v>
      </x:c>
      <x:c r="F60" s="431" t="str">
        <x:v>Review pending</x:v>
      </x:c>
      <x:c r="G60" s="431" t="str">
        <x:v>Approve/condition.</x:v>
      </x:c>
      <x:c r="H60" s="432" t="str"/>
      <x:c r="I60" s="47"/>
      <x:c r="J60" s="47"/>
      <x:c r="K60" s="47"/>
      <x:c r="L60" s="47"/>
      <x:c r="M60" s="47"/>
      <x:c r="N60" s="47"/>
      <x:c r="O60" s="47"/>
      <x:c r="P60" s="47"/>
      <x:c r="Q60" s="47"/>
      <x:c r="R60" s="47"/>
      <x:c r="S60" s="47"/>
      <x:c r="T60" s="47"/>
      <x:c r="U60" s="47"/>
      <x:c r="V60" s="47"/>
      <x:c r="W60" s="47"/>
      <x:c r="X60" s="47"/>
      <x:c r="Y60" s="47"/>
      <x:c r="Z60" s="47"/>
    </x:row>
    <x:row r="61">
      <x:c r="A61" s="394" t="str">
        <x:v>Stage 3 Gate</x:v>
      </x:c>
      <x:c r="B61" s="200" t="str">
        <x:v>Stage 3 go/no-go criteria.</x:v>
      </x:c>
      <x:c r="C61" s="200" t="str">
        <x:v>Leadership/CTO/CISO/DPO</x:v>
      </x:c>
      <x:c r="D61" s="200" t="str">
        <x:v>3</x:v>
      </x:c>
      <x:c r="E61" s="200" t="str">
        <x:v>Complete criteria</x:v>
      </x:c>
      <x:c r="F61" s="200" t="str">
        <x:v>Decision pending</x:v>
      </x:c>
      <x:c r="G61" s="200" t="str">
        <x:v>Record gate outcome.</x:v>
      </x:c>
      <x:c r="H61" s="395" t="str"/>
      <x:c r="I61" s="47"/>
      <x:c r="J61" s="47"/>
      <x:c r="K61" s="47"/>
      <x:c r="L61" s="47"/>
      <x:c r="M61" s="47"/>
      <x:c r="N61" s="47"/>
      <x:c r="O61" s="47"/>
      <x:c r="P61" s="47"/>
      <x:c r="Q61" s="47"/>
      <x:c r="R61" s="47"/>
      <x:c r="S61" s="47"/>
      <x:c r="T61" s="47"/>
      <x:c r="U61" s="47"/>
      <x:c r="V61" s="47"/>
      <x:c r="W61" s="47"/>
      <x:c r="X61" s="47"/>
      <x:c r="Y61" s="47"/>
      <x:c r="Z61" s="47"/>
    </x:row>
    <x:row r="62">
      <x:c r="A62" s="437" t="str">
        <x:v>Stage 3 Sources</x:v>
      </x:c>
      <x:c r="B62" s="438" t="str">
        <x:v>Stage 3 source register.</x:v>
      </x:c>
      <x:c r="C62" s="438" t="str">
        <x:v>All</x:v>
      </x:c>
      <x:c r="D62" s="438" t="str">
        <x:v>3</x:v>
      </x:c>
      <x:c r="E62" s="438" t="str">
        <x:v>Complete</x:v>
      </x:c>
      <x:c r="F62" s="438" t="str">
        <x:v>N/A</x:v>
      </x:c>
      <x:c r="G62" s="438" t="str">
        <x:v>Maintain if APIs change.</x:v>
      </x:c>
      <x:c r="H62" s="439" t="str"/>
      <x:c r="I62" s="47"/>
      <x:c r="J62" s="47"/>
      <x:c r="K62" s="47"/>
      <x:c r="L62" s="47"/>
      <x:c r="M62" s="47"/>
      <x:c r="N62" s="47"/>
      <x:c r="O62" s="47"/>
      <x:c r="P62" s="47"/>
      <x:c r="Q62" s="47"/>
      <x:c r="R62" s="47"/>
      <x:c r="S62" s="47"/>
      <x:c r="T62" s="47"/>
      <x:c r="U62" s="47"/>
      <x:c r="V62" s="47"/>
      <x:c r="W62" s="47"/>
      <x:c r="X62" s="47"/>
      <x:c r="Y62" s="47"/>
      <x:c r="Z62" s="47"/>
    </x:row>
    <x:row r="63">
      <x:c r="A63" s="550" t="str">
        <x:v>Stage 4-5 Dashboard</x:v>
      </x:c>
      <x:c r="B63" s="551" t="str">
        <x:v>Stage 4/5 readiness, backlog maturity, risks, sources and interpretation.</x:v>
      </x:c>
      <x:c r="C63" s="551" t="str">
        <x:v>Leadership/Programme</x:v>
      </x:c>
      <x:c r="D63" s="551" t="str">
        <x:v>4–5</x:v>
      </x:c>
      <x:c r="E63" s="551" t="str">
        <x:v>Complete</x:v>
      </x:c>
      <x:c r="F63" s="551" t="str">
        <x:v>Gates pending</x:v>
      </x:c>
      <x:c r="G63" s="551" t="str">
        <x:v>Review Stage 4 and Stage 5 gate items.</x:v>
      </x:c>
      <x:c r="H63" s="552" t="str"/>
      <x:c r="I63" s="47"/>
      <x:c r="J63" s="47"/>
      <x:c r="K63" s="47"/>
      <x:c r="L63" s="47"/>
      <x:c r="M63" s="47"/>
      <x:c r="N63" s="47"/>
      <x:c r="O63" s="47"/>
      <x:c r="P63" s="47"/>
      <x:c r="Q63" s="47"/>
      <x:c r="R63" s="47"/>
      <x:c r="S63" s="47"/>
      <x:c r="T63" s="47"/>
      <x:c r="U63" s="47"/>
      <x:c r="V63" s="47"/>
      <x:c r="W63" s="47"/>
      <x:c r="X63" s="47"/>
      <x:c r="Y63" s="47"/>
      <x:c r="Z63" s="47"/>
    </x:row>
    <x:row r="64">
      <x:c r="A64" s="560" t="str">
        <x:v>Stage 4 Architecture</x:v>
      </x:c>
      <x:c r="B64" s="561" t="str">
        <x:v>Telemetry ingestion, evidence storage, replay, retention, access and audit architecture.</x:v>
      </x:c>
      <x:c r="C64" s="561" t="str">
        <x:v>Architecture/Backend/Data/Security</x:v>
      </x:c>
      <x:c r="D64" s="561" t="str">
        <x:v>4</x:v>
      </x:c>
      <x:c r="E64" s="561" t="str">
        <x:v>Complete draft</x:v>
      </x:c>
      <x:c r="F64" s="561" t="str">
        <x:v>Stage 4 gate pending</x:v>
      </x:c>
      <x:c r="G64" s="561" t="str">
        <x:v>Implement after approval.</x:v>
      </x:c>
      <x:c r="H64" s="562" t="str"/>
      <x:c r="I64" s="47"/>
      <x:c r="J64" s="47"/>
      <x:c r="K64" s="47"/>
      <x:c r="L64" s="47"/>
      <x:c r="M64" s="47"/>
      <x:c r="N64" s="47"/>
      <x:c r="O64" s="47"/>
      <x:c r="P64" s="47"/>
      <x:c r="Q64" s="47"/>
      <x:c r="R64" s="47"/>
      <x:c r="S64" s="47"/>
      <x:c r="T64" s="47"/>
      <x:c r="U64" s="47"/>
      <x:c r="V64" s="47"/>
      <x:c r="W64" s="47"/>
      <x:c r="X64" s="47"/>
      <x:c r="Y64" s="47"/>
      <x:c r="Z64" s="47"/>
    </x:row>
    <x:row r="65">
      <x:c r="A65" s="553" t="str">
        <x:v>Batch Contract</x:v>
      </x:c>
      <x:c r="B65" s="200" t="str">
        <x:v>Signed, idempotent endpoint batch contract.</x:v>
      </x:c>
      <x:c r="C65" s="200" t="str">
        <x:v>Agent/Backend/Data/Security</x:v>
      </x:c>
      <x:c r="D65" s="200" t="str">
        <x:v>4</x:v>
      </x:c>
      <x:c r="E65" s="200" t="str">
        <x:v>Complete draft</x:v>
      </x:c>
      <x:c r="F65" s="200" t="str">
        <x:v>Review pending</x:v>
      </x:c>
      <x:c r="G65" s="200" t="str">
        <x:v>Publish schemas/fixtures.</x:v>
      </x:c>
      <x:c r="H65" s="554" t="str"/>
      <x:c r="I65" s="47"/>
      <x:c r="J65" s="47"/>
      <x:c r="K65" s="47"/>
      <x:c r="L65" s="47"/>
      <x:c r="M65" s="47"/>
      <x:c r="N65" s="47"/>
      <x:c r="O65" s="47"/>
      <x:c r="P65" s="47"/>
      <x:c r="Q65" s="47"/>
      <x:c r="R65" s="47"/>
      <x:c r="S65" s="47"/>
      <x:c r="T65" s="47"/>
      <x:c r="U65" s="47"/>
      <x:c r="V65" s="47"/>
      <x:c r="W65" s="47"/>
      <x:c r="X65" s="47"/>
      <x:c r="Y65" s="47"/>
      <x:c r="Z65" s="47"/>
    </x:row>
    <x:row r="66">
      <x:c r="A66" s="560" t="str">
        <x:v>Event Topics</x:v>
      </x:c>
      <x:c r="B66" s="561" t="str">
        <x:v>Kafka-compatible topic catalogue and partitioning rules.</x:v>
      </x:c>
      <x:c r="C66" s="561" t="str">
        <x:v>Data Platform/SRE</x:v>
      </x:c>
      <x:c r="D66" s="561" t="str">
        <x:v>4</x:v>
      </x:c>
      <x:c r="E66" s="561" t="str">
        <x:v>Complete draft</x:v>
      </x:c>
      <x:c r="F66" s="561" t="str">
        <x:v>Review pending</x:v>
      </x:c>
      <x:c r="G66" s="561" t="str">
        <x:v>Provision after gate.</x:v>
      </x:c>
      <x:c r="H66" s="562" t="str"/>
      <x:c r="I66" s="47"/>
      <x:c r="J66" s="47"/>
      <x:c r="K66" s="47"/>
      <x:c r="L66" s="47"/>
      <x:c r="M66" s="47"/>
      <x:c r="N66" s="47"/>
      <x:c r="O66" s="47"/>
      <x:c r="P66" s="47"/>
      <x:c r="Q66" s="47"/>
      <x:c r="R66" s="47"/>
      <x:c r="S66" s="47"/>
      <x:c r="T66" s="47"/>
      <x:c r="U66" s="47"/>
      <x:c r="V66" s="47"/>
      <x:c r="W66" s="47"/>
      <x:c r="X66" s="47"/>
      <x:c r="Y66" s="47"/>
      <x:c r="Z66" s="47"/>
    </x:row>
    <x:row r="67">
      <x:c r="A67" s="553" t="str">
        <x:v>Evidence Storage Model</x:v>
      </x:c>
      <x:c r="B67" s="200" t="str">
        <x:v>PostgreSQL/object/provenance/gap/access/retention storage model.</x:v>
      </x:c>
      <x:c r="C67" s="200" t="str">
        <x:v>Data/Backend/Security</x:v>
      </x:c>
      <x:c r="D67" s="200" t="str">
        <x:v>4</x:v>
      </x:c>
      <x:c r="E67" s="200" t="str">
        <x:v>Complete draft</x:v>
      </x:c>
      <x:c r="F67" s="200" t="str">
        <x:v>Review pending</x:v>
      </x:c>
      <x:c r="G67" s="200" t="str">
        <x:v>Create DDL/migrations.</x:v>
      </x:c>
      <x:c r="H67" s="554" t="str"/>
      <x:c r="I67" s="47"/>
      <x:c r="J67" s="47"/>
      <x:c r="K67" s="47"/>
      <x:c r="L67" s="47"/>
      <x:c r="M67" s="47"/>
      <x:c r="N67" s="47"/>
      <x:c r="O67" s="47"/>
      <x:c r="P67" s="47"/>
      <x:c r="Q67" s="47"/>
      <x:c r="R67" s="47"/>
      <x:c r="S67" s="47"/>
      <x:c r="T67" s="47"/>
      <x:c r="U67" s="47"/>
      <x:c r="V67" s="47"/>
      <x:c r="W67" s="47"/>
      <x:c r="X67" s="47"/>
      <x:c r="Y67" s="47"/>
      <x:c r="Z67" s="47"/>
    </x:row>
    <x:row r="68">
      <x:c r="A68" s="560" t="str">
        <x:v>Ingestion APIs</x:v>
      </x:c>
      <x:c r="B68" s="561" t="str">
        <x:v>Batch, evidence, replay, retention, access and correction APIs.</x:v>
      </x:c>
      <x:c r="C68" s="561" t="str">
        <x:v>Backend/API/Governance</x:v>
      </x:c>
      <x:c r="D68" s="561" t="str">
        <x:v>4</x:v>
      </x:c>
      <x:c r="E68" s="561" t="str">
        <x:v>Complete draft</x:v>
      </x:c>
      <x:c r="F68" s="561" t="str">
        <x:v>Review pending</x:v>
      </x:c>
      <x:c r="G68" s="561" t="str">
        <x:v>Draft OpenAPI files.</x:v>
      </x:c>
      <x:c r="H68" s="562" t="str"/>
      <x:c r="I68" s="47"/>
      <x:c r="J68" s="47"/>
      <x:c r="K68" s="47"/>
      <x:c r="L68" s="47"/>
      <x:c r="M68" s="47"/>
      <x:c r="N68" s="47"/>
      <x:c r="O68" s="47"/>
      <x:c r="P68" s="47"/>
      <x:c r="Q68" s="47"/>
      <x:c r="R68" s="47"/>
      <x:c r="S68" s="47"/>
      <x:c r="T68" s="47"/>
      <x:c r="U68" s="47"/>
      <x:c r="V68" s="47"/>
      <x:c r="W68" s="47"/>
      <x:c r="X68" s="47"/>
      <x:c r="Y68" s="47"/>
      <x:c r="Z68" s="47"/>
    </x:row>
    <x:row r="69">
      <x:c r="A69" s="553" t="str">
        <x:v>Replay and Timeline Semantics</x:v>
      </x:c>
      <x:c r="B69" s="200" t="str">
        <x:v>Ordering, gaps, duplicates, late events, corrections and completeness.</x:v>
      </x:c>
      <x:c r="C69" s="200" t="str">
        <x:v>Data/Replay/AI Governance</x:v>
      </x:c>
      <x:c r="D69" s="200" t="str">
        <x:v>4</x:v>
      </x:c>
      <x:c r="E69" s="200" t="str">
        <x:v>Complete draft</x:v>
      </x:c>
      <x:c r="F69" s="200" t="str">
        <x:v>Review pending</x:v>
      </x:c>
      <x:c r="G69" s="200" t="str">
        <x:v>Implement deterministic replay.</x:v>
      </x:c>
      <x:c r="H69" s="554" t="str"/>
      <x:c r="I69" s="47"/>
      <x:c r="J69" s="47"/>
      <x:c r="K69" s="47"/>
      <x:c r="L69" s="47"/>
      <x:c r="M69" s="47"/>
      <x:c r="N69" s="47"/>
      <x:c r="O69" s="47"/>
      <x:c r="P69" s="47"/>
      <x:c r="Q69" s="47"/>
      <x:c r="R69" s="47"/>
      <x:c r="S69" s="47"/>
      <x:c r="T69" s="47"/>
      <x:c r="U69" s="47"/>
      <x:c r="V69" s="47"/>
      <x:c r="W69" s="47"/>
      <x:c r="X69" s="47"/>
      <x:c r="Y69" s="47"/>
      <x:c r="Z69" s="47"/>
    </x:row>
    <x:row r="70">
      <x:c r="A70" s="560" t="str">
        <x:v>Retention and Access Controls</x:v>
      </x:c>
      <x:c r="B70" s="561" t="str">
        <x:v>Classification, raw access, employee/manager/reviewer scope and deletion.</x:v>
      </x:c>
      <x:c r="C70" s="561" t="str">
        <x:v>DPO/HR/Security/Data</x:v>
      </x:c>
      <x:c r="D70" s="561" t="str">
        <x:v>4</x:v>
      </x:c>
      <x:c r="E70" s="561" t="str">
        <x:v>Complete draft</x:v>
      </x:c>
      <x:c r="F70" s="561" t="str">
        <x:v>DPO/legal review pending</x:v>
      </x:c>
      <x:c r="G70" s="561" t="str">
        <x:v>Approve retention/access policy.</x:v>
      </x:c>
      <x:c r="H70" s="562" t="str"/>
      <x:c r="I70" s="47"/>
      <x:c r="J70" s="47"/>
      <x:c r="K70" s="47"/>
      <x:c r="L70" s="47"/>
      <x:c r="M70" s="47"/>
      <x:c r="N70" s="47"/>
      <x:c r="O70" s="47"/>
      <x:c r="P70" s="47"/>
      <x:c r="Q70" s="47"/>
      <x:c r="R70" s="47"/>
      <x:c r="S70" s="47"/>
      <x:c r="T70" s="47"/>
      <x:c r="U70" s="47"/>
      <x:c r="V70" s="47"/>
      <x:c r="W70" s="47"/>
      <x:c r="X70" s="47"/>
      <x:c r="Y70" s="47"/>
      <x:c r="Z70" s="47"/>
    </x:row>
    <x:row r="71">
      <x:c r="A71" s="553" t="str">
        <x:v>Stage 4 Backlog</x:v>
      </x:c>
      <x:c r="B71" s="200" t="str">
        <x:v>Stage 4 implementation work.</x:v>
      </x:c>
      <x:c r="C71" s="200" t="str">
        <x:v>Programme/Engineering</x:v>
      </x:c>
      <x:c r="D71" s="200" t="str">
        <x:v>4</x:v>
      </x:c>
      <x:c r="E71" s="200" t="str">
        <x:v>Complete draft</x:v>
      </x:c>
      <x:c r="F71" s="200" t="str">
        <x:v>Resource approval pending</x:v>
      </x:c>
      <x:c r="G71" s="200" t="str">
        <x:v>Start after gate.</x:v>
      </x:c>
      <x:c r="H71" s="554" t="str"/>
      <x:c r="I71" s="47"/>
      <x:c r="J71" s="47"/>
      <x:c r="K71" s="47"/>
      <x:c r="L71" s="47"/>
      <x:c r="M71" s="47"/>
      <x:c r="N71" s="47"/>
      <x:c r="O71" s="47"/>
      <x:c r="P71" s="47"/>
      <x:c r="Q71" s="47"/>
      <x:c r="R71" s="47"/>
      <x:c r="S71" s="47"/>
      <x:c r="T71" s="47"/>
      <x:c r="U71" s="47"/>
      <x:c r="V71" s="47"/>
      <x:c r="W71" s="47"/>
      <x:c r="X71" s="47"/>
      <x:c r="Y71" s="47"/>
      <x:c r="Z71" s="47"/>
    </x:row>
    <x:row r="72">
      <x:c r="A72" s="560" t="str">
        <x:v>Stage 4 Risks</x:v>
      </x:c>
      <x:c r="B72" s="561" t="str">
        <x:v>Stage 4 distributed evidence risks.</x:v>
      </x:c>
      <x:c r="C72" s="561" t="str">
        <x:v>Governance/Architecture</x:v>
      </x:c>
      <x:c r="D72" s="561" t="str">
        <x:v>4</x:v>
      </x:c>
      <x:c r="E72" s="561" t="str">
        <x:v>Complete draft</x:v>
      </x:c>
      <x:c r="F72" s="561" t="str">
        <x:v>Risk review pending</x:v>
      </x:c>
      <x:c r="G72" s="561" t="str">
        <x:v>Mitigate blocking risks.</x:v>
      </x:c>
      <x:c r="H72" s="562" t="str"/>
      <x:c r="I72" s="47"/>
      <x:c r="J72" s="47"/>
      <x:c r="K72" s="47"/>
      <x:c r="L72" s="47"/>
      <x:c r="M72" s="47"/>
      <x:c r="N72" s="47"/>
      <x:c r="O72" s="47"/>
      <x:c r="P72" s="47"/>
      <x:c r="Q72" s="47"/>
      <x:c r="R72" s="47"/>
      <x:c r="S72" s="47"/>
      <x:c r="T72" s="47"/>
      <x:c r="U72" s="47"/>
      <x:c r="V72" s="47"/>
      <x:c r="W72" s="47"/>
      <x:c r="X72" s="47"/>
      <x:c r="Y72" s="47"/>
      <x:c r="Z72" s="47"/>
    </x:row>
    <x:row r="73">
      <x:c r="A73" s="553" t="str">
        <x:v>Stage 4 ADRs</x:v>
      </x:c>
      <x:c r="B73" s="200" t="str">
        <x:v>Stage 4 architecture decisions.</x:v>
      </x:c>
      <x:c r="C73" s="200" t="str">
        <x:v>Architecture Board</x:v>
      </x:c>
      <x:c r="D73" s="200" t="str">
        <x:v>4</x:v>
      </x:c>
      <x:c r="E73" s="200" t="str">
        <x:v>Complete draft</x:v>
      </x:c>
      <x:c r="F73" s="200" t="str">
        <x:v>Decision review pending</x:v>
      </x:c>
      <x:c r="G73" s="200" t="str">
        <x:v>Accept/condition.</x:v>
      </x:c>
      <x:c r="H73" s="554" t="str"/>
      <x:c r="I73" s="47"/>
      <x:c r="J73" s="47"/>
      <x:c r="K73" s="47"/>
      <x:c r="L73" s="47"/>
      <x:c r="M73" s="47"/>
      <x:c r="N73" s="47"/>
      <x:c r="O73" s="47"/>
      <x:c r="P73" s="47"/>
      <x:c r="Q73" s="47"/>
      <x:c r="R73" s="47"/>
      <x:c r="S73" s="47"/>
      <x:c r="T73" s="47"/>
      <x:c r="U73" s="47"/>
      <x:c r="V73" s="47"/>
      <x:c r="W73" s="47"/>
      <x:c r="X73" s="47"/>
      <x:c r="Y73" s="47"/>
      <x:c r="Z73" s="47"/>
    </x:row>
    <x:row r="74">
      <x:c r="A74" s="560" t="str">
        <x:v>Stage 4 Gate</x:v>
      </x:c>
      <x:c r="B74" s="561" t="str">
        <x:v>Stage 4 go/no-go criteria.</x:v>
      </x:c>
      <x:c r="C74" s="561" t="str">
        <x:v>CTO/CISO/DPO/Data</x:v>
      </x:c>
      <x:c r="D74" s="561" t="str">
        <x:v>4</x:v>
      </x:c>
      <x:c r="E74" s="561" t="str">
        <x:v>Complete criteria</x:v>
      </x:c>
      <x:c r="F74" s="561" t="str">
        <x:v>Decision pending</x:v>
      </x:c>
      <x:c r="G74" s="561" t="str">
        <x:v>Record gate outcome.</x:v>
      </x:c>
      <x:c r="H74" s="562" t="str"/>
      <x:c r="I74" s="47"/>
      <x:c r="J74" s="47"/>
      <x:c r="K74" s="47"/>
      <x:c r="L74" s="47"/>
      <x:c r="M74" s="47"/>
      <x:c r="N74" s="47"/>
      <x:c r="O74" s="47"/>
      <x:c r="P74" s="47"/>
      <x:c r="Q74" s="47"/>
      <x:c r="R74" s="47"/>
      <x:c r="S74" s="47"/>
      <x:c r="T74" s="47"/>
      <x:c r="U74" s="47"/>
      <x:c r="V74" s="47"/>
      <x:c r="W74" s="47"/>
      <x:c r="X74" s="47"/>
      <x:c r="Y74" s="47"/>
      <x:c r="Z74" s="47"/>
    </x:row>
    <x:row r="75">
      <x:c r="A75" s="553" t="str">
        <x:v>Stage 4 Sources</x:v>
      </x:c>
      <x:c r="B75" s="200" t="str">
        <x:v>Stage 4 source register.</x:v>
      </x:c>
      <x:c r="C75" s="200" t="str">
        <x:v>All</x:v>
      </x:c>
      <x:c r="D75" s="200" t="str">
        <x:v>4</x:v>
      </x:c>
      <x:c r="E75" s="200" t="str">
        <x:v>Complete</x:v>
      </x:c>
      <x:c r="F75" s="200" t="str">
        <x:v>N/A</x:v>
      </x:c>
      <x:c r="G75" s="200" t="str">
        <x:v>Maintain as standards change.</x:v>
      </x:c>
      <x:c r="H75" s="554" t="str"/>
      <x:c r="I75" s="47"/>
      <x:c r="J75" s="47"/>
      <x:c r="K75" s="47"/>
      <x:c r="L75" s="47"/>
      <x:c r="M75" s="47"/>
      <x:c r="N75" s="47"/>
      <x:c r="O75" s="47"/>
      <x:c r="P75" s="47"/>
      <x:c r="Q75" s="47"/>
      <x:c r="R75" s="47"/>
      <x:c r="S75" s="47"/>
      <x:c r="T75" s="47"/>
      <x:c r="U75" s="47"/>
      <x:c r="V75" s="47"/>
      <x:c r="W75" s="47"/>
      <x:c r="X75" s="47"/>
      <x:c r="Y75" s="47"/>
      <x:c r="Z75" s="47"/>
    </x:row>
    <x:row r="76">
      <x:c r="A76" s="560" t="str">
        <x:v>Capture MVP Scope</x:v>
      </x:c>
      <x:c r="B76" s="561" t="str">
        <x:v>Universal capture scope, boundaries and exclusions.</x:v>
      </x:c>
      <x:c r="C76" s="561" t="str">
        <x:v>Product/Desktop/DPO</x:v>
      </x:c>
      <x:c r="D76" s="561" t="str">
        <x:v>5</x:v>
      </x:c>
      <x:c r="E76" s="561" t="str">
        <x:v>Complete draft</x:v>
      </x:c>
      <x:c r="F76" s="561" t="str">
        <x:v>Stage 5 gate pending</x:v>
      </x:c>
      <x:c r="G76" s="561" t="str">
        <x:v>Approve scope.</x:v>
      </x:c>
      <x:c r="H76" s="562" t="str"/>
      <x:c r="I76" s="47"/>
      <x:c r="J76" s="47"/>
      <x:c r="K76" s="47"/>
      <x:c r="L76" s="47"/>
      <x:c r="M76" s="47"/>
      <x:c r="N76" s="47"/>
      <x:c r="O76" s="47"/>
      <x:c r="P76" s="47"/>
      <x:c r="Q76" s="47"/>
      <x:c r="R76" s="47"/>
      <x:c r="S76" s="47"/>
      <x:c r="T76" s="47"/>
      <x:c r="U76" s="47"/>
      <x:c r="V76" s="47"/>
      <x:c r="W76" s="47"/>
      <x:c r="X76" s="47"/>
      <x:c r="Y76" s="47"/>
      <x:c r="Z76" s="47"/>
    </x:row>
    <x:row r="77">
      <x:c r="A77" s="553" t="str">
        <x:v>Sensor Specifications</x:v>
      </x:c>
      <x:c r="B77" s="200" t="str">
        <x:v>Universal sensor data, triggers, minimisation and targets.</x:v>
      </x:c>
      <x:c r="C77" s="200" t="str">
        <x:v>Desktop/Data/QA</x:v>
      </x:c>
      <x:c r="D77" s="200" t="str">
        <x:v>5</x:v>
      </x:c>
      <x:c r="E77" s="200" t="str">
        <x:v>Complete draft</x:v>
      </x:c>
      <x:c r="F77" s="200" t="str">
        <x:v>Review pending</x:v>
      </x:c>
      <x:c r="G77" s="200" t="str">
        <x:v>Implement sensors.</x:v>
      </x:c>
      <x:c r="H77" s="554" t="str"/>
      <x:c r="I77" s="47"/>
      <x:c r="J77" s="47"/>
      <x:c r="K77" s="47"/>
      <x:c r="L77" s="47"/>
      <x:c r="M77" s="47"/>
      <x:c r="N77" s="47"/>
      <x:c r="O77" s="47"/>
      <x:c r="P77" s="47"/>
      <x:c r="Q77" s="47"/>
      <x:c r="R77" s="47"/>
      <x:c r="S77" s="47"/>
      <x:c r="T77" s="47"/>
      <x:c r="U77" s="47"/>
      <x:c r="V77" s="47"/>
      <x:c r="W77" s="47"/>
      <x:c r="X77" s="47"/>
      <x:c r="Y77" s="47"/>
      <x:c r="Z77" s="47"/>
    </x:row>
    <x:row r="78">
      <x:c r="A78" s="560" t="str">
        <x:v>Visual State Model</x:v>
      </x:c>
      <x:c r="B78" s="561" t="str">
        <x:v>Event-driven screenshot/state schema and dedup/redaction model.</x:v>
      </x:c>
      <x:c r="C78" s="561" t="str">
        <x:v>Desktop/Data/DPO</x:v>
      </x:c>
      <x:c r="D78" s="561" t="str">
        <x:v>5</x:v>
      </x:c>
      <x:c r="E78" s="561" t="str">
        <x:v>Complete draft</x:v>
      </x:c>
      <x:c r="F78" s="561" t="str">
        <x:v>Review pending</x:v>
      </x:c>
      <x:c r="G78" s="561" t="str">
        <x:v>Implement visual pipeline.</x:v>
      </x:c>
      <x:c r="H78" s="562" t="str"/>
      <x:c r="I78" s="47"/>
      <x:c r="J78" s="47"/>
      <x:c r="K78" s="47"/>
      <x:c r="L78" s="47"/>
      <x:c r="M78" s="47"/>
      <x:c r="N78" s="47"/>
      <x:c r="O78" s="47"/>
      <x:c r="P78" s="47"/>
      <x:c r="Q78" s="47"/>
      <x:c r="R78" s="47"/>
      <x:c r="S78" s="47"/>
      <x:c r="T78" s="47"/>
      <x:c r="U78" s="47"/>
      <x:c r="V78" s="47"/>
      <x:c r="W78" s="47"/>
      <x:c r="X78" s="47"/>
      <x:c r="Y78" s="47"/>
      <x:c r="Z78" s="47"/>
    </x:row>
    <x:row r="79">
      <x:c r="A79" s="553" t="str">
        <x:v>Input and Text Model</x:v>
      </x:c>
      <x:c r="B79" s="200" t="str">
        <x:v>Physical input, resulting text and artefact attribution model.</x:v>
      </x:c>
      <x:c r="C79" s="200" t="str">
        <x:v>Desktop/Data/AI/DPO</x:v>
      </x:c>
      <x:c r="D79" s="200" t="str">
        <x:v>5</x:v>
      </x:c>
      <x:c r="E79" s="200" t="str">
        <x:v>Complete draft</x:v>
      </x:c>
      <x:c r="F79" s="200" t="str">
        <x:v>Review pending</x:v>
      </x:c>
      <x:c r="G79" s="200" t="str">
        <x:v>Implement approved adapters.</x:v>
      </x:c>
      <x:c r="H79" s="554" t="str"/>
      <x:c r="I79" s="47"/>
      <x:c r="J79" s="47"/>
      <x:c r="K79" s="47"/>
      <x:c r="L79" s="47"/>
      <x:c r="M79" s="47"/>
      <x:c r="N79" s="47"/>
      <x:c r="O79" s="47"/>
      <x:c r="P79" s="47"/>
      <x:c r="Q79" s="47"/>
      <x:c r="R79" s="47"/>
      <x:c r="S79" s="47"/>
      <x:c r="T79" s="47"/>
      <x:c r="U79" s="47"/>
      <x:c r="V79" s="47"/>
      <x:c r="W79" s="47"/>
      <x:c r="X79" s="47"/>
      <x:c r="Y79" s="47"/>
      <x:c r="Z79" s="47"/>
    </x:row>
    <x:row r="80">
      <x:c r="A80" s="560" t="str">
        <x:v>Idle and Automation Model</x:v>
      </x:c>
      <x:c r="B80" s="561" t="str">
        <x:v>Context-aware active/review/automation/wait/idle states.</x:v>
      </x:c>
      <x:c r="C80" s="561" t="str">
        <x:v>AI/Product/HR</x:v>
      </x:c>
      <x:c r="D80" s="561" t="str">
        <x:v>5</x:v>
      </x:c>
      <x:c r="E80" s="561" t="str">
        <x:v>Complete draft</x:v>
      </x:c>
      <x:c r="F80" s="561" t="str">
        <x:v>Review pending</x:v>
      </x:c>
      <x:c r="G80" s="561" t="str">
        <x:v>Implement correlator.</x:v>
      </x:c>
      <x:c r="H80" s="562" t="str"/>
      <x:c r="I80" s="47"/>
      <x:c r="J80" s="47"/>
      <x:c r="K80" s="47"/>
      <x:c r="L80" s="47"/>
      <x:c r="M80" s="47"/>
      <x:c r="N80" s="47"/>
      <x:c r="O80" s="47"/>
      <x:c r="P80" s="47"/>
      <x:c r="Q80" s="47"/>
      <x:c r="R80" s="47"/>
      <x:c r="S80" s="47"/>
      <x:c r="T80" s="47"/>
      <x:c r="U80" s="47"/>
      <x:c r="V80" s="47"/>
      <x:c r="W80" s="47"/>
      <x:c r="X80" s="47"/>
      <x:c r="Y80" s="47"/>
      <x:c r="Z80" s="47"/>
    </x:row>
    <x:row r="81">
      <x:c r="A81" s="553" t="str">
        <x:v>Privacy Redaction Tests</x:v>
      </x:c>
      <x:c r="B81" s="200" t="str">
        <x:v>Secure-field, secret, exclusion and accessibility test matrix.</x:v>
      </x:c>
      <x:c r="C81" s="200" t="str">
        <x:v>CISO/DPO/QA</x:v>
      </x:c>
      <x:c r="D81" s="200" t="str">
        <x:v>5</x:v>
      </x:c>
      <x:c r="E81" s="200" t="str">
        <x:v>Complete criteria</x:v>
      </x:c>
      <x:c r="F81" s="200" t="str">
        <x:v>Execution pending</x:v>
      </x:c>
      <x:c r="G81" s="200" t="str">
        <x:v>Run pilot-blocking tests.</x:v>
      </x:c>
      <x:c r="H81" s="554" t="str"/>
      <x:c r="I81" s="47"/>
      <x:c r="J81" s="47"/>
      <x:c r="K81" s="47"/>
      <x:c r="L81" s="47"/>
      <x:c r="M81" s="47"/>
      <x:c r="N81" s="47"/>
      <x:c r="O81" s="47"/>
      <x:c r="P81" s="47"/>
      <x:c r="Q81" s="47"/>
      <x:c r="R81" s="47"/>
      <x:c r="S81" s="47"/>
      <x:c r="T81" s="47"/>
      <x:c r="U81" s="47"/>
      <x:c r="V81" s="47"/>
      <x:c r="W81" s="47"/>
      <x:c r="X81" s="47"/>
      <x:c r="Y81" s="47"/>
      <x:c r="Z81" s="47"/>
    </x:row>
    <x:row r="82">
      <x:c r="A82" s="560" t="str">
        <x:v>Supported Environment Matrix</x:v>
      </x:c>
      <x:c r="B82" s="561" t="str">
        <x:v>Windows/macOS/browser/shell/Git/tool support position.</x:v>
      </x:c>
      <x:c r="C82" s="561" t="str">
        <x:v>Desktop/IT/Product</x:v>
      </x:c>
      <x:c r="D82" s="561" t="str">
        <x:v>5</x:v>
      </x:c>
      <x:c r="E82" s="561" t="str">
        <x:v>Complete draft</x:v>
      </x:c>
      <x:c r="F82" s="561" t="str">
        <x:v>Validation pending</x:v>
      </x:c>
      <x:c r="G82" s="561" t="str">
        <x:v>Run environment matrix.</x:v>
      </x:c>
      <x:c r="H82" s="562" t="str"/>
      <x:c r="I82" s="47"/>
      <x:c r="J82" s="47"/>
      <x:c r="K82" s="47"/>
      <x:c r="L82" s="47"/>
      <x:c r="M82" s="47"/>
      <x:c r="N82" s="47"/>
      <x:c r="O82" s="47"/>
      <x:c r="P82" s="47"/>
      <x:c r="Q82" s="47"/>
      <x:c r="R82" s="47"/>
      <x:c r="S82" s="47"/>
      <x:c r="T82" s="47"/>
      <x:c r="U82" s="47"/>
      <x:c r="V82" s="47"/>
      <x:c r="W82" s="47"/>
      <x:c r="X82" s="47"/>
      <x:c r="Y82" s="47"/>
      <x:c r="Z82" s="47"/>
    </x:row>
    <x:row r="83">
      <x:c r="A83" s="553" t="str">
        <x:v>Capture Event Contracts</x:v>
      </x:c>
      <x:c r="B83" s="200" t="str">
        <x:v>Stage 5 events mapped to Stage 4 evidence contracts.</x:v>
      </x:c>
      <x:c r="C83" s="200" t="str">
        <x:v>Data/Agent/Backend</x:v>
      </x:c>
      <x:c r="D83" s="200" t="str">
        <x:v>5</x:v>
      </x:c>
      <x:c r="E83" s="200" t="str">
        <x:v>Complete draft</x:v>
      </x:c>
      <x:c r="F83" s="200" t="str">
        <x:v>Review pending</x:v>
      </x:c>
      <x:c r="G83" s="200" t="str">
        <x:v>Generate schemas/clients.</x:v>
      </x:c>
      <x:c r="H83" s="554" t="str"/>
      <x:c r="I83" s="47"/>
      <x:c r="J83" s="47"/>
      <x:c r="K83" s="47"/>
      <x:c r="L83" s="47"/>
      <x:c r="M83" s="47"/>
      <x:c r="N83" s="47"/>
      <x:c r="O83" s="47"/>
      <x:c r="P83" s="47"/>
      <x:c r="Q83" s="47"/>
      <x:c r="R83" s="47"/>
      <x:c r="S83" s="47"/>
      <x:c r="T83" s="47"/>
      <x:c r="U83" s="47"/>
      <x:c r="V83" s="47"/>
      <x:c r="W83" s="47"/>
      <x:c r="X83" s="47"/>
      <x:c r="Y83" s="47"/>
      <x:c r="Z83" s="47"/>
    </x:row>
    <x:row r="84">
      <x:c r="A84" s="560" t="str">
        <x:v>Stage 5 Backlog</x:v>
      </x:c>
      <x:c r="B84" s="561" t="str">
        <x:v>Stage 5 implementation work.</x:v>
      </x:c>
      <x:c r="C84" s="561" t="str">
        <x:v>Programme/Desktop/Integrations</x:v>
      </x:c>
      <x:c r="D84" s="561" t="str">
        <x:v>5</x:v>
      </x:c>
      <x:c r="E84" s="561" t="str">
        <x:v>Complete draft</x:v>
      </x:c>
      <x:c r="F84" s="561" t="str">
        <x:v>Resource approval pending</x:v>
      </x:c>
      <x:c r="G84" s="561" t="str">
        <x:v>Start after gate.</x:v>
      </x:c>
      <x:c r="H84" s="562" t="str"/>
      <x:c r="I84" s="47"/>
      <x:c r="J84" s="47"/>
      <x:c r="K84" s="47"/>
      <x:c r="L84" s="47"/>
      <x:c r="M84" s="47"/>
      <x:c r="N84" s="47"/>
      <x:c r="O84" s="47"/>
      <x:c r="P84" s="47"/>
      <x:c r="Q84" s="47"/>
      <x:c r="R84" s="47"/>
      <x:c r="S84" s="47"/>
      <x:c r="T84" s="47"/>
      <x:c r="U84" s="47"/>
      <x:c r="V84" s="47"/>
      <x:c r="W84" s="47"/>
      <x:c r="X84" s="47"/>
      <x:c r="Y84" s="47"/>
      <x:c r="Z84" s="47"/>
    </x:row>
    <x:row r="85">
      <x:c r="A85" s="553" t="str">
        <x:v>Stage 5 Risks</x:v>
      </x:c>
      <x:c r="B85" s="200" t="str">
        <x:v>Capture privacy, fairness, endpoint and accuracy risks.</x:v>
      </x:c>
      <x:c r="C85" s="200" t="str">
        <x:v>Governance/Product/Security</x:v>
      </x:c>
      <x:c r="D85" s="200" t="str">
        <x:v>5</x:v>
      </x:c>
      <x:c r="E85" s="200" t="str">
        <x:v>Complete draft</x:v>
      </x:c>
      <x:c r="F85" s="200" t="str">
        <x:v>Risk review pending</x:v>
      </x:c>
      <x:c r="G85" s="200" t="str">
        <x:v>Mitigate blocking risks.</x:v>
      </x:c>
      <x:c r="H85" s="554" t="str"/>
      <x:c r="I85" s="47"/>
      <x:c r="J85" s="47"/>
      <x:c r="K85" s="47"/>
      <x:c r="L85" s="47"/>
      <x:c r="M85" s="47"/>
      <x:c r="N85" s="47"/>
      <x:c r="O85" s="47"/>
      <x:c r="P85" s="47"/>
      <x:c r="Q85" s="47"/>
      <x:c r="R85" s="47"/>
      <x:c r="S85" s="47"/>
      <x:c r="T85" s="47"/>
      <x:c r="U85" s="47"/>
      <x:c r="V85" s="47"/>
      <x:c r="W85" s="47"/>
      <x:c r="X85" s="47"/>
      <x:c r="Y85" s="47"/>
      <x:c r="Z85" s="47"/>
    </x:row>
    <x:row r="86">
      <x:c r="A86" s="560" t="str">
        <x:v>Stage 5 ADRs</x:v>
      </x:c>
      <x:c r="B86" s="561" t="str">
        <x:v>Capture architecture and product decisions.</x:v>
      </x:c>
      <x:c r="C86" s="561" t="str">
        <x:v>Architecture/Product/DPO</x:v>
      </x:c>
      <x:c r="D86" s="561" t="str">
        <x:v>5</x:v>
      </x:c>
      <x:c r="E86" s="561" t="str">
        <x:v>Complete draft</x:v>
      </x:c>
      <x:c r="F86" s="561" t="str">
        <x:v>Decision review pending</x:v>
      </x:c>
      <x:c r="G86" s="561" t="str">
        <x:v>Accept/condition.</x:v>
      </x:c>
      <x:c r="H86" s="562" t="str"/>
      <x:c r="I86" s="47"/>
      <x:c r="J86" s="47"/>
      <x:c r="K86" s="47"/>
      <x:c r="L86" s="47"/>
      <x:c r="M86" s="47"/>
      <x:c r="N86" s="47"/>
      <x:c r="O86" s="47"/>
      <x:c r="P86" s="47"/>
      <x:c r="Q86" s="47"/>
      <x:c r="R86" s="47"/>
      <x:c r="S86" s="47"/>
      <x:c r="T86" s="47"/>
      <x:c r="U86" s="47"/>
      <x:c r="V86" s="47"/>
      <x:c r="W86" s="47"/>
      <x:c r="X86" s="47"/>
      <x:c r="Y86" s="47"/>
      <x:c r="Z86" s="47"/>
    </x:row>
    <x:row r="87">
      <x:c r="A87" s="553" t="str">
        <x:v>Stage 5 Gate</x:v>
      </x:c>
      <x:c r="B87" s="200" t="str">
        <x:v>Stage 5 go/no-go criteria.</x:v>
      </x:c>
      <x:c r="C87" s="200" t="str">
        <x:v>CTO/CISO/DPO/Product/HR</x:v>
      </x:c>
      <x:c r="D87" s="200" t="str">
        <x:v>5</x:v>
      </x:c>
      <x:c r="E87" s="200" t="str">
        <x:v>Complete criteria</x:v>
      </x:c>
      <x:c r="F87" s="200" t="str">
        <x:v>Decision pending</x:v>
      </x:c>
      <x:c r="G87" s="200" t="str">
        <x:v>Record gate outcome.</x:v>
      </x:c>
      <x:c r="H87" s="554" t="str"/>
      <x:c r="I87" s="47"/>
      <x:c r="J87" s="47"/>
      <x:c r="K87" s="47"/>
      <x:c r="L87" s="47"/>
      <x:c r="M87" s="47"/>
      <x:c r="N87" s="47"/>
      <x:c r="O87" s="47"/>
      <x:c r="P87" s="47"/>
      <x:c r="Q87" s="47"/>
      <x:c r="R87" s="47"/>
      <x:c r="S87" s="47"/>
      <x:c r="T87" s="47"/>
      <x:c r="U87" s="47"/>
      <x:c r="V87" s="47"/>
      <x:c r="W87" s="47"/>
      <x:c r="X87" s="47"/>
      <x:c r="Y87" s="47"/>
      <x:c r="Z87" s="47"/>
    </x:row>
    <x:row r="88">
      <x:c r="A88" s="563" t="str">
        <x:v>Stage 5 Sources</x:v>
      </x:c>
      <x:c r="B88" s="564" t="str">
        <x:v>Stage 5 source register.</x:v>
      </x:c>
      <x:c r="C88" s="564" t="str">
        <x:v>All</x:v>
      </x:c>
      <x:c r="D88" s="564" t="str">
        <x:v>5</x:v>
      </x:c>
      <x:c r="E88" s="564" t="str">
        <x:v>Complete</x:v>
      </x:c>
      <x:c r="F88" s="564" t="str">
        <x:v>N/A</x:v>
      </x:c>
      <x:c r="G88" s="564" t="str">
        <x:v>Maintain as OS APIs change.</x:v>
      </x:c>
      <x:c r="H88" s="565" t="str"/>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664" t="str">
        <x:v>Stage 6-7 Dashboard</x:v>
      </x:c>
      <x:c r="B90" s="665" t="str">
        <x:v>Stage 6/7 readiness, backlog maturity, risks, sources and interpretation.</x:v>
      </x:c>
      <x:c r="C90" s="665" t="str">
        <x:v>Leadership/Programme</x:v>
      </x:c>
      <x:c r="D90" s="665" t="str">
        <x:v>6–7</x:v>
      </x:c>
      <x:c r="E90" s="665" t="str">
        <x:v>Complete</x:v>
      </x:c>
      <x:c r="F90" s="665" t="str">
        <x:v>Gates pending</x:v>
      </x:c>
      <x:c r="G90" s="665" t="str">
        <x:v>Review Stage 6 and Stage 7 gate items.</x:v>
      </x:c>
      <x:c r="H90" s="666" t="str"/>
      <x:c r="I90" s="47"/>
      <x:c r="J90" s="47"/>
      <x:c r="K90" s="47"/>
      <x:c r="L90" s="47"/>
      <x:c r="M90" s="47"/>
      <x:c r="N90" s="47"/>
      <x:c r="O90" s="47"/>
      <x:c r="P90" s="47"/>
      <x:c r="Q90" s="47"/>
      <x:c r="R90" s="47"/>
      <x:c r="S90" s="47"/>
      <x:c r="T90" s="47"/>
      <x:c r="U90" s="47"/>
      <x:c r="V90" s="47"/>
      <x:c r="W90" s="47"/>
      <x:c r="X90" s="47"/>
      <x:c r="Y90" s="47"/>
      <x:c r="Z90" s="47"/>
    </x:row>
    <x:row r="91">
      <x:c r="A91" s="673" t="str">
        <x:v>Semantic Adapter Architecture</x:v>
      </x:c>
      <x:c r="B91" s="674" t="str">
        <x:v>Adapter Hub architecture and provider-neutral semantic event layer.</x:v>
      </x:c>
      <x:c r="C91" s="674" t="str">
        <x:v>Architecture/Integrations/Security</x:v>
      </x:c>
      <x:c r="D91" s="674" t="str">
        <x:v>6</x:v>
      </x:c>
      <x:c r="E91" s="674" t="str">
        <x:v>Complete draft</x:v>
      </x:c>
      <x:c r="F91" s="674" t="str">
        <x:v>Stage 6 gate pending</x:v>
      </x:c>
      <x:c r="G91" s="674" t="str">
        <x:v>Implement adapter hub after approval.</x:v>
      </x:c>
      <x:c r="H91" s="675" t="str"/>
      <x:c r="I91" s="47"/>
      <x:c r="J91" s="47"/>
      <x:c r="K91" s="47"/>
      <x:c r="L91" s="47"/>
      <x:c r="M91" s="47"/>
      <x:c r="N91" s="47"/>
      <x:c r="O91" s="47"/>
      <x:c r="P91" s="47"/>
      <x:c r="Q91" s="47"/>
      <x:c r="R91" s="47"/>
      <x:c r="S91" s="47"/>
      <x:c r="T91" s="47"/>
      <x:c r="U91" s="47"/>
      <x:c r="V91" s="47"/>
      <x:c r="W91" s="47"/>
      <x:c r="X91" s="47"/>
      <x:c r="Y91" s="47"/>
      <x:c r="Z91" s="47"/>
    </x:row>
    <x:row r="92">
      <x:c r="A92" s="667" t="str">
        <x:v>Adapter SDK Contract</x:v>
      </x:c>
      <x:c r="B92" s="200" t="str">
        <x:v>Adapter manifest, capability, health, lineage and content-policy contract.</x:v>
      </x:c>
      <x:c r="C92" s="200" t="str">
        <x:v>Adapter Platform/Desktop</x:v>
      </x:c>
      <x:c r="D92" s="200" t="str">
        <x:v>6</x:v>
      </x:c>
      <x:c r="E92" s="200" t="str">
        <x:v>Complete draft</x:v>
      </x:c>
      <x:c r="F92" s="200" t="str">
        <x:v>Review pending</x:v>
      </x:c>
      <x:c r="G92" s="200" t="str">
        <x:v>Publish schema/SDK.</x:v>
      </x:c>
      <x:c r="H92" s="668" t="str"/>
      <x:c r="I92" s="47"/>
      <x:c r="J92" s="47"/>
      <x:c r="K92" s="47"/>
      <x:c r="L92" s="47"/>
      <x:c r="M92" s="47"/>
      <x:c r="N92" s="47"/>
      <x:c r="O92" s="47"/>
      <x:c r="P92" s="47"/>
      <x:c r="Q92" s="47"/>
      <x:c r="R92" s="47"/>
      <x:c r="S92" s="47"/>
      <x:c r="T92" s="47"/>
      <x:c r="U92" s="47"/>
      <x:c r="V92" s="47"/>
      <x:c r="W92" s="47"/>
      <x:c r="X92" s="47"/>
      <x:c r="Y92" s="47"/>
      <x:c r="Z92" s="47"/>
    </x:row>
    <x:row r="93">
      <x:c r="A93" s="673" t="str">
        <x:v>Provider Event Matrix</x:v>
      </x:c>
      <x:c r="B93" s="674" t="str">
        <x:v>Tool/provider event coverage and source mechanisms.</x:v>
      </x:c>
      <x:c r="C93" s="674" t="str">
        <x:v>Integrations/Product</x:v>
      </x:c>
      <x:c r="D93" s="674" t="str">
        <x:v>6</x:v>
      </x:c>
      <x:c r="E93" s="674" t="str">
        <x:v>Complete draft</x:v>
      </x:c>
      <x:c r="F93" s="674" t="str">
        <x:v>Review pending</x:v>
      </x:c>
      <x:c r="G93" s="674" t="str">
        <x:v>Validate provider coverage.</x:v>
      </x:c>
      <x:c r="H93" s="675" t="str"/>
      <x:c r="I93" s="47"/>
      <x:c r="J93" s="47"/>
      <x:c r="K93" s="47"/>
      <x:c r="L93" s="47"/>
      <x:c r="M93" s="47"/>
      <x:c r="N93" s="47"/>
      <x:c r="O93" s="47"/>
      <x:c r="P93" s="47"/>
      <x:c r="Q93" s="47"/>
      <x:c r="R93" s="47"/>
      <x:c r="S93" s="47"/>
      <x:c r="T93" s="47"/>
      <x:c r="U93" s="47"/>
      <x:c r="V93" s="47"/>
      <x:c r="W93" s="47"/>
      <x:c r="X93" s="47"/>
      <x:c r="Y93" s="47"/>
      <x:c r="Z93" s="47"/>
    </x:row>
    <x:row r="94">
      <x:c r="A94" s="667" t="str">
        <x:v>Browser Adapter</x:v>
      </x:c>
      <x:c r="B94" s="200" t="str">
        <x:v>Chrome/Edge semantic browser adapter.</x:v>
      </x:c>
      <x:c r="C94" s="200" t="str">
        <x:v>Browser/Desktop/DPO</x:v>
      </x:c>
      <x:c r="D94" s="200" t="str">
        <x:v>6</x:v>
      </x:c>
      <x:c r="E94" s="200" t="str">
        <x:v>Complete draft</x:v>
      </x:c>
      <x:c r="F94" s="200" t="str">
        <x:v>Review pending</x:v>
      </x:c>
      <x:c r="G94" s="200" t="str">
        <x:v>Build extension adapter.</x:v>
      </x:c>
      <x:c r="H94" s="668" t="str"/>
      <x:c r="I94" s="47"/>
      <x:c r="J94" s="47"/>
      <x:c r="K94" s="47"/>
      <x:c r="L94" s="47"/>
      <x:c r="M94" s="47"/>
      <x:c r="N94" s="47"/>
      <x:c r="O94" s="47"/>
      <x:c r="P94" s="47"/>
      <x:c r="Q94" s="47"/>
      <x:c r="R94" s="47"/>
      <x:c r="S94" s="47"/>
      <x:c r="T94" s="47"/>
      <x:c r="U94" s="47"/>
      <x:c r="V94" s="47"/>
      <x:c r="W94" s="47"/>
      <x:c r="X94" s="47"/>
      <x:c r="Y94" s="47"/>
      <x:c r="Z94" s="47"/>
    </x:row>
    <x:row r="95">
      <x:c r="A95" s="673" t="str">
        <x:v>Shell and Process Adapter</x:v>
      </x:c>
      <x:c r="B95" s="674" t="str">
        <x:v>PowerShell/bash/zsh command/process semantics.</x:v>
      </x:c>
      <x:c r="C95" s="674" t="str">
        <x:v>Shell/Desktop/Security</x:v>
      </x:c>
      <x:c r="D95" s="674" t="str">
        <x:v>6</x:v>
      </x:c>
      <x:c r="E95" s="674" t="str">
        <x:v>Complete draft</x:v>
      </x:c>
      <x:c r="F95" s="674" t="str">
        <x:v>Review pending</x:v>
      </x:c>
      <x:c r="G95" s="674" t="str">
        <x:v>Implement shell adapter.</x:v>
      </x:c>
      <x:c r="H95" s="675" t="str"/>
      <x:c r="I95" s="47"/>
      <x:c r="J95" s="47"/>
      <x:c r="K95" s="47"/>
      <x:c r="L95" s="47"/>
      <x:c r="M95" s="47"/>
      <x:c r="N95" s="47"/>
      <x:c r="O95" s="47"/>
      <x:c r="P95" s="47"/>
      <x:c r="Q95" s="47"/>
      <x:c r="R95" s="47"/>
      <x:c r="S95" s="47"/>
      <x:c r="T95" s="47"/>
      <x:c r="U95" s="47"/>
      <x:c r="V95" s="47"/>
      <x:c r="W95" s="47"/>
      <x:c r="X95" s="47"/>
      <x:c r="Y95" s="47"/>
      <x:c r="Z95" s="47"/>
    </x:row>
    <x:row r="96">
      <x:c r="A96" s="667" t="str">
        <x:v>Git CI and IDE Adapters</x:v>
      </x:c>
      <x:c r="B96" s="200" t="str">
        <x:v>Git, GitHub, CI, VS Code, JetBrains, Xcode, Android, Docker adapter specs.</x:v>
      </x:c>
      <x:c r="C96" s="200" t="str">
        <x:v>Dev Platform/Integrations</x:v>
      </x:c>
      <x:c r="D96" s="200" t="str">
        <x:v>6</x:v>
      </x:c>
      <x:c r="E96" s="200" t="str">
        <x:v>Complete draft</x:v>
      </x:c>
      <x:c r="F96" s="200" t="str">
        <x:v>Review pending</x:v>
      </x:c>
      <x:c r="G96" s="200" t="str">
        <x:v>Implement highest-priority adapters.</x:v>
      </x:c>
      <x:c r="H96" s="668" t="str"/>
      <x:c r="I96" s="47"/>
      <x:c r="J96" s="47"/>
      <x:c r="K96" s="47"/>
      <x:c r="L96" s="47"/>
      <x:c r="M96" s="47"/>
      <x:c r="N96" s="47"/>
      <x:c r="O96" s="47"/>
      <x:c r="P96" s="47"/>
      <x:c r="Q96" s="47"/>
      <x:c r="R96" s="47"/>
      <x:c r="S96" s="47"/>
      <x:c r="T96" s="47"/>
      <x:c r="U96" s="47"/>
      <x:c r="V96" s="47"/>
      <x:c r="W96" s="47"/>
      <x:c r="X96" s="47"/>
      <x:c r="Y96" s="47"/>
      <x:c r="Z96" s="47"/>
    </x:row>
    <x:row r="97">
      <x:c r="A97" s="673" t="str">
        <x:v>AI Agent Adapter Hub</x:v>
      </x:c>
      <x:c r="B97" s="674" t="str">
        <x:v>Codex, Claude Code and future agent event model.</x:v>
      </x:c>
      <x:c r="C97" s="674" t="str">
        <x:v>AI Platform/Security</x:v>
      </x:c>
      <x:c r="D97" s="674" t="str">
        <x:v>6</x:v>
      </x:c>
      <x:c r="E97" s="674" t="str">
        <x:v>Complete draft</x:v>
      </x:c>
      <x:c r="F97" s="674" t="str">
        <x:v>Review pending</x:v>
      </x:c>
      <x:c r="G97" s="674" t="str">
        <x:v>Implement provider hooks.</x:v>
      </x:c>
      <x:c r="H97" s="675" t="str"/>
      <x:c r="I97" s="47"/>
      <x:c r="J97" s="47"/>
      <x:c r="K97" s="47"/>
      <x:c r="L97" s="47"/>
      <x:c r="M97" s="47"/>
      <x:c r="N97" s="47"/>
      <x:c r="O97" s="47"/>
      <x:c r="P97" s="47"/>
      <x:c r="Q97" s="47"/>
      <x:c r="R97" s="47"/>
      <x:c r="S97" s="47"/>
      <x:c r="T97" s="47"/>
      <x:c r="U97" s="47"/>
      <x:c r="V97" s="47"/>
      <x:c r="W97" s="47"/>
      <x:c r="X97" s="47"/>
      <x:c r="Y97" s="47"/>
      <x:c r="Z97" s="47"/>
    </x:row>
    <x:row r="98">
      <x:c r="A98" s="667" t="str">
        <x:v>Adapter Conformance Tests</x:v>
      </x:c>
      <x:c r="B98" s="200" t="str">
        <x:v>Adapter privacy, lineage, drift, fallback and fixture tests.</x:v>
      </x:c>
      <x:c r="C98" s="200" t="str">
        <x:v>QA/Security</x:v>
      </x:c>
      <x:c r="D98" s="200" t="str">
        <x:v>6</x:v>
      </x:c>
      <x:c r="E98" s="200" t="str">
        <x:v>Complete criteria</x:v>
      </x:c>
      <x:c r="F98" s="200" t="str">
        <x:v>Execution pending</x:v>
      </x:c>
      <x:c r="G98" s="200" t="str">
        <x:v>Build test harness.</x:v>
      </x:c>
      <x:c r="H98" s="668" t="str"/>
      <x:c r="I98" s="47"/>
      <x:c r="J98" s="47"/>
      <x:c r="K98" s="47"/>
      <x:c r="L98" s="47"/>
      <x:c r="M98" s="47"/>
      <x:c r="N98" s="47"/>
      <x:c r="O98" s="47"/>
      <x:c r="P98" s="47"/>
      <x:c r="Q98" s="47"/>
      <x:c r="R98" s="47"/>
      <x:c r="S98" s="47"/>
      <x:c r="T98" s="47"/>
      <x:c r="U98" s="47"/>
      <x:c r="V98" s="47"/>
      <x:c r="W98" s="47"/>
      <x:c r="X98" s="47"/>
      <x:c r="Y98" s="47"/>
      <x:c r="Z98" s="47"/>
    </x:row>
    <x:row r="99">
      <x:c r="A99" s="673" t="str">
        <x:v>Provenance Graph Model</x:v>
      </x:c>
      <x:c r="B99" s="674" t="str">
        <x:v>Actor, input, agent, tool, process, artefact and task graph nodes.</x:v>
      </x:c>
      <x:c r="C99" s="674" t="str">
        <x:v>Data/AI/Backend</x:v>
      </x:c>
      <x:c r="D99" s="674" t="str">
        <x:v>7</x:v>
      </x:c>
      <x:c r="E99" s="674" t="str">
        <x:v>Complete draft</x:v>
      </x:c>
      <x:c r="F99" s="674" t="str">
        <x:v>Stage 7 gate pending</x:v>
      </x:c>
      <x:c r="G99" s="674" t="str">
        <x:v>Implement graph schema.</x:v>
      </x:c>
      <x:c r="H99" s="675" t="str"/>
      <x:c r="I99" s="47"/>
      <x:c r="J99" s="47"/>
      <x:c r="K99" s="47"/>
      <x:c r="L99" s="47"/>
      <x:c r="M99" s="47"/>
      <x:c r="N99" s="47"/>
      <x:c r="O99" s="47"/>
      <x:c r="P99" s="47"/>
      <x:c r="Q99" s="47"/>
      <x:c r="R99" s="47"/>
      <x:c r="S99" s="47"/>
      <x:c r="T99" s="47"/>
      <x:c r="U99" s="47"/>
      <x:c r="V99" s="47"/>
      <x:c r="W99" s="47"/>
      <x:c r="X99" s="47"/>
      <x:c r="Y99" s="47"/>
      <x:c r="Z99" s="47"/>
    </x:row>
    <x:row r="100">
      <x:c r="A100" s="667" t="str">
        <x:v>Provenance Relationship Rules</x:v>
      </x:c>
      <x:c r="B100" s="200" t="str">
        <x:v>Canonical provenance edge types and evidence rules.</x:v>
      </x:c>
      <x:c r="C100" s="200" t="str">
        <x:v>Data/AI</x:v>
      </x:c>
      <x:c r="D100" s="200" t="str">
        <x:v>7</x:v>
      </x:c>
      <x:c r="E100" s="200" t="str">
        <x:v>Complete draft</x:v>
      </x:c>
      <x:c r="F100" s="200" t="str">
        <x:v>Review pending</x:v>
      </x:c>
      <x:c r="G100" s="200" t="str">
        <x:v>Implement correlation rules.</x:v>
      </x:c>
      <x:c r="H100" s="668" t="str"/>
      <x:c r="I100" s="47"/>
      <x:c r="J100" s="47"/>
      <x:c r="K100" s="47"/>
      <x:c r="L100" s="47"/>
      <x:c r="M100" s="47"/>
      <x:c r="N100" s="47"/>
      <x:c r="O100" s="47"/>
      <x:c r="P100" s="47"/>
      <x:c r="Q100" s="47"/>
      <x:c r="R100" s="47"/>
      <x:c r="S100" s="47"/>
      <x:c r="T100" s="47"/>
      <x:c r="U100" s="47"/>
      <x:c r="V100" s="47"/>
      <x:c r="W100" s="47"/>
      <x:c r="X100" s="47"/>
      <x:c r="Y100" s="47"/>
      <x:c r="Z100" s="47"/>
    </x:row>
    <x:row r="101">
      <x:c r="A101" s="673" t="str">
        <x:v>Correlation Engine</x:v>
      </x:c>
      <x:c r="B101" s="674" t="str">
        <x:v>Temporal, process, agent, file, text, visual and Git/CI correlation rules.</x:v>
      </x:c>
      <x:c r="C101" s="674" t="str">
        <x:v>Data/AI</x:v>
      </x:c>
      <x:c r="D101" s="674" t="str">
        <x:v>7</x:v>
      </x:c>
      <x:c r="E101" s="674" t="str">
        <x:v>Complete draft</x:v>
      </x:c>
      <x:c r="F101" s="674" t="str">
        <x:v>Review pending</x:v>
      </x:c>
      <x:c r="G101" s="674" t="str">
        <x:v>Build correlation engine.</x:v>
      </x:c>
      <x:c r="H101" s="675" t="str"/>
      <x:c r="I101" s="47"/>
      <x:c r="J101" s="47"/>
      <x:c r="K101" s="47"/>
      <x:c r="L101" s="47"/>
      <x:c r="M101" s="47"/>
      <x:c r="N101" s="47"/>
      <x:c r="O101" s="47"/>
      <x:c r="P101" s="47"/>
      <x:c r="Q101" s="47"/>
      <x:c r="R101" s="47"/>
      <x:c r="S101" s="47"/>
      <x:c r="T101" s="47"/>
      <x:c r="U101" s="47"/>
      <x:c r="V101" s="47"/>
      <x:c r="W101" s="47"/>
      <x:c r="X101" s="47"/>
      <x:c r="Y101" s="47"/>
      <x:c r="Z101" s="47"/>
    </x:row>
    <x:row r="102">
      <x:c r="A102" s="667" t="str">
        <x:v>Work Episode Model</x:v>
      </x:c>
      <x:c r="B102" s="200" t="str">
        <x:v>Episode segmentation classes.</x:v>
      </x:c>
      <x:c r="C102" s="200" t="str">
        <x:v>AI/Product/DPO</x:v>
      </x:c>
      <x:c r="D102" s="200" t="str">
        <x:v>7</x:v>
      </x:c>
      <x:c r="E102" s="200" t="str">
        <x:v>Complete draft</x:v>
      </x:c>
      <x:c r="F102" s="200" t="str">
        <x:v>Review pending</x:v>
      </x:c>
      <x:c r="G102" s="200" t="str">
        <x:v>Build segmenter.</x:v>
      </x:c>
      <x:c r="H102" s="668" t="str"/>
      <x:c r="I102" s="47"/>
      <x:c r="J102" s="47"/>
      <x:c r="K102" s="47"/>
      <x:c r="L102" s="47"/>
      <x:c r="M102" s="47"/>
      <x:c r="N102" s="47"/>
      <x:c r="O102" s="47"/>
      <x:c r="P102" s="47"/>
      <x:c r="Q102" s="47"/>
      <x:c r="R102" s="47"/>
      <x:c r="S102" s="47"/>
      <x:c r="T102" s="47"/>
      <x:c r="U102" s="47"/>
      <x:c r="V102" s="47"/>
      <x:c r="W102" s="47"/>
      <x:c r="X102" s="47"/>
      <x:c r="Y102" s="47"/>
      <x:c r="Z102" s="47"/>
    </x:row>
    <x:row r="103">
      <x:c r="A103" s="673" t="str">
        <x:v>Task Alignment Model</x:v>
      </x:c>
      <x:c r="B103" s="674" t="str">
        <x:v>ON_TASK, SUPPORTING, BLOCKED, WAIT, PRIVATE and insufficient-evidence states.</x:v>
      </x:c>
      <x:c r="C103" s="674" t="str">
        <x:v>Product/AI/HR</x:v>
      </x:c>
      <x:c r="D103" s="674" t="str">
        <x:v>7</x:v>
      </x:c>
      <x:c r="E103" s="674" t="str">
        <x:v>Complete draft</x:v>
      </x:c>
      <x:c r="F103" s="674" t="str">
        <x:v>Review pending</x:v>
      </x:c>
      <x:c r="G103" s="674" t="str">
        <x:v>Build alignment evaluator.</x:v>
      </x:c>
      <x:c r="H103" s="675" t="str"/>
      <x:c r="I103" s="47"/>
      <x:c r="J103" s="47"/>
      <x:c r="K103" s="47"/>
      <x:c r="L103" s="47"/>
      <x:c r="M103" s="47"/>
      <x:c r="N103" s="47"/>
      <x:c r="O103" s="47"/>
      <x:c r="P103" s="47"/>
      <x:c r="Q103" s="47"/>
      <x:c r="R103" s="47"/>
      <x:c r="S103" s="47"/>
      <x:c r="T103" s="47"/>
      <x:c r="U103" s="47"/>
      <x:c r="V103" s="47"/>
      <x:c r="W103" s="47"/>
      <x:c r="X103" s="47"/>
      <x:c r="Y103" s="47"/>
      <x:c r="Z103" s="47"/>
    </x:row>
    <x:row r="104">
      <x:c r="A104" s="667" t="str">
        <x:v>Acceptance Criteria Engine</x:v>
      </x:c>
      <x:c r="B104" s="200" t="str">
        <x:v>Criterion, quality gate and completion states.</x:v>
      </x:c>
      <x:c r="C104" s="200" t="str">
        <x:v>Task Assurance/Backend</x:v>
      </x:c>
      <x:c r="D104" s="200" t="str">
        <x:v>7</x:v>
      </x:c>
      <x:c r="E104" s="200" t="str">
        <x:v>Complete draft</x:v>
      </x:c>
      <x:c r="F104" s="200" t="str">
        <x:v>Review pending</x:v>
      </x:c>
      <x:c r="G104" s="200" t="str">
        <x:v>Implement criteria engine.</x:v>
      </x:c>
      <x:c r="H104" s="668" t="str"/>
      <x:c r="I104" s="47"/>
      <x:c r="J104" s="47"/>
      <x:c r="K104" s="47"/>
      <x:c r="L104" s="47"/>
      <x:c r="M104" s="47"/>
      <x:c r="N104" s="47"/>
      <x:c r="O104" s="47"/>
      <x:c r="P104" s="47"/>
      <x:c r="Q104" s="47"/>
      <x:c r="R104" s="47"/>
      <x:c r="S104" s="47"/>
      <x:c r="T104" s="47"/>
      <x:c r="U104" s="47"/>
      <x:c r="V104" s="47"/>
      <x:c r="W104" s="47"/>
      <x:c r="X104" s="47"/>
      <x:c r="Y104" s="47"/>
      <x:c r="Z104" s="47"/>
    </x:row>
    <x:row r="105">
      <x:c r="A105" s="673" t="str">
        <x:v>Quality and Blocker Model</x:v>
      </x:c>
      <x:c r="B105" s="674" t="str">
        <x:v>Blocker and quality taxonomy.</x:v>
      </x:c>
      <x:c r="C105" s="674" t="str">
        <x:v>Product/HR/AI</x:v>
      </x:c>
      <x:c r="D105" s="674" t="str">
        <x:v>7</x:v>
      </x:c>
      <x:c r="E105" s="674" t="str">
        <x:v>Complete draft</x:v>
      </x:c>
      <x:c r="F105" s="674" t="str">
        <x:v>Review pending</x:v>
      </x:c>
      <x:c r="G105" s="674" t="str">
        <x:v>Implement blocker model.</x:v>
      </x:c>
      <x:c r="H105" s="675" t="str"/>
      <x:c r="I105" s="47"/>
      <x:c r="J105" s="47"/>
      <x:c r="K105" s="47"/>
      <x:c r="L105" s="47"/>
      <x:c r="M105" s="47"/>
      <x:c r="N105" s="47"/>
      <x:c r="O105" s="47"/>
      <x:c r="P105" s="47"/>
      <x:c r="Q105" s="47"/>
      <x:c r="R105" s="47"/>
      <x:c r="S105" s="47"/>
      <x:c r="T105" s="47"/>
      <x:c r="U105" s="47"/>
      <x:c r="V105" s="47"/>
      <x:c r="W105" s="47"/>
      <x:c r="X105" s="47"/>
      <x:c r="Y105" s="47"/>
      <x:c r="Z105" s="47"/>
    </x:row>
    <x:row r="106">
      <x:c r="A106" s="667" t="str">
        <x:v>Evaluator Architecture</x:v>
      </x:c>
      <x:c r="B106" s="200" t="str">
        <x:v>Deterministic, AI-assisted and human-reviewed evaluator separation.</x:v>
      </x:c>
      <x:c r="C106" s="200" t="str">
        <x:v>AI/Backend/Governance</x:v>
      </x:c>
      <x:c r="D106" s="200" t="str">
        <x:v>7</x:v>
      </x:c>
      <x:c r="E106" s="200" t="str">
        <x:v>Complete draft</x:v>
      </x:c>
      <x:c r="F106" s="200" t="str">
        <x:v>Review pending</x:v>
      </x:c>
      <x:c r="G106" s="200" t="str">
        <x:v>Implement evaluators.</x:v>
      </x:c>
      <x:c r="H106" s="668" t="str"/>
      <x:c r="I106" s="47"/>
      <x:c r="J106" s="47"/>
      <x:c r="K106" s="47"/>
      <x:c r="L106" s="47"/>
      <x:c r="M106" s="47"/>
      <x:c r="N106" s="47"/>
      <x:c r="O106" s="47"/>
      <x:c r="P106" s="47"/>
      <x:c r="Q106" s="47"/>
      <x:c r="R106" s="47"/>
      <x:c r="S106" s="47"/>
      <x:c r="T106" s="47"/>
      <x:c r="U106" s="47"/>
      <x:c r="V106" s="47"/>
      <x:c r="W106" s="47"/>
      <x:c r="X106" s="47"/>
      <x:c r="Y106" s="47"/>
      <x:c r="Z106" s="47"/>
    </x:row>
    <x:row r="107">
      <x:c r="A107" s="673" t="str">
        <x:v>Evaluation Dataset</x:v>
      </x:c>
      <x:c r="B107" s="674" t="str">
        <x:v>Initial labelled cases for Task Assurance.</x:v>
      </x:c>
      <x:c r="C107" s="674" t="str">
        <x:v>AI Evaluation/Domain Experts</x:v>
      </x:c>
      <x:c r="D107" s="674" t="str">
        <x:v>7</x:v>
      </x:c>
      <x:c r="E107" s="674" t="str">
        <x:v>Complete draft</x:v>
      </x:c>
      <x:c r="F107" s="674" t="str">
        <x:v>Review pending</x:v>
      </x:c>
      <x:c r="G107" s="674" t="str">
        <x:v>Create labelled dataset.</x:v>
      </x:c>
      <x:c r="H107" s="675" t="str"/>
      <x:c r="I107" s="47"/>
      <x:c r="J107" s="47"/>
      <x:c r="K107" s="47"/>
      <x:c r="L107" s="47"/>
      <x:c r="M107" s="47"/>
      <x:c r="N107" s="47"/>
      <x:c r="O107" s="47"/>
      <x:c r="P107" s="47"/>
      <x:c r="Q107" s="47"/>
      <x:c r="R107" s="47"/>
      <x:c r="S107" s="47"/>
      <x:c r="T107" s="47"/>
      <x:c r="U107" s="47"/>
      <x:c r="V107" s="47"/>
      <x:c r="W107" s="47"/>
      <x:c r="X107" s="47"/>
      <x:c r="Y107" s="47"/>
      <x:c r="Z107" s="47"/>
    </x:row>
    <x:row r="108">
      <x:c r="A108" s="667" t="str">
        <x:v>Human Review and Correction</x:v>
      </x:c>
      <x:c r="B108" s="200" t="str">
        <x:v>Finding packages, correction, dispute, appeal and assessment versioning.</x:v>
      </x:c>
      <x:c r="C108" s="200" t="str">
        <x:v>Governance/HR/DPO</x:v>
      </x:c>
      <x:c r="D108" s="200" t="str">
        <x:v>7</x:v>
      </x:c>
      <x:c r="E108" s="200" t="str">
        <x:v>Complete draft</x:v>
      </x:c>
      <x:c r="F108" s="200" t="str">
        <x:v>Review pending</x:v>
      </x:c>
      <x:c r="G108" s="200" t="str">
        <x:v>Implement review workflow.</x:v>
      </x:c>
      <x:c r="H108" s="668" t="str"/>
      <x:c r="I108" s="47"/>
      <x:c r="J108" s="47"/>
      <x:c r="K108" s="47"/>
      <x:c r="L108" s="47"/>
      <x:c r="M108" s="47"/>
      <x:c r="N108" s="47"/>
      <x:c r="O108" s="47"/>
      <x:c r="P108" s="47"/>
      <x:c r="Q108" s="47"/>
      <x:c r="R108" s="47"/>
      <x:c r="S108" s="47"/>
      <x:c r="T108" s="47"/>
      <x:c r="U108" s="47"/>
      <x:c r="V108" s="47"/>
      <x:c r="W108" s="47"/>
      <x:c r="X108" s="47"/>
      <x:c r="Y108" s="47"/>
      <x:c r="Z108" s="47"/>
    </x:row>
    <x:row r="109">
      <x:c r="A109" s="673" t="str">
        <x:v>Stage 6-7 APIs and Events</x:v>
      </x:c>
      <x:c r="B109" s="674" t="str">
        <x:v>Adapter, provenance, episode, assessment, correction and review contracts.</x:v>
      </x:c>
      <x:c r="C109" s="674" t="str">
        <x:v>Backend/Data</x:v>
      </x:c>
      <x:c r="D109" s="674" t="str">
        <x:v>6–7</x:v>
      </x:c>
      <x:c r="E109" s="674" t="str">
        <x:v>Complete draft</x:v>
      </x:c>
      <x:c r="F109" s="674" t="str">
        <x:v>Review pending</x:v>
      </x:c>
      <x:c r="G109" s="674" t="str">
        <x:v>Generate OpenAPI/schema files.</x:v>
      </x:c>
      <x:c r="H109" s="675" t="str"/>
      <x:c r="I109" s="47"/>
      <x:c r="J109" s="47"/>
      <x:c r="K109" s="47"/>
      <x:c r="L109" s="47"/>
      <x:c r="M109" s="47"/>
      <x:c r="N109" s="47"/>
      <x:c r="O109" s="47"/>
      <x:c r="P109" s="47"/>
      <x:c r="Q109" s="47"/>
      <x:c r="R109" s="47"/>
      <x:c r="S109" s="47"/>
      <x:c r="T109" s="47"/>
      <x:c r="U109" s="47"/>
      <x:c r="V109" s="47"/>
      <x:c r="W109" s="47"/>
      <x:c r="X109" s="47"/>
      <x:c r="Y109" s="47"/>
      <x:c r="Z109" s="47"/>
    </x:row>
    <x:row r="110">
      <x:c r="A110" s="667" t="str">
        <x:v>Stage 6 Backlog</x:v>
      </x:c>
      <x:c r="B110" s="200" t="str">
        <x:v>Semantic adapter implementation backlog.</x:v>
      </x:c>
      <x:c r="C110" s="200" t="str">
        <x:v>Programme/Integrations</x:v>
      </x:c>
      <x:c r="D110" s="200" t="str">
        <x:v>6</x:v>
      </x:c>
      <x:c r="E110" s="200" t="str">
        <x:v>Complete draft</x:v>
      </x:c>
      <x:c r="F110" s="200" t="str">
        <x:v>Resource approval pending</x:v>
      </x:c>
      <x:c r="G110" s="200" t="str">
        <x:v>Start after gate.</x:v>
      </x:c>
      <x:c r="H110" s="668" t="str"/>
      <x:c r="I110" s="47"/>
      <x:c r="J110" s="47"/>
      <x:c r="K110" s="47"/>
      <x:c r="L110" s="47"/>
      <x:c r="M110" s="47"/>
      <x:c r="N110" s="47"/>
      <x:c r="O110" s="47"/>
      <x:c r="P110" s="47"/>
      <x:c r="Q110" s="47"/>
      <x:c r="R110" s="47"/>
      <x:c r="S110" s="47"/>
      <x:c r="T110" s="47"/>
      <x:c r="U110" s="47"/>
      <x:c r="V110" s="47"/>
      <x:c r="W110" s="47"/>
      <x:c r="X110" s="47"/>
      <x:c r="Y110" s="47"/>
      <x:c r="Z110" s="47"/>
    </x:row>
    <x:row r="111">
      <x:c r="A111" s="673" t="str">
        <x:v>Stage 7 Backlog</x:v>
      </x:c>
      <x:c r="B111" s="674" t="str">
        <x:v>Provenance and Task Assurance implementation backlog.</x:v>
      </x:c>
      <x:c r="C111" s="674" t="str">
        <x:v>Programme/AI/Backend</x:v>
      </x:c>
      <x:c r="D111" s="674" t="str">
        <x:v>7</x:v>
      </x:c>
      <x:c r="E111" s="674" t="str">
        <x:v>Complete draft</x:v>
      </x:c>
      <x:c r="F111" s="674" t="str">
        <x:v>Resource approval pending</x:v>
      </x:c>
      <x:c r="G111" s="674" t="str">
        <x:v>Start after gate.</x:v>
      </x:c>
      <x:c r="H111" s="675" t="str"/>
      <x:c r="I111" s="47"/>
      <x:c r="J111" s="47"/>
      <x:c r="K111" s="47"/>
      <x:c r="L111" s="47"/>
      <x:c r="M111" s="47"/>
      <x:c r="N111" s="47"/>
      <x:c r="O111" s="47"/>
      <x:c r="P111" s="47"/>
      <x:c r="Q111" s="47"/>
      <x:c r="R111" s="47"/>
      <x:c r="S111" s="47"/>
      <x:c r="T111" s="47"/>
      <x:c r="U111" s="47"/>
      <x:c r="V111" s="47"/>
      <x:c r="W111" s="47"/>
      <x:c r="X111" s="47"/>
      <x:c r="Y111" s="47"/>
      <x:c r="Z111" s="47"/>
    </x:row>
    <x:row r="112">
      <x:c r="A112" s="667" t="str">
        <x:v>Stage 6-7 Risks</x:v>
      </x:c>
      <x:c r="B112" s="200" t="str">
        <x:v>Adapter, provenance, AI, fairness and review risks.</x:v>
      </x:c>
      <x:c r="C112" s="200" t="str">
        <x:v>Governance/Product/Security</x:v>
      </x:c>
      <x:c r="D112" s="200" t="str">
        <x:v>6–7</x:v>
      </x:c>
      <x:c r="E112" s="200" t="str">
        <x:v>Complete draft</x:v>
      </x:c>
      <x:c r="F112" s="200" t="str">
        <x:v>Risk review pending</x:v>
      </x:c>
      <x:c r="G112" s="200" t="str">
        <x:v>Mitigate blocking risks.</x:v>
      </x:c>
      <x:c r="H112" s="668" t="str"/>
      <x:c r="I112" s="47"/>
      <x:c r="J112" s="47"/>
      <x:c r="K112" s="47"/>
      <x:c r="L112" s="47"/>
      <x:c r="M112" s="47"/>
      <x:c r="N112" s="47"/>
      <x:c r="O112" s="47"/>
      <x:c r="P112" s="47"/>
      <x:c r="Q112" s="47"/>
      <x:c r="R112" s="47"/>
      <x:c r="S112" s="47"/>
      <x:c r="T112" s="47"/>
      <x:c r="U112" s="47"/>
      <x:c r="V112" s="47"/>
      <x:c r="W112" s="47"/>
      <x:c r="X112" s="47"/>
      <x:c r="Y112" s="47"/>
      <x:c r="Z112" s="47"/>
    </x:row>
    <x:row r="113">
      <x:c r="A113" s="673" t="str">
        <x:v>Stage 6-7 ADRs</x:v>
      </x:c>
      <x:c r="B113" s="674" t="str">
        <x:v>Architecture/product decisions for adapters and Task Assurance.</x:v>
      </x:c>
      <x:c r="C113" s="674" t="str">
        <x:v>Architecture Board</x:v>
      </x:c>
      <x:c r="D113" s="674" t="str">
        <x:v>6–7</x:v>
      </x:c>
      <x:c r="E113" s="674" t="str">
        <x:v>Complete draft</x:v>
      </x:c>
      <x:c r="F113" s="674" t="str">
        <x:v>Decision review pending</x:v>
      </x:c>
      <x:c r="G113" s="674" t="str">
        <x:v>Accept/condition.</x:v>
      </x:c>
      <x:c r="H113" s="675" t="str"/>
      <x:c r="I113" s="47"/>
      <x:c r="J113" s="47"/>
      <x:c r="K113" s="47"/>
      <x:c r="L113" s="47"/>
      <x:c r="M113" s="47"/>
      <x:c r="N113" s="47"/>
      <x:c r="O113" s="47"/>
      <x:c r="P113" s="47"/>
      <x:c r="Q113" s="47"/>
      <x:c r="R113" s="47"/>
      <x:c r="S113" s="47"/>
      <x:c r="T113" s="47"/>
      <x:c r="U113" s="47"/>
      <x:c r="V113" s="47"/>
      <x:c r="W113" s="47"/>
      <x:c r="X113" s="47"/>
      <x:c r="Y113" s="47"/>
      <x:c r="Z113" s="47"/>
    </x:row>
    <x:row r="114">
      <x:c r="A114" s="667" t="str">
        <x:v>Stage 6 Gate</x:v>
      </x:c>
      <x:c r="B114" s="200" t="str">
        <x:v>Stage 6 semantic-adapter go/no-go criteria.</x:v>
      </x:c>
      <x:c r="C114" s="200" t="str">
        <x:v>CTO/CISO/DPO/Product</x:v>
      </x:c>
      <x:c r="D114" s="200" t="str">
        <x:v>6</x:v>
      </x:c>
      <x:c r="E114" s="200" t="str">
        <x:v>Complete criteria</x:v>
      </x:c>
      <x:c r="F114" s="200" t="str">
        <x:v>Decision pending</x:v>
      </x:c>
      <x:c r="G114" s="200" t="str">
        <x:v>Record gate outcome.</x:v>
      </x:c>
      <x:c r="H114" s="668" t="str"/>
      <x:c r="I114" s="47"/>
      <x:c r="J114" s="47"/>
      <x:c r="K114" s="47"/>
      <x:c r="L114" s="47"/>
      <x:c r="M114" s="47"/>
      <x:c r="N114" s="47"/>
      <x:c r="O114" s="47"/>
      <x:c r="P114" s="47"/>
      <x:c r="Q114" s="47"/>
      <x:c r="R114" s="47"/>
      <x:c r="S114" s="47"/>
      <x:c r="T114" s="47"/>
      <x:c r="U114" s="47"/>
      <x:c r="V114" s="47"/>
      <x:c r="W114" s="47"/>
      <x:c r="X114" s="47"/>
      <x:c r="Y114" s="47"/>
      <x:c r="Z114" s="47"/>
    </x:row>
    <x:row r="115">
      <x:c r="A115" s="673" t="str">
        <x:v>Stage 7 Gate</x:v>
      </x:c>
      <x:c r="B115" s="674" t="str">
        <x:v>Stage 7 Task Assurance go/no-go criteria.</x:v>
      </x:c>
      <x:c r="C115" s="674" t="str">
        <x:v>CTO/DPO/HR/Product</x:v>
      </x:c>
      <x:c r="D115" s="674" t="str">
        <x:v>7</x:v>
      </x:c>
      <x:c r="E115" s="674" t="str">
        <x:v>Complete criteria</x:v>
      </x:c>
      <x:c r="F115" s="674" t="str">
        <x:v>Decision pending</x:v>
      </x:c>
      <x:c r="G115" s="674" t="str">
        <x:v>Record gate outcome.</x:v>
      </x:c>
      <x:c r="H115" s="675" t="str"/>
      <x:c r="I115" s="47"/>
      <x:c r="J115" s="47"/>
      <x:c r="K115" s="47"/>
      <x:c r="L115" s="47"/>
      <x:c r="M115" s="47"/>
      <x:c r="N115" s="47"/>
      <x:c r="O115" s="47"/>
      <x:c r="P115" s="47"/>
      <x:c r="Q115" s="47"/>
      <x:c r="R115" s="47"/>
      <x:c r="S115" s="47"/>
      <x:c r="T115" s="47"/>
      <x:c r="U115" s="47"/>
      <x:c r="V115" s="47"/>
      <x:c r="W115" s="47"/>
      <x:c r="X115" s="47"/>
      <x:c r="Y115" s="47"/>
      <x:c r="Z115" s="47"/>
    </x:row>
    <x:row r="116">
      <x:c r="A116" s="669" t="str">
        <x:v>Stage 6-7 Sources</x:v>
      </x:c>
      <x:c r="B116" s="670" t="str">
        <x:v>Stage 6/7 source register.</x:v>
      </x:c>
      <x:c r="C116" s="670" t="str">
        <x:v>All</x:v>
      </x:c>
      <x:c r="D116" s="670" t="str">
        <x:v>6–7</x:v>
      </x:c>
      <x:c r="E116" s="670" t="str">
        <x:v>Complete</x:v>
      </x:c>
      <x:c r="F116" s="670" t="str">
        <x:v>N/A</x:v>
      </x:c>
      <x:c r="G116" s="670" t="str">
        <x:v>Maintain as provider docs change.</x:v>
      </x:c>
      <x:c r="H116" s="671" t="str"/>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786" t="str">
        <x:v>Stage 8-9 Dashboard</x:v>
      </x:c>
      <x:c r="B118" s="787" t="str">
        <x:v>Stage 8/9 readiness, backlog maturity, risks, source coverage and interpretation.</x:v>
      </x:c>
      <x:c r="C118" s="787" t="str">
        <x:v>Leadership/Programme</x:v>
      </x:c>
      <x:c r="D118" s="787" t="str">
        <x:v>8–9</x:v>
      </x:c>
      <x:c r="E118" s="787" t="str">
        <x:v>Complete</x:v>
      </x:c>
      <x:c r="F118" s="787" t="str">
        <x:v>Gates pending</x:v>
      </x:c>
      <x:c r="G118" s="787" t="str">
        <x:v>Review Stage 8 and Stage 9 gate items.</x:v>
      </x:c>
      <x:c r="H118" s="788" t="str"/>
      <x:c r="I118" s="47"/>
      <x:c r="J118" s="47"/>
      <x:c r="K118" s="47"/>
      <x:c r="L118" s="47"/>
      <x:c r="M118" s="47"/>
      <x:c r="N118" s="47"/>
      <x:c r="O118" s="47"/>
      <x:c r="P118" s="47"/>
      <x:c r="Q118" s="47"/>
      <x:c r="R118" s="47"/>
      <x:c r="S118" s="47"/>
      <x:c r="T118" s="47"/>
      <x:c r="U118" s="47"/>
      <x:c r="V118" s="47"/>
      <x:c r="W118" s="47"/>
      <x:c r="X118" s="47"/>
      <x:c r="Y118" s="47"/>
      <x:c r="Z118" s="47"/>
    </x:row>
    <x:row r="119">
      <x:c r="A119" s="800" t="str">
        <x:v>Capability Graph Architecture</x:v>
      </x:c>
      <x:c r="B119" s="801" t="str">
        <x:v>Capability catalogue, evidence, state, claims, baseline, readiness and review architecture.</x:v>
      </x:c>
      <x:c r="C119" s="801" t="str">
        <x:v>Architecture/Capability/HR/AI</x:v>
      </x:c>
      <x:c r="D119" s="801" t="str">
        <x:v>8</x:v>
      </x:c>
      <x:c r="E119" s="801" t="str">
        <x:v>Complete draft</x:v>
      </x:c>
      <x:c r="F119" s="801" t="str">
        <x:v>Stage 8 gate pending</x:v>
      </x:c>
      <x:c r="G119" s="801" t="str">
        <x:v>Implement after approval.</x:v>
      </x:c>
      <x:c r="H119" s="802" t="str"/>
      <x:c r="I119" s="47"/>
      <x:c r="J119" s="47"/>
      <x:c r="K119" s="47"/>
      <x:c r="L119" s="47"/>
      <x:c r="M119" s="47"/>
      <x:c r="N119" s="47"/>
      <x:c r="O119" s="47"/>
      <x:c r="P119" s="47"/>
      <x:c r="Q119" s="47"/>
      <x:c r="R119" s="47"/>
      <x:c r="S119" s="47"/>
      <x:c r="T119" s="47"/>
      <x:c r="U119" s="47"/>
      <x:c r="V119" s="47"/>
      <x:c r="W119" s="47"/>
      <x:c r="X119" s="47"/>
      <x:c r="Y119" s="47"/>
      <x:c r="Z119" s="47"/>
    </x:row>
    <x:row r="120">
      <x:c r="A120" s="789" t="str">
        <x:v>Capability Evidence Model</x:v>
      </x:c>
      <x:c r="B120" s="200" t="str">
        <x:v>Qualified evidence fields, context, dimensions, blockers, review and lineage.</x:v>
      </x:c>
      <x:c r="C120" s="200" t="str">
        <x:v>Capability/Data/DPO</x:v>
      </x:c>
      <x:c r="D120" s="200" t="str">
        <x:v>8</x:v>
      </x:c>
      <x:c r="E120" s="200" t="str">
        <x:v>Complete draft</x:v>
      </x:c>
      <x:c r="F120" s="200" t="str">
        <x:v>Review pending</x:v>
      </x:c>
      <x:c r="G120" s="200" t="str">
        <x:v>Generate schemas and implementation.</x:v>
      </x:c>
      <x:c r="H120" s="790" t="str"/>
      <x:c r="I120" s="47"/>
      <x:c r="J120" s="47"/>
      <x:c r="K120" s="47"/>
      <x:c r="L120" s="47"/>
      <x:c r="M120" s="47"/>
      <x:c r="N120" s="47"/>
      <x:c r="O120" s="47"/>
      <x:c r="P120" s="47"/>
      <x:c r="Q120" s="47"/>
      <x:c r="R120" s="47"/>
      <x:c r="S120" s="47"/>
      <x:c r="T120" s="47"/>
      <x:c r="U120" s="47"/>
      <x:c r="V120" s="47"/>
      <x:c r="W120" s="47"/>
      <x:c r="X120" s="47"/>
      <x:c r="Y120" s="47"/>
      <x:c r="Z120" s="47"/>
    </x:row>
    <x:row r="121">
      <x:c r="A121" s="800" t="str">
        <x:v>Capability Scoring Model</x:v>
      </x:c>
      <x:c r="B121" s="801" t="str">
        <x:v>Multidimensional scoring, confidence, recency, consistency and state-transition rules.</x:v>
      </x:c>
      <x:c r="C121" s="801" t="str">
        <x:v>AI/Capability/HR</x:v>
      </x:c>
      <x:c r="D121" s="801" t="str">
        <x:v>8</x:v>
      </x:c>
      <x:c r="E121" s="801" t="str">
        <x:v>Complete draft</x:v>
      </x:c>
      <x:c r="F121" s="801" t="str">
        <x:v>Calibration/review pending</x:v>
      </x:c>
      <x:c r="G121" s="801" t="str">
        <x:v>Build scoring recommender.</x:v>
      </x:c>
      <x:c r="H121" s="802" t="str"/>
      <x:c r="I121" s="47"/>
      <x:c r="J121" s="47"/>
      <x:c r="K121" s="47"/>
      <x:c r="L121" s="47"/>
      <x:c r="M121" s="47"/>
      <x:c r="N121" s="47"/>
      <x:c r="O121" s="47"/>
      <x:c r="P121" s="47"/>
      <x:c r="Q121" s="47"/>
      <x:c r="R121" s="47"/>
      <x:c r="S121" s="47"/>
      <x:c r="T121" s="47"/>
      <x:c r="U121" s="47"/>
      <x:c r="V121" s="47"/>
      <x:c r="W121" s="47"/>
      <x:c r="X121" s="47"/>
      <x:c r="Y121" s="47"/>
      <x:c r="Z121" s="47"/>
    </x:row>
    <x:row r="122">
      <x:c r="A122" s="789" t="str">
        <x:v>Claim Discrepancy Workflow</x:v>
      </x:c>
      <x:c r="B122" s="200" t="str">
        <x:v>Neutral claim-evidence reconciliation, review, reassessment and appeal.</x:v>
      </x:c>
      <x:c r="C122" s="200" t="str">
        <x:v>HR/Capability/DPO</x:v>
      </x:c>
      <x:c r="D122" s="200" t="str">
        <x:v>8</x:v>
      </x:c>
      <x:c r="E122" s="200" t="str">
        <x:v>Complete draft</x:v>
      </x:c>
      <x:c r="F122" s="200" t="str">
        <x:v>Review pending</x:v>
      </x:c>
      <x:c r="G122" s="200" t="str">
        <x:v>Implement workflow.</x:v>
      </x:c>
      <x:c r="H122" s="790" t="str"/>
      <x:c r="I122" s="47"/>
      <x:c r="J122" s="47"/>
      <x:c r="K122" s="47"/>
      <x:c r="L122" s="47"/>
      <x:c r="M122" s="47"/>
      <x:c r="N122" s="47"/>
      <x:c r="O122" s="47"/>
      <x:c r="P122" s="47"/>
      <x:c r="Q122" s="47"/>
      <x:c r="R122" s="47"/>
      <x:c r="S122" s="47"/>
      <x:c r="T122" s="47"/>
      <x:c r="U122" s="47"/>
      <x:c r="V122" s="47"/>
      <x:c r="W122" s="47"/>
      <x:c r="X122" s="47"/>
      <x:c r="Y122" s="47"/>
      <x:c r="Z122" s="47"/>
    </x:row>
    <x:row r="123">
      <x:c r="A123" s="800" t="str">
        <x:v>Baseline Assessment Model</x:v>
      </x:c>
      <x:c r="B123" s="801" t="str">
        <x:v>Self-assessment, diagnostics, simulations, live tasks, AI supervision and review.</x:v>
      </x:c>
      <x:c r="C123" s="801" t="str">
        <x:v>HR/L&amp;D/Capability</x:v>
      </x:c>
      <x:c r="D123" s="801" t="str">
        <x:v>8</x:v>
      </x:c>
      <x:c r="E123" s="801" t="str">
        <x:v>Complete draft</x:v>
      </x:c>
      <x:c r="F123" s="801" t="str">
        <x:v>Review pending</x:v>
      </x:c>
      <x:c r="G123" s="801" t="str">
        <x:v>Implement assessment orchestration.</x:v>
      </x:c>
      <x:c r="H123" s="802" t="str"/>
      <x:c r="I123" s="47"/>
      <x:c r="J123" s="47"/>
      <x:c r="K123" s="47"/>
      <x:c r="L123" s="47"/>
      <x:c r="M123" s="47"/>
      <x:c r="N123" s="47"/>
      <x:c r="O123" s="47"/>
      <x:c r="P123" s="47"/>
      <x:c r="Q123" s="47"/>
      <x:c r="R123" s="47"/>
      <x:c r="S123" s="47"/>
      <x:c r="T123" s="47"/>
      <x:c r="U123" s="47"/>
      <x:c r="V123" s="47"/>
      <x:c r="W123" s="47"/>
      <x:c r="X123" s="47"/>
      <x:c r="Y123" s="47"/>
      <x:c r="Z123" s="47"/>
    </x:row>
    <x:row r="124">
      <x:c r="A124" s="789" t="str">
        <x:v>Role Readiness Model</x:v>
      </x:c>
      <x:c r="B124" s="200" t="str">
        <x:v>Critical floors, coverage, confidence, freshness, support and advisory readiness states.</x:v>
      </x:c>
      <x:c r="C124" s="200" t="str">
        <x:v>Capability/HR/Product</x:v>
      </x:c>
      <x:c r="D124" s="200" t="str">
        <x:v>8</x:v>
      </x:c>
      <x:c r="E124" s="200" t="str">
        <x:v>Complete draft</x:v>
      </x:c>
      <x:c r="F124" s="200" t="str">
        <x:v>Review pending</x:v>
      </x:c>
      <x:c r="G124" s="200" t="str">
        <x:v>Implement readiness service.</x:v>
      </x:c>
      <x:c r="H124" s="790" t="str"/>
      <x:c r="I124" s="47"/>
      <x:c r="J124" s="47"/>
      <x:c r="K124" s="47"/>
      <x:c r="L124" s="47"/>
      <x:c r="M124" s="47"/>
      <x:c r="N124" s="47"/>
      <x:c r="O124" s="47"/>
      <x:c r="P124" s="47"/>
      <x:c r="Q124" s="47"/>
      <x:c r="R124" s="47"/>
      <x:c r="S124" s="47"/>
      <x:c r="T124" s="47"/>
      <x:c r="U124" s="47"/>
      <x:c r="V124" s="47"/>
      <x:c r="W124" s="47"/>
      <x:c r="X124" s="47"/>
      <x:c r="Y124" s="47"/>
      <x:c r="Z124" s="47"/>
    </x:row>
    <x:row r="125">
      <x:c r="A125" s="800" t="str">
        <x:v>Capability Review and Audit</x:v>
      </x:c>
      <x:c r="B125" s="801" t="str">
        <x:v>Employee access, correction, review, appeal, versioning, audit and retention.</x:v>
      </x:c>
      <x:c r="C125" s="801" t="str">
        <x:v>Governance/HR/DPO</x:v>
      </x:c>
      <x:c r="D125" s="801" t="str">
        <x:v>8</x:v>
      </x:c>
      <x:c r="E125" s="801" t="str">
        <x:v>Complete draft</x:v>
      </x:c>
      <x:c r="F125" s="801" t="str">
        <x:v>Review pending</x:v>
      </x:c>
      <x:c r="G125" s="801" t="str">
        <x:v>Implement review controls.</x:v>
      </x:c>
      <x:c r="H125" s="802" t="str"/>
      <x:c r="I125" s="47"/>
      <x:c r="J125" s="47"/>
      <x:c r="K125" s="47"/>
      <x:c r="L125" s="47"/>
      <x:c r="M125" s="47"/>
      <x:c r="N125" s="47"/>
      <x:c r="O125" s="47"/>
      <x:c r="P125" s="47"/>
      <x:c r="Q125" s="47"/>
      <x:c r="R125" s="47"/>
      <x:c r="S125" s="47"/>
      <x:c r="T125" s="47"/>
      <x:c r="U125" s="47"/>
      <x:c r="V125" s="47"/>
      <x:c r="W125" s="47"/>
      <x:c r="X125" s="47"/>
      <x:c r="Y125" s="47"/>
      <x:c r="Z125" s="47"/>
    </x:row>
    <x:row r="126">
      <x:c r="A126" s="789" t="str">
        <x:v>Growth Coach Architecture</x:v>
      </x:c>
      <x:c r="B126" s="200" t="str">
        <x:v>Policy-controlled private coaching, learning, feedback, effectiveness and mentor handoff.</x:v>
      </x:c>
      <x:c r="C126" s="200" t="str">
        <x:v>AI/Product/L&amp;D/DPO</x:v>
      </x:c>
      <x:c r="D126" s="200" t="str">
        <x:v>9</x:v>
      </x:c>
      <x:c r="E126" s="200" t="str">
        <x:v>Complete draft</x:v>
      </x:c>
      <x:c r="F126" s="200" t="str">
        <x:v>Stage 9 gate pending</x:v>
      </x:c>
      <x:c r="G126" s="200" t="str">
        <x:v>Implement after approval.</x:v>
      </x:c>
      <x:c r="H126" s="790" t="str"/>
      <x:c r="I126" s="47"/>
      <x:c r="J126" s="47"/>
      <x:c r="K126" s="47"/>
      <x:c r="L126" s="47"/>
      <x:c r="M126" s="47"/>
      <x:c r="N126" s="47"/>
      <x:c r="O126" s="47"/>
      <x:c r="P126" s="47"/>
      <x:c r="Q126" s="47"/>
      <x:c r="R126" s="47"/>
      <x:c r="S126" s="47"/>
      <x:c r="T126" s="47"/>
      <x:c r="U126" s="47"/>
      <x:c r="V126" s="47"/>
      <x:c r="W126" s="47"/>
      <x:c r="X126" s="47"/>
      <x:c r="Y126" s="47"/>
      <x:c r="Z126" s="47"/>
    </x:row>
    <x:row r="127">
      <x:c r="A127" s="800" t="str">
        <x:v>Coaching Modes and Triggers</x:v>
      </x:c>
      <x:c r="B127" s="801" t="str">
        <x:v>Observe/Nudge/Assist/Teach/Escalate/Reflect/Practice/Mentor and evidence triggers.</x:v>
      </x:c>
      <x:c r="C127" s="801" t="str">
        <x:v>Product/L&amp;D/AI</x:v>
      </x:c>
      <x:c r="D127" s="801" t="str">
        <x:v>9</x:v>
      </x:c>
      <x:c r="E127" s="801" t="str">
        <x:v>Complete draft</x:v>
      </x:c>
      <x:c r="F127" s="801" t="str">
        <x:v>Review pending</x:v>
      </x:c>
      <x:c r="G127" s="801" t="str">
        <x:v>Implement trigger/mode logic.</x:v>
      </x:c>
      <x:c r="H127" s="802" t="str"/>
      <x:c r="I127" s="47"/>
      <x:c r="J127" s="47"/>
      <x:c r="K127" s="47"/>
      <x:c r="L127" s="47"/>
      <x:c r="M127" s="47"/>
      <x:c r="N127" s="47"/>
      <x:c r="O127" s="47"/>
      <x:c r="P127" s="47"/>
      <x:c r="Q127" s="47"/>
      <x:c r="R127" s="47"/>
      <x:c r="S127" s="47"/>
      <x:c r="T127" s="47"/>
      <x:c r="U127" s="47"/>
      <x:c r="V127" s="47"/>
      <x:c r="W127" s="47"/>
      <x:c r="X127" s="47"/>
      <x:c r="Y127" s="47"/>
      <x:c r="Z127" s="47"/>
    </x:row>
    <x:row r="128">
      <x:c r="A128" s="789" t="str">
        <x:v>Intervention Policy</x:v>
      </x:c>
      <x:c r="B128" s="200" t="str">
        <x:v>Confidence, timing, cooldown, preferences, privacy, tone and escalation controls.</x:v>
      </x:c>
      <x:c r="C128" s="200" t="str">
        <x:v>DPO/HR/Product/AI</x:v>
      </x:c>
      <x:c r="D128" s="200" t="str">
        <x:v>9</x:v>
      </x:c>
      <x:c r="E128" s="200" t="str">
        <x:v>Complete draft</x:v>
      </x:c>
      <x:c r="F128" s="200" t="str">
        <x:v>Review pending</x:v>
      </x:c>
      <x:c r="G128" s="200" t="str">
        <x:v>Implement policy engine.</x:v>
      </x:c>
      <x:c r="H128" s="790" t="str"/>
      <x:c r="I128" s="47"/>
      <x:c r="J128" s="47"/>
      <x:c r="K128" s="47"/>
      <x:c r="L128" s="47"/>
      <x:c r="M128" s="47"/>
      <x:c r="N128" s="47"/>
      <x:c r="O128" s="47"/>
      <x:c r="P128" s="47"/>
      <x:c r="Q128" s="47"/>
      <x:c r="R128" s="47"/>
      <x:c r="S128" s="47"/>
      <x:c r="T128" s="47"/>
      <x:c r="U128" s="47"/>
      <x:c r="V128" s="47"/>
      <x:c r="W128" s="47"/>
      <x:c r="X128" s="47"/>
      <x:c r="Y128" s="47"/>
      <x:c r="Z128" s="47"/>
    </x:row>
    <x:row r="129">
      <x:c r="A129" s="800" t="str">
        <x:v>Learning Loop Model</x:v>
      </x:c>
      <x:c r="B129" s="801" t="str">
        <x:v>Gap, plan, learning, practice, applied evidence, capability review and effectiveness states.</x:v>
      </x:c>
      <x:c r="C129" s="801" t="str">
        <x:v>L&amp;D/Capability/Product</x:v>
      </x:c>
      <x:c r="D129" s="801" t="str">
        <x:v>9</x:v>
      </x:c>
      <x:c r="E129" s="801" t="str">
        <x:v>Complete draft</x:v>
      </x:c>
      <x:c r="F129" s="801" t="str">
        <x:v>Review pending</x:v>
      </x:c>
      <x:c r="G129" s="801" t="str">
        <x:v>Implement learning workflow.</x:v>
      </x:c>
      <x:c r="H129" s="802" t="str"/>
      <x:c r="I129" s="47"/>
      <x:c r="J129" s="47"/>
      <x:c r="K129" s="47"/>
      <x:c r="L129" s="47"/>
      <x:c r="M129" s="47"/>
      <x:c r="N129" s="47"/>
      <x:c r="O129" s="47"/>
      <x:c r="P129" s="47"/>
      <x:c r="Q129" s="47"/>
      <x:c r="R129" s="47"/>
      <x:c r="S129" s="47"/>
      <x:c r="T129" s="47"/>
      <x:c r="U129" s="47"/>
      <x:c r="V129" s="47"/>
      <x:c r="W129" s="47"/>
      <x:c r="X129" s="47"/>
      <x:c r="Y129" s="47"/>
      <x:c r="Z129" s="47"/>
    </x:row>
    <x:row r="130">
      <x:c r="A130" s="789" t="str">
        <x:v>Learning Artefacts</x:v>
      </x:c>
      <x:c r="B130" s="200" t="str">
        <x:v>Learning/practice content catalogue and evidence rules.</x:v>
      </x:c>
      <x:c r="C130" s="200" t="str">
        <x:v>L&amp;D/Domain Experts</x:v>
      </x:c>
      <x:c r="D130" s="200" t="str">
        <x:v>9</x:v>
      </x:c>
      <x:c r="E130" s="200" t="str">
        <x:v>Complete draft</x:v>
      </x:c>
      <x:c r="F130" s="200" t="str">
        <x:v>Review pending</x:v>
      </x:c>
      <x:c r="G130" s="200" t="str">
        <x:v>Build artefact catalogue.</x:v>
      </x:c>
      <x:c r="H130" s="790" t="str"/>
      <x:c r="I130" s="47"/>
      <x:c r="J130" s="47"/>
      <x:c r="K130" s="47"/>
      <x:c r="L130" s="47"/>
      <x:c r="M130" s="47"/>
      <x:c r="N130" s="47"/>
      <x:c r="O130" s="47"/>
      <x:c r="P130" s="47"/>
      <x:c r="Q130" s="47"/>
      <x:c r="R130" s="47"/>
      <x:c r="S130" s="47"/>
      <x:c r="T130" s="47"/>
      <x:c r="U130" s="47"/>
      <x:c r="V130" s="47"/>
      <x:c r="W130" s="47"/>
      <x:c r="X130" s="47"/>
      <x:c r="Y130" s="47"/>
      <x:c r="Z130" s="47"/>
    </x:row>
    <x:row r="131">
      <x:c r="A131" s="800" t="str">
        <x:v>Coaching Effectiveness Metrics</x:v>
      </x:c>
      <x:c r="B131" s="801" t="str">
        <x:v>Usefulness, interruption, quality, applied-learning, fairness and safety metrics.</x:v>
      </x:c>
      <x:c r="C131" s="801" t="str">
        <x:v>AI Evaluation/Product/HR</x:v>
      </x:c>
      <x:c r="D131" s="801" t="str">
        <x:v>9</x:v>
      </x:c>
      <x:c r="E131" s="801" t="str">
        <x:v>Complete draft</x:v>
      </x:c>
      <x:c r="F131" s="801" t="str">
        <x:v>Target calibration pending</x:v>
      </x:c>
      <x:c r="G131" s="801" t="str">
        <x:v>Implement evaluation read model.</x:v>
      </x:c>
      <x:c r="H131" s="802" t="str"/>
      <x:c r="I131" s="47"/>
      <x:c r="J131" s="47"/>
      <x:c r="K131" s="47"/>
      <x:c r="L131" s="47"/>
      <x:c r="M131" s="47"/>
      <x:c r="N131" s="47"/>
      <x:c r="O131" s="47"/>
      <x:c r="P131" s="47"/>
      <x:c r="Q131" s="47"/>
      <x:c r="R131" s="47"/>
      <x:c r="S131" s="47"/>
      <x:c r="T131" s="47"/>
      <x:c r="U131" s="47"/>
      <x:c r="V131" s="47"/>
      <x:c r="W131" s="47"/>
      <x:c r="X131" s="47"/>
      <x:c r="Y131" s="47"/>
      <x:c r="Z131" s="47"/>
    </x:row>
    <x:row r="132">
      <x:c r="A132" s="789" t="str">
        <x:v>Manager and L&amp;D Reporting</x:v>
      </x:c>
      <x:c r="B132" s="200" t="str">
        <x:v>Purpose-limited development, readiness, learning and effectiveness reports.</x:v>
      </x:c>
      <x:c r="C132" s="200" t="str">
        <x:v>Product/HR/L&amp;D/DPO</x:v>
      </x:c>
      <x:c r="D132" s="200" t="str">
        <x:v>9</x:v>
      </x:c>
      <x:c r="E132" s="200" t="str">
        <x:v>Complete draft</x:v>
      </x:c>
      <x:c r="F132" s="200" t="str">
        <x:v>Review pending</x:v>
      </x:c>
      <x:c r="G132" s="200" t="str">
        <x:v>Implement reporting views.</x:v>
      </x:c>
      <x:c r="H132" s="790" t="str"/>
      <x:c r="I132" s="47"/>
      <x:c r="J132" s="47"/>
      <x:c r="K132" s="47"/>
      <x:c r="L132" s="47"/>
      <x:c r="M132" s="47"/>
      <x:c r="N132" s="47"/>
      <x:c r="O132" s="47"/>
      <x:c r="P132" s="47"/>
      <x:c r="Q132" s="47"/>
      <x:c r="R132" s="47"/>
      <x:c r="S132" s="47"/>
      <x:c r="T132" s="47"/>
      <x:c r="U132" s="47"/>
      <x:c r="V132" s="47"/>
      <x:c r="W132" s="47"/>
      <x:c r="X132" s="47"/>
      <x:c r="Y132" s="47"/>
      <x:c r="Z132" s="47"/>
    </x:row>
    <x:row r="133">
      <x:c r="A133" s="800" t="str">
        <x:v>Stage 8-9 APIs and Events</x:v>
      </x:c>
      <x:c r="B133" s="801" t="str">
        <x:v>Capability, claims, baseline, readiness, coaching, learning, feedback and reporting contracts.</x:v>
      </x:c>
      <x:c r="C133" s="801" t="str">
        <x:v>Backend/Data/AI</x:v>
      </x:c>
      <x:c r="D133" s="801" t="str">
        <x:v>8–9</x:v>
      </x:c>
      <x:c r="E133" s="801" t="str">
        <x:v>Complete draft</x:v>
      </x:c>
      <x:c r="F133" s="801" t="str">
        <x:v>Architecture review pending</x:v>
      </x:c>
      <x:c r="G133" s="801" t="str">
        <x:v>Generate OpenAPI/schema files.</x:v>
      </x:c>
      <x:c r="H133" s="802" t="str"/>
      <x:c r="I133" s="47"/>
      <x:c r="J133" s="47"/>
      <x:c r="K133" s="47"/>
      <x:c r="L133" s="47"/>
      <x:c r="M133" s="47"/>
      <x:c r="N133" s="47"/>
      <x:c r="O133" s="47"/>
      <x:c r="P133" s="47"/>
      <x:c r="Q133" s="47"/>
      <x:c r="R133" s="47"/>
      <x:c r="S133" s="47"/>
      <x:c r="T133" s="47"/>
      <x:c r="U133" s="47"/>
      <x:c r="V133" s="47"/>
      <x:c r="W133" s="47"/>
      <x:c r="X133" s="47"/>
      <x:c r="Y133" s="47"/>
      <x:c r="Z133" s="47"/>
    </x:row>
    <x:row r="134">
      <x:c r="A134" s="789" t="str">
        <x:v>Stage 8 Backlog</x:v>
      </x:c>
      <x:c r="B134" s="200" t="str">
        <x:v>Capability Graph and baseline implementation work.</x:v>
      </x:c>
      <x:c r="C134" s="200" t="str">
        <x:v>Programme/Capability/Backend</x:v>
      </x:c>
      <x:c r="D134" s="200" t="str">
        <x:v>8</x:v>
      </x:c>
      <x:c r="E134" s="200" t="str">
        <x:v>Complete draft</x:v>
      </x:c>
      <x:c r="F134" s="200" t="str">
        <x:v>Resource approval pending</x:v>
      </x:c>
      <x:c r="G134" s="200" t="str">
        <x:v>Start after gate.</x:v>
      </x:c>
      <x:c r="H134" s="790" t="str"/>
      <x:c r="I134" s="47"/>
      <x:c r="J134" s="47"/>
      <x:c r="K134" s="47"/>
      <x:c r="L134" s="47"/>
      <x:c r="M134" s="47"/>
      <x:c r="N134" s="47"/>
      <x:c r="O134" s="47"/>
      <x:c r="P134" s="47"/>
      <x:c r="Q134" s="47"/>
      <x:c r="R134" s="47"/>
      <x:c r="S134" s="47"/>
      <x:c r="T134" s="47"/>
      <x:c r="U134" s="47"/>
      <x:c r="V134" s="47"/>
      <x:c r="W134" s="47"/>
      <x:c r="X134" s="47"/>
      <x:c r="Y134" s="47"/>
      <x:c r="Z134" s="47"/>
    </x:row>
    <x:row r="135">
      <x:c r="A135" s="800" t="str">
        <x:v>Stage 9 Backlog</x:v>
      </x:c>
      <x:c r="B135" s="801" t="str">
        <x:v>Growth Coach and learning-loop implementation work.</x:v>
      </x:c>
      <x:c r="C135" s="801" t="str">
        <x:v>Programme/AI/L&amp;D</x:v>
      </x:c>
      <x:c r="D135" s="801" t="str">
        <x:v>9</x:v>
      </x:c>
      <x:c r="E135" s="801" t="str">
        <x:v>Complete draft</x:v>
      </x:c>
      <x:c r="F135" s="801" t="str">
        <x:v>Resource approval pending</x:v>
      </x:c>
      <x:c r="G135" s="801" t="str">
        <x:v>Start after gate.</x:v>
      </x:c>
      <x:c r="H135" s="802" t="str"/>
      <x:c r="I135" s="47"/>
      <x:c r="J135" s="47"/>
      <x:c r="K135" s="47"/>
      <x:c r="L135" s="47"/>
      <x:c r="M135" s="47"/>
      <x:c r="N135" s="47"/>
      <x:c r="O135" s="47"/>
      <x:c r="P135" s="47"/>
      <x:c r="Q135" s="47"/>
      <x:c r="R135" s="47"/>
      <x:c r="S135" s="47"/>
      <x:c r="T135" s="47"/>
      <x:c r="U135" s="47"/>
      <x:c r="V135" s="47"/>
      <x:c r="W135" s="47"/>
      <x:c r="X135" s="47"/>
      <x:c r="Y135" s="47"/>
      <x:c r="Z135" s="47"/>
    </x:row>
    <x:row r="136">
      <x:c r="A136" s="789" t="str">
        <x:v>Stage 8-9 Risks</x:v>
      </x:c>
      <x:c r="B136" s="200" t="str">
        <x:v>Capability, role-readiness, coaching, learning, privacy and fairness risks.</x:v>
      </x:c>
      <x:c r="C136" s="200" t="str">
        <x:v>Governance/Product/Security</x:v>
      </x:c>
      <x:c r="D136" s="200" t="str">
        <x:v>8–9</x:v>
      </x:c>
      <x:c r="E136" s="200" t="str">
        <x:v>Complete draft</x:v>
      </x:c>
      <x:c r="F136" s="200" t="str">
        <x:v>Risk review pending</x:v>
      </x:c>
      <x:c r="G136" s="200" t="str">
        <x:v>Mitigate blocking risks.</x:v>
      </x:c>
      <x:c r="H136" s="790" t="str"/>
      <x:c r="I136" s="47"/>
      <x:c r="J136" s="47"/>
      <x:c r="K136" s="47"/>
      <x:c r="L136" s="47"/>
      <x:c r="M136" s="47"/>
      <x:c r="N136" s="47"/>
      <x:c r="O136" s="47"/>
      <x:c r="P136" s="47"/>
      <x:c r="Q136" s="47"/>
      <x:c r="R136" s="47"/>
      <x:c r="S136" s="47"/>
      <x:c r="T136" s="47"/>
      <x:c r="U136" s="47"/>
      <x:c r="V136" s="47"/>
      <x:c r="W136" s="47"/>
      <x:c r="X136" s="47"/>
      <x:c r="Y136" s="47"/>
      <x:c r="Z136" s="47"/>
    </x:row>
    <x:row r="137">
      <x:c r="A137" s="800" t="str">
        <x:v>Stage 8-9 ADRs</x:v>
      </x:c>
      <x:c r="B137" s="801" t="str">
        <x:v>Architecture/product decisions for capability and coaching.</x:v>
      </x:c>
      <x:c r="C137" s="801" t="str">
        <x:v>Architecture Board</x:v>
      </x:c>
      <x:c r="D137" s="801" t="str">
        <x:v>8–9</x:v>
      </x:c>
      <x:c r="E137" s="801" t="str">
        <x:v>Complete draft</x:v>
      </x:c>
      <x:c r="F137" s="801" t="str">
        <x:v>Decision review pending</x:v>
      </x:c>
      <x:c r="G137" s="801" t="str">
        <x:v>Accept/condition.</x:v>
      </x:c>
      <x:c r="H137" s="802" t="str"/>
      <x:c r="I137" s="47"/>
      <x:c r="J137" s="47"/>
      <x:c r="K137" s="47"/>
      <x:c r="L137" s="47"/>
      <x:c r="M137" s="47"/>
      <x:c r="N137" s="47"/>
      <x:c r="O137" s="47"/>
      <x:c r="P137" s="47"/>
      <x:c r="Q137" s="47"/>
      <x:c r="R137" s="47"/>
      <x:c r="S137" s="47"/>
      <x:c r="T137" s="47"/>
      <x:c r="U137" s="47"/>
      <x:c r="V137" s="47"/>
      <x:c r="W137" s="47"/>
      <x:c r="X137" s="47"/>
      <x:c r="Y137" s="47"/>
      <x:c r="Z137" s="47"/>
    </x:row>
    <x:row r="138">
      <x:c r="A138" s="789" t="str">
        <x:v>Stage 8 Gate</x:v>
      </x:c>
      <x:c r="B138" s="200" t="str">
        <x:v>Stage 8 Capability Graph go/no-go criteria.</x:v>
      </x:c>
      <x:c r="C138" s="200" t="str">
        <x:v>CTO/HR/DPO/AI/Product</x:v>
      </x:c>
      <x:c r="D138" s="200" t="str">
        <x:v>8</x:v>
      </x:c>
      <x:c r="E138" s="200" t="str">
        <x:v>Complete criteria</x:v>
      </x:c>
      <x:c r="F138" s="200" t="str">
        <x:v>Decision pending</x:v>
      </x:c>
      <x:c r="G138" s="200" t="str">
        <x:v>Record gate outcome.</x:v>
      </x:c>
      <x:c r="H138" s="790" t="str"/>
      <x:c r="I138" s="47"/>
      <x:c r="J138" s="47"/>
      <x:c r="K138" s="47"/>
      <x:c r="L138" s="47"/>
      <x:c r="M138" s="47"/>
      <x:c r="N138" s="47"/>
      <x:c r="O138" s="47"/>
      <x:c r="P138" s="47"/>
      <x:c r="Q138" s="47"/>
      <x:c r="R138" s="47"/>
      <x:c r="S138" s="47"/>
      <x:c r="T138" s="47"/>
      <x:c r="U138" s="47"/>
      <x:c r="V138" s="47"/>
      <x:c r="W138" s="47"/>
      <x:c r="X138" s="47"/>
      <x:c r="Y138" s="47"/>
      <x:c r="Z138" s="47"/>
    </x:row>
    <x:row r="139">
      <x:c r="A139" s="800" t="str">
        <x:v>Stage 9 Gate</x:v>
      </x:c>
      <x:c r="B139" s="801" t="str">
        <x:v>Stage 9 Growth Coach go/no-go criteria.</x:v>
      </x:c>
      <x:c r="C139" s="801" t="str">
        <x:v>CTO/HR/L&amp;D/DPO/Product</x:v>
      </x:c>
      <x:c r="D139" s="801" t="str">
        <x:v>9</x:v>
      </x:c>
      <x:c r="E139" s="801" t="str">
        <x:v>Complete criteria</x:v>
      </x:c>
      <x:c r="F139" s="801" t="str">
        <x:v>Decision pending</x:v>
      </x:c>
      <x:c r="G139" s="801" t="str">
        <x:v>Record gate outcome.</x:v>
      </x:c>
      <x:c r="H139" s="802" t="str"/>
      <x:c r="I139" s="47"/>
      <x:c r="J139" s="47"/>
      <x:c r="K139" s="47"/>
      <x:c r="L139" s="47"/>
      <x:c r="M139" s="47"/>
      <x:c r="N139" s="47"/>
      <x:c r="O139" s="47"/>
      <x:c r="P139" s="47"/>
      <x:c r="Q139" s="47"/>
      <x:c r="R139" s="47"/>
      <x:c r="S139" s="47"/>
      <x:c r="T139" s="47"/>
      <x:c r="U139" s="47"/>
      <x:c r="V139" s="47"/>
      <x:c r="W139" s="47"/>
      <x:c r="X139" s="47"/>
      <x:c r="Y139" s="47"/>
      <x:c r="Z139" s="47"/>
    </x:row>
    <x:row r="140">
      <x:c r="A140" s="791" t="str">
        <x:v>Stage 8-9 Sources</x:v>
      </x:c>
      <x:c r="B140" s="792" t="str">
        <x:v>Stage 8/9 source register.</x:v>
      </x:c>
      <x:c r="C140" s="792" t="str">
        <x:v>All</x:v>
      </x:c>
      <x:c r="D140" s="792" t="str">
        <x:v>8–9</x:v>
      </x:c>
      <x:c r="E140" s="792" t="str">
        <x:v>Complete</x:v>
      </x:c>
      <x:c r="F140" s="792" t="str">
        <x:v>N/A</x:v>
      </x:c>
      <x:c r="G140" s="792" t="str">
        <x:v>Maintain as frameworks change.</x:v>
      </x:c>
      <x:c r="H140" s="793" t="str"/>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904" t="str">
        <x:v>Stage 10-11 Dashboard</x:v>
      </x:c>
      <x:c r="B142" s="905" t="str">
        <x:v>Stage 10/11 readiness, backlog maturity, risks, source coverage and specification counts.</x:v>
      </x:c>
      <x:c r="C142" s="905" t="str">
        <x:v>Leadership/Programme</x:v>
      </x:c>
      <x:c r="D142" s="905" t="str">
        <x:v>10–11</x:v>
      </x:c>
      <x:c r="E142" s="905" t="str">
        <x:v>Complete</x:v>
      </x:c>
      <x:c r="F142" s="905" t="str">
        <x:v>Gates pending</x:v>
      </x:c>
      <x:c r="G142" s="905" t="str">
        <x:v>Review Stage 10 and Stage 11 gate items.</x:v>
      </x:c>
      <x:c r="H142" s="906" t="str"/>
      <x:c r="I142" s="47"/>
      <x:c r="J142" s="47"/>
      <x:c r="K142" s="47"/>
      <x:c r="L142" s="47"/>
      <x:c r="M142" s="47"/>
      <x:c r="N142" s="47"/>
      <x:c r="O142" s="47"/>
      <x:c r="P142" s="47"/>
      <x:c r="Q142" s="47"/>
      <x:c r="R142" s="47"/>
      <x:c r="S142" s="47"/>
      <x:c r="T142" s="47"/>
      <x:c r="U142" s="47"/>
      <x:c r="V142" s="47"/>
      <x:c r="W142" s="47"/>
      <x:c r="X142" s="47"/>
      <x:c r="Y142" s="47"/>
      <x:c r="Z142" s="47"/>
    </x:row>
    <x:row r="143">
      <x:c r="A143" s="913" t="str">
        <x:v>Experience Architecture</x:v>
      </x:c>
      <x:c r="B143" s="914" t="str">
        <x:v>Audience BFFs/read models, accessibility, notifications, privacy, flags and degraded states.</x:v>
      </x:c>
      <x:c r="C143" s="914" t="str">
        <x:v>Architecture/Product/Frontend</x:v>
      </x:c>
      <x:c r="D143" s="914" t="str">
        <x:v>10</x:v>
      </x:c>
      <x:c r="E143" s="914" t="str">
        <x:v>Complete draft</x:v>
      </x:c>
      <x:c r="F143" s="914" t="str">
        <x:v>Stage 10 gate pending</x:v>
      </x:c>
      <x:c r="G143" s="914" t="str">
        <x:v>Implement after approval.</x:v>
      </x:c>
      <x:c r="H143" s="915" t="str"/>
      <x:c r="I143" s="47"/>
      <x:c r="J143" s="47"/>
      <x:c r="K143" s="47"/>
      <x:c r="L143" s="47"/>
      <x:c r="M143" s="47"/>
      <x:c r="N143" s="47"/>
      <x:c r="O143" s="47"/>
      <x:c r="P143" s="47"/>
      <x:c r="Q143" s="47"/>
      <x:c r="R143" s="47"/>
      <x:c r="S143" s="47"/>
      <x:c r="T143" s="47"/>
      <x:c r="U143" s="47"/>
      <x:c r="V143" s="47"/>
      <x:c r="W143" s="47"/>
      <x:c r="X143" s="47"/>
      <x:c r="Y143" s="47"/>
      <x:c r="Z143" s="47"/>
    </x:row>
    <x:row r="144">
      <x:c r="A144" s="907" t="str">
        <x:v>Employee Workspace</x:v>
      </x:c>
      <x:c r="B144" s="200" t="str">
        <x:v>Tasks, monitoring, evidence, capability, coaching, learning, reviews and privacy.</x:v>
      </x:c>
      <x:c r="C144" s="200" t="str">
        <x:v>Product/Employee Experience</x:v>
      </x:c>
      <x:c r="D144" s="200" t="str">
        <x:v>10</x:v>
      </x:c>
      <x:c r="E144" s="200" t="str">
        <x:v>Complete draft</x:v>
      </x:c>
      <x:c r="F144" s="200" t="str">
        <x:v>Review pending</x:v>
      </x:c>
      <x:c r="G144" s="200" t="str">
        <x:v>Build employee workspace.</x:v>
      </x:c>
      <x:c r="H144" s="908" t="str"/>
      <x:c r="I144" s="47"/>
      <x:c r="J144" s="47"/>
      <x:c r="K144" s="47"/>
      <x:c r="L144" s="47"/>
      <x:c r="M144" s="47"/>
      <x:c r="N144" s="47"/>
      <x:c r="O144" s="47"/>
      <x:c r="P144" s="47"/>
      <x:c r="Q144" s="47"/>
      <x:c r="R144" s="47"/>
      <x:c r="S144" s="47"/>
      <x:c r="T144" s="47"/>
      <x:c r="U144" s="47"/>
      <x:c r="V144" s="47"/>
      <x:c r="W144" s="47"/>
      <x:c r="X144" s="47"/>
      <x:c r="Y144" s="47"/>
      <x:c r="Z144" s="47"/>
    </x:row>
    <x:row r="145">
      <x:c r="A145" s="913" t="str">
        <x:v>Manager Console</x:v>
      </x:c>
      <x:c r="B145" s="914" t="str">
        <x:v>Exception-led task, blocker, quality, review and development console.</x:v>
      </x:c>
      <x:c r="C145" s="914" t="str">
        <x:v>Product/HR/Managers</x:v>
      </x:c>
      <x:c r="D145" s="914" t="str">
        <x:v>10</x:v>
      </x:c>
      <x:c r="E145" s="914" t="str">
        <x:v>Complete draft</x:v>
      </x:c>
      <x:c r="F145" s="914" t="str">
        <x:v>Review pending</x:v>
      </x:c>
      <x:c r="G145" s="914" t="str">
        <x:v>Build manager console.</x:v>
      </x:c>
      <x:c r="H145" s="915" t="str"/>
      <x:c r="I145" s="47"/>
      <x:c r="J145" s="47"/>
      <x:c r="K145" s="47"/>
      <x:c r="L145" s="47"/>
      <x:c r="M145" s="47"/>
      <x:c r="N145" s="47"/>
      <x:c r="O145" s="47"/>
      <x:c r="P145" s="47"/>
      <x:c r="Q145" s="47"/>
      <x:c r="R145" s="47"/>
      <x:c r="S145" s="47"/>
      <x:c r="T145" s="47"/>
      <x:c r="U145" s="47"/>
      <x:c r="V145" s="47"/>
      <x:c r="W145" s="47"/>
      <x:c r="X145" s="47"/>
      <x:c r="Y145" s="47"/>
      <x:c r="Z145" s="47"/>
    </x:row>
    <x:row r="146">
      <x:c r="A146" s="907" t="str">
        <x:v>Review and Governance Console</x:v>
      </x:c>
      <x:c r="B146" s="200" t="str">
        <x:v>Finding packages, human review, evidence grants, audit, retention and policy controls.</x:v>
      </x:c>
      <x:c r="C146" s="200" t="str">
        <x:v>DPO/HR/CISO/Reviewers</x:v>
      </x:c>
      <x:c r="D146" s="200" t="str">
        <x:v>10</x:v>
      </x:c>
      <x:c r="E146" s="200" t="str">
        <x:v>Complete draft</x:v>
      </x:c>
      <x:c r="F146" s="200" t="str">
        <x:v>Review pending</x:v>
      </x:c>
      <x:c r="G146" s="200" t="str">
        <x:v>Build reviewer/governance console.</x:v>
      </x:c>
      <x:c r="H146" s="908" t="str"/>
      <x:c r="I146" s="47"/>
      <x:c r="J146" s="47"/>
      <x:c r="K146" s="47"/>
      <x:c r="L146" s="47"/>
      <x:c r="M146" s="47"/>
      <x:c r="N146" s="47"/>
      <x:c r="O146" s="47"/>
      <x:c r="P146" s="47"/>
      <x:c r="Q146" s="47"/>
      <x:c r="R146" s="47"/>
      <x:c r="S146" s="47"/>
      <x:c r="T146" s="47"/>
      <x:c r="U146" s="47"/>
      <x:c r="V146" s="47"/>
      <x:c r="W146" s="47"/>
      <x:c r="X146" s="47"/>
      <x:c r="Y146" s="47"/>
      <x:c r="Z146" s="47"/>
    </x:row>
    <x:row r="147">
      <x:c r="A147" s="913" t="str">
        <x:v>Capability Character UX</x:v>
      </x:c>
      <x:c r="B147" s="914" t="str">
        <x:v>Private professional capability character and skill tree.</x:v>
      </x:c>
      <x:c r="C147" s="914" t="str">
        <x:v>Capability/Product/HR</x:v>
      </x:c>
      <x:c r="D147" s="914" t="str">
        <x:v>10</x:v>
      </x:c>
      <x:c r="E147" s="914" t="str">
        <x:v>Complete draft</x:v>
      </x:c>
      <x:c r="F147" s="914" t="str">
        <x:v>Review pending</x:v>
      </x:c>
      <x:c r="G147" s="914" t="str">
        <x:v>Build capability experience.</x:v>
      </x:c>
      <x:c r="H147" s="915" t="str"/>
      <x:c r="I147" s="47"/>
      <x:c r="J147" s="47"/>
      <x:c r="K147" s="47"/>
      <x:c r="L147" s="47"/>
      <x:c r="M147" s="47"/>
      <x:c r="N147" s="47"/>
      <x:c r="O147" s="47"/>
      <x:c r="P147" s="47"/>
      <x:c r="Q147" s="47"/>
      <x:c r="R147" s="47"/>
      <x:c r="S147" s="47"/>
      <x:c r="T147" s="47"/>
      <x:c r="U147" s="47"/>
      <x:c r="V147" s="47"/>
      <x:c r="W147" s="47"/>
      <x:c r="X147" s="47"/>
      <x:c r="Y147" s="47"/>
      <x:c r="Z147" s="47"/>
    </x:row>
    <x:row r="148">
      <x:c r="A148" s="907" t="str">
        <x:v>Evidence Timeline UX</x:v>
      </x:c>
      <x:c r="B148" s="200" t="str">
        <x:v>Semantic-first timeline, provenance, visual evidence, gaps, corrections and versions.</x:v>
      </x:c>
      <x:c r="C148" s="200" t="str">
        <x:v>Evidence/Product/Frontend</x:v>
      </x:c>
      <x:c r="D148" s="200" t="str">
        <x:v>10</x:v>
      </x:c>
      <x:c r="E148" s="200" t="str">
        <x:v>Complete draft</x:v>
      </x:c>
      <x:c r="F148" s="200" t="str">
        <x:v>Review pending</x:v>
      </x:c>
      <x:c r="G148" s="200" t="str">
        <x:v>Build timeline.</x:v>
      </x:c>
      <x:c r="H148" s="908" t="str"/>
      <x:c r="I148" s="47"/>
      <x:c r="J148" s="47"/>
      <x:c r="K148" s="47"/>
      <x:c r="L148" s="47"/>
      <x:c r="M148" s="47"/>
      <x:c r="N148" s="47"/>
      <x:c r="O148" s="47"/>
      <x:c r="P148" s="47"/>
      <x:c r="Q148" s="47"/>
      <x:c r="R148" s="47"/>
      <x:c r="S148" s="47"/>
      <x:c r="T148" s="47"/>
      <x:c r="U148" s="47"/>
      <x:c r="V148" s="47"/>
      <x:c r="W148" s="47"/>
      <x:c r="X148" s="47"/>
      <x:c r="Y148" s="47"/>
      <x:c r="Z148" s="47"/>
    </x:row>
    <x:row r="149">
      <x:c r="A149" s="913" t="str">
        <x:v>Coaching and Learning UX</x:v>
      </x:c>
      <x:c r="B149" s="914" t="str">
        <x:v>Private coaching, learning, practice, mentor and feedback experience.</x:v>
      </x:c>
      <x:c r="C149" s="914" t="str">
        <x:v>Product/L&amp;D/AI</x:v>
      </x:c>
      <x:c r="D149" s="914" t="str">
        <x:v>10</x:v>
      </x:c>
      <x:c r="E149" s="914" t="str">
        <x:v>Complete draft</x:v>
      </x:c>
      <x:c r="F149" s="914" t="str">
        <x:v>Review pending</x:v>
      </x:c>
      <x:c r="G149" s="914" t="str">
        <x:v>Build coaching/learning UX.</x:v>
      </x:c>
      <x:c r="H149" s="915" t="str"/>
      <x:c r="I149" s="47"/>
      <x:c r="J149" s="47"/>
      <x:c r="K149" s="47"/>
      <x:c r="L149" s="47"/>
      <x:c r="M149" s="47"/>
      <x:c r="N149" s="47"/>
      <x:c r="O149" s="47"/>
      <x:c r="P149" s="47"/>
      <x:c r="Q149" s="47"/>
      <x:c r="R149" s="47"/>
      <x:c r="S149" s="47"/>
      <x:c r="T149" s="47"/>
      <x:c r="U149" s="47"/>
      <x:c r="V149" s="47"/>
      <x:c r="W149" s="47"/>
      <x:c r="X149" s="47"/>
      <x:c r="Y149" s="47"/>
      <x:c r="Z149" s="47"/>
    </x:row>
    <x:row r="150">
      <x:c r="A150" s="907" t="str">
        <x:v>Notification and Interaction Model</x:v>
      </x:c>
      <x:c r="B150" s="200" t="str">
        <x:v>Notification priority, channels, timing, status and privacy/accessibility rules.</x:v>
      </x:c>
      <x:c r="C150" s="200" t="str">
        <x:v>Product/Notification/UX</x:v>
      </x:c>
      <x:c r="D150" s="200" t="str">
        <x:v>10</x:v>
      </x:c>
      <x:c r="E150" s="200" t="str">
        <x:v>Complete draft</x:v>
      </x:c>
      <x:c r="F150" s="200" t="str">
        <x:v>Review pending</x:v>
      </x:c>
      <x:c r="G150" s="200" t="str">
        <x:v>Implement notification model.</x:v>
      </x:c>
      <x:c r="H150" s="908" t="str"/>
      <x:c r="I150" s="47"/>
      <x:c r="J150" s="47"/>
      <x:c r="K150" s="47"/>
      <x:c r="L150" s="47"/>
      <x:c r="M150" s="47"/>
      <x:c r="N150" s="47"/>
      <x:c r="O150" s="47"/>
      <x:c r="P150" s="47"/>
      <x:c r="Q150" s="47"/>
      <x:c r="R150" s="47"/>
      <x:c r="S150" s="47"/>
      <x:c r="T150" s="47"/>
      <x:c r="U150" s="47"/>
      <x:c r="V150" s="47"/>
      <x:c r="W150" s="47"/>
      <x:c r="X150" s="47"/>
      <x:c r="Y150" s="47"/>
      <x:c r="Z150" s="47"/>
    </x:row>
    <x:row r="151">
      <x:c r="A151" s="913" t="str">
        <x:v>Access and Privacy UX</x:v>
      </x:c>
      <x:c r="B151" s="914" t="str">
        <x:v>Monitoring, sensors, exclusions, access, retention, rights and support experience.</x:v>
      </x:c>
      <x:c r="C151" s="914" t="str">
        <x:v>DPO/Product/Security</x:v>
      </x:c>
      <x:c r="D151" s="914" t="str">
        <x:v>10</x:v>
      </x:c>
      <x:c r="E151" s="914" t="str">
        <x:v>Complete draft</x:v>
      </x:c>
      <x:c r="F151" s="914" t="str">
        <x:v>Review pending</x:v>
      </x:c>
      <x:c r="G151" s="914" t="str">
        <x:v>Build privacy centre.</x:v>
      </x:c>
      <x:c r="H151" s="915" t="str"/>
      <x:c r="I151" s="47"/>
      <x:c r="J151" s="47"/>
      <x:c r="K151" s="47"/>
      <x:c r="L151" s="47"/>
      <x:c r="M151" s="47"/>
      <x:c r="N151" s="47"/>
      <x:c r="O151" s="47"/>
      <x:c r="P151" s="47"/>
      <x:c r="Q151" s="47"/>
      <x:c r="R151" s="47"/>
      <x:c r="S151" s="47"/>
      <x:c r="T151" s="47"/>
      <x:c r="U151" s="47"/>
      <x:c r="V151" s="47"/>
      <x:c r="W151" s="47"/>
      <x:c r="X151" s="47"/>
      <x:c r="Y151" s="47"/>
      <x:c r="Z151" s="47"/>
    </x:row>
    <x:row r="152">
      <x:c r="A152" s="907" t="str">
        <x:v>Reporting Read Models</x:v>
      </x:c>
      <x:c r="B152" s="200" t="str">
        <x:v>Audience-specific materialised views and prohibited-content rules.</x:v>
      </x:c>
      <x:c r="C152" s="200" t="str">
        <x:v>Backend/Data/Architecture</x:v>
      </x:c>
      <x:c r="D152" s="200" t="str">
        <x:v>10</x:v>
      </x:c>
      <x:c r="E152" s="200" t="str">
        <x:v>Complete draft</x:v>
      </x:c>
      <x:c r="F152" s="200" t="str">
        <x:v>Architecture review pending</x:v>
      </x:c>
      <x:c r="G152" s="200" t="str">
        <x:v>Implement projectors/BFFs.</x:v>
      </x:c>
      <x:c r="H152" s="908" t="str"/>
      <x:c r="I152" s="47"/>
      <x:c r="J152" s="47"/>
      <x:c r="K152" s="47"/>
      <x:c r="L152" s="47"/>
      <x:c r="M152" s="47"/>
      <x:c r="N152" s="47"/>
      <x:c r="O152" s="47"/>
      <x:c r="P152" s="47"/>
      <x:c r="Q152" s="47"/>
      <x:c r="R152" s="47"/>
      <x:c r="S152" s="47"/>
      <x:c r="T152" s="47"/>
      <x:c r="U152" s="47"/>
      <x:c r="V152" s="47"/>
      <x:c r="W152" s="47"/>
      <x:c r="X152" s="47"/>
      <x:c r="Y152" s="47"/>
      <x:c r="Z152" s="47"/>
    </x:row>
    <x:row r="153">
      <x:c r="A153" s="913" t="str">
        <x:v>User Journeys and Acceptance Tests</x:v>
      </x:c>
      <x:c r="B153" s="914" t="str">
        <x:v>Employee, manager, reviewer, DPO, accessibility and degraded-state journeys.</x:v>
      </x:c>
      <x:c r="C153" s="914" t="str">
        <x:v>QA/User Research/Product</x:v>
      </x:c>
      <x:c r="D153" s="914" t="str">
        <x:v>10</x:v>
      </x:c>
      <x:c r="E153" s="914" t="str">
        <x:v>Complete criteria</x:v>
      </x:c>
      <x:c r="F153" s="914" t="str">
        <x:v>Execution pending</x:v>
      </x:c>
      <x:c r="G153" s="914" t="str">
        <x:v>Run journey programme.</x:v>
      </x:c>
      <x:c r="H153" s="915" t="str"/>
      <x:c r="I153" s="47"/>
      <x:c r="J153" s="47"/>
      <x:c r="K153" s="47"/>
      <x:c r="L153" s="47"/>
      <x:c r="M153" s="47"/>
      <x:c r="N153" s="47"/>
      <x:c r="O153" s="47"/>
      <x:c r="P153" s="47"/>
      <x:c r="Q153" s="47"/>
      <x:c r="R153" s="47"/>
      <x:c r="S153" s="47"/>
      <x:c r="T153" s="47"/>
      <x:c r="U153" s="47"/>
      <x:c r="V153" s="47"/>
      <x:c r="W153" s="47"/>
      <x:c r="X153" s="47"/>
      <x:c r="Y153" s="47"/>
      <x:c r="Z153" s="47"/>
    </x:row>
    <x:row r="154">
      <x:c r="A154" s="907" t="str">
        <x:v>Skill Forge Architecture</x:v>
      </x:c>
      <x:c r="B154" s="200" t="str">
        <x:v>Observation, registry, package, evaluation, review, signing, canary, monitoring and rollback.</x:v>
      </x:c>
      <x:c r="C154" s="200" t="str">
        <x:v>AI Platform/Architecture/Governance</x:v>
      </x:c>
      <x:c r="D154" s="200" t="str">
        <x:v>11</x:v>
      </x:c>
      <x:c r="E154" s="200" t="str">
        <x:v>Complete draft</x:v>
      </x:c>
      <x:c r="F154" s="200" t="str">
        <x:v>Stage 11 gate pending</x:v>
      </x:c>
      <x:c r="G154" s="200" t="str">
        <x:v>Implement Skill Forge.</x:v>
      </x:c>
      <x:c r="H154" s="908" t="str"/>
      <x:c r="I154" s="47"/>
      <x:c r="J154" s="47"/>
      <x:c r="K154" s="47"/>
      <x:c r="L154" s="47"/>
      <x:c r="M154" s="47"/>
      <x:c r="N154" s="47"/>
      <x:c r="O154" s="47"/>
      <x:c r="P154" s="47"/>
      <x:c r="Q154" s="47"/>
      <x:c r="R154" s="47"/>
      <x:c r="S154" s="47"/>
      <x:c r="T154" s="47"/>
      <x:c r="U154" s="47"/>
      <x:c r="V154" s="47"/>
      <x:c r="W154" s="47"/>
      <x:c r="X154" s="47"/>
      <x:c r="Y154" s="47"/>
      <x:c r="Z154" s="47"/>
    </x:row>
    <x:row r="155">
      <x:c r="A155" s="913" t="str">
        <x:v>Skill Observation Model</x:v>
      </x:c>
      <x:c r="B155" s="914" t="str">
        <x:v>Source facts, recurrence, scope, confidentiality, inference and triage.</x:v>
      </x:c>
      <x:c r="C155" s="914" t="str">
        <x:v>AI Platform/Data/DPO</x:v>
      </x:c>
      <x:c r="D155" s="914" t="str">
        <x:v>11</x:v>
      </x:c>
      <x:c r="E155" s="914" t="str">
        <x:v>Complete draft</x:v>
      </x:c>
      <x:c r="F155" s="914" t="str">
        <x:v>Review pending</x:v>
      </x:c>
      <x:c r="G155" s="914" t="str">
        <x:v>Implement observation service.</x:v>
      </x:c>
      <x:c r="H155" s="915" t="str"/>
      <x:c r="I155" s="47"/>
      <x:c r="J155" s="47"/>
      <x:c r="K155" s="47"/>
      <x:c r="L155" s="47"/>
      <x:c r="M155" s="47"/>
      <x:c r="N155" s="47"/>
      <x:c r="O155" s="47"/>
      <x:c r="P155" s="47"/>
      <x:c r="Q155" s="47"/>
      <x:c r="R155" s="47"/>
      <x:c r="S155" s="47"/>
      <x:c r="T155" s="47"/>
      <x:c r="U155" s="47"/>
      <x:c r="V155" s="47"/>
      <x:c r="W155" s="47"/>
      <x:c r="X155" s="47"/>
      <x:c r="Y155" s="47"/>
      <x:c r="Z155" s="47"/>
    </x:row>
    <x:row r="156">
      <x:c r="A156" s="907" t="str">
        <x:v>Skill Package Contract</x:v>
      </x:c>
      <x:c r="B156" s="200" t="str">
        <x:v>Versioned package purpose, tools, data, sources, evals, reviews, signing and rollout.</x:v>
      </x:c>
      <x:c r="C156" s="200" t="str">
        <x:v>Architecture/AI Platform/CISO</x:v>
      </x:c>
      <x:c r="D156" s="200" t="str">
        <x:v>11</x:v>
      </x:c>
      <x:c r="E156" s="200" t="str">
        <x:v>Complete draft</x:v>
      </x:c>
      <x:c r="F156" s="200" t="str">
        <x:v>Review pending</x:v>
      </x:c>
      <x:c r="G156" s="200" t="str">
        <x:v>Publish schema/package format.</x:v>
      </x:c>
      <x:c r="H156" s="908" t="str"/>
      <x:c r="I156" s="47"/>
      <x:c r="J156" s="47"/>
      <x:c r="K156" s="47"/>
      <x:c r="L156" s="47"/>
      <x:c r="M156" s="47"/>
      <x:c r="N156" s="47"/>
      <x:c r="O156" s="47"/>
      <x:c r="P156" s="47"/>
      <x:c r="Q156" s="47"/>
      <x:c r="R156" s="47"/>
      <x:c r="S156" s="47"/>
      <x:c r="T156" s="47"/>
      <x:c r="U156" s="47"/>
      <x:c r="V156" s="47"/>
      <x:c r="W156" s="47"/>
      <x:c r="X156" s="47"/>
      <x:c r="Y156" s="47"/>
      <x:c r="Z156" s="47"/>
    </x:row>
    <x:row r="157">
      <x:c r="A157" s="913" t="str">
        <x:v>Skill Lifecycle</x:v>
      </x:c>
      <x:c r="B157" s="914" t="str">
        <x:v>Observation through active, pause, rollback, deprecation and expiry.</x:v>
      </x:c>
      <x:c r="C157" s="914" t="str">
        <x:v>AI Governance/Workflow</x:v>
      </x:c>
      <x:c r="D157" s="914" t="str">
        <x:v>11</x:v>
      </x:c>
      <x:c r="E157" s="914" t="str">
        <x:v>Complete draft</x:v>
      </x:c>
      <x:c r="F157" s="914" t="str">
        <x:v>Review pending</x:v>
      </x:c>
      <x:c r="G157" s="914" t="str">
        <x:v>Implement lifecycle.</x:v>
      </x:c>
      <x:c r="H157" s="915" t="str"/>
      <x:c r="I157" s="47"/>
      <x:c r="J157" s="47"/>
      <x:c r="K157" s="47"/>
      <x:c r="L157" s="47"/>
      <x:c r="M157" s="47"/>
      <x:c r="N157" s="47"/>
      <x:c r="O157" s="47"/>
      <x:c r="P157" s="47"/>
      <x:c r="Q157" s="47"/>
      <x:c r="R157" s="47"/>
      <x:c r="S157" s="47"/>
      <x:c r="T157" s="47"/>
      <x:c r="U157" s="47"/>
      <x:c r="V157" s="47"/>
      <x:c r="W157" s="47"/>
      <x:c r="X157" s="47"/>
      <x:c r="Y157" s="47"/>
      <x:c r="Z157" s="47"/>
    </x:row>
    <x:row r="158">
      <x:c r="A158" s="907" t="str">
        <x:v>Skill Proposal and Evaluation</x:v>
      </x:c>
      <x:c r="B158" s="200" t="str">
        <x:v>Generalisability, evaluation suites, graders, thresholds and approval qualification.</x:v>
      </x:c>
      <x:c r="C158" s="200" t="str">
        <x:v>AI Evaluation/Domain Review</x:v>
      </x:c>
      <x:c r="D158" s="200" t="str">
        <x:v>11</x:v>
      </x:c>
      <x:c r="E158" s="200" t="str">
        <x:v>Complete draft</x:v>
      </x:c>
      <x:c r="F158" s="200" t="str">
        <x:v>Review pending</x:v>
      </x:c>
      <x:c r="G158" s="200" t="str">
        <x:v>Build eval platform.</x:v>
      </x:c>
      <x:c r="H158" s="908" t="str"/>
      <x:c r="I158" s="47"/>
      <x:c r="J158" s="47"/>
      <x:c r="K158" s="47"/>
      <x:c r="L158" s="47"/>
      <x:c r="M158" s="47"/>
      <x:c r="N158" s="47"/>
      <x:c r="O158" s="47"/>
      <x:c r="P158" s="47"/>
      <x:c r="Q158" s="47"/>
      <x:c r="R158" s="47"/>
      <x:c r="S158" s="47"/>
      <x:c r="T158" s="47"/>
      <x:c r="U158" s="47"/>
      <x:c r="V158" s="47"/>
      <x:c r="W158" s="47"/>
      <x:c r="X158" s="47"/>
      <x:c r="Y158" s="47"/>
      <x:c r="Z158" s="47"/>
    </x:row>
    <x:row r="159">
      <x:c r="A159" s="913" t="str">
        <x:v>Skill Security and Confidentiality</x:v>
      </x:c>
      <x:c r="B159" s="914" t="str">
        <x:v>Tenant, sandbox, permissions, supply chain, publication and incident controls.</x:v>
      </x:c>
      <x:c r="C159" s="914" t="str">
        <x:v>CISO/DPO/Legal</x:v>
      </x:c>
      <x:c r="D159" s="914" t="str">
        <x:v>11</x:v>
      </x:c>
      <x:c r="E159" s="914" t="str">
        <x:v>Complete draft</x:v>
      </x:c>
      <x:c r="F159" s="914" t="str">
        <x:v>Review pending</x:v>
      </x:c>
      <x:c r="G159" s="914" t="str">
        <x:v>Implement blocking controls.</x:v>
      </x:c>
      <x:c r="H159" s="915" t="str"/>
      <x:c r="I159" s="47"/>
      <x:c r="J159" s="47"/>
      <x:c r="K159" s="47"/>
      <x:c r="L159" s="47"/>
      <x:c r="M159" s="47"/>
      <x:c r="N159" s="47"/>
      <x:c r="O159" s="47"/>
      <x:c r="P159" s="47"/>
      <x:c r="Q159" s="47"/>
      <x:c r="R159" s="47"/>
      <x:c r="S159" s="47"/>
      <x:c r="T159" s="47"/>
      <x:c r="U159" s="47"/>
      <x:c r="V159" s="47"/>
      <x:c r="W159" s="47"/>
      <x:c r="X159" s="47"/>
      <x:c r="Y159" s="47"/>
      <x:c r="Z159" s="47"/>
    </x:row>
    <x:row r="160">
      <x:c r="A160" s="907" t="str">
        <x:v>Research and Source Governance</x:v>
      </x:c>
      <x:c r="B160" s="200" t="str">
        <x:v>Official-source preference, version, licence, conflicts, freshness and research boundary.</x:v>
      </x:c>
      <x:c r="C160" s="200" t="str">
        <x:v>Research/Legal/Domain</x:v>
      </x:c>
      <x:c r="D160" s="200" t="str">
        <x:v>11</x:v>
      </x:c>
      <x:c r="E160" s="200" t="str">
        <x:v>Complete draft</x:v>
      </x:c>
      <x:c r="F160" s="200" t="str">
        <x:v>Review pending</x:v>
      </x:c>
      <x:c r="G160" s="200" t="str">
        <x:v>Build source registry.</x:v>
      </x:c>
      <x:c r="H160" s="908" t="str"/>
      <x:c r="I160" s="47"/>
      <x:c r="J160" s="47"/>
      <x:c r="K160" s="47"/>
      <x:c r="L160" s="47"/>
      <x:c r="M160" s="47"/>
      <x:c r="N160" s="47"/>
      <x:c r="O160" s="47"/>
      <x:c r="P160" s="47"/>
      <x:c r="Q160" s="47"/>
      <x:c r="R160" s="47"/>
      <x:c r="S160" s="47"/>
      <x:c r="T160" s="47"/>
      <x:c r="U160" s="47"/>
      <x:c r="V160" s="47"/>
      <x:c r="W160" s="47"/>
      <x:c r="X160" s="47"/>
      <x:c r="Y160" s="47"/>
      <x:c r="Z160" s="47"/>
    </x:row>
    <x:row r="161">
      <x:c r="A161" s="913" t="str">
        <x:v>Canary Promotion and Rollback</x:v>
      </x:c>
      <x:c r="B161" s="914" t="str">
        <x:v>Cohorts, metrics, safe targeting, pause, promotion, rollback and remediation.</x:v>
      </x:c>
      <x:c r="C161" s="914" t="str">
        <x:v>SRE/Product/AI Governance</x:v>
      </x:c>
      <x:c r="D161" s="914" t="str">
        <x:v>11</x:v>
      </x:c>
      <x:c r="E161" s="914" t="str">
        <x:v>Complete draft</x:v>
      </x:c>
      <x:c r="F161" s="914" t="str">
        <x:v>Review pending</x:v>
      </x:c>
      <x:c r="G161" s="914" t="str">
        <x:v>Implement progressive delivery.</x:v>
      </x:c>
      <x:c r="H161" s="915" t="str"/>
      <x:c r="I161" s="47"/>
      <x:c r="J161" s="47"/>
      <x:c r="K161" s="47"/>
      <x:c r="L161" s="47"/>
      <x:c r="M161" s="47"/>
      <x:c r="N161" s="47"/>
      <x:c r="O161" s="47"/>
      <x:c r="P161" s="47"/>
      <x:c r="Q161" s="47"/>
      <x:c r="R161" s="47"/>
      <x:c r="S161" s="47"/>
      <x:c r="T161" s="47"/>
      <x:c r="U161" s="47"/>
      <x:c r="V161" s="47"/>
      <x:c r="W161" s="47"/>
      <x:c r="X161" s="47"/>
      <x:c r="Y161" s="47"/>
      <x:c r="Z161" s="47"/>
    </x:row>
    <x:row r="162">
      <x:c r="A162" s="907" t="str">
        <x:v>Stage 10-11 APIs and Events</x:v>
      </x:c>
      <x:c r="B162" s="200" t="str">
        <x:v>Experience and Skill Forge API/event contracts.</x:v>
      </x:c>
      <x:c r="C162" s="200" t="str">
        <x:v>Backend/Data/Platform</x:v>
      </x:c>
      <x:c r="D162" s="200" t="str">
        <x:v>10–11</x:v>
      </x:c>
      <x:c r="E162" s="200" t="str">
        <x:v>Complete draft</x:v>
      </x:c>
      <x:c r="F162" s="200" t="str">
        <x:v>Architecture review pending</x:v>
      </x:c>
      <x:c r="G162" s="200" t="str">
        <x:v>Generate OpenAPI/schema files.</x:v>
      </x:c>
      <x:c r="H162" s="908" t="str"/>
      <x:c r="I162" s="47"/>
      <x:c r="J162" s="47"/>
      <x:c r="K162" s="47"/>
      <x:c r="L162" s="47"/>
      <x:c r="M162" s="47"/>
      <x:c r="N162" s="47"/>
      <x:c r="O162" s="47"/>
      <x:c r="P162" s="47"/>
      <x:c r="Q162" s="47"/>
      <x:c r="R162" s="47"/>
      <x:c r="S162" s="47"/>
      <x:c r="T162" s="47"/>
      <x:c r="U162" s="47"/>
      <x:c r="V162" s="47"/>
      <x:c r="W162" s="47"/>
      <x:c r="X162" s="47"/>
      <x:c r="Y162" s="47"/>
      <x:c r="Z162" s="47"/>
    </x:row>
    <x:row r="163">
      <x:c r="A163" s="913" t="str">
        <x:v>Stage 10 Backlog</x:v>
      </x:c>
      <x:c r="B163" s="914" t="str">
        <x:v>Experience implementation work.</x:v>
      </x:c>
      <x:c r="C163" s="914" t="str">
        <x:v>Programme/Product/Frontend/Backend</x:v>
      </x:c>
      <x:c r="D163" s="914" t="str">
        <x:v>10</x:v>
      </x:c>
      <x:c r="E163" s="914" t="str">
        <x:v>Complete draft</x:v>
      </x:c>
      <x:c r="F163" s="914" t="str">
        <x:v>Resource approval pending</x:v>
      </x:c>
      <x:c r="G163" s="914" t="str">
        <x:v>Start after gate.</x:v>
      </x:c>
      <x:c r="H163" s="915" t="str"/>
      <x:c r="I163" s="47"/>
      <x:c r="J163" s="47"/>
      <x:c r="K163" s="47"/>
      <x:c r="L163" s="47"/>
      <x:c r="M163" s="47"/>
      <x:c r="N163" s="47"/>
      <x:c r="O163" s="47"/>
      <x:c r="P163" s="47"/>
      <x:c r="Q163" s="47"/>
      <x:c r="R163" s="47"/>
      <x:c r="S163" s="47"/>
      <x:c r="T163" s="47"/>
      <x:c r="U163" s="47"/>
      <x:c r="V163" s="47"/>
      <x:c r="W163" s="47"/>
      <x:c r="X163" s="47"/>
      <x:c r="Y163" s="47"/>
      <x:c r="Z163" s="47"/>
    </x:row>
    <x:row r="164">
      <x:c r="A164" s="907" t="str">
        <x:v>Stage 11 Backlog</x:v>
      </x:c>
      <x:c r="B164" s="200" t="str">
        <x:v>Skill Forge implementation work.</x:v>
      </x:c>
      <x:c r="C164" s="200" t="str">
        <x:v>Programme/AI Platform/DevSecOps</x:v>
      </x:c>
      <x:c r="D164" s="200" t="str">
        <x:v>11</x:v>
      </x:c>
      <x:c r="E164" s="200" t="str">
        <x:v>Complete draft</x:v>
      </x:c>
      <x:c r="F164" s="200" t="str">
        <x:v>Resource approval pending</x:v>
      </x:c>
      <x:c r="G164" s="200" t="str">
        <x:v>Start after gate.</x:v>
      </x:c>
      <x:c r="H164" s="908" t="str"/>
      <x:c r="I164" s="47"/>
      <x:c r="J164" s="47"/>
      <x:c r="K164" s="47"/>
      <x:c r="L164" s="47"/>
      <x:c r="M164" s="47"/>
      <x:c r="N164" s="47"/>
      <x:c r="O164" s="47"/>
      <x:c r="P164" s="47"/>
      <x:c r="Q164" s="47"/>
      <x:c r="R164" s="47"/>
      <x:c r="S164" s="47"/>
      <x:c r="T164" s="47"/>
      <x:c r="U164" s="47"/>
      <x:c r="V164" s="47"/>
      <x:c r="W164" s="47"/>
      <x:c r="X164" s="47"/>
      <x:c r="Y164" s="47"/>
      <x:c r="Z164" s="47"/>
    </x:row>
    <x:row r="165">
      <x:c r="A165" s="913" t="str">
        <x:v>Stage 10-11 Risks</x:v>
      </x:c>
      <x:c r="B165" s="914" t="str">
        <x:v>Experience, accessibility, privacy, Skill Forge and supply-chain risks.</x:v>
      </x:c>
      <x:c r="C165" s="914" t="str">
        <x:v>Governance/Product/Security</x:v>
      </x:c>
      <x:c r="D165" s="914" t="str">
        <x:v>10–11</x:v>
      </x:c>
      <x:c r="E165" s="914" t="str">
        <x:v>Complete draft</x:v>
      </x:c>
      <x:c r="F165" s="914" t="str">
        <x:v>Risk review pending</x:v>
      </x:c>
      <x:c r="G165" s="914" t="str">
        <x:v>Mitigate blocking risks.</x:v>
      </x:c>
      <x:c r="H165" s="915" t="str"/>
      <x:c r="I165" s="47"/>
      <x:c r="J165" s="47"/>
      <x:c r="K165" s="47"/>
      <x:c r="L165" s="47"/>
      <x:c r="M165" s="47"/>
      <x:c r="N165" s="47"/>
      <x:c r="O165" s="47"/>
      <x:c r="P165" s="47"/>
      <x:c r="Q165" s="47"/>
      <x:c r="R165" s="47"/>
      <x:c r="S165" s="47"/>
      <x:c r="T165" s="47"/>
      <x:c r="U165" s="47"/>
      <x:c r="V165" s="47"/>
      <x:c r="W165" s="47"/>
      <x:c r="X165" s="47"/>
      <x:c r="Y165" s="47"/>
      <x:c r="Z165" s="47"/>
    </x:row>
    <x:row r="166">
      <x:c r="A166" s="907" t="str">
        <x:v>Stage 10-11 ADRs</x:v>
      </x:c>
      <x:c r="B166" s="200" t="str">
        <x:v>Architecture/product decisions for experiences and Skill Forge.</x:v>
      </x:c>
      <x:c r="C166" s="200" t="str">
        <x:v>Architecture Board</x:v>
      </x:c>
      <x:c r="D166" s="200" t="str">
        <x:v>10–11</x:v>
      </x:c>
      <x:c r="E166" s="200" t="str">
        <x:v>Complete draft</x:v>
      </x:c>
      <x:c r="F166" s="200" t="str">
        <x:v>Decision review pending</x:v>
      </x:c>
      <x:c r="G166" s="200" t="str">
        <x:v>Accept/condition.</x:v>
      </x:c>
      <x:c r="H166" s="908" t="str"/>
      <x:c r="I166" s="47"/>
      <x:c r="J166" s="47"/>
      <x:c r="K166" s="47"/>
      <x:c r="L166" s="47"/>
      <x:c r="M166" s="47"/>
      <x:c r="N166" s="47"/>
      <x:c r="O166" s="47"/>
      <x:c r="P166" s="47"/>
      <x:c r="Q166" s="47"/>
      <x:c r="R166" s="47"/>
      <x:c r="S166" s="47"/>
      <x:c r="T166" s="47"/>
      <x:c r="U166" s="47"/>
      <x:c r="V166" s="47"/>
      <x:c r="W166" s="47"/>
      <x:c r="X166" s="47"/>
      <x:c r="Y166" s="47"/>
      <x:c r="Z166" s="47"/>
    </x:row>
    <x:row r="167">
      <x:c r="A167" s="913" t="str">
        <x:v>Stage 10 Gate</x:v>
      </x:c>
      <x:c r="B167" s="914" t="str">
        <x:v>Stage 10 experience go/no-go criteria.</x:v>
      </x:c>
      <x:c r="C167" s="914" t="str">
        <x:v>CTO/Product/HR/DPO/CISO</x:v>
      </x:c>
      <x:c r="D167" s="914" t="str">
        <x:v>10</x:v>
      </x:c>
      <x:c r="E167" s="914" t="str">
        <x:v>Complete criteria</x:v>
      </x:c>
      <x:c r="F167" s="914" t="str">
        <x:v>Decision pending</x:v>
      </x:c>
      <x:c r="G167" s="914" t="str">
        <x:v>Record gate outcome.</x:v>
      </x:c>
      <x:c r="H167" s="915" t="str"/>
      <x:c r="I167" s="47"/>
      <x:c r="J167" s="47"/>
      <x:c r="K167" s="47"/>
      <x:c r="L167" s="47"/>
      <x:c r="M167" s="47"/>
      <x:c r="N167" s="47"/>
      <x:c r="O167" s="47"/>
      <x:c r="P167" s="47"/>
      <x:c r="Q167" s="47"/>
      <x:c r="R167" s="47"/>
      <x:c r="S167" s="47"/>
      <x:c r="T167" s="47"/>
      <x:c r="U167" s="47"/>
      <x:c r="V167" s="47"/>
      <x:c r="W167" s="47"/>
      <x:c r="X167" s="47"/>
      <x:c r="Y167" s="47"/>
      <x:c r="Z167" s="47"/>
    </x:row>
    <x:row r="168">
      <x:c r="A168" s="907" t="str">
        <x:v>Stage 11 Gate</x:v>
      </x:c>
      <x:c r="B168" s="200" t="str">
        <x:v>Stage 11 Skill Forge go/no-go criteria.</x:v>
      </x:c>
      <x:c r="C168" s="200" t="str">
        <x:v>CTO/AI Platform/CISO/DPO/Legal</x:v>
      </x:c>
      <x:c r="D168" s="200" t="str">
        <x:v>11</x:v>
      </x:c>
      <x:c r="E168" s="200" t="str">
        <x:v>Complete criteria</x:v>
      </x:c>
      <x:c r="F168" s="200" t="str">
        <x:v>Decision pending</x:v>
      </x:c>
      <x:c r="G168" s="200" t="str">
        <x:v>Record gate outcome.</x:v>
      </x:c>
      <x:c r="H168" s="908" t="str"/>
      <x:c r="I168" s="47"/>
      <x:c r="J168" s="47"/>
      <x:c r="K168" s="47"/>
      <x:c r="L168" s="47"/>
      <x:c r="M168" s="47"/>
      <x:c r="N168" s="47"/>
      <x:c r="O168" s="47"/>
      <x:c r="P168" s="47"/>
      <x:c r="Q168" s="47"/>
      <x:c r="R168" s="47"/>
      <x:c r="S168" s="47"/>
      <x:c r="T168" s="47"/>
      <x:c r="U168" s="47"/>
      <x:c r="V168" s="47"/>
      <x:c r="W168" s="47"/>
      <x:c r="X168" s="47"/>
      <x:c r="Y168" s="47"/>
      <x:c r="Z168" s="47"/>
    </x:row>
    <x:row r="169">
      <x:c r="A169" s="916" t="str">
        <x:v>Stage 10-11 Sources</x:v>
      </x:c>
      <x:c r="B169" s="917" t="str">
        <x:v>Stage 10/11 primary-source register.</x:v>
      </x:c>
      <x:c r="C169" s="917" t="str">
        <x:v>All</x:v>
      </x:c>
      <x:c r="D169" s="917" t="str">
        <x:v>10–11</x:v>
      </x:c>
      <x:c r="E169" s="917" t="str">
        <x:v>Complete</x:v>
      </x:c>
      <x:c r="F169" s="917" t="str">
        <x:v>N/A</x:v>
      </x:c>
      <x:c r="G169" s="917" t="str">
        <x:v>Maintain as standards/products change.</x:v>
      </x:c>
      <x:c r="H169" s="918" t="str"/>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F4:J4"/>
    <x:mergeCell ref="G5:J5"/>
    <x:mergeCell ref="G6:J6"/>
    <x:mergeCell ref="G7:J7"/>
    <x:mergeCell ref="G8:J8"/>
    <x:mergeCell ref="G9:J9"/>
    <x:mergeCell ref="A1:H1"/>
    <x:mergeCell ref="A2:H2"/>
  </x:mergeCells>
  <x:pageMargins left="0.7" right="0.7" top="0.75" bottom="0.75" header="0.3" footer="0.3"/>
  <x:tableParts count="1">
    <x:tablePart xmlns:r="http://schemas.openxmlformats.org/officeDocument/2006/relationships" r:id="R23ac4becfb334e7d"/>
  </x:tableParts>
</x:worksheet>
</file>

<file path=xl/worksheets/sheet2.xml><?xml version="1.0" encoding="utf-8"?>
<x:worksheet xmlns:x="http://schemas.openxmlformats.org/spreadsheetml/2006/main">
  <x:sheetFormatPr defaultRowHeight="15"/>
  <x:cols>
    <x:col min="1" max="1" width="28" hidden="0" customWidth="1"/>
    <x:col min="2" max="2" width="78" hidden="0" customWidth="1"/>
    <x:col min="3" max="3" width="24" hidden="0" customWidth="1"/>
    <x:col min="4" max="4" width="44" hidden="0" customWidth="1"/>
  </x:cols>
  <x:sheetData>
    <x:row r="1" ht="30" customHeight="1">
      <x:c r="A1" s="161" t="str">
        <x:v>Executive Charter — Foundation Decision Summary</x:v>
      </x:c>
      <x:c r="B1" s="161"/>
      <x:c r="C1" s="161"/>
      <x:c r="D1" s="161"/>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164" t="str">
        <x:v>Concise leadership view. The detailed charter is maintained in Product Charter v1; governance and architecture approvals remain formally pending.</x:v>
      </x:c>
      <x:c r="B2" s="164"/>
      <x:c r="C2" s="164"/>
      <x:c r="D2" s="164"/>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Area</x:v>
      </x:c>
      <x:c r="B4" s="170" t="str">
        <x:v>Foundation decision</x:v>
      </x:c>
      <x:c r="C4" s="170" t="str">
        <x:v>Current state</x:v>
      </x:c>
      <x:c r="D4" s="175" t="str">
        <x:v>Required leadership action</x:v>
      </x:c>
      <x:c r="E4" s="47"/>
      <x:c r="F4" s="47"/>
      <x:c r="G4" s="47"/>
      <x:c r="H4" s="47"/>
      <x:c r="I4" s="47"/>
      <x:c r="J4" s="47"/>
      <x:c r="K4" s="47"/>
      <x:c r="L4" s="47"/>
      <x:c r="M4" s="47"/>
      <x:c r="N4" s="47"/>
      <x:c r="O4" s="47"/>
      <x:c r="P4" s="47"/>
      <x:c r="Q4" s="47"/>
      <x:c r="R4" s="47"/>
      <x:c r="S4" s="47"/>
      <x:c r="T4" s="47"/>
      <x:c r="U4" s="47"/>
      <x:c r="V4" s="47"/>
      <x:c r="W4" s="47"/>
      <x:c r="X4" s="47"/>
      <x:c r="Y4" s="47"/>
      <x:c r="Z4" s="47"/>
    </x:row>
    <x:row r="5">
      <x:c r="A5" s="197" t="str">
        <x:v>Company</x:v>
      </x:c>
      <x:c r="B5" s="198" t="str">
        <x:v>Nessovo</x:v>
      </x:c>
      <x:c r="C5" s="198" t="str">
        <x:v>Confirmed</x:v>
      </x:c>
      <x:c r="D5" s="220" t="str">
        <x:v>Use as canonical company name.</x:v>
      </x:c>
      <x:c r="E5" s="47"/>
      <x:c r="F5" s="47"/>
      <x:c r="G5" s="47"/>
      <x:c r="H5" s="47"/>
      <x:c r="I5" s="47"/>
      <x:c r="J5" s="47"/>
      <x:c r="K5" s="47"/>
      <x:c r="L5" s="47"/>
      <x:c r="M5" s="47"/>
      <x:c r="N5" s="47"/>
      <x:c r="O5" s="47"/>
      <x:c r="P5" s="47"/>
      <x:c r="Q5" s="47"/>
      <x:c r="R5" s="47"/>
      <x:c r="S5" s="47"/>
      <x:c r="T5" s="47"/>
      <x:c r="U5" s="47"/>
      <x:c r="V5" s="47"/>
      <x:c r="W5" s="47"/>
      <x:c r="X5" s="47"/>
      <x:c r="Y5" s="47"/>
      <x:c r="Z5" s="47"/>
    </x:row>
    <x:row r="6">
      <x:c r="A6" s="205" t="str">
        <x:v>Platform placement</x:v>
      </x:c>
      <x:c r="B6" s="206" t="str">
        <x:v>HumanOS Work Intelligence is a HumanOS module, reusing foundation microservices and supporting future business verticals.</x:v>
      </x:c>
      <x:c r="C6" s="206" t="str">
        <x:v>Draft complete</x:v>
      </x:c>
      <x:c r="D6" s="207" t="str">
        <x:v>Approve platform placement.</x:v>
      </x:c>
      <x:c r="E6" s="47"/>
      <x:c r="F6" s="47"/>
      <x:c r="G6" s="47"/>
      <x:c r="H6" s="47"/>
      <x:c r="I6" s="47"/>
      <x:c r="J6" s="47"/>
      <x:c r="K6" s="47"/>
      <x:c r="L6" s="47"/>
      <x:c r="M6" s="47"/>
      <x:c r="N6" s="47"/>
      <x:c r="O6" s="47"/>
      <x:c r="P6" s="47"/>
      <x:c r="Q6" s="47"/>
      <x:c r="R6" s="47"/>
      <x:c r="S6" s="47"/>
      <x:c r="T6" s="47"/>
      <x:c r="U6" s="47"/>
      <x:c r="V6" s="47"/>
      <x:c r="W6" s="47"/>
      <x:c r="X6" s="47"/>
      <x:c r="Y6" s="47"/>
      <x:c r="Z6" s="47"/>
    </x:row>
    <x:row r="7">
      <x:c r="A7" s="199" t="str">
        <x:v>Product definition</x:v>
      </x:c>
      <x:c r="B7" s="200" t="str">
        <x:v>Task-aware human-and-AI work intelligence that reconstructs evidence, assures outcomes, develops capability and improves HumanOS skills.</x:v>
      </x:c>
      <x:c r="C7" s="200" t="str">
        <x:v>Draft complete</x:v>
      </x:c>
      <x:c r="D7" s="201" t="str">
        <x:v>Approve charter and working product name.</x:v>
      </x:c>
      <x:c r="E7" s="47"/>
      <x:c r="F7" s="47"/>
      <x:c r="G7" s="47"/>
      <x:c r="H7" s="47"/>
      <x:c r="I7" s="47"/>
      <x:c r="J7" s="47"/>
      <x:c r="K7" s="47"/>
      <x:c r="L7" s="47"/>
      <x:c r="M7" s="47"/>
      <x:c r="N7" s="47"/>
      <x:c r="O7" s="47"/>
      <x:c r="P7" s="47"/>
      <x:c r="Q7" s="47"/>
      <x:c r="R7" s="47"/>
      <x:c r="S7" s="47"/>
      <x:c r="T7" s="47"/>
      <x:c r="U7" s="47"/>
      <x:c r="V7" s="47"/>
      <x:c r="W7" s="47"/>
      <x:c r="X7" s="47"/>
      <x:c r="Y7" s="47"/>
      <x:c r="Z7" s="47"/>
    </x:row>
    <x:row r="8">
      <x:c r="A8" s="205" t="str">
        <x:v>Strategic position</x:v>
      </x:c>
      <x:c r="B8" s="206" t="str">
        <x:v>Task execution assurance, capability development and human–AI work governance—not activity-volume surveillance.</x:v>
      </x:c>
      <x:c r="C8" s="206" t="str">
        <x:v>Draft complete</x:v>
      </x:c>
      <x:c r="D8" s="207" t="str">
        <x:v>Approve market position.</x:v>
      </x:c>
      <x:c r="E8" s="47"/>
      <x:c r="F8" s="47"/>
      <x:c r="G8" s="47"/>
      <x:c r="H8" s="47"/>
      <x:c r="I8" s="47"/>
      <x:c r="J8" s="47"/>
      <x:c r="K8" s="47"/>
      <x:c r="L8" s="47"/>
      <x:c r="M8" s="47"/>
      <x:c r="N8" s="47"/>
      <x:c r="O8" s="47"/>
      <x:c r="P8" s="47"/>
      <x:c r="Q8" s="47"/>
      <x:c r="R8" s="47"/>
      <x:c r="S8" s="47"/>
      <x:c r="T8" s="47"/>
      <x:c r="U8" s="47"/>
      <x:c r="V8" s="47"/>
      <x:c r="W8" s="47"/>
      <x:c r="X8" s="47"/>
      <x:c r="Y8" s="47"/>
      <x:c r="Z8" s="47"/>
    </x:row>
    <x:row r="9">
      <x:c r="A9" s="199" t="str">
        <x:v>Initial vertical</x:v>
      </x:c>
      <x:c r="B9" s="200" t="str">
        <x:v>AI-assisted software development on company-managed Windows and macOS devices.</x:v>
      </x:c>
      <x:c r="C9" s="200" t="str">
        <x:v>Draft complete</x:v>
      </x:c>
      <x:c r="D9" s="201" t="str">
        <x:v>Approve pilot scope and cohort.</x:v>
      </x:c>
      <x:c r="E9" s="47"/>
      <x:c r="F9" s="47"/>
      <x:c r="G9" s="47"/>
      <x:c r="H9" s="47"/>
      <x:c r="I9" s="47"/>
      <x:c r="J9" s="47"/>
      <x:c r="K9" s="47"/>
      <x:c r="L9" s="47"/>
      <x:c r="M9" s="47"/>
      <x:c r="N9" s="47"/>
      <x:c r="O9" s="47"/>
      <x:c r="P9" s="47"/>
      <x:c r="Q9" s="47"/>
      <x:c r="R9" s="47"/>
      <x:c r="S9" s="47"/>
      <x:c r="T9" s="47"/>
      <x:c r="U9" s="47"/>
      <x:c r="V9" s="47"/>
      <x:c r="W9" s="47"/>
      <x:c r="X9" s="47"/>
      <x:c r="Y9" s="47"/>
      <x:c r="Z9" s="47"/>
    </x:row>
    <x:row r="10">
      <x:c r="A10" s="205" t="str">
        <x:v>Core proprietary capabilities</x:v>
      </x:c>
      <x:c r="B10" s="206" t="str">
        <x:v>Evidence/provenance graph; Task Assurance; Capability Graph; Growth Coach; governed Skill Forge.</x:v>
      </x:c>
      <x:c r="C10" s="206" t="str">
        <x:v>Draft complete</x:v>
      </x:c>
      <x:c r="D10" s="207" t="str">
        <x:v>Approve build focus.</x:v>
      </x:c>
      <x:c r="E10" s="47"/>
      <x:c r="F10" s="47"/>
      <x:c r="G10" s="47"/>
      <x:c r="H10" s="47"/>
      <x:c r="I10" s="47"/>
      <x:c r="J10" s="47"/>
      <x:c r="K10" s="47"/>
      <x:c r="L10" s="47"/>
      <x:c r="M10" s="47"/>
      <x:c r="N10" s="47"/>
      <x:c r="O10" s="47"/>
      <x:c r="P10" s="47"/>
      <x:c r="Q10" s="47"/>
      <x:c r="R10" s="47"/>
      <x:c r="S10" s="47"/>
      <x:c r="T10" s="47"/>
      <x:c r="U10" s="47"/>
      <x:c r="V10" s="47"/>
      <x:c r="W10" s="47"/>
      <x:c r="X10" s="47"/>
      <x:c r="Y10" s="47"/>
      <x:c r="Z10" s="47"/>
    </x:row>
    <x:row r="11">
      <x:c r="A11" s="199" t="str">
        <x:v>Commodity/reference capabilities</x:v>
      </x:c>
      <x:c r="B11" s="200" t="str">
        <x:v>Application/window/browser activity, event streaming, object storage, operational observability and standard OS capture primitives.</x:v>
      </x:c>
      <x:c r="C11" s="200" t="str">
        <x:v>Draft complete</x:v>
      </x:c>
      <x:c r="D11" s="201" t="str">
        <x:v>Approve build/buy/reference strategy.</x:v>
      </x:c>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205" t="str">
        <x:v>Employee value</x:v>
      </x:c>
      <x:c r="B12" s="206" t="str">
        <x:v>Fair work attribution, blocker explanation, transparent evidence, correction rights, contextual coaching and skill progression.</x:v>
      </x:c>
      <x:c r="C12" s="206" t="str">
        <x:v>Draft complete</x:v>
      </x:c>
      <x:c r="D12" s="207" t="str">
        <x:v>Require measurable employee benefit in pilot.</x:v>
      </x:c>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199" t="str">
        <x:v>Employer value</x:v>
      </x:c>
      <x:c r="B13" s="200" t="str">
        <x:v>Evidence-linked task outcomes, quality, blockers, capability gaps, training effectiveness and safer AI-agent use.</x:v>
      </x:c>
      <x:c r="C13" s="200" t="str">
        <x:v>Draft complete</x:v>
      </x:c>
      <x:c r="D13" s="201" t="str">
        <x:v>Require exception-led reporting and human judgement.</x:v>
      </x:c>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205" t="str">
        <x:v>Governance boundary</x:v>
      </x:c>
      <x:c r="B14" s="206" t="str">
        <x:v>No covert general monitoring, emotion/personality inference, click/keystroke productivity scoring or solely automated consequential employment decisions.</x:v>
      </x:c>
      <x:c r="C14" s="206" t="str">
        <x:v>Draft complete</x:v>
      </x:c>
      <x:c r="D14" s="207" t="str">
        <x:v>Approve prohibited uses and policy enforcement.</x:v>
      </x:c>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199" t="str">
        <x:v>Employee rights</x:v>
      </x:c>
      <x:c r="B15" s="200" t="str">
        <x:v>Visible monitoring, own evidence access, correction, explanation, dispute and meaningful human review.</x:v>
      </x:c>
      <x:c r="C15" s="200" t="str">
        <x:v>Draft complete</x:v>
      </x:c>
      <x:c r="D15" s="201" t="str">
        <x:v>Approve operational rights workflow.</x:v>
      </x:c>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205" t="str">
        <x:v>Data principle</x:v>
      </x:c>
      <x:c r="B16" s="206" t="str">
        <x:v>Minimum necessary, task-scoped evidence with local exclusion/redaction and short raw retention.</x:v>
      </x:c>
      <x:c r="C16" s="206" t="str">
        <x:v>Draft complete</x:v>
      </x:c>
      <x:c r="D16" s="207" t="str">
        <x:v>Commission full DPIA and legal review.</x:v>
      </x:c>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199" t="str">
        <x:v>Architecture</x:v>
      </x:c>
      <x:c r="B17" s="200" t="str">
        <x:v>Rust/native endpoint agent; Java/Spring durable HumanOS domains; Python AI/evaluation workers; Kafka-compatible events; PostgreSQL/object storage first.</x:v>
      </x:c>
      <x:c r="C17" s="200" t="str">
        <x:v>Draft complete</x:v>
      </x:c>
      <x:c r="D17" s="201" t="str">
        <x:v>Architecture Board review.</x:v>
      </x:c>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205" t="str">
        <x:v>Microservice strategy</x:v>
      </x:c>
      <x:c r="B18" s="206" t="str">
        <x:v>Approximately eight initial Work Intelligence deployables plus reused HumanOS foundations; split only for proven security, scale, ownership, availability or transactional boundaries.</x:v>
      </x:c>
      <x:c r="C18" s="206" t="str">
        <x:v>Draft complete</x:v>
      </x:c>
      <x:c r="D18" s="207" t="str">
        <x:v>Reject premature nano-services.</x:v>
      </x:c>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Java/Spring baseline</x:v>
      </x:c>
      <x:c r="B19" s="200" t="str">
        <x:v>Retain the current supported HumanOS baseline unless migration is justified; benchmark Java 25 LTS with Spring Boot 4.1 and compatible Spring Cloud for greenfield-compatible services.</x:v>
      </x:c>
      <x:c r="C19" s="200" t="str">
        <x:v>Platform inventory required</x:v>
      </x:c>
      <x:c r="D19" s="201" t="str">
        <x:v>Confirm current HumanOS versions and migration policy.</x:v>
      </x:c>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5" t="str">
        <x:v>Stage structure</x:v>
      </x:c>
      <x:c r="B20" s="206" t="str">
        <x:v>Stage 0 and Stage 1 operate as one Foundation &amp; Validation workstream but retain separate formal gates.</x:v>
      </x:c>
      <x:c r="C20" s="206" t="str">
        <x:v>Confirmed planning model</x:v>
      </x:c>
      <x:c r="D20" s="207" t="str">
        <x:v>Record Stage 0 and Stage 1 decisions independently.</x:v>
      </x:c>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199" t="str">
        <x:v>Current readiness</x:v>
      </x:c>
      <x:c r="B21" s="200" t="str">
        <x:v>Foundation research and draft artefacts are complete; legal/DPO, worker consultation, security, licence, cost, architecture and resourcing decisions remain.</x:v>
      </x:c>
      <x:c r="C21" s="200" t="str">
        <x:v>Gate pending</x:v>
      </x:c>
      <x:c r="D21" s="201" t="str">
        <x:v>Resolve dashboard decision list.</x:v>
      </x:c>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208" t="str">
        <x:v>Next mobilisation</x:v>
      </x:c>
      <x:c r="B22" s="209" t="str">
        <x:v>Stage 2 Role/Task/Capability Ontology and Stage 3 Device Agent Foundation.</x:v>
      </x:c>
      <x:c r="C22" s="209" t="str">
        <x:v>Prompts ready</x:v>
      </x:c>
      <x:c r="D22" s="210" t="str">
        <x:v>Mobilise only under gate conditions and named ownership.</x:v>
      </x:c>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D1"/>
    <x:mergeCell ref="A2:D2"/>
  </x:mergeCells>
  <x:pageMargins left="0.7" right="0.7" top="0.75" bottom="0.75" header="0.3" footer="0.3"/>
  <x:tableParts count="1">
    <x:tablePart xmlns:r="http://schemas.openxmlformats.org/officeDocument/2006/relationships" r:id="R307f9ce1cef04cdf"/>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52" hidden="0" customWidth="1"/>
    <x:col min="4" max="4" width="46" hidden="0" customWidth="1"/>
    <x:col min="5" max="5" width="52" hidden="0" customWidth="1"/>
    <x:col min="6" max="6" width="42" hidden="0" customWidth="1"/>
    <x:col min="7" max="7" width="14" hidden="0" customWidth="1"/>
    <x:col min="8" max="8" width="48" hidden="0" customWidth="1"/>
    <x:col min="9" max="9" width="34" hidden="0" customWidth="1"/>
  </x:cols>
  <x:sheetData>
    <x:row r="1" ht="30" customHeight="1">
      <x:c r="A1" s="161" t="str">
        <x:v>Market Landscape — Commercial and Category References</x:v>
      </x:c>
      <x:c r="B1" s="161"/>
      <x:c r="C1" s="161"/>
      <x:c r="D1" s="161"/>
      <x:c r="E1" s="161"/>
      <x:c r="F1" s="161"/>
      <x:c r="G1" s="161"/>
      <x:c r="H1" s="161"/>
      <x:c r="I1" s="161"/>
      <x:c r="J1" s="65"/>
      <x:c r="K1" s="65"/>
      <x:c r="L1" s="65"/>
      <x:c r="M1" s="65"/>
      <x:c r="N1" s="65"/>
      <x:c r="O1" s="65"/>
      <x:c r="P1" s="65"/>
      <x:c r="Q1" s="65"/>
      <x:c r="R1" s="65"/>
      <x:c r="S1" s="65"/>
      <x:c r="T1" s="65"/>
      <x:c r="U1" s="65"/>
      <x:c r="V1" s="65"/>
      <x:c r="W1" s="65"/>
      <x:c r="X1" s="65"/>
      <x:c r="Y1" s="65"/>
      <x:c r="Z1" s="65"/>
    </x:row>
    <x:row r="2" ht="34" customHeight="1">
      <x:c r="A2" s="164" t="str">
        <x:v>No single reviewed platform provides Nessovo's complete combination. The strategic gap is the integrated evidence → task assurance → capability development → governed self-improvement loop.</x:v>
      </x:c>
      <x:c r="B2" s="164"/>
      <x:c r="C2" s="164"/>
      <x:c r="D2" s="164"/>
      <x:c r="E2" s="164"/>
      <x:c r="F2" s="164"/>
      <x:c r="G2" s="164"/>
      <x:c r="H2" s="164"/>
      <x:c r="I2" s="164"/>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Vendor / system</x:v>
      </x:c>
      <x:c r="B4" s="170" t="str">
        <x:v>Category</x:v>
      </x:c>
      <x:c r="C4" s="170" t="str">
        <x:v>Proven market capability</x:v>
      </x:c>
      <x:c r="D4" s="170" t="str">
        <x:v>Relevant lesson</x:v>
      </x:c>
      <x:c r="E4" s="170" t="str">
        <x:v>Limit relative to Nessovo target</x:v>
      </x:c>
      <x:c r="F4" s="170" t="str">
        <x:v>Nessovo action</x:v>
      </x:c>
      <x:c r="G4" s="170" t="str">
        <x:v>Strategic relevance</x:v>
      </x:c>
      <x:c r="H4" s="170" t="str">
        <x:v>Source URL</x:v>
      </x:c>
      <x:c r="I4" s="175" t="str">
        <x:v>Research note</x:v>
      </x:c>
      <x:c r="J4" s="47"/>
      <x:c r="K4" s="47"/>
      <x:c r="L4" s="47"/>
      <x:c r="M4" s="47"/>
      <x:c r="N4" s="47"/>
      <x:c r="O4" s="47"/>
      <x:c r="P4" s="47"/>
      <x:c r="Q4" s="47"/>
      <x:c r="R4" s="47"/>
      <x:c r="S4" s="47"/>
      <x:c r="T4" s="47"/>
      <x:c r="U4" s="47"/>
      <x:c r="V4" s="47"/>
      <x:c r="W4" s="47"/>
      <x:c r="X4" s="47"/>
      <x:c r="Y4" s="47"/>
      <x:c r="Z4" s="47"/>
    </x:row>
    <x:row r="5">
      <x:c r="A5" s="197" t="str">
        <x:v>Teramind</x:v>
      </x:c>
      <x:c r="B5" s="198" t="str">
        <x:v>Employee monitoring / insider risk</x:v>
      </x:c>
      <x:c r="C5" s="198" t="str">
        <x:v>Screen recording/playback, keystrokes, applications, websites, active/idle and behavioural controls.</x:v>
      </x:c>
      <x:c r="D5" s="198" t="str">
        <x:v>Comprehensive desktop monitoring is commercially established.</x:v>
      </x:c>
      <x:c r="E5" s="198" t="str">
        <x:v>Primarily observes and governs activity; does not provide evidence-linked task contracts, capability progression and Skill Forge.</x:v>
      </x:c>
      <x:c r="F5" s="198" t="str">
        <x:v>Benchmark control coverage; do not use as product core unless later enterprise connector is justified.</x:v>
      </x:c>
      <x:c r="G5" s="198" t="str">
        <x:v>High</x:v>
      </x:c>
      <x:c r="H5" s="198" t="str">
        <x:v>https://www.teramind.co/solutions/employee-monitoring/</x:v>
      </x:c>
      <x:c r="I5" s="220" t="str">
        <x:v>Closest commercial baseline for raw monitoring.</x:v>
      </x:c>
      <x:c r="J5" s="47"/>
      <x:c r="K5" s="47"/>
      <x:c r="L5" s="47"/>
      <x:c r="M5" s="47"/>
      <x:c r="N5" s="47"/>
      <x:c r="O5" s="47"/>
      <x:c r="P5" s="47"/>
      <x:c r="Q5" s="47"/>
      <x:c r="R5" s="47"/>
      <x:c r="S5" s="47"/>
      <x:c r="T5" s="47"/>
      <x:c r="U5" s="47"/>
      <x:c r="V5" s="47"/>
      <x:c r="W5" s="47"/>
      <x:c r="X5" s="47"/>
      <x:c r="Y5" s="47"/>
      <x:c r="Z5" s="47"/>
    </x:row>
    <x:row r="6">
      <x:c r="A6" s="205" t="str">
        <x:v>ActivTrak</x:v>
      </x:c>
      <x:c r="B6" s="206" t="str">
        <x:v>Workforce analytics / AI adoption</x:v>
      </x:c>
      <x:c r="C6" s="206" t="str">
        <x:v>Application and website analytics, work patterns, productivity/capacity views, AI usage and coaching-oriented insights.</x:v>
      </x:c>
      <x:c r="D6" s="206" t="str">
        <x:v>Management demand is moving from time tracking to workforce and AI-use intelligence.</x:v>
      </x:c>
      <x:c r="E6" s="206" t="str">
        <x:v>Aggregate behavioural analytics rather than exact causal task reconstruction and technical-quality assurance.</x:v>
      </x:c>
      <x:c r="F6" s="206" t="str">
        <x:v>Benchmark reporting and manager experience.</x:v>
      </x:c>
      <x:c r="G6" s="206" t="str">
        <x:v>High</x:v>
      </x:c>
      <x:c r="H6" s="206" t="str">
        <x:v>https://support.activtrak.com/hc/en-us/articles/50125731483675-AI-Insights-Add-on</x:v>
      </x:c>
      <x:c r="I6" s="207" t="str">
        <x:v>Relevant to reporting and adoption metrics.</x:v>
      </x:c>
      <x:c r="J6" s="47"/>
      <x:c r="K6" s="47"/>
      <x:c r="L6" s="47"/>
      <x:c r="M6" s="47"/>
      <x:c r="N6" s="47"/>
      <x:c r="O6" s="47"/>
      <x:c r="P6" s="47"/>
      <x:c r="Q6" s="47"/>
      <x:c r="R6" s="47"/>
      <x:c r="S6" s="47"/>
      <x:c r="T6" s="47"/>
      <x:c r="U6" s="47"/>
      <x:c r="V6" s="47"/>
      <x:c r="W6" s="47"/>
      <x:c r="X6" s="47"/>
      <x:c r="Y6" s="47"/>
      <x:c r="Z6" s="47"/>
    </x:row>
    <x:row r="7">
      <x:c r="A7" s="199" t="str">
        <x:v>UiPath Task Mining / Task Capture</x:v>
      </x:c>
      <x:c r="B7" s="200" t="str">
        <x:v>Task mining / automation discovery</x:v>
      </x:c>
      <x:c r="C7" s="200" t="str">
        <x:v>Desktop screenshots, clicks/keyboard actions, UI elements, process sequences and automation opportunity discovery.</x:v>
      </x:c>
      <x:c r="D7" s="200" t="str">
        <x:v>Action-level capture and workflow reconstruction are proven enterprise patterns.</x:v>
      </x:c>
      <x:c r="E7" s="200" t="str">
        <x:v>Optimised for process discovery/automation rather than individual task-outcome assurance and capability development.</x:v>
      </x:c>
      <x:c r="F7" s="200" t="str">
        <x:v>Learn capture/review patterns; consider future process-platform integration.</x:v>
      </x:c>
      <x:c r="G7" s="200" t="str">
        <x:v>High</x:v>
      </x:c>
      <x:c r="H7" s="200" t="str">
        <x:v>https://docs.uipath.com/task-capture/standalone/2021.10/user-guide/capture-settings</x:v>
      </x:c>
      <x:c r="I7" s="201" t="str">
        <x:v>Strong evidence that click + screenshot + UI context is viable.</x:v>
      </x:c>
      <x:c r="J7" s="47"/>
      <x:c r="K7" s="47"/>
      <x:c r="L7" s="47"/>
      <x:c r="M7" s="47"/>
      <x:c r="N7" s="47"/>
      <x:c r="O7" s="47"/>
      <x:c r="P7" s="47"/>
      <x:c r="Q7" s="47"/>
      <x:c r="R7" s="47"/>
      <x:c r="S7" s="47"/>
      <x:c r="T7" s="47"/>
      <x:c r="U7" s="47"/>
      <x:c r="V7" s="47"/>
      <x:c r="W7" s="47"/>
      <x:c r="X7" s="47"/>
      <x:c r="Y7" s="47"/>
      <x:c r="Z7" s="47"/>
    </x:row>
    <x:row r="8">
      <x:c r="A8" s="205" t="str">
        <x:v>ABBYY Timeline Task Mining</x:v>
      </x:c>
      <x:c r="B8" s="206" t="str">
        <x:v>Task/process intelligence</x:v>
      </x:c>
      <x:c r="C8" s="206" t="str">
        <x:v>Screen snapshots, buttons clicked, text entered, application usage and task association.</x:v>
      </x:c>
      <x:c r="D8" s="206" t="str">
        <x:v>Task definitions can organise raw user actions into analysable sequences.</x:v>
      </x:c>
      <x:c r="E8" s="206" t="str">
        <x:v>Does not provide the complete role-claim, capability, real-time coaching and self-improvement model.</x:v>
      </x:c>
      <x:c r="F8" s="206" t="str">
        <x:v>Learn task-segmentation and process-variant concepts.</x:v>
      </x:c>
      <x:c r="G8" s="206" t="str">
        <x:v>High</x:v>
      </x:c>
      <x:c r="H8" s="206" t="str">
        <x:v>https://help.abbyy.com/en-us/timeline/6/user_guide/task-mining</x:v>
      </x:c>
      <x:c r="I8" s="207" t="str"/>
      <x:c r="J8" s="47"/>
      <x:c r="K8" s="47"/>
      <x:c r="L8" s="47"/>
      <x:c r="M8" s="47"/>
      <x:c r="N8" s="47"/>
      <x:c r="O8" s="47"/>
      <x:c r="P8" s="47"/>
      <x:c r="Q8" s="47"/>
      <x:c r="R8" s="47"/>
      <x:c r="S8" s="47"/>
      <x:c r="T8" s="47"/>
      <x:c r="U8" s="47"/>
      <x:c r="V8" s="47"/>
      <x:c r="W8" s="47"/>
      <x:c r="X8" s="47"/>
      <x:c r="Y8" s="47"/>
      <x:c r="Z8" s="47"/>
    </x:row>
    <x:row r="9">
      <x:c r="A9" s="199" t="str">
        <x:v>Soroco Scout</x:v>
      </x:c>
      <x:c r="B9" s="200" t="str">
        <x:v>Work graph / process intelligence</x:v>
      </x:c>
      <x:c r="C9" s="200" t="str">
        <x:v>Maps team-machine interactions, process variants, workarounds, effort leakage and automation opportunities.</x:v>
      </x:c>
      <x:c r="D9" s="200" t="str">
        <x:v>A work-graph framing is strategically close to Nessovo's evidence/provenance graph.</x:v>
      </x:c>
      <x:c r="E9" s="200" t="str">
        <x:v>Generally team/process-oriented and privacy-minimised rather than exact individual task assurance and training.</x:v>
      </x:c>
      <x:c r="F9" s="200" t="str">
        <x:v>Benchmark graph terminology and enterprise process use cases.</x:v>
      </x:c>
      <x:c r="G9" s="200" t="str">
        <x:v>Medium</x:v>
      </x:c>
      <x:c r="H9" s="200" t="str">
        <x:v>https://soroco.com/</x:v>
      </x:c>
      <x:c r="I9" s="201" t="str"/>
      <x:c r="J9" s="47"/>
      <x:c r="K9" s="47"/>
      <x:c r="L9" s="47"/>
      <x:c r="M9" s="47"/>
      <x:c r="N9" s="47"/>
      <x:c r="O9" s="47"/>
      <x:c r="P9" s="47"/>
      <x:c r="Q9" s="47"/>
      <x:c r="R9" s="47"/>
      <x:c r="S9" s="47"/>
      <x:c r="T9" s="47"/>
      <x:c r="U9" s="47"/>
      <x:c r="V9" s="47"/>
      <x:c r="W9" s="47"/>
      <x:c r="X9" s="47"/>
      <x:c r="Y9" s="47"/>
      <x:c r="Z9" s="47"/>
    </x:row>
    <x:row r="10">
      <x:c r="A10" s="205" t="str">
        <x:v>Workfellow</x:v>
      </x:c>
      <x:c r="B10" s="206" t="str">
        <x:v>Process intelligence / task mining</x:v>
      </x:c>
      <x:c r="C10" s="206" t="str">
        <x:v>Combines process and task mining to locate workflow friction and automation potential.</x:v>
      </x:c>
      <x:c r="D10" s="206" t="str">
        <x:v>There is demand for understanding how work actually flows across systems.</x:v>
      </x:c>
      <x:c r="E10" s="206" t="str">
        <x:v>Limited public evidence of exact text, technical outcome validation or longitudinal capability development.</x:v>
      </x:c>
      <x:c r="F10" s="206" t="str">
        <x:v>Watch and compare process-intelligence partnerships.</x:v>
      </x:c>
      <x:c r="G10" s="206" t="str">
        <x:v>Medium</x:v>
      </x:c>
      <x:c r="H10" s="206" t="str">
        <x:v>https://www.workfellow.ai/</x:v>
      </x:c>
      <x:c r="I10" s="207" t="str"/>
      <x:c r="J10" s="47"/>
      <x:c r="K10" s="47"/>
      <x:c r="L10" s="47"/>
      <x:c r="M10" s="47"/>
      <x:c r="N10" s="47"/>
      <x:c r="O10" s="47"/>
      <x:c r="P10" s="47"/>
      <x:c r="Q10" s="47"/>
      <x:c r="R10" s="47"/>
      <x:c r="S10" s="47"/>
      <x:c r="T10" s="47"/>
      <x:c r="U10" s="47"/>
      <x:c r="V10" s="47"/>
      <x:c r="W10" s="47"/>
      <x:c r="X10" s="47"/>
      <x:c r="Y10" s="47"/>
      <x:c r="Z10" s="47"/>
    </x:row>
    <x:row r="11">
      <x:c r="A11" s="199" t="str">
        <x:v>Microsoft Power Automate AI Recorder</x:v>
      </x:c>
      <x:c r="B11" s="200" t="str">
        <x:v>Record / replay / RPA</x:v>
      </x:c>
      <x:c r="C11" s="200" t="str">
        <x:v>Records screen, voice, mouse and keyboard demonstrations and converts them into desktop automations.</x:v>
      </x:c>
      <x:c r="D11" s="200" t="str">
        <x:v>A demonstrated successful workflow can become a reusable procedure.</x:v>
      </x:c>
      <x:c r="E11" s="200" t="str">
        <x:v>Creates automation, not a continuous task, capability and employee-development operating system.</x:v>
      </x:c>
      <x:c r="F11" s="200" t="str">
        <x:v>Adopt demonstration-to-skill mental model; do not depend on it for core capture.</x:v>
      </x:c>
      <x:c r="G11" s="200" t="str">
        <x:v>Medium</x:v>
      </x:c>
      <x:c r="H11" s="200" t="str">
        <x:v>https://learn.microsoft.com/en-us/power-automate/desktop-flows/create-flow-using-ai-recorder</x:v>
      </x:c>
      <x:c r="I11" s="201" t="str"/>
      <x:c r="J11" s="47"/>
      <x:c r="K11" s="47"/>
      <x:c r="L11" s="47"/>
      <x:c r="M11" s="47"/>
      <x:c r="N11" s="47"/>
      <x:c r="O11" s="47"/>
      <x:c r="P11" s="47"/>
      <x:c r="Q11" s="47"/>
      <x:c r="R11" s="47"/>
      <x:c r="S11" s="47"/>
      <x:c r="T11" s="47"/>
      <x:c r="U11" s="47"/>
      <x:c r="V11" s="47"/>
      <x:c r="W11" s="47"/>
      <x:c r="X11" s="47"/>
      <x:c r="Y11" s="47"/>
      <x:c r="Z11" s="47"/>
    </x:row>
    <x:row r="12">
      <x:c r="A12" s="205" t="str">
        <x:v>OpenAI Codex Hooks</x:v>
      </x:c>
      <x:c r="B12" s="206" t="str">
        <x:v>AI-agent lifecycle instrumentation</x:v>
      </x:c>
      <x:c r="C12" s="206" t="str">
        <x:v>Lifecycle hooks around prompts, tools, permissions, session start/stop and validations.</x:v>
      </x:c>
      <x:c r="D12" s="206" t="str">
        <x:v>Official semantic hooks are more accurate than screen-only inference for agent activity.</x:v>
      </x:c>
      <x:c r="E12" s="206" t="str">
        <x:v>Provider-specific and limited to instrumented Codex activity.</x:v>
      </x:c>
      <x:c r="F12" s="206" t="str">
        <x:v>Integrate through a provider-normalising AI Adapter Hub.</x:v>
      </x:c>
      <x:c r="G12" s="206" t="str">
        <x:v>High</x:v>
      </x:c>
      <x:c r="H12" s="206" t="str">
        <x:v>https://developers.openai.com/codex/hooks</x:v>
      </x:c>
      <x:c r="I12" s="207" t="str">
        <x:v>Core provenance input.</x:v>
      </x:c>
      <x:c r="J12" s="47"/>
      <x:c r="K12" s="47"/>
      <x:c r="L12" s="47"/>
      <x:c r="M12" s="47"/>
      <x:c r="N12" s="47"/>
      <x:c r="O12" s="47"/>
      <x:c r="P12" s="47"/>
      <x:c r="Q12" s="47"/>
      <x:c r="R12" s="47"/>
      <x:c r="S12" s="47"/>
      <x:c r="T12" s="47"/>
      <x:c r="U12" s="47"/>
      <x:c r="V12" s="47"/>
      <x:c r="W12" s="47"/>
      <x:c r="X12" s="47"/>
      <x:c r="Y12" s="47"/>
      <x:c r="Z12" s="47"/>
    </x:row>
    <x:row r="13">
      <x:c r="A13" s="199" t="str">
        <x:v>OpenAI Record &amp; Replay</x:v>
      </x:c>
      <x:c r="B13" s="200" t="str">
        <x:v>Workflow demonstration to reusable skill</x:v>
      </x:c>
      <x:c r="C13" s="200" t="str">
        <x:v>Converts a demonstrated stable workflow into a reusable skill with inputs, steps and verification.</x:v>
      </x:c>
      <x:c r="D13" s="200" t="str">
        <x:v>Strong model for turning real work into governed reusable skills.</x:v>
      </x:c>
      <x:c r="E13" s="200" t="str">
        <x:v>Not a continuous employee work-intelligence platform and availability/feature scope may vary.</x:v>
      </x:c>
      <x:c r="F13" s="200" t="str">
        <x:v>Learn for Skill Forge; keep HumanOS implementation provider-neutral.</x:v>
      </x:c>
      <x:c r="G13" s="200" t="str">
        <x:v>Medium</x:v>
      </x:c>
      <x:c r="H13" s="200" t="str">
        <x:v>https://developers.openai.com/codex/record-and-replay</x:v>
      </x:c>
      <x:c r="I13" s="201" t="str"/>
      <x:c r="J13" s="47"/>
      <x:c r="K13" s="47"/>
      <x:c r="L13" s="47"/>
      <x:c r="M13" s="47"/>
      <x:c r="N13" s="47"/>
      <x:c r="O13" s="47"/>
      <x:c r="P13" s="47"/>
      <x:c r="Q13" s="47"/>
      <x:c r="R13" s="47"/>
      <x:c r="S13" s="47"/>
      <x:c r="T13" s="47"/>
      <x:c r="U13" s="47"/>
      <x:c r="V13" s="47"/>
      <x:c r="W13" s="47"/>
      <x:c r="X13" s="47"/>
      <x:c r="Y13" s="47"/>
      <x:c r="Z13" s="47"/>
    </x:row>
    <x:row r="14">
      <x:c r="A14" s="205" t="str">
        <x:v>LinearB</x:v>
      </x:c>
      <x:c r="B14" s="206" t="str">
        <x:v>Developer productivity and AI-work governance</x:v>
      </x:c>
      <x:c r="C14" s="206" t="str">
        <x:v>Engineering workflow metrics, bottleneck analysis, AI activity detection, workflow automation, team coaching and business alignment.</x:v>
      </x:c>
      <x:c r="D14" s="206" t="str">
        <x:v>Developer intelligence increasingly combines AI adoption, workflow and outcome signals.</x:v>
      </x:c>
      <x:c r="E14" s="206" t="str">
        <x:v>Centred on SDLC/tool data and delivery metrics rather than universal desktop evidence, job capability claims and cross-vertical learning.</x:v>
      </x:c>
      <x:c r="F14" s="206" t="str">
        <x:v>Benchmark technical-manager experience and integrate Git/SDLC data where useful.</x:v>
      </x:c>
      <x:c r="G14" s="206" t="str">
        <x:v>High</x:v>
      </x:c>
      <x:c r="H14" s="206" t="str">
        <x:v>https://linearb.io/platform/ai-developer-productivity-insights</x:v>
      </x:c>
      <x:c r="I14" s="207" t="str">
        <x:v>Strong adjacent competitor for software-development vertical.</x:v>
      </x:c>
      <x:c r="J14" s="47"/>
      <x:c r="K14" s="47"/>
      <x:c r="L14" s="47"/>
      <x:c r="M14" s="47"/>
      <x:c r="N14" s="47"/>
      <x:c r="O14" s="47"/>
      <x:c r="P14" s="47"/>
      <x:c r="Q14" s="47"/>
      <x:c r="R14" s="47"/>
      <x:c r="S14" s="47"/>
      <x:c r="T14" s="47"/>
      <x:c r="U14" s="47"/>
      <x:c r="V14" s="47"/>
      <x:c r="W14" s="47"/>
      <x:c r="X14" s="47"/>
      <x:c r="Y14" s="47"/>
      <x:c r="Z14" s="47"/>
    </x:row>
    <x:row r="15">
      <x:c r="A15" s="199" t="str">
        <x:v>Jellyfish</x:v>
      </x:c>
      <x:c r="B15" s="200" t="str">
        <x:v>Engineering intelligence / AI-SDLC</x:v>
      </x:c>
      <x:c r="C15" s="200" t="str">
        <x:v>Combines developer-tool, allocation, delivery, AI usage, cost, bottleneck and developer-experience signals.</x:v>
      </x:c>
      <x:c r="D15" s="200" t="str">
        <x:v>Task/project, PR and AI-use data can be tied to business outcomes without manual time tracking.</x:v>
      </x:c>
      <x:c r="E15" s="200" t="str">
        <x:v>Does not publicly position as universal endpoint reconstruction, exact human/agent causality or role capability verification.</x:v>
      </x:c>
      <x:c r="F15" s="200" t="str">
        <x:v>Benchmark outcome-based engineering reporting and AI ROI.</x:v>
      </x:c>
      <x:c r="G15" s="200" t="str">
        <x:v>High</x:v>
      </x:c>
      <x:c r="H15" s="200" t="str">
        <x:v>https://jellyfish.co/</x:v>
      </x:c>
      <x:c r="I15" s="201" t="str">
        <x:v>Strong adjacent competitor.</x:v>
      </x:c>
      <x:c r="J15" s="47"/>
      <x:c r="K15" s="47"/>
      <x:c r="L15" s="47"/>
      <x:c r="M15" s="47"/>
      <x:c r="N15" s="47"/>
      <x:c r="O15" s="47"/>
      <x:c r="P15" s="47"/>
      <x:c r="Q15" s="47"/>
      <x:c r="R15" s="47"/>
      <x:c r="S15" s="47"/>
      <x:c r="T15" s="47"/>
      <x:c r="U15" s="47"/>
      <x:c r="V15" s="47"/>
      <x:c r="W15" s="47"/>
      <x:c r="X15" s="47"/>
      <x:c r="Y15" s="47"/>
      <x:c r="Z15" s="47"/>
    </x:row>
    <x:row r="16">
      <x:c r="A16" s="205" t="str">
        <x:v>GitClear</x:v>
      </x:c>
      <x:c r="B16" s="206" t="str">
        <x:v>Code quality and developer analytics</x:v>
      </x:c>
      <x:c r="C16" s="206" t="str">
        <x:v>Repository-level code activity, AI-code impact, code-quality research and review analytics.</x:v>
      </x:c>
      <x:c r="D16" s="206" t="str">
        <x:v>Code-change quality and attribution are more useful than raw line-count metrics.</x:v>
      </x:c>
      <x:c r="E16" s="206" t="str">
        <x:v>Repository scope cannot explain all desktop work, requirements, blockers or capability context.</x:v>
      </x:c>
      <x:c r="F16" s="206" t="str">
        <x:v>Consider future connector/benchmark; retain Nessovo task/provenance core.</x:v>
      </x:c>
      <x:c r="G16" s="206" t="str">
        <x:v>Medium</x:v>
      </x:c>
      <x:c r="H16" s="206" t="str">
        <x:v>https://www.gitclear.com/</x:v>
      </x:c>
      <x:c r="I16" s="207" t="str"/>
      <x:c r="J16" s="47"/>
      <x:c r="K16" s="47"/>
      <x:c r="L16" s="47"/>
      <x:c r="M16" s="47"/>
      <x:c r="N16" s="47"/>
      <x:c r="O16" s="47"/>
      <x:c r="P16" s="47"/>
      <x:c r="Q16" s="47"/>
      <x:c r="R16" s="47"/>
      <x:c r="S16" s="47"/>
      <x:c r="T16" s="47"/>
      <x:c r="U16" s="47"/>
      <x:c r="V16" s="47"/>
      <x:c r="W16" s="47"/>
      <x:c r="X16" s="47"/>
      <x:c r="Y16" s="47"/>
      <x:c r="Z16" s="47"/>
    </x:row>
    <x:row r="17">
      <x:c r="A17" s="199" t="str">
        <x:v>TechWolf</x:v>
      </x:c>
      <x:c r="B17" s="200" t="str">
        <x:v>Skills/work intelligence</x:v>
      </x:c>
      <x:c r="C17" s="200" t="str">
        <x:v>Continuously infers skills from actual work signals and connects skills, work and market intelligence.</x:v>
      </x:c>
      <x:c r="D17" s="200" t="str">
        <x:v>Self-reported skills are insufficient; dynamic work evidence is a validated market need.</x:v>
      </x:c>
      <x:c r="E17" s="200" t="str">
        <x:v>Focuses on workforce skills intelligence rather than exact task execution, raw evidence and real-time technical coaching.</x:v>
      </x:c>
      <x:c r="F17" s="200" t="str">
        <x:v>Benchmark skills ontology, HR integration and evidence transparency; build Nessovo Capability Graph.</x:v>
      </x:c>
      <x:c r="G17" s="200" t="str">
        <x:v>High</x:v>
      </x:c>
      <x:c r="H17" s="200" t="str">
        <x:v>https://www.techwolf.ai/product/skills-intelligence</x:v>
      </x:c>
      <x:c r="I17" s="201" t="str">
        <x:v>Directly relevant to role-claim and capability goals.</x:v>
      </x:c>
      <x:c r="J17" s="47"/>
      <x:c r="K17" s="47"/>
      <x:c r="L17" s="47"/>
      <x:c r="M17" s="47"/>
      <x:c r="N17" s="47"/>
      <x:c r="O17" s="47"/>
      <x:c r="P17" s="47"/>
      <x:c r="Q17" s="47"/>
      <x:c r="R17" s="47"/>
      <x:c r="S17" s="47"/>
      <x:c r="T17" s="47"/>
      <x:c r="U17" s="47"/>
      <x:c r="V17" s="47"/>
      <x:c r="W17" s="47"/>
      <x:c r="X17" s="47"/>
      <x:c r="Y17" s="47"/>
      <x:c r="Z17" s="47"/>
    </x:row>
    <x:row r="18">
      <x:c r="A18" s="205" t="str">
        <x:v>Eightfold</x:v>
      </x:c>
      <x:c r="B18" s="206" t="str">
        <x:v>Talent and work intelligence</x:v>
      </x:c>
      <x:c r="C18" s="206" t="str">
        <x:v>Models skills, capabilities, aspirations and work signals for hiring, development, project staffing and career recommendations.</x:v>
      </x:c>
      <x:c r="D18" s="206" t="str">
        <x:v>Live work signals are entering talent intelligence and career development.</x:v>
      </x:c>
      <x:c r="E18" s="206" t="str">
        <x:v>Broader HR/talent platform; public material does not demonstrate Nessovo's exact endpoint/task-evidence and challenge model.</x:v>
      </x:c>
      <x:c r="F18" s="206" t="str">
        <x:v>Benchmark role readiness, employee growth and talent-market integration.</x:v>
      </x:c>
      <x:c r="G18" s="206" t="str">
        <x:v>High</x:v>
      </x:c>
      <x:c r="H18" s="206" t="str">
        <x:v>https://eightfold.ai/products/</x:v>
      </x:c>
      <x:c r="I18" s="207" t="str"/>
      <x:c r="J18" s="47"/>
      <x:c r="K18" s="47"/>
      <x:c r="L18" s="47"/>
      <x:c r="M18" s="47"/>
      <x:c r="N18" s="47"/>
      <x:c r="O18" s="47"/>
      <x:c r="P18" s="47"/>
      <x:c r="Q18" s="47"/>
      <x:c r="R18" s="47"/>
      <x:c r="S18" s="47"/>
      <x:c r="T18" s="47"/>
      <x:c r="U18" s="47"/>
      <x:c r="V18" s="47"/>
      <x:c r="W18" s="47"/>
      <x:c r="X18" s="47"/>
      <x:c r="Y18" s="47"/>
      <x:c r="Z18" s="47"/>
    </x:row>
    <x:row r="19">
      <x:c r="A19" s="199" t="str">
        <x:v>Gloat</x:v>
      </x:c>
      <x:c r="B19" s="200" t="str">
        <x:v>Workforce graph / agentic HR</x:v>
      </x:c>
      <x:c r="C19" s="200" t="str">
        <x:v>Dynamic skills ontology, workforce graph, task-role mapping, work orchestration, audit trails and agentic HR actions.</x:v>
      </x:c>
      <x:c r="D19" s="200" t="str">
        <x:v>Workforce graphs, governed agent actions and task-level human–AI orchestration validate parts of Nessovo's direction.</x:v>
      </x:c>
      <x:c r="E19" s="200" t="str">
        <x:v>HR-system and workforce orchestration focus rather than complete endpoint evidence and task-quality reconstruction.</x:v>
      </x:c>
      <x:c r="F19" s="200" t="str">
        <x:v>Benchmark workforce graph, employee experience and explainable agent action.</x:v>
      </x:c>
      <x:c r="G19" s="200" t="str">
        <x:v>High</x:v>
      </x:c>
      <x:c r="H19" s="200" t="str">
        <x:v>https://gloat.com/platform/workforce-graph/</x:v>
      </x:c>
      <x:c r="I19" s="201" t="str">
        <x:v>Important strategic adjacent platform.</x:v>
      </x:c>
      <x:c r="J19" s="47"/>
      <x:c r="K19" s="47"/>
      <x:c r="L19" s="47"/>
      <x:c r="M19" s="47"/>
      <x:c r="N19" s="47"/>
      <x:c r="O19" s="47"/>
      <x:c r="P19" s="47"/>
      <x:c r="Q19" s="47"/>
      <x:c r="R19" s="47"/>
      <x:c r="S19" s="47"/>
      <x:c r="T19" s="47"/>
      <x:c r="U19" s="47"/>
      <x:c r="V19" s="47"/>
      <x:c r="W19" s="47"/>
      <x:c r="X19" s="47"/>
      <x:c r="Y19" s="47"/>
      <x:c r="Z19" s="47"/>
    </x:row>
    <x:row r="20">
      <x:c r="A20" s="205" t="str">
        <x:v>Degreed</x:v>
      </x:c>
      <x:c r="B20" s="206" t="str">
        <x:v>Learning, coaching and skills development</x:v>
      </x:c>
      <x:c r="C20" s="206" t="str">
        <x:v>AI-powered learning, coaching, roleplay, skill review, pathways and behaviour-change-oriented development.</x:v>
      </x:c>
      <x:c r="D20" s="206" t="str">
        <x:v>Training must be personalised and measured through behaviour/application, not content completion alone.</x:v>
      </x:c>
      <x:c r="E20" s="206" t="str">
        <x:v>Does not provide universal work observation, task assurance or causal provenance.</x:v>
      </x:c>
      <x:c r="F20" s="206" t="str">
        <x:v>Integrate/buy content selectively; build the evidence-to-learning effectiveness loop.</x:v>
      </x:c>
      <x:c r="G20" s="206" t="str">
        <x:v>High</x:v>
      </x:c>
      <x:c r="H20" s="206" t="str">
        <x:v>https://degreed.com/experience/artificial-intelligence/</x:v>
      </x:c>
      <x:c r="I20" s="207" t="str"/>
      <x:c r="J20" s="47"/>
      <x:c r="K20" s="47"/>
      <x:c r="L20" s="47"/>
      <x:c r="M20" s="47"/>
      <x:c r="N20" s="47"/>
      <x:c r="O20" s="47"/>
      <x:c r="P20" s="47"/>
      <x:c r="Q20" s="47"/>
      <x:c r="R20" s="47"/>
      <x:c r="S20" s="47"/>
      <x:c r="T20" s="47"/>
      <x:c r="U20" s="47"/>
      <x:c r="V20" s="47"/>
      <x:c r="W20" s="47"/>
      <x:c r="X20" s="47"/>
      <x:c r="Y20" s="47"/>
      <x:c r="Z20" s="47"/>
    </x:row>
    <x:row r="21">
      <x:c r="A21" s="199" t="str">
        <x:v>OpenTelemetry GenAI semantic conventions</x:v>
      </x:c>
      <x:c r="B21" s="200" t="str">
        <x:v>Open standard / AI observability</x:v>
      </x:c>
      <x:c r="C21" s="200" t="str">
        <x:v>Common attributes and events for model, agent, tool and provider telemetry.</x:v>
      </x:c>
      <x:c r="D21" s="200" t="str">
        <x:v>Standards reduce provider lock-in and improve cross-agent correlation.</x:v>
      </x:c>
      <x:c r="E21" s="200" t="str">
        <x:v>Operational conventions do not define employee, task, capability, evidence or employment governance semantics.</x:v>
      </x:c>
      <x:c r="F21" s="200" t="str">
        <x:v>Adopt operational conventions and extend with Nessovo domain contracts; keep raw evidence separate.</x:v>
      </x:c>
      <x:c r="G21" s="200" t="str">
        <x:v>High</x:v>
      </x:c>
      <x:c r="H21" s="200" t="str">
        <x:v>https://opentelemetry.io/docs/specs/semconv/registry/attributes/gen-ai/</x:v>
      </x:c>
      <x:c r="I21" s="201" t="str"/>
      <x:c r="J21" s="47"/>
      <x:c r="K21" s="47"/>
      <x:c r="L21" s="47"/>
      <x:c r="M21" s="47"/>
      <x:c r="N21" s="47"/>
      <x:c r="O21" s="47"/>
      <x:c r="P21" s="47"/>
      <x:c r="Q21" s="47"/>
      <x:c r="R21" s="47"/>
      <x:c r="S21" s="47"/>
      <x:c r="T21" s="47"/>
      <x:c r="U21" s="47"/>
      <x:c r="V21" s="47"/>
      <x:c r="W21" s="47"/>
      <x:c r="X21" s="47"/>
      <x:c r="Y21" s="47"/>
      <x:c r="Z21" s="47"/>
    </x:row>
    <x:row r="22">
      <x:c r="A22" s="208" t="str">
        <x:v>Nessovo HumanOS Work Intelligence</x:v>
      </x:c>
      <x:c r="B22" s="209" t="str">
        <x:v>Task assurance / capability development / organisational learning</x:v>
      </x:c>
      <x:c r="C22" s="209" t="str">
        <x:v>Target combination: universal evidence, task contracts, human/AI provenance, outcome verification, capability graph, coaching, employee challenge and governed Skill Forge.</x:v>
      </x:c>
      <x:c r="D22" s="209" t="str">
        <x:v>The product opportunity is integration and semantics, not invention of every capture primitive.</x:v>
      </x:c>
      <x:c r="E22" s="209" t="str">
        <x:v>Requires higher accuracy, governance, endpoint security and cross-domain architecture than any single adjacent category.</x:v>
      </x:c>
      <x:c r="F22" s="209" t="str">
        <x:v>Build proprietary core; integrate commodity standards and tools.</x:v>
      </x:c>
      <x:c r="G22" s="209" t="str">
        <x:v>Critical</x:v>
      </x:c>
      <x:c r="H22" s="209" t="str">
        <x:v>Internal product definition</x:v>
      </x:c>
      <x:c r="I22" s="210" t="str">
        <x:v>Strategic target.</x:v>
      </x:c>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I1"/>
    <x:mergeCell ref="A2:I2"/>
  </x:mergeCells>
  <x:dataValidations count="1">
    <x:dataValidation type="list" sqref="G5:G22">
      <x:formula1>"Critical,High,Medium,Low"</x:formula1>
    </x:dataValidation>
  </x:dataValidations>
  <x:pageMargins left="0.7" right="0.7" top="0.75" bottom="0.75" header="0.3" footer="0.3"/>
  <x:tableParts count="1">
    <x:tablePart xmlns:r="http://schemas.openxmlformats.org/officeDocument/2006/relationships" r:id="Rc0b42444d1324954"/>
  </x:tableParts>
</x:worksheet>
</file>

<file path=xl/worksheets/sheet4.xml><?xml version="1.0" encoding="utf-8"?>
<x:worksheet xmlns:x="http://schemas.openxmlformats.org/spreadsheetml/2006/main">
  <x:sheetFormatPr defaultRowHeight="15"/>
  <x:cols>
    <x:col min="1" max="1" width="31" hidden="0" customWidth="1"/>
    <x:col min="2" max="2" width="27" hidden="0" customWidth="1"/>
    <x:col min="3" max="3" width="54" hidden="0" customWidth="1"/>
    <x:col min="4" max="4" width="36" hidden="0" customWidth="1"/>
    <x:col min="5" max="5" width="48" hidden="0" customWidth="1"/>
    <x:col min="6" max="6" width="38" hidden="0" customWidth="1"/>
    <x:col min="7" max="7" width="48" hidden="0" customWidth="1"/>
    <x:col min="8" max="8" width="12" hidden="0" customWidth="1"/>
    <x:col min="9" max="9" width="48" hidden="0" customWidth="1"/>
    <x:col min="10" max="10" width="40" hidden="0" customWidth="1"/>
  </x:cols>
  <x:sheetData>
    <x:row r="1" ht="30" customHeight="1">
      <x:c r="A1" s="161" t="str">
        <x:v>GitHub / Open-Source and Source-Available Scan</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Repository research for architecture and implementation references. Licence and security review are mandatory before code incorporation or distribution.</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Repository</x:v>
      </x:c>
      <x:c r="B4" s="170" t="str">
        <x:v>Category</x:v>
      </x:c>
      <x:c r="C4" s="170" t="str">
        <x:v>Useful architecture / pattern</x:v>
      </x:c>
      <x:c r="D4" s="170" t="str">
        <x:v>Maturity signal</x:v>
      </x:c>
      <x:c r="E4" s="170" t="str">
        <x:v>Limit / risk</x:v>
      </x:c>
      <x:c r="F4" s="170" t="str">
        <x:v>Verified licence posture</x:v>
      </x:c>
      <x:c r="G4" s="170" t="str">
        <x:v>Recommended stance</x:v>
      </x:c>
      <x:c r="H4" s="170" t="str">
        <x:v>Likely stage</x:v>
      </x:c>
      <x:c r="I4" s="170" t="str">
        <x:v>Source URL</x:v>
      </x:c>
      <x:c r="J4" s="175" t="str">
        <x:v>Due-diligence action</x:v>
      </x:c>
      <x:c r="K4" s="47"/>
      <x:c r="L4" s="47"/>
      <x:c r="M4" s="47"/>
      <x:c r="N4" s="47"/>
      <x:c r="O4" s="47"/>
      <x:c r="P4" s="47"/>
      <x:c r="Q4" s="47"/>
      <x:c r="R4" s="47"/>
      <x:c r="S4" s="47"/>
      <x:c r="T4" s="47"/>
      <x:c r="U4" s="47"/>
      <x:c r="V4" s="47"/>
      <x:c r="W4" s="47"/>
      <x:c r="X4" s="47"/>
      <x:c r="Y4" s="47"/>
      <x:c r="Z4" s="47"/>
    </x:row>
    <x:row r="5">
      <x:c r="A5" s="197" t="str">
        <x:v>screenpipe/screenpipe</x:v>
      </x:c>
      <x:c r="B5" s="198" t="str">
        <x:v>Local screen/audio/activity memory</x:v>
      </x:c>
      <x:c r="C5" s="198" t="str">
        <x:v>Event-driven visual capture, accessibility-first text, OCR fallback, keyboard/app switches, local storage/search and AI pipes.</x:v>
      </x:c>
      <x:c r="D5" s="198" t="str">
        <x:v>Large active source-available project with Windows/macOS/Linux support claims and desktop product.</x:v>
      </x:c>
      <x:c r="E5" s="198" t="str">
        <x:v>Commercial licence for commercial use; broad capture and local AI design still require independent security/performance review.</x:v>
      </x:c>
      <x:c r="F5" s="198" t="str">
        <x:v>Source-available; repository states personal/non-commercial use and commercial licence requirement.</x:v>
      </x:c>
      <x:c r="G5" s="198" t="str">
        <x:v>Study and benchmark; negotiate licence only if strategically justified; do not make it the proprietary core by default.</x:v>
      </x:c>
      <x:c r="H5" s="198" t="str">
        <x:v>3–5</x:v>
      </x:c>
      <x:c r="I5" s="198" t="str">
        <x:v>https://github.com/screenpipe/screenpipe</x:v>
      </x:c>
      <x:c r="J5" s="220" t="str">
        <x:v>Legal review; architecture/performance benchmark; supply-chain review.</x:v>
      </x:c>
      <x:c r="K5" s="47"/>
      <x:c r="L5" s="47"/>
      <x:c r="M5" s="47"/>
      <x:c r="N5" s="47"/>
      <x:c r="O5" s="47"/>
      <x:c r="P5" s="47"/>
      <x:c r="Q5" s="47"/>
      <x:c r="R5" s="47"/>
      <x:c r="S5" s="47"/>
      <x:c r="T5" s="47"/>
      <x:c r="U5" s="47"/>
      <x:c r="V5" s="47"/>
      <x:c r="W5" s="47"/>
      <x:c r="X5" s="47"/>
      <x:c r="Y5" s="47"/>
      <x:c r="Z5" s="47"/>
    </x:row>
    <x:row r="6">
      <x:c r="A6" s="205" t="str">
        <x:v>ActivityWatch/activitywatch</x:v>
      </x:c>
      <x:c r="B6" s="206" t="str">
        <x:v>Privacy-first activity tracking</x:v>
      </x:c>
      <x:c r="C6" s="206" t="str">
        <x:v>Watcher/server architecture for active window, browser tab and AFK events; local data ownership and extensibility.</x:v>
      </x:c>
      <x:c r="D6" s="206" t="str">
        <x:v>Long-running cross-platform project with modular watcher ecosystem.</x:v>
      </x:c>
      <x:c r="E6" s="206" t="str">
        <x:v>Lower fidelity; no task assurance, screenshots or exact semantic provenance. MPL file-level obligations matter if code is modified/distributed.</x:v>
      </x:c>
      <x:c r="F6" s="206" t="str">
        <x:v>MPL-2.0 verified in repository licence.</x:v>
      </x:c>
      <x:c r="G6" s="206" t="str">
        <x:v>Use architecture ideas and possibly protocol-level compatibility; code reuse only after legal decision.</x:v>
      </x:c>
      <x:c r="H6" s="206" t="str">
        <x:v>3–5</x:v>
      </x:c>
      <x:c r="I6" s="206" t="str">
        <x:v>https://github.com/ActivityWatch/activitywatch</x:v>
      </x:c>
      <x:c r="J6" s="207" t="str">
        <x:v>Map relevant watcher modules and MPL obligations.</x:v>
      </x:c>
      <x:c r="K6" s="47"/>
      <x:c r="L6" s="47"/>
      <x:c r="M6" s="47"/>
      <x:c r="N6" s="47"/>
      <x:c r="O6" s="47"/>
      <x:c r="P6" s="47"/>
      <x:c r="Q6" s="47"/>
      <x:c r="R6" s="47"/>
      <x:c r="S6" s="47"/>
      <x:c r="T6" s="47"/>
      <x:c r="U6" s="47"/>
      <x:c r="V6" s="47"/>
      <x:c r="W6" s="47"/>
      <x:c r="X6" s="47"/>
      <x:c r="Y6" s="47"/>
      <x:c r="Z6" s="47"/>
    </x:row>
    <x:row r="7">
      <x:c r="A7" s="199" t="str">
        <x:v>ActivityWatch/aw-watcher-window</x:v>
      </x:c>
      <x:c r="B7" s="200" t="str">
        <x:v>Active-window watcher</x:v>
      </x:c>
      <x:c r="C7" s="200" t="str">
        <x:v>Small focused watcher producing foreground-window events to a local server.</x:v>
      </x:c>
      <x:c r="D7" s="200" t="str">
        <x:v>Mature component in ActivityWatch ecosystem.</x:v>
      </x:c>
      <x:c r="E7" s="200" t="str">
        <x:v>Platform-specific behaviour and title sensitivity.</x:v>
      </x:c>
      <x:c r="F7" s="200" t="str">
        <x:v>Repository-family licence should be verified per component.</x:v>
      </x:c>
      <x:c r="G7" s="200" t="str">
        <x:v>Reference for event semantics and tests.</x:v>
      </x:c>
      <x:c r="H7" s="200" t="str">
        <x:v>3–5</x:v>
      </x:c>
      <x:c r="I7" s="200" t="str">
        <x:v>https://github.com/ActivityWatch/aw-watcher-window</x:v>
      </x:c>
      <x:c r="J7" s="201" t="str">
        <x:v>Inspect OS implementations and redaction options.</x:v>
      </x:c>
      <x:c r="K7" s="47"/>
      <x:c r="L7" s="47"/>
      <x:c r="M7" s="47"/>
      <x:c r="N7" s="47"/>
      <x:c r="O7" s="47"/>
      <x:c r="P7" s="47"/>
      <x:c r="Q7" s="47"/>
      <x:c r="R7" s="47"/>
      <x:c r="S7" s="47"/>
      <x:c r="T7" s="47"/>
      <x:c r="U7" s="47"/>
      <x:c r="V7" s="47"/>
      <x:c r="W7" s="47"/>
      <x:c r="X7" s="47"/>
      <x:c r="Y7" s="47"/>
      <x:c r="Z7" s="47"/>
    </x:row>
    <x:row r="8">
      <x:c r="A8" s="205" t="str">
        <x:v>ActivityWatch/aw-watcher-web</x:v>
      </x:c>
      <x:c r="B8" s="206" t="str">
        <x:v>Browser watcher</x:v>
      </x:c>
      <x:c r="C8" s="206" t="str">
        <x:v>Browser-extension watcher for active tab/title/URL events.</x:v>
      </x:c>
      <x:c r="D8" s="206" t="str">
        <x:v>Mature ActivityWatch companion project.</x:v>
      </x:c>
      <x:c r="E8" s="206" t="str">
        <x:v>Browser permissions and sensitive URL/title collection.</x:v>
      </x:c>
      <x:c r="F8" s="206" t="str">
        <x:v>Repository-family licence should be verified per component.</x:v>
      </x:c>
      <x:c r="G8" s="206" t="str">
        <x:v>Reference for minimal browser adapter.</x:v>
      </x:c>
      <x:c r="H8" s="206" t="str">
        <x:v>6</x:v>
      </x:c>
      <x:c r="I8" s="206" t="str">
        <x:v>https://github.com/ActivityWatch/aw-watcher-web</x:v>
      </x:c>
      <x:c r="J8" s="207" t="str">
        <x:v>Inspect extension permissions and native communication.</x:v>
      </x:c>
      <x:c r="K8" s="47"/>
      <x:c r="L8" s="47"/>
      <x:c r="M8" s="47"/>
      <x:c r="N8" s="47"/>
      <x:c r="O8" s="47"/>
      <x:c r="P8" s="47"/>
      <x:c r="Q8" s="47"/>
      <x:c r="R8" s="47"/>
      <x:c r="S8" s="47"/>
      <x:c r="T8" s="47"/>
      <x:c r="U8" s="47"/>
      <x:c r="V8" s="47"/>
      <x:c r="W8" s="47"/>
      <x:c r="X8" s="47"/>
      <x:c r="Y8" s="47"/>
      <x:c r="Z8" s="47"/>
    </x:row>
    <x:row r="9">
      <x:c r="A9" s="199" t="str">
        <x:v>OpenAdaptAI/openadapt-desktop</x:v>
      </x:c>
      <x:c r="B9" s="200" t="str">
        <x:v>Desktop recording / human teaching</x:v>
      </x:c>
      <x:c r="C9" s="200" t="str">
        <x:v>Capture/review UI, local engine, Tauri/React shell, Python sidecar and bridge to record/compile/replay/teach.</x:v>
      </x:c>
      <x:c r="D9" s="200" t="str">
        <x:v>Repository explicitly labels the desktop surface experimental and not a supported production release.</x:v>
      </x:c>
      <x:c r="E9" s="200" t="str">
        <x:v>End-to-end boundaries are mocked; no validated production installer; flow engine is separate.</x:v>
      </x:c>
      <x:c r="F9" s="200" t="str">
        <x:v>MIT verified by repository README/licence.</x:v>
      </x:c>
      <x:c r="G9" s="200" t="str">
        <x:v>Study architecture, consent/review and teaching concepts; do not treat as deployable foundation.</x:v>
      </x:c>
      <x:c r="H9" s="200" t="str">
        <x:v>3,11</x:v>
      </x:c>
      <x:c r="I9" s="200" t="str">
        <x:v>https://github.com/OpenAdaptAI/openadapt-desktop</x:v>
      </x:c>
      <x:c r="J9" s="201" t="str">
        <x:v>Inspect capture/privacy subprojects and implementation maturity.</x:v>
      </x:c>
      <x:c r="K9" s="47"/>
      <x:c r="L9" s="47"/>
      <x:c r="M9" s="47"/>
      <x:c r="N9" s="47"/>
      <x:c r="O9" s="47"/>
      <x:c r="P9" s="47"/>
      <x:c r="Q9" s="47"/>
      <x:c r="R9" s="47"/>
      <x:c r="S9" s="47"/>
      <x:c r="T9" s="47"/>
      <x:c r="U9" s="47"/>
      <x:c r="V9" s="47"/>
      <x:c r="W9" s="47"/>
      <x:c r="X9" s="47"/>
      <x:c r="Y9" s="47"/>
      <x:c r="Z9" s="47"/>
    </x:row>
    <x:row r="10">
      <x:c r="A10" s="205" t="str">
        <x:v>OpenAdaptAI/openadapt-flow</x:v>
      </x:c>
      <x:c r="B10" s="206" t="str">
        <x:v>Deterministic workflow compiler/runtime</x:v>
      </x:c>
      <x:c r="C10" s="206" t="str">
        <x:v>Record → compile → lint/certify → replay → halt/repair/teach lifecycle.</x:v>
      </x:c>
      <x:c r="D10" s="206" t="str">
        <x:v>Canonical OpenAdapt workflow engine according to desktop README.</x:v>
      </x:c>
      <x:c r="E10" s="206" t="str">
        <x:v>GUI replay is a future Skill Forge capability, not initial work assurance; safety scope is significant.</x:v>
      </x:c>
      <x:c r="F10" s="206" t="str">
        <x:v>Verify repository licence before reuse.</x:v>
      </x:c>
      <x:c r="G10" s="206" t="str">
        <x:v>Reference for governed workflow compilation and verification.</x:v>
      </x:c>
      <x:c r="H10" s="206" t="str">
        <x:v>11+</x:v>
      </x:c>
      <x:c r="I10" s="206" t="str">
        <x:v>https://github.com/OpenAdaptAI/openadapt-flow</x:v>
      </x:c>
      <x:c r="J10" s="207" t="str">
        <x:v>Licence/security review and isolated future spike.</x:v>
      </x:c>
      <x:c r="K10" s="47"/>
      <x:c r="L10" s="47"/>
      <x:c r="M10" s="47"/>
      <x:c r="N10" s="47"/>
      <x:c r="O10" s="47"/>
      <x:c r="P10" s="47"/>
      <x:c r="Q10" s="47"/>
      <x:c r="R10" s="47"/>
      <x:c r="S10" s="47"/>
      <x:c r="T10" s="47"/>
      <x:c r="U10" s="47"/>
      <x:c r="V10" s="47"/>
      <x:c r="W10" s="47"/>
      <x:c r="X10" s="47"/>
      <x:c r="Y10" s="47"/>
      <x:c r="Z10" s="47"/>
    </x:row>
    <x:row r="11">
      <x:c r="A11" s="199" t="str">
        <x:v>OpenAdaptAI/openadapt-privacy</x:v>
      </x:c>
      <x:c r="B11" s="200" t="str">
        <x:v>PII detection and redaction</x:v>
      </x:c>
      <x:c r="C11" s="200" t="str">
        <x:v>Experimental privacy component associated with OpenAdapt capture.</x:v>
      </x:c>
      <x:c r="D11" s="200" t="str">
        <x:v>Experimental supporting project.</x:v>
      </x:c>
      <x:c r="E11" s="200" t="str">
        <x:v>PII/secret redaction quality must be independently evaluated against Nessovo data.</x:v>
      </x:c>
      <x:c r="F11" s="200" t="str">
        <x:v>Verify repository licence and model licences.</x:v>
      </x:c>
      <x:c r="G11" s="200" t="str">
        <x:v>Benchmark only; Nessovo needs its own edge policy and test corpus.</x:v>
      </x:c>
      <x:c r="H11" s="200" t="str">
        <x:v>3–5</x:v>
      </x:c>
      <x:c r="I11" s="200" t="str">
        <x:v>https://github.com/OpenAdaptAI/openadapt-privacy</x:v>
      </x:c>
      <x:c r="J11" s="201" t="str">
        <x:v>Evaluate false negatives and model provenance.</x:v>
      </x:c>
      <x:c r="K11" s="47"/>
      <x:c r="L11" s="47"/>
      <x:c r="M11" s="47"/>
      <x:c r="N11" s="47"/>
      <x:c r="O11" s="47"/>
      <x:c r="P11" s="47"/>
      <x:c r="Q11" s="47"/>
      <x:c r="R11" s="47"/>
      <x:c r="S11" s="47"/>
      <x:c r="T11" s="47"/>
      <x:c r="U11" s="47"/>
      <x:c r="V11" s="47"/>
      <x:c r="W11" s="47"/>
      <x:c r="X11" s="47"/>
      <x:c r="Y11" s="47"/>
      <x:c r="Z11" s="47"/>
    </x:row>
    <x:row r="12">
      <x:c r="A12" s="205" t="str">
        <x:v>thedotmack/claude-mem</x:v>
      </x:c>
      <x:c r="B12" s="206" t="str">
        <x:v>AI-agent persistent memory</x:v>
      </x:c>
      <x:c r="C12" s="206" t="str">
        <x:v>Lifecycle hooks, local worker, asynchronous observation compression, SQLite/FTS5, vector search and real-time viewer.</x:v>
      </x:c>
      <x:c r="D12" s="206" t="str">
        <x:v>Large active project with documented architecture and multi-environment support.</x:v>
      </x:c>
      <x:c r="E12" s="206" t="str">
        <x:v>Claude-centric; memory content and provider dependencies require HumanOS tenant/policy redesign.</x:v>
      </x:c>
      <x:c r="F12" s="206" t="str">
        <x:v>Apache-2.0 verified in repository metadata/readme.</x:v>
      </x:c>
      <x:c r="G12" s="206" t="str">
        <x:v>Adapt architecture pattern, not necessarily code; integrate official agent hooks into HumanOS memory/evidence.</x:v>
      </x:c>
      <x:c r="H12" s="206" t="str">
        <x:v>6,11</x:v>
      </x:c>
      <x:c r="I12" s="206" t="str">
        <x:v>https://github.com/thedotmack/claude-mem</x:v>
      </x:c>
      <x:c r="J12" s="207" t="str">
        <x:v>Security review, provider abstraction and licence provenance.</x:v>
      </x:c>
      <x:c r="K12" s="47"/>
      <x:c r="L12" s="47"/>
      <x:c r="M12" s="47"/>
      <x:c r="N12" s="47"/>
      <x:c r="O12" s="47"/>
      <x:c r="P12" s="47"/>
      <x:c r="Q12" s="47"/>
      <x:c r="R12" s="47"/>
      <x:c r="S12" s="47"/>
      <x:c r="T12" s="47"/>
      <x:c r="U12" s="47"/>
      <x:c r="V12" s="47"/>
      <x:c r="W12" s="47"/>
      <x:c r="X12" s="47"/>
      <x:c r="Y12" s="47"/>
      <x:c r="Z12" s="47"/>
    </x:row>
    <x:row r="13">
      <x:c r="A13" s="199" t="str">
        <x:v>rebelytics/one-skill-to-rule-them-all</x:v>
      </x:c>
      <x:c r="B13" s="200" t="str">
        <x:v>Continuous skill improvement methodology</x:v>
      </x:c>
      <x:c r="C13" s="200" t="str">
        <x:v>Structured observations of corrections/gaps, cross-cutting principles, periodic review and human-approved skill changes.</x:v>
      </x:c>
      <x:c r="D13" s="200" t="str">
        <x:v>Methodology reports extensive real-world use; compact repository.</x:v>
      </x:c>
      <x:c r="E13" s="200" t="str">
        <x:v>Not a recorder or runtime; file-based process is not sufficient for multi-tenant HumanOS.</x:v>
      </x:c>
      <x:c r="F13" s="200" t="str">
        <x:v>CC BY 4.0 stated in repository README.</x:v>
      </x:c>
      <x:c r="G13" s="200" t="str">
        <x:v>Adapt methodology with attribution into governed Skill Forge.</x:v>
      </x:c>
      <x:c r="H13" s="200" t="str">
        <x:v>11</x:v>
      </x:c>
      <x:c r="I13" s="200" t="str">
        <x:v>https://github.com/rebelytics/one-skill-to-rule-them-all</x:v>
      </x:c>
      <x:c r="J13" s="201" t="str">
        <x:v>Preserve attribution; separate confidential/internal skill content.</x:v>
      </x:c>
      <x:c r="K13" s="47"/>
      <x:c r="L13" s="47"/>
      <x:c r="M13" s="47"/>
      <x:c r="N13" s="47"/>
      <x:c r="O13" s="47"/>
      <x:c r="P13" s="47"/>
      <x:c r="Q13" s="47"/>
      <x:c r="R13" s="47"/>
      <x:c r="S13" s="47"/>
      <x:c r="T13" s="47"/>
      <x:c r="U13" s="47"/>
      <x:c r="V13" s="47"/>
      <x:c r="W13" s="47"/>
      <x:c r="X13" s="47"/>
      <x:c r="Y13" s="47"/>
      <x:c r="Z13" s="47"/>
    </x:row>
    <x:row r="14">
      <x:c r="A14" s="205" t="str">
        <x:v>wakatime/wakatime-cli</x:v>
      </x:c>
      <x:c r="B14" s="206" t="str">
        <x:v>Developer activity telemetry</x:v>
      </x:c>
      <x:c r="C14" s="206" t="str">
        <x:v>Editor/CLI heartbeat model, project/language metadata and broad plugin ecosystem.</x:v>
      </x:c>
      <x:c r="D14" s="206" t="str">
        <x:v>Active Go CLI used by WakaTime integrations.</x:v>
      </x:c>
      <x:c r="E14" s="206" t="str">
        <x:v>Developer-tool-only; heartbeat/time telemetry cannot establish task quality or capability.</x:v>
      </x:c>
      <x:c r="F14" s="206" t="str">
        <x:v>BSD 3-Clause verified in repository licence.</x:v>
      </x:c>
      <x:c r="G14" s="206" t="str">
        <x:v>Reference or optional connector for supported editor metadata.</x:v>
      </x:c>
      <x:c r="H14" s="206" t="str">
        <x:v>6</x:v>
      </x:c>
      <x:c r="I14" s="206" t="str">
        <x:v>https://github.com/wakatime/wakatime-cli</x:v>
      </x:c>
      <x:c r="J14" s="207" t="str">
        <x:v>Review privacy and data fields before connector design.</x:v>
      </x:c>
      <x:c r="K14" s="47"/>
      <x:c r="L14" s="47"/>
      <x:c r="M14" s="47"/>
      <x:c r="N14" s="47"/>
      <x:c r="O14" s="47"/>
      <x:c r="P14" s="47"/>
      <x:c r="Q14" s="47"/>
      <x:c r="R14" s="47"/>
      <x:c r="S14" s="47"/>
      <x:c r="T14" s="47"/>
      <x:c r="U14" s="47"/>
      <x:c r="V14" s="47"/>
      <x:c r="W14" s="47"/>
      <x:c r="X14" s="47"/>
      <x:c r="Y14" s="47"/>
      <x:c r="Z14" s="47"/>
    </x:row>
    <x:row r="15">
      <x:c r="A15" s="199" t="str">
        <x:v>open-telemetry/semantic-conventions</x:v>
      </x:c>
      <x:c r="B15" s="200" t="str">
        <x:v>Operational observability standard</x:v>
      </x:c>
      <x:c r="C15" s="200" t="str">
        <x:v>Cross-language semantic conventions for traces, metrics and logs.</x:v>
      </x:c>
      <x:c r="D15" s="200" t="str">
        <x:v>CNCF/OpenTelemetry standard ecosystem.</x:v>
      </x:c>
      <x:c r="E15" s="200" t="str">
        <x:v>Operational telemetry is not the employee evidence store; sensitive content may leak if misconfigured.</x:v>
      </x:c>
      <x:c r="F15" s="200" t="str">
        <x:v>Apache-2.0 ecosystem; verify repository licence at incorporation.</x:v>
      </x:c>
      <x:c r="G15" s="200" t="str">
        <x:v>Adopt conventions through existing HumanOS observability.</x:v>
      </x:c>
      <x:c r="H15" s="200" t="str">
        <x:v>3+</x:v>
      </x:c>
      <x:c r="I15" s="200" t="str">
        <x:v>https://github.com/open-telemetry/semantic-conventions</x:v>
      </x:c>
      <x:c r="J15" s="201" t="str">
        <x:v>Define content policy and correlation IDs.</x:v>
      </x:c>
      <x:c r="K15" s="47"/>
      <x:c r="L15" s="47"/>
      <x:c r="M15" s="47"/>
      <x:c r="N15" s="47"/>
      <x:c r="O15" s="47"/>
      <x:c r="P15" s="47"/>
      <x:c r="Q15" s="47"/>
      <x:c r="R15" s="47"/>
      <x:c r="S15" s="47"/>
      <x:c r="T15" s="47"/>
      <x:c r="U15" s="47"/>
      <x:c r="V15" s="47"/>
      <x:c r="W15" s="47"/>
      <x:c r="X15" s="47"/>
      <x:c r="Y15" s="47"/>
      <x:c r="Z15" s="47"/>
    </x:row>
    <x:row r="16">
      <x:c r="A16" s="205" t="str">
        <x:v>open-telemetry/semantic-conventions-genai</x:v>
      </x:c>
      <x:c r="B16" s="206" t="str">
        <x:v>GenAI observability conventions</x:v>
      </x:c>
      <x:c r="C16" s="206" t="str">
        <x:v>GenAI, agent, tool, model and MCP attributes/events.</x:v>
      </x:c>
      <x:c r="D16" s="206" t="str">
        <x:v>Active standards work supporting provider-neutral instrumentation.</x:v>
      </x:c>
      <x:c r="E16" s="206" t="str">
        <x:v>Does not define Nessovo task/capability/employee semantics; input/output content is sensitive.</x:v>
      </x:c>
      <x:c r="F16" s="206" t="str">
        <x:v>Apache-2.0 stated in repository.</x:v>
      </x:c>
      <x:c r="G16" s="206" t="str">
        <x:v>Adopt operational semantics and extend with Nessovo evidence references.</x:v>
      </x:c>
      <x:c r="H16" s="206" t="str">
        <x:v>6+</x:v>
      </x:c>
      <x:c r="I16" s="206" t="str">
        <x:v>https://github.com/open-telemetry/semantic-conventions-genai</x:v>
      </x:c>
      <x:c r="J16" s="207" t="str">
        <x:v>Pin stable conventions; avoid unrestricted content capture.</x:v>
      </x:c>
      <x:c r="K16" s="47"/>
      <x:c r="L16" s="47"/>
      <x:c r="M16" s="47"/>
      <x:c r="N16" s="47"/>
      <x:c r="O16" s="47"/>
      <x:c r="P16" s="47"/>
      <x:c r="Q16" s="47"/>
      <x:c r="R16" s="47"/>
      <x:c r="S16" s="47"/>
      <x:c r="T16" s="47"/>
      <x:c r="U16" s="47"/>
      <x:c r="V16" s="47"/>
      <x:c r="W16" s="47"/>
      <x:c r="X16" s="47"/>
      <x:c r="Y16" s="47"/>
      <x:c r="Z16" s="47"/>
    </x:row>
    <x:row r="17">
      <x:c r="A17" s="199" t="str">
        <x:v>cloudevents/spec</x:v>
      </x:c>
      <x:c r="B17" s="200" t="str">
        <x:v>Event envelope standard</x:v>
      </x:c>
      <x:c r="C17" s="200" t="str">
        <x:v>Portable event metadata and bindings for cross-service/cloud event interchange.</x:v>
      </x:c>
      <x:c r="D17" s="200" t="str">
        <x:v>CNCF graduated project and broad ecosystem support.</x:v>
      </x:c>
      <x:c r="E17" s="200" t="str">
        <x:v>Envelope does not solve domain schema, ordering, privacy or replay by itself.</x:v>
      </x:c>
      <x:c r="F17" s="200" t="str">
        <x:v>Apache-2.0 verified in repository licence.</x:v>
      </x:c>
      <x:c r="G17" s="200" t="str">
        <x:v>Adopt CloudEvents-style envelope if compatible with existing HumanOS contracts.</x:v>
      </x:c>
      <x:c r="H17" s="200" t="str">
        <x:v>1,4</x:v>
      </x:c>
      <x:c r="I17" s="200" t="str">
        <x:v>https://github.com/cloudevents/spec</x:v>
      </x:c>
      <x:c r="J17" s="201" t="str">
        <x:v>Run compatibility assessment with HumanOS event schemas.</x:v>
      </x:c>
      <x:c r="K17" s="47"/>
      <x:c r="L17" s="47"/>
      <x:c r="M17" s="47"/>
      <x:c r="N17" s="47"/>
      <x:c r="O17" s="47"/>
      <x:c r="P17" s="47"/>
      <x:c r="Q17" s="47"/>
      <x:c r="R17" s="47"/>
      <x:c r="S17" s="47"/>
      <x:c r="T17" s="47"/>
      <x:c r="U17" s="47"/>
      <x:c r="V17" s="47"/>
      <x:c r="W17" s="47"/>
      <x:c r="X17" s="47"/>
      <x:c r="Y17" s="47"/>
      <x:c r="Z17" s="47"/>
    </x:row>
    <x:row r="18">
      <x:c r="A18" s="205" t="str">
        <x:v>open-policy-agent/opa</x:v>
      </x:c>
      <x:c r="B18" s="206" t="str">
        <x:v>Policy-as-code</x:v>
      </x:c>
      <x:c r="C18" s="206" t="str">
        <x:v>Decoupled policy decision engine, bundles, decision APIs and audit patterns.</x:v>
      </x:c>
      <x:c r="D18" s="206" t="str">
        <x:v>CNCF graduated project with broad ecosystem use.</x:v>
      </x:c>
      <x:c r="E18" s="206" t="str">
        <x:v>Not every decision belongs in OPA; endpoint embedding/distribution and decision logs require security design.</x:v>
      </x:c>
      <x:c r="F18" s="206" t="str">
        <x:v>Apache-2.0; formal repository verification required before incorporation.</x:v>
      </x:c>
      <x:c r="G18" s="206" t="str">
        <x:v>Benchmark for capture/access policy; reuse existing HumanOS policy service first.</x:v>
      </x:c>
      <x:c r="H18" s="206" t="str">
        <x:v>1,3–4</x:v>
      </x:c>
      <x:c r="I18" s="206" t="str">
        <x:v>https://github.com/open-policy-agent/opa</x:v>
      </x:c>
      <x:c r="J18" s="207" t="str">
        <x:v>Policy capability matrix and local bundle spike.</x:v>
      </x:c>
      <x:c r="K18" s="47"/>
      <x:c r="L18" s="47"/>
      <x:c r="M18" s="47"/>
      <x:c r="N18" s="47"/>
      <x:c r="O18" s="47"/>
      <x:c r="P18" s="47"/>
      <x:c r="Q18" s="47"/>
      <x:c r="R18" s="47"/>
      <x:c r="S18" s="47"/>
      <x:c r="T18" s="47"/>
      <x:c r="U18" s="47"/>
      <x:c r="V18" s="47"/>
      <x:c r="W18" s="47"/>
      <x:c r="X18" s="47"/>
      <x:c r="Y18" s="47"/>
      <x:c r="Z18" s="47"/>
    </x:row>
    <x:row r="19">
      <x:c r="A19" s="199" t="str">
        <x:v>temporalio/sdk-java</x:v>
      </x:c>
      <x:c r="B19" s="200" t="str">
        <x:v>Durable workflow SDK</x:v>
      </x:c>
      <x:c r="C19" s="200" t="str">
        <x:v>Java durable workflows, activities, retries and long-running coordination.</x:v>
      </x:c>
      <x:c r="D19" s="200" t="str">
        <x:v>Mature Temporal ecosystem.</x:v>
      </x:c>
      <x:c r="E19" s="200" t="str">
        <x:v>Adds another control plane and programming model; may duplicate HumanOS Workflow Runtime.</x:v>
      </x:c>
      <x:c r="F19" s="200" t="str">
        <x:v>MIT in Temporal SDK ecosystem; verify repository file before use.</x:v>
      </x:c>
      <x:c r="G19" s="200" t="str">
        <x:v>Reference only until HumanOS workflow gaps are documented.</x:v>
      </x:c>
      <x:c r="H19" s="200" t="str">
        <x:v>1,2+</x:v>
      </x:c>
      <x:c r="I19" s="200" t="str">
        <x:v>https://github.com/temporalio/sdk-java</x:v>
      </x:c>
      <x:c r="J19" s="201" t="str">
        <x:v>Workflow-runtime capability comparison.</x:v>
      </x:c>
      <x:c r="K19" s="47"/>
      <x:c r="L19" s="47"/>
      <x:c r="M19" s="47"/>
      <x:c r="N19" s="47"/>
      <x:c r="O19" s="47"/>
      <x:c r="P19" s="47"/>
      <x:c r="Q19" s="47"/>
      <x:c r="R19" s="47"/>
      <x:c r="S19" s="47"/>
      <x:c r="T19" s="47"/>
      <x:c r="U19" s="47"/>
      <x:c r="V19" s="47"/>
      <x:c r="W19" s="47"/>
      <x:c r="X19" s="47"/>
      <x:c r="Y19" s="47"/>
      <x:c r="Z19" s="47"/>
    </x:row>
    <x:row r="20">
      <x:c r="A20" s="208" t="str">
        <x:v>temporalio/sdk-python</x:v>
      </x:c>
      <x:c r="B20" s="209" t="str">
        <x:v>Durable workflow SDK</x:v>
      </x:c>
      <x:c r="C20" s="209" t="str">
        <x:v>Python workflow/activity support for long-running AI pipelines.</x:v>
      </x:c>
      <x:c r="D20" s="209" t="str">
        <x:v>Mature Temporal ecosystem.</x:v>
      </x:c>
      <x:c r="E20" s="209" t="str">
        <x:v>Cross-language workflow ownership and duplicate orchestration complexity.</x:v>
      </x:c>
      <x:c r="F20" s="209" t="str">
        <x:v>MIT in repository ecosystem; verify before use.</x:v>
      </x:c>
      <x:c r="G20" s="209" t="str">
        <x:v>Reference only; Python evaluators should remain workers behind HumanOS orchestration initially.</x:v>
      </x:c>
      <x:c r="H20" s="209" t="str">
        <x:v>1,7+</x:v>
      </x:c>
      <x:c r="I20" s="209" t="str">
        <x:v>https://github.com/temporalio/sdk-python</x:v>
      </x:c>
      <x:c r="J20" s="210" t="str">
        <x:v>Use only after architecture decision.</x:v>
      </x:c>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pageMargins left="0.7" right="0.7" top="0.75" bottom="0.75" header="0.3" footer="0.3"/>
  <x:tableParts count="1">
    <x:tablePart xmlns:r="http://schemas.openxmlformats.org/officeDocument/2006/relationships" r:id="R6ebb0e7004854a80"/>
  </x:tableParts>
</x:worksheet>
</file>

<file path=xl/worksheets/sheet5.xml><?xml version="1.0" encoding="utf-8"?>
<x:worksheet xmlns:x="http://schemas.openxmlformats.org/spreadsheetml/2006/main">
  <x:sheetFormatPr defaultRowHeight="15"/>
  <x:cols>
    <x:col min="1" max="1" width="38" hidden="0" customWidth="1"/>
    <x:col min="2" max="2" width="20" hidden="0" customWidth="1"/>
    <x:col min="3" max="3" width="22" hidden="0" customWidth="1"/>
    <x:col min="4" max="4" width="22" hidden="0" customWidth="1"/>
    <x:col min="5" max="5" width="24" hidden="0" customWidth="1"/>
    <x:col min="6" max="6" width="24" hidden="0" customWidth="1"/>
    <x:col min="7" max="7" width="18" hidden="0" customWidth="1"/>
    <x:col min="8" max="8" width="20" hidden="0" customWidth="1"/>
    <x:col min="9" max="9" width="14" hidden="0" customWidth="1"/>
    <x:col min="10" max="10" width="54" hidden="0" customWidth="1"/>
  </x:cols>
  <x:sheetData>
    <x:row r="1" ht="30" customHeight="1">
      <x:c r="A1" s="161" t="str">
        <x:v>Competitive Gap and Proprietary-Core Matrix</x:v>
      </x:c>
      <x:c r="B1" s="161"/>
      <x:c r="C1" s="161"/>
      <x:c r="D1" s="161"/>
      <x:c r="E1" s="161"/>
      <x:c r="F1" s="161"/>
      <x:c r="G1" s="161"/>
      <x:c r="H1" s="161"/>
      <x:c r="I1" s="161"/>
      <x:c r="J1" s="161"/>
      <x:c r="K1" s="64"/>
      <x:c r="L1" s="64"/>
      <x:c r="M1" s="65"/>
      <x:c r="N1" s="65"/>
      <x:c r="O1" s="65"/>
      <x:c r="P1" s="65"/>
      <x:c r="Q1" s="65"/>
      <x:c r="R1" s="65"/>
      <x:c r="S1" s="65"/>
      <x:c r="T1" s="65"/>
      <x:c r="U1" s="65"/>
      <x:c r="V1" s="65"/>
      <x:c r="W1" s="65"/>
      <x:c r="X1" s="65"/>
      <x:c r="Y1" s="65"/>
      <x:c r="Z1" s="65"/>
    </x:row>
    <x:row r="2" ht="34" customHeight="1">
      <x:c r="A2" s="164" t="str">
        <x:v>The market provides strong components. Nessovo's defensible product is the governed integration of evidence, task outcomes, provenance, capability development and organisational learning.</x:v>
      </x:c>
      <x:c r="B2" s="164"/>
      <x:c r="C2" s="164"/>
      <x:c r="D2" s="164"/>
      <x:c r="E2" s="164"/>
      <x:c r="F2" s="164"/>
      <x:c r="G2" s="164"/>
      <x:c r="H2" s="164"/>
      <x:c r="I2" s="164"/>
      <x:c r="J2" s="164"/>
      <x:c r="K2" s="48"/>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Capability</x:v>
      </x:c>
      <x:c r="B4" s="170" t="str">
        <x:v>Employee monitoring</x:v>
      </x:c>
      <x:c r="C4" s="170" t="str">
        <x:v>Task/process mining</x:v>
      </x:c>
      <x:c r="D4" s="170" t="str">
        <x:v>Developer intelligence</x:v>
      </x:c>
      <x:c r="E4" s="170" t="str">
        <x:v>Skills/talent intelligence</x:v>
      </x:c>
      <x:c r="F4" s="170" t="str">
        <x:v>AI memory / record-replay</x:v>
      </x:c>
      <x:c r="G4" s="170" t="str">
        <x:v>Nessovo target</x:v>
      </x:c>
      <x:c r="H4" s="170" t="str">
        <x:v>Proprietary importance</x:v>
      </x:c>
      <x:c r="I4" s="170" t="str">
        <x:v>MVP / stage</x:v>
      </x:c>
      <x:c r="J4" s="175" t="str">
        <x:v>Differentiation and design note</x:v>
      </x:c>
      <x:c r="K4" s="47"/>
      <x:c r="L4" s="47"/>
      <x:c r="M4" s="47"/>
      <x:c r="N4" s="47"/>
      <x:c r="O4" s="47"/>
      <x:c r="P4" s="47"/>
      <x:c r="Q4" s="47"/>
      <x:c r="R4" s="47"/>
      <x:c r="S4" s="47"/>
      <x:c r="T4" s="47"/>
      <x:c r="U4" s="47"/>
      <x:c r="V4" s="47"/>
      <x:c r="W4" s="47"/>
      <x:c r="X4" s="47"/>
      <x:c r="Y4" s="47"/>
      <x:c r="Z4" s="47"/>
    </x:row>
    <x:row r="5">
      <x:c r="A5" s="197" t="str">
        <x:v>Managed-device session and policy control</x:v>
      </x:c>
      <x:c r="B5" s="198" t="str">
        <x:v>Medium</x:v>
      </x:c>
      <x:c r="C5" s="198" t="str">
        <x:v>Low</x:v>
      </x:c>
      <x:c r="D5" s="198" t="str">
        <x:v>Low</x:v>
      </x:c>
      <x:c r="E5" s="198" t="str">
        <x:v>Low</x:v>
      </x:c>
      <x:c r="F5" s="198" t="str">
        <x:v>Low</x:v>
      </x:c>
      <x:c r="G5" s="198" t="str">
        <x:v>Strong</x:v>
      </x:c>
      <x:c r="H5" s="198" t="str">
        <x:v>Medium</x:v>
      </x:c>
      <x:c r="I5" s="198" t="str">
        <x:v>3</x:v>
      </x:c>
      <x:c r="J5" s="220" t="str">
        <x:v>Visible, task/hour/policy-scoped device control is foundational to trust.</x:v>
      </x:c>
      <x:c r="K5" s="47"/>
      <x:c r="L5" s="47"/>
      <x:c r="M5" s="47"/>
      <x:c r="N5" s="47"/>
      <x:c r="O5" s="47"/>
      <x:c r="P5" s="47"/>
      <x:c r="Q5" s="47"/>
      <x:c r="R5" s="47"/>
      <x:c r="S5" s="47"/>
      <x:c r="T5" s="47"/>
      <x:c r="U5" s="47"/>
      <x:c r="V5" s="47"/>
      <x:c r="W5" s="47"/>
      <x:c r="X5" s="47"/>
      <x:c r="Y5" s="47"/>
      <x:c r="Z5" s="47"/>
    </x:row>
    <x:row r="6">
      <x:c r="A6" s="205" t="str">
        <x:v>Application/window/browser context</x:v>
      </x:c>
      <x:c r="B6" s="206" t="str">
        <x:v>Strong</x:v>
      </x:c>
      <x:c r="C6" s="206" t="str">
        <x:v>Medium</x:v>
      </x:c>
      <x:c r="D6" s="206" t="str">
        <x:v>Medium</x:v>
      </x:c>
      <x:c r="E6" s="206" t="str">
        <x:v>Low</x:v>
      </x:c>
      <x:c r="F6" s="206" t="str">
        <x:v>Low</x:v>
      </x:c>
      <x:c r="G6" s="206" t="str">
        <x:v>Strong</x:v>
      </x:c>
      <x:c r="H6" s="206" t="str">
        <x:v>Low</x:v>
      </x:c>
      <x:c r="I6" s="206" t="str">
        <x:v>5–6</x:v>
      </x:c>
      <x:c r="J6" s="207" t="str">
        <x:v>Commodity evidence; use minimum necessary fields and employee visibility.</x:v>
      </x:c>
      <x:c r="K6" s="47"/>
      <x:c r="L6" s="47"/>
      <x:c r="M6" s="47"/>
      <x:c r="N6" s="47"/>
      <x:c r="O6" s="47"/>
      <x:c r="P6" s="47"/>
      <x:c r="Q6" s="47"/>
      <x:c r="R6" s="47"/>
      <x:c r="S6" s="47"/>
      <x:c r="T6" s="47"/>
      <x:c r="U6" s="47"/>
      <x:c r="V6" s="47"/>
      <x:c r="W6" s="47"/>
      <x:c r="X6" s="47"/>
      <x:c r="Y6" s="47"/>
      <x:c r="Z6" s="47"/>
    </x:row>
    <x:row r="7">
      <x:c r="A7" s="199" t="str">
        <x:v>Event-driven visual-state capture</x:v>
      </x:c>
      <x:c r="B7" s="200" t="str">
        <x:v>Strong</x:v>
      </x:c>
      <x:c r="C7" s="200" t="str">
        <x:v>Strong</x:v>
      </x:c>
      <x:c r="D7" s="200" t="str">
        <x:v>Low</x:v>
      </x:c>
      <x:c r="E7" s="200" t="str">
        <x:v>Low</x:v>
      </x:c>
      <x:c r="F7" s="200" t="str">
        <x:v>Medium</x:v>
      </x:c>
      <x:c r="G7" s="200" t="str">
        <x:v>Strong</x:v>
      </x:c>
      <x:c r="H7" s="200" t="str">
        <x:v>Medium</x:v>
      </x:c>
      <x:c r="I7" s="200" t="str">
        <x:v>5</x:v>
      </x:c>
      <x:c r="J7" s="201" t="str">
        <x:v>Changed-state graph, secure exclusions and edge redaction are the value beyond screenshots.</x:v>
      </x:c>
      <x:c r="K7" s="47"/>
      <x:c r="L7" s="47"/>
      <x:c r="M7" s="47"/>
      <x:c r="N7" s="47"/>
      <x:c r="O7" s="47"/>
      <x:c r="P7" s="47"/>
      <x:c r="Q7" s="47"/>
      <x:c r="R7" s="47"/>
      <x:c r="S7" s="47"/>
      <x:c r="T7" s="47"/>
      <x:c r="U7" s="47"/>
      <x:c r="V7" s="47"/>
      <x:c r="W7" s="47"/>
      <x:c r="X7" s="47"/>
      <x:c r="Y7" s="47"/>
      <x:c r="Z7" s="47"/>
    </x:row>
    <x:row r="8">
      <x:c r="A8" s="205" t="str">
        <x:v>Keyboard/input provenance and resulting text reconciliation</x:v>
      </x:c>
      <x:c r="B8" s="206" t="str">
        <x:v>Strong raw keys</x:v>
      </x:c>
      <x:c r="C8" s="206" t="str">
        <x:v>Medium</x:v>
      </x:c>
      <x:c r="D8" s="206" t="str">
        <x:v>Low/Medium</x:v>
      </x:c>
      <x:c r="E8" s="206" t="str">
        <x:v>Low</x:v>
      </x:c>
      <x:c r="F8" s="206" t="str">
        <x:v>Medium in agent tools</x:v>
      </x:c>
      <x:c r="G8" s="206" t="str">
        <x:v>Controlled strong</x:v>
      </x:c>
      <x:c r="H8" s="206" t="str">
        <x:v>High</x:v>
      </x:c>
      <x:c r="I8" s="206" t="str">
        <x:v>5–6</x:v>
      </x:c>
      <x:c r="J8" s="207" t="str">
        <x:v>Distinguish typed, pasted, autocomplete, agent-generated and system-generated changes.</x:v>
      </x:c>
      <x:c r="K8" s="47"/>
      <x:c r="L8" s="47"/>
      <x:c r="M8" s="47"/>
      <x:c r="N8" s="47"/>
      <x:c r="O8" s="47"/>
      <x:c r="P8" s="47"/>
      <x:c r="Q8" s="47"/>
      <x:c r="R8" s="47"/>
      <x:c r="S8" s="47"/>
      <x:c r="T8" s="47"/>
      <x:c r="U8" s="47"/>
      <x:c r="V8" s="47"/>
      <x:c r="W8" s="47"/>
      <x:c r="X8" s="47"/>
      <x:c r="Y8" s="47"/>
      <x:c r="Z8" s="47"/>
    </x:row>
    <x:row r="9">
      <x:c r="A9" s="199" t="str">
        <x:v>Files, Git, terminal, build and test semantics</x:v>
      </x:c>
      <x:c r="B9" s="200" t="str">
        <x:v>Low</x:v>
      </x:c>
      <x:c r="C9" s="200" t="str">
        <x:v>Low</x:v>
      </x:c>
      <x:c r="D9" s="200" t="str">
        <x:v>Strong</x:v>
      </x:c>
      <x:c r="E9" s="200" t="str">
        <x:v>Low</x:v>
      </x:c>
      <x:c r="F9" s="200" t="str">
        <x:v>Medium</x:v>
      </x:c>
      <x:c r="G9" s="200" t="str">
        <x:v>Strong</x:v>
      </x:c>
      <x:c r="H9" s="200" t="str">
        <x:v>Medium</x:v>
      </x:c>
      <x:c r="I9" s="200" t="str">
        <x:v>6</x:v>
      </x:c>
      <x:c r="J9" s="201" t="str">
        <x:v>Prefer authoritative artefacts/results over visual inference.</x:v>
      </x:c>
      <x:c r="K9" s="47"/>
      <x:c r="L9" s="47"/>
      <x:c r="M9" s="47"/>
      <x:c r="N9" s="47"/>
      <x:c r="O9" s="47"/>
      <x:c r="P9" s="47"/>
      <x:c r="Q9" s="47"/>
      <x:c r="R9" s="47"/>
      <x:c r="S9" s="47"/>
      <x:c r="T9" s="47"/>
      <x:c r="U9" s="47"/>
      <x:c r="V9" s="47"/>
      <x:c r="W9" s="47"/>
      <x:c r="X9" s="47"/>
      <x:c r="Y9" s="47"/>
      <x:c r="Z9" s="47"/>
    </x:row>
    <x:row r="10">
      <x:c r="A10" s="205" t="str">
        <x:v>AI-agent lifecycle and tool instrumentation</x:v>
      </x:c>
      <x:c r="B10" s="206" t="str">
        <x:v>Emerging</x:v>
      </x:c>
      <x:c r="C10" s="206" t="str">
        <x:v>Low</x:v>
      </x:c>
      <x:c r="D10" s="206" t="str">
        <x:v>Strong/emerging</x:v>
      </x:c>
      <x:c r="E10" s="206" t="str">
        <x:v>Medium</x:v>
      </x:c>
      <x:c r="F10" s="206" t="str">
        <x:v>Strong</x:v>
      </x:c>
      <x:c r="G10" s="206" t="str">
        <x:v>Strong</x:v>
      </x:c>
      <x:c r="H10" s="206" t="str">
        <x:v>High</x:v>
      </x:c>
      <x:c r="I10" s="206" t="str">
        <x:v>6</x:v>
      </x:c>
      <x:c r="J10" s="207" t="str">
        <x:v>Provider-neutral Adapter Hub plus official hooks and model/skill versioning.</x:v>
      </x:c>
      <x:c r="K10" s="47"/>
      <x:c r="L10" s="47"/>
      <x:c r="M10" s="47"/>
      <x:c r="N10" s="47"/>
      <x:c r="O10" s="47"/>
      <x:c r="P10" s="47"/>
      <x:c r="Q10" s="47"/>
      <x:c r="R10" s="47"/>
      <x:c r="S10" s="47"/>
      <x:c r="T10" s="47"/>
      <x:c r="U10" s="47"/>
      <x:c r="V10" s="47"/>
      <x:c r="W10" s="47"/>
      <x:c r="X10" s="47"/>
      <x:c r="Y10" s="47"/>
      <x:c r="Z10" s="47"/>
    </x:row>
    <x:row r="11">
      <x:c r="A11" s="199" t="str">
        <x:v>Human / AI / automation causal provenance</x:v>
      </x:c>
      <x:c r="B11" s="200" t="str">
        <x:v>Low</x:v>
      </x:c>
      <x:c r="C11" s="200" t="str">
        <x:v>Low</x:v>
      </x:c>
      <x:c r="D11" s="200" t="str">
        <x:v>Medium</x:v>
      </x:c>
      <x:c r="E11" s="200" t="str">
        <x:v>Low</x:v>
      </x:c>
      <x:c r="F11" s="200" t="str">
        <x:v>Medium</x:v>
      </x:c>
      <x:c r="G11" s="200" t="str">
        <x:v>Strong</x:v>
      </x:c>
      <x:c r="H11" s="200" t="str">
        <x:v>Very High</x:v>
      </x:c>
      <x:c r="I11" s="200" t="str">
        <x:v>6–7</x:v>
      </x:c>
      <x:c r="J11" s="201" t="str">
        <x:v>Fair credit, automated-wait classification and agent supervision depend on this.</x:v>
      </x:c>
      <x:c r="K11" s="47"/>
      <x:c r="L11" s="47"/>
      <x:c r="M11" s="47"/>
      <x:c r="N11" s="47"/>
      <x:c r="O11" s="47"/>
      <x:c r="P11" s="47"/>
      <x:c r="Q11" s="47"/>
      <x:c r="R11" s="47"/>
      <x:c r="S11" s="47"/>
      <x:c r="T11" s="47"/>
      <x:c r="U11" s="47"/>
      <x:c r="V11" s="47"/>
      <x:c r="W11" s="47"/>
      <x:c r="X11" s="47"/>
      <x:c r="Y11" s="47"/>
      <x:c r="Z11" s="47"/>
    </x:row>
    <x:row r="12">
      <x:c r="A12" s="205" t="str">
        <x:v>Task Execution Contract</x:v>
      </x:c>
      <x:c r="B12" s="206" t="str">
        <x:v>Low</x:v>
      </x:c>
      <x:c r="C12" s="206" t="str">
        <x:v>Medium task definitions</x:v>
      </x:c>
      <x:c r="D12" s="206" t="str">
        <x:v>Medium ticket links</x:v>
      </x:c>
      <x:c r="E12" s="206" t="str">
        <x:v>Low</x:v>
      </x:c>
      <x:c r="F12" s="206" t="str">
        <x:v>Low</x:v>
      </x:c>
      <x:c r="G12" s="206" t="str">
        <x:v>Strong</x:v>
      </x:c>
      <x:c r="H12" s="206" t="str">
        <x:v>Very High</x:v>
      </x:c>
      <x:c r="I12" s="206" t="str">
        <x:v>2</x:v>
      </x:c>
      <x:c r="J12" s="207" t="str">
        <x:v>Transforms vague tasks into objective, versioned criteria, evidence and quality gates.</x:v>
      </x:c>
      <x:c r="K12" s="47"/>
      <x:c r="L12" s="47"/>
      <x:c r="M12" s="47"/>
      <x:c r="N12" s="47"/>
      <x:c r="O12" s="47"/>
      <x:c r="P12" s="47"/>
      <x:c r="Q12" s="47"/>
      <x:c r="R12" s="47"/>
      <x:c r="S12" s="47"/>
      <x:c r="T12" s="47"/>
      <x:c r="U12" s="47"/>
      <x:c r="V12" s="47"/>
      <x:c r="W12" s="47"/>
      <x:c r="X12" s="47"/>
      <x:c r="Y12" s="47"/>
      <x:c r="Z12" s="47"/>
    </x:row>
    <x:row r="13">
      <x:c r="A13" s="199" t="str">
        <x:v>Task alignment and supporting-work classification</x:v>
      </x:c>
      <x:c r="B13" s="200" t="str">
        <x:v>Medium</x:v>
      </x:c>
      <x:c r="C13" s="200" t="str">
        <x:v>Strong for process patterns</x:v>
      </x:c>
      <x:c r="D13" s="200" t="str">
        <x:v>Medium</x:v>
      </x:c>
      <x:c r="E13" s="200" t="str">
        <x:v>Low</x:v>
      </x:c>
      <x:c r="F13" s="200" t="str">
        <x:v>Low</x:v>
      </x:c>
      <x:c r="G13" s="200" t="str">
        <x:v>Strong</x:v>
      </x:c>
      <x:c r="H13" s="200" t="str">
        <x:v>High</x:v>
      </x:c>
      <x:c r="I13" s="200" t="str">
        <x:v>7</x:v>
      </x:c>
      <x:c r="J13" s="201" t="str">
        <x:v>Must support multiple assigned tasks, research, collaboration and environmental blockers.</x:v>
      </x:c>
      <x:c r="K13" s="47"/>
      <x:c r="L13" s="47"/>
      <x:c r="M13" s="47"/>
      <x:c r="N13" s="47"/>
      <x:c r="O13" s="47"/>
      <x:c r="P13" s="47"/>
      <x:c r="Q13" s="47"/>
      <x:c r="R13" s="47"/>
      <x:c r="S13" s="47"/>
      <x:c r="T13" s="47"/>
      <x:c r="U13" s="47"/>
      <x:c r="V13" s="47"/>
      <x:c r="W13" s="47"/>
      <x:c r="X13" s="47"/>
      <x:c r="Y13" s="47"/>
      <x:c r="Z13" s="47"/>
    </x:row>
    <x:row r="14">
      <x:c r="A14" s="205" t="str">
        <x:v>Acceptance-criteria and quality verification</x:v>
      </x:c>
      <x:c r="B14" s="206" t="str">
        <x:v>Low</x:v>
      </x:c>
      <x:c r="C14" s="206" t="str">
        <x:v>Low</x:v>
      </x:c>
      <x:c r="D14" s="206" t="str">
        <x:v>Medium</x:v>
      </x:c>
      <x:c r="E14" s="206" t="str">
        <x:v>Low</x:v>
      </x:c>
      <x:c r="F14" s="206" t="str">
        <x:v>Medium verification in replay</x:v>
      </x:c>
      <x:c r="G14" s="206" t="str">
        <x:v>Strong</x:v>
      </x:c>
      <x:c r="H14" s="206" t="str">
        <x:v>Very High</x:v>
      </x:c>
      <x:c r="I14" s="206" t="str">
        <x:v>7</x:v>
      </x:c>
      <x:c r="J14" s="207" t="str">
        <x:v>Activity is not completion; deterministic evidence and expert review are essential.</x:v>
      </x:c>
      <x:c r="K14" s="47"/>
      <x:c r="L14" s="47"/>
      <x:c r="M14" s="47"/>
      <x:c r="N14" s="47"/>
      <x:c r="O14" s="47"/>
      <x:c r="P14" s="47"/>
      <x:c r="Q14" s="47"/>
      <x:c r="R14" s="47"/>
      <x:c r="S14" s="47"/>
      <x:c r="T14" s="47"/>
      <x:c r="U14" s="47"/>
      <x:c r="V14" s="47"/>
      <x:c r="W14" s="47"/>
      <x:c r="X14" s="47"/>
      <x:c r="Y14" s="47"/>
      <x:c r="Z14" s="47"/>
    </x:row>
    <x:row r="15">
      <x:c r="A15" s="199" t="str">
        <x:v>Evidence hierarchy, confidence and alternatives</x:v>
      </x:c>
      <x:c r="B15" s="200" t="str">
        <x:v>Low</x:v>
      </x:c>
      <x:c r="C15" s="200" t="str">
        <x:v>Low</x:v>
      </x:c>
      <x:c r="D15" s="200" t="str">
        <x:v>Medium</x:v>
      </x:c>
      <x:c r="E15" s="200" t="str">
        <x:v>Medium</x:v>
      </x:c>
      <x:c r="F15" s="200" t="str">
        <x:v>Medium</x:v>
      </x:c>
      <x:c r="G15" s="200" t="str">
        <x:v>Strong</x:v>
      </x:c>
      <x:c r="H15" s="200" t="str">
        <x:v>Very High</x:v>
      </x:c>
      <x:c r="I15" s="200" t="str">
        <x:v>7–10</x:v>
      </x:c>
      <x:c r="J15" s="201" t="str">
        <x:v>Every material finding exposes sources, uncertainty, missing evidence and alternative explanation.</x:v>
      </x:c>
      <x:c r="K15" s="47"/>
      <x:c r="L15" s="47"/>
      <x:c r="M15" s="47"/>
      <x:c r="N15" s="47"/>
      <x:c r="O15" s="47"/>
      <x:c r="P15" s="47"/>
      <x:c r="Q15" s="47"/>
      <x:c r="R15" s="47"/>
      <x:c r="S15" s="47"/>
      <x:c r="T15" s="47"/>
      <x:c r="U15" s="47"/>
      <x:c r="V15" s="47"/>
      <x:c r="W15" s="47"/>
      <x:c r="X15" s="47"/>
      <x:c r="Y15" s="47"/>
      <x:c r="Z15" s="47"/>
    </x:row>
    <x:row r="16">
      <x:c r="A16" s="205" t="str">
        <x:v>Employee self-access, correction and dispute</x:v>
      </x:c>
      <x:c r="B16" s="206" t="str">
        <x:v>Variable</x:v>
      </x:c>
      <x:c r="C16" s="206" t="str">
        <x:v>Low</x:v>
      </x:c>
      <x:c r="D16" s="206" t="str">
        <x:v>Low/Medium</x:v>
      </x:c>
      <x:c r="E16" s="206" t="str">
        <x:v>Medium</x:v>
      </x:c>
      <x:c r="F16" s="206" t="str">
        <x:v>Low</x:v>
      </x:c>
      <x:c r="G16" s="206" t="str">
        <x:v>Strong</x:v>
      </x:c>
      <x:c r="H16" s="206" t="str">
        <x:v>High</x:v>
      </x:c>
      <x:c r="I16" s="206" t="str">
        <x:v>0,10</x:v>
      </x:c>
      <x:c r="J16" s="207" t="str">
        <x:v>Improves fairness, trust and training data quality.</x:v>
      </x:c>
      <x:c r="K16" s="47"/>
      <x:c r="L16" s="47"/>
      <x:c r="M16" s="47"/>
      <x:c r="N16" s="47"/>
      <x:c r="O16" s="47"/>
      <x:c r="P16" s="47"/>
      <x:c r="Q16" s="47"/>
      <x:c r="R16" s="47"/>
      <x:c r="S16" s="47"/>
      <x:c r="T16" s="47"/>
      <x:c r="U16" s="47"/>
      <x:c r="V16" s="47"/>
      <x:c r="W16" s="47"/>
      <x:c r="X16" s="47"/>
      <x:c r="Y16" s="47"/>
      <x:c r="Z16" s="47"/>
    </x:row>
    <x:row r="17">
      <x:c r="A17" s="199" t="str">
        <x:v>Meaningful human employment review</x:v>
      </x:c>
      <x:c r="B17" s="200" t="str">
        <x:v>Medium controls</x:v>
      </x:c>
      <x:c r="C17" s="200" t="str">
        <x:v>Low</x:v>
      </x:c>
      <x:c r="D17" s="200" t="str">
        <x:v>Low</x:v>
      </x:c>
      <x:c r="E17" s="200" t="str">
        <x:v>Medium</x:v>
      </x:c>
      <x:c r="F17" s="200" t="str">
        <x:v>Low</x:v>
      </x:c>
      <x:c r="G17" s="200" t="str">
        <x:v>Strong</x:v>
      </x:c>
      <x:c r="H17" s="200" t="str">
        <x:v>High</x:v>
      </x:c>
      <x:c r="I17" s="200" t="str">
        <x:v>0,7–10</x:v>
      </x:c>
      <x:c r="J17" s="201" t="str">
        <x:v>Models support decisions; they do not independently determine employment outcomes.</x:v>
      </x:c>
      <x:c r="K17" s="47"/>
      <x:c r="L17" s="47"/>
      <x:c r="M17" s="47"/>
      <x:c r="N17" s="47"/>
      <x:c r="O17" s="47"/>
      <x:c r="P17" s="47"/>
      <x:c r="Q17" s="47"/>
      <x:c r="R17" s="47"/>
      <x:c r="S17" s="47"/>
      <x:c r="T17" s="47"/>
      <x:c r="U17" s="47"/>
      <x:c r="V17" s="47"/>
      <x:c r="W17" s="47"/>
      <x:c r="X17" s="47"/>
      <x:c r="Y17" s="47"/>
      <x:c r="Z17" s="47"/>
    </x:row>
    <x:row r="18">
      <x:c r="A18" s="205" t="str">
        <x:v>Job-description and capability claim model</x:v>
      </x:c>
      <x:c r="B18" s="206" t="str">
        <x:v>Low</x:v>
      </x:c>
      <x:c r="C18" s="206" t="str">
        <x:v>Low</x:v>
      </x:c>
      <x:c r="D18" s="206" t="str">
        <x:v>Low</x:v>
      </x:c>
      <x:c r="E18" s="206" t="str">
        <x:v>Strong</x:v>
      </x:c>
      <x:c r="F18" s="206" t="str">
        <x:v>Low</x:v>
      </x:c>
      <x:c r="G18" s="206" t="str">
        <x:v>Strong</x:v>
      </x:c>
      <x:c r="H18" s="206" t="str">
        <x:v>Very High</x:v>
      </x:c>
      <x:c r="I18" s="206" t="str">
        <x:v>2,8</x:v>
      </x:c>
      <x:c r="J18" s="207" t="str">
        <x:v>Claims remain unverified until repeated, context-qualified evidence exists.</x:v>
      </x:c>
      <x:c r="K18" s="47"/>
      <x:c r="L18" s="47"/>
      <x:c r="M18" s="47"/>
      <x:c r="N18" s="47"/>
      <x:c r="O18" s="47"/>
      <x:c r="P18" s="47"/>
      <x:c r="Q18" s="47"/>
      <x:c r="R18" s="47"/>
      <x:c r="S18" s="47"/>
      <x:c r="T18" s="47"/>
      <x:c r="U18" s="47"/>
      <x:c r="V18" s="47"/>
      <x:c r="W18" s="47"/>
      <x:c r="X18" s="47"/>
      <x:c r="Y18" s="47"/>
      <x:c r="Z18" s="47"/>
    </x:row>
    <x:row r="19">
      <x:c r="A19" s="199" t="str">
        <x:v>Capability level, confidence, recency and consistency</x:v>
      </x:c>
      <x:c r="B19" s="200" t="str">
        <x:v>Low</x:v>
      </x:c>
      <x:c r="C19" s="200" t="str">
        <x:v>Low</x:v>
      </x:c>
      <x:c r="D19" s="200" t="str">
        <x:v>Low</x:v>
      </x:c>
      <x:c r="E19" s="200" t="str">
        <x:v>Strong</x:v>
      </x:c>
      <x:c r="F19" s="200" t="str">
        <x:v>Low</x:v>
      </x:c>
      <x:c r="G19" s="200" t="str">
        <x:v>Strong</x:v>
      </x:c>
      <x:c r="H19" s="200" t="str">
        <x:v>Very High</x:v>
      </x:c>
      <x:c r="I19" s="200" t="str">
        <x:v>2,8</x:v>
      </x:c>
      <x:c r="J19" s="201" t="str">
        <x:v>Transparent multi-dimensional levels rather than opaque talent scores.</x:v>
      </x:c>
      <x:c r="K19" s="47"/>
      <x:c r="L19" s="47"/>
      <x:c r="M19" s="47"/>
      <x:c r="N19" s="47"/>
      <x:c r="O19" s="47"/>
      <x:c r="P19" s="47"/>
      <x:c r="Q19" s="47"/>
      <x:c r="R19" s="47"/>
      <x:c r="S19" s="47"/>
      <x:c r="T19" s="47"/>
      <x:c r="U19" s="47"/>
      <x:c r="V19" s="47"/>
      <x:c r="W19" s="47"/>
      <x:c r="X19" s="47"/>
      <x:c r="Y19" s="47"/>
      <x:c r="Z19" s="47"/>
    </x:row>
    <x:row r="20">
      <x:c r="A20" s="205" t="str">
        <x:v>Game-like employee progression and mastery paths</x:v>
      </x:c>
      <x:c r="B20" s="206" t="str">
        <x:v>Low</x:v>
      </x:c>
      <x:c r="C20" s="206" t="str">
        <x:v>Low</x:v>
      </x:c>
      <x:c r="D20" s="206" t="str">
        <x:v>Low</x:v>
      </x:c>
      <x:c r="E20" s="206" t="str">
        <x:v>Medium</x:v>
      </x:c>
      <x:c r="F20" s="206" t="str">
        <x:v>Low</x:v>
      </x:c>
      <x:c r="G20" s="206" t="str">
        <x:v>Strong</x:v>
      </x:c>
      <x:c r="H20" s="206" t="str">
        <x:v>High</x:v>
      </x:c>
      <x:c r="I20" s="206" t="str">
        <x:v>8–9</x:v>
      </x:c>
      <x:c r="J20" s="207" t="str">
        <x:v>Private developmental skill tree; avoid public leaderboards and activity gaming.</x:v>
      </x:c>
      <x:c r="K20" s="47"/>
      <x:c r="L20" s="47"/>
      <x:c r="M20" s="47"/>
      <x:c r="N20" s="47"/>
      <x:c r="O20" s="47"/>
      <x:c r="P20" s="47"/>
      <x:c r="Q20" s="47"/>
      <x:c r="R20" s="47"/>
      <x:c r="S20" s="47"/>
      <x:c r="T20" s="47"/>
      <x:c r="U20" s="47"/>
      <x:c r="V20" s="47"/>
      <x:c r="W20" s="47"/>
      <x:c r="X20" s="47"/>
      <x:c r="Y20" s="47"/>
      <x:c r="Z20" s="47"/>
    </x:row>
    <x:row r="21">
      <x:c r="A21" s="199" t="str">
        <x:v>Real-time task coaching</x:v>
      </x:c>
      <x:c r="B21" s="200" t="str">
        <x:v>Medium nudges</x:v>
      </x:c>
      <x:c r="C21" s="200" t="str">
        <x:v>Low</x:v>
      </x:c>
      <x:c r="D21" s="200" t="str">
        <x:v>Medium recommendations</x:v>
      </x:c>
      <x:c r="E21" s="200" t="str">
        <x:v>Medium career coaching</x:v>
      </x:c>
      <x:c r="F21" s="200" t="str">
        <x:v>Medium</x:v>
      </x:c>
      <x:c r="G21" s="200" t="str">
        <x:v>Strong</x:v>
      </x:c>
      <x:c r="H21" s="200" t="str">
        <x:v>High</x:v>
      </x:c>
      <x:c r="I21" s="200" t="str">
        <x:v>9</x:v>
      </x:c>
      <x:c r="J21" s="201" t="str">
        <x:v>Observe/nudge/assist/teach/escalate with interruption controls and effectiveness tracking.</x:v>
      </x:c>
      <x:c r="K21" s="47"/>
      <x:c r="L21" s="47"/>
      <x:c r="M21" s="47"/>
      <x:c r="N21" s="47"/>
      <x:c r="O21" s="47"/>
      <x:c r="P21" s="47"/>
      <x:c r="Q21" s="47"/>
      <x:c r="R21" s="47"/>
      <x:c r="S21" s="47"/>
      <x:c r="T21" s="47"/>
      <x:c r="U21" s="47"/>
      <x:c r="V21" s="47"/>
      <x:c r="W21" s="47"/>
      <x:c r="X21" s="47"/>
      <x:c r="Y21" s="47"/>
      <x:c r="Z21" s="47"/>
    </x:row>
    <x:row r="22">
      <x:c r="A22" s="205" t="str">
        <x:v>Training prescription and applied-learning verification</x:v>
      </x:c>
      <x:c r="B22" s="206" t="str">
        <x:v>Low</x:v>
      </x:c>
      <x:c r="C22" s="206" t="str">
        <x:v>Low</x:v>
      </x:c>
      <x:c r="D22" s="206" t="str">
        <x:v>Low</x:v>
      </x:c>
      <x:c r="E22" s="206" t="str">
        <x:v>Strong content/recommendations</x:v>
      </x:c>
      <x:c r="F22" s="206" t="str">
        <x:v>Low</x:v>
      </x:c>
      <x:c r="G22" s="206" t="str">
        <x:v>Strong</x:v>
      </x:c>
      <x:c r="H22" s="206" t="str">
        <x:v>Very High</x:v>
      </x:c>
      <x:c r="I22" s="206" t="str">
        <x:v>9</x:v>
      </x:c>
      <x:c r="J22" s="207" t="str">
        <x:v>Capability increases after demonstrated application, not merely course completion.</x:v>
      </x:c>
      <x:c r="K22" s="47"/>
      <x:c r="L22" s="47"/>
      <x:c r="M22" s="47"/>
      <x:c r="N22" s="47"/>
      <x:c r="O22" s="47"/>
      <x:c r="P22" s="47"/>
      <x:c r="Q22" s="47"/>
      <x:c r="R22" s="47"/>
      <x:c r="S22" s="47"/>
      <x:c r="T22" s="47"/>
      <x:c r="U22" s="47"/>
      <x:c r="V22" s="47"/>
      <x:c r="W22" s="47"/>
      <x:c r="X22" s="47"/>
      <x:c r="Y22" s="47"/>
      <x:c r="Z22" s="47"/>
    </x:row>
    <x:row r="23">
      <x:c r="A23" s="199" t="str">
        <x:v>Manager exception-led task and capability reporting</x:v>
      </x:c>
      <x:c r="B23" s="200" t="str">
        <x:v>Strong activity reports</x:v>
      </x:c>
      <x:c r="C23" s="200" t="str">
        <x:v>Strong process reports</x:v>
      </x:c>
      <x:c r="D23" s="200" t="str">
        <x:v>Strong engineering reports</x:v>
      </x:c>
      <x:c r="E23" s="200" t="str">
        <x:v>Strong talent reports</x:v>
      </x:c>
      <x:c r="F23" s="200" t="str">
        <x:v>Low</x:v>
      </x:c>
      <x:c r="G23" s="200" t="str">
        <x:v>Strong</x:v>
      </x:c>
      <x:c r="H23" s="200" t="str">
        <x:v>Medium/High</x:v>
      </x:c>
      <x:c r="I23" s="200" t="str">
        <x:v>10</x:v>
      </x:c>
      <x:c r="J23" s="201" t="str">
        <x:v>Combine outcome, blocker, quality, support and employee response; raw evidence is drill-down.</x:v>
      </x:c>
      <x:c r="K23" s="47"/>
      <x:c r="L23" s="47"/>
      <x:c r="M23" s="47"/>
      <x:c r="N23" s="47"/>
      <x:c r="O23" s="47"/>
      <x:c r="P23" s="47"/>
      <x:c r="Q23" s="47"/>
      <x:c r="R23" s="47"/>
      <x:c r="S23" s="47"/>
      <x:c r="T23" s="47"/>
      <x:c r="U23" s="47"/>
      <x:c r="V23" s="47"/>
      <x:c r="W23" s="47"/>
      <x:c r="X23" s="47"/>
      <x:c r="Y23" s="47"/>
      <x:c r="Z23" s="47"/>
    </x:row>
    <x:row r="24">
      <x:c r="A24" s="205" t="str">
        <x:v>Reusable work-method and skill extraction</x:v>
      </x:c>
      <x:c r="B24" s="206" t="str">
        <x:v>Low</x:v>
      </x:c>
      <x:c r="C24" s="206" t="str">
        <x:v>Medium automation discovery</x:v>
      </x:c>
      <x:c r="D24" s="206" t="str">
        <x:v>Medium playbooks</x:v>
      </x:c>
      <x:c r="E24" s="206" t="str">
        <x:v>Medium learning paths</x:v>
      </x:c>
      <x:c r="F24" s="206" t="str">
        <x:v>Strong</x:v>
      </x:c>
      <x:c r="G24" s="206" t="str">
        <x:v>Strong</x:v>
      </x:c>
      <x:c r="H24" s="206" t="str">
        <x:v>Very High</x:v>
      </x:c>
      <x:c r="I24" s="206" t="str">
        <x:v>11</x:v>
      </x:c>
      <x:c r="J24" s="207" t="str">
        <x:v>Convert validated success/corrections into versioned HumanOS skills and standards.</x:v>
      </x:c>
      <x:c r="K24" s="47"/>
      <x:c r="L24" s="47"/>
      <x:c r="M24" s="47"/>
      <x:c r="N24" s="47"/>
      <x:c r="O24" s="47"/>
      <x:c r="P24" s="47"/>
      <x:c r="Q24" s="47"/>
      <x:c r="R24" s="47"/>
      <x:c r="S24" s="47"/>
      <x:c r="T24" s="47"/>
      <x:c r="U24" s="47"/>
      <x:c r="V24" s="47"/>
      <x:c r="W24" s="47"/>
      <x:c r="X24" s="47"/>
      <x:c r="Y24" s="47"/>
      <x:c r="Z24" s="47"/>
    </x:row>
    <x:row r="25">
      <x:c r="A25" s="199" t="str">
        <x:v>Governed skill/evaluator self-improvement</x:v>
      </x:c>
      <x:c r="B25" s="200" t="str">
        <x:v>Low</x:v>
      </x:c>
      <x:c r="C25" s="200" t="str">
        <x:v>Low</x:v>
      </x:c>
      <x:c r="D25" s="200" t="str">
        <x:v>Low</x:v>
      </x:c>
      <x:c r="E25" s="200" t="str">
        <x:v>Emerging</x:v>
      </x:c>
      <x:c r="F25" s="200" t="str">
        <x:v>Medium/Strong</x:v>
      </x:c>
      <x:c r="G25" s="200" t="str">
        <x:v>Strong</x:v>
      </x:c>
      <x:c r="H25" s="200" t="str">
        <x:v>Very High</x:v>
      </x:c>
      <x:c r="I25" s="200" t="str">
        <x:v>11</x:v>
      </x:c>
      <x:c r="J25" s="201" t="str">
        <x:v>Proposal → evaluation → review → canary → promotion/rollback; no uncontrolled self-modification.</x:v>
      </x:c>
      <x:c r="K25" s="47"/>
      <x:c r="L25" s="47"/>
      <x:c r="M25" s="47"/>
      <x:c r="N25" s="47"/>
      <x:c r="O25" s="47"/>
      <x:c r="P25" s="47"/>
      <x:c r="Q25" s="47"/>
      <x:c r="R25" s="47"/>
      <x:c r="S25" s="47"/>
      <x:c r="T25" s="47"/>
      <x:c r="U25" s="47"/>
      <x:c r="V25" s="47"/>
      <x:c r="W25" s="47"/>
      <x:c r="X25" s="47"/>
      <x:c r="Y25" s="47"/>
      <x:c r="Z25" s="47"/>
    </x:row>
    <x:row r="26">
      <x:c r="A26" s="205" t="str">
        <x:v>Cross-vertical HumanOS extension model</x:v>
      </x:c>
      <x:c r="B26" s="206" t="str">
        <x:v>Low</x:v>
      </x:c>
      <x:c r="C26" s="206" t="str">
        <x:v>Medium</x:v>
      </x:c>
      <x:c r="D26" s="206" t="str">
        <x:v>Low</x:v>
      </x:c>
      <x:c r="E26" s="206" t="str">
        <x:v>Medium</x:v>
      </x:c>
      <x:c r="F26" s="206" t="str">
        <x:v>Low</x:v>
      </x:c>
      <x:c r="G26" s="206" t="str">
        <x:v>Strong</x:v>
      </x:c>
      <x:c r="H26" s="206" t="str">
        <x:v>High</x:v>
      </x:c>
      <x:c r="I26" s="206" t="str">
        <x:v>2+</x:v>
      </x:c>
      <x:c r="J26" s="207" t="str">
        <x:v>Domain-neutral core plus vertical evidence adapters, task rubrics, coaching and policy packs.</x:v>
      </x:c>
      <x:c r="K26" s="47"/>
      <x:c r="L26" s="47"/>
      <x:c r="M26" s="47"/>
      <x:c r="N26" s="47"/>
      <x:c r="O26" s="47"/>
      <x:c r="P26" s="47"/>
      <x:c r="Q26" s="47"/>
      <x:c r="R26" s="47"/>
      <x:c r="S26" s="47"/>
      <x:c r="T26" s="47"/>
      <x:c r="U26" s="47"/>
      <x:c r="V26" s="47"/>
      <x:c r="W26" s="47"/>
      <x:c r="X26" s="47"/>
      <x:c r="Y26" s="47"/>
      <x:c r="Z26" s="47"/>
    </x:row>
    <x:row r="27">
      <x:c r="A27" s="199" t="str">
        <x:v>Edge minimisation, secure-field blocking and local redaction</x:v>
      </x:c>
      <x:c r="B27" s="200" t="str">
        <x:v>Variable/strong in security products</x:v>
      </x:c>
      <x:c r="C27" s="200" t="str">
        <x:v>Medium</x:v>
      </x:c>
      <x:c r="D27" s="200" t="str">
        <x:v>Low</x:v>
      </x:c>
      <x:c r="E27" s="200" t="str">
        <x:v>Low</x:v>
      </x:c>
      <x:c r="F27" s="200" t="str">
        <x:v>Medium</x:v>
      </x:c>
      <x:c r="G27" s="200" t="str">
        <x:v>Strong</x:v>
      </x:c>
      <x:c r="H27" s="200" t="str">
        <x:v>High</x:v>
      </x:c>
      <x:c r="I27" s="200" t="str">
        <x:v>3–5</x:v>
      </x:c>
      <x:c r="J27" s="201" t="str">
        <x:v>Pilot-blocking privacy engineering and major trust differentiator.</x:v>
      </x:c>
      <x:c r="K27" s="47"/>
      <x:c r="L27" s="47"/>
      <x:c r="M27" s="47"/>
      <x:c r="N27" s="47"/>
      <x:c r="O27" s="47"/>
      <x:c r="P27" s="47"/>
      <x:c r="Q27" s="47"/>
      <x:c r="R27" s="47"/>
      <x:c r="S27" s="47"/>
      <x:c r="T27" s="47"/>
      <x:c r="U27" s="47"/>
      <x:c r="V27" s="47"/>
      <x:c r="W27" s="47"/>
      <x:c r="X27" s="47"/>
      <x:c r="Y27" s="47"/>
      <x:c r="Z27" s="47"/>
    </x:row>
    <x:row r="28">
      <x:c r="A28" s="208" t="str">
        <x:v>Employee and manager benefit measurement</x:v>
      </x:c>
      <x:c r="B28" s="209" t="str">
        <x:v>Medium employer-centric</x:v>
      </x:c>
      <x:c r="C28" s="209" t="str">
        <x:v>Medium</x:v>
      </x:c>
      <x:c r="D28" s="209" t="str">
        <x:v>Strong team metrics</x:v>
      </x:c>
      <x:c r="E28" s="209" t="str">
        <x:v>Strong talent metrics</x:v>
      </x:c>
      <x:c r="F28" s="209" t="str">
        <x:v>Low</x:v>
      </x:c>
      <x:c r="G28" s="209" t="str">
        <x:v>Strong</x:v>
      </x:c>
      <x:c r="H28" s="209" t="str">
        <x:v>High</x:v>
      </x:c>
      <x:c r="I28" s="209" t="str">
        <x:v>0,12</x:v>
      </x:c>
      <x:c r="J28" s="210" t="str">
        <x:v>Product only succeeds when both task outcomes and employee development measurably improve.</x:v>
      </x:c>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J1"/>
    <x:mergeCell ref="A2:J2"/>
  </x:mergeCells>
  <x:pageMargins left="0.7" right="0.7" top="0.75" bottom="0.75" header="0.3" footer="0.3"/>
  <x:tableParts count="1">
    <x:tablePart xmlns:r="http://schemas.openxmlformats.org/officeDocument/2006/relationships" r:id="R58861635df3d45f6"/>
  </x:tableParts>
</x:worksheet>
</file>

<file path=xl/worksheets/sheet6.xml><?xml version="1.0" encoding="utf-8"?>
<x:worksheet xmlns:x="http://schemas.openxmlformats.org/spreadsheetml/2006/main">
  <x:sheetFormatPr defaultRowHeight="15"/>
  <x:cols>
    <x:col min="1" max="1" width="8" hidden="0" customWidth="1"/>
    <x:col min="2" max="2" width="38" hidden="0" customWidth="1"/>
    <x:col min="3" max="3" width="56" hidden="0" customWidth="1"/>
    <x:col min="4" max="4" width="12" hidden="0" customWidth="1"/>
    <x:col min="5" max="5" width="14" hidden="0" customWidth="1"/>
    <x:col min="6" max="6" width="34" hidden="0" customWidth="1"/>
    <x:col min="7" max="7" width="56" hidden="0" customWidth="1"/>
    <x:col min="8" max="8" width="26" hidden="0" customWidth="1"/>
    <x:col min="9" max="9" width="28" hidden="0" customWidth="1"/>
    <x:col min="10" max="10" width="11" hidden="0" customWidth="1"/>
    <x:col min="11" max="11" width="10" hidden="0" customWidth="1"/>
    <x:col min="12" max="12" width="14" hidden="0" customWidth="1"/>
    <x:col min="13" max="13" width="14" hidden="0" customWidth="1"/>
    <x:col min="14" max="14" width="11" hidden="0" customWidth="1"/>
  </x:cols>
  <x:sheetData>
    <x:row r="1" ht="30" customHeight="1">
      <x:c r="A1" s="161" t="str">
        <x:v>Delivery Stages</x:v>
      </x:c>
      <x:c r="B1" s="161"/>
      <x:c r="C1" s="161"/>
      <x:c r="D1" s="161"/>
      <x:c r="E1" s="161"/>
      <x:c r="F1" s="161"/>
      <x:c r="G1" s="161"/>
      <x:c r="H1" s="161"/>
      <x:c r="I1" s="161"/>
      <x:c r="J1" s="161"/>
      <x:c r="K1" s="161"/>
      <x:c r="L1" s="161"/>
      <x:c r="M1" s="161"/>
      <x:c r="N1" s="161"/>
      <x:c r="O1" s="65"/>
      <x:c r="P1" s="65"/>
      <x:c r="Q1" s="65"/>
      <x:c r="R1" s="65"/>
      <x:c r="S1" s="65"/>
      <x:c r="T1" s="65"/>
      <x:c r="U1" s="65"/>
      <x:c r="V1" s="65"/>
      <x:c r="W1" s="65"/>
      <x:c r="X1" s="65"/>
      <x:c r="Y1" s="65"/>
      <x:c r="Z1" s="65"/>
    </x:row>
    <x:row r="2" ht="34" customHeight="1">
      <x:c r="A2" s="164" t="str">
        <x:v>13 stages total. Stage 0 and Stage 1 are one Foundation &amp; Validation workstream with separate approval gates; schedules are planning assumptions rather than delivery commitments.</x:v>
      </x:c>
      <x:c r="B2" s="164"/>
      <x:c r="C2" s="164"/>
      <x:c r="D2" s="164"/>
      <x:c r="E2" s="164"/>
      <x:c r="F2" s="164"/>
      <x:c r="G2" s="164"/>
      <x:c r="H2" s="164"/>
      <x:c r="I2" s="164"/>
      <x:c r="J2" s="164"/>
      <x:c r="K2" s="164"/>
      <x:c r="L2" s="164"/>
      <x:c r="M2" s="164"/>
      <x:c r="N2" s="164"/>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Stage #</x:v>
      </x:c>
      <x:c r="B4" s="170" t="str">
        <x:v>Stage</x:v>
      </x:c>
      <x:c r="C4" s="170" t="str">
        <x:v>Objective</x:v>
      </x:c>
      <x:c r="D4" s="170" t="str">
        <x:v>Duration weeks</x:v>
      </x:c>
      <x:c r="E4" s="170" t="str">
        <x:v>Indicative team size</x:v>
      </x:c>
      <x:c r="F4" s="170" t="str">
        <x:v>Dependencies</x:v>
      </x:c>
      <x:c r="G4" s="170" t="str">
        <x:v>Exit deliverables</x:v>
      </x:c>
      <x:c r="H4" s="170" t="str">
        <x:v>Lead role</x:v>
      </x:c>
      <x:c r="I4" s="170" t="str">
        <x:v>Current state</x:v>
      </x:c>
      <x:c r="J4" s="170" t="str">
        <x:v>Priority</x:v>
      </x:c>
      <x:c r="K4" s="170" t="str">
        <x:v>Risk</x:v>
      </x:c>
      <x:c r="L4" s="170" t="str">
        <x:v>Start date</x:v>
      </x:c>
      <x:c r="M4" s="170" t="str">
        <x:v>End date</x:v>
      </x:c>
      <x:c r="N4" s="175" t="str">
        <x:v>Effort PW</x:v>
      </x:c>
      <x:c r="O4" s="47"/>
      <x:c r="P4" s="47"/>
      <x:c r="Q4" s="47"/>
      <x:c r="R4" s="47"/>
      <x:c r="S4" s="47"/>
      <x:c r="T4" s="47"/>
      <x:c r="U4" s="47"/>
      <x:c r="V4" s="47"/>
      <x:c r="W4" s="47"/>
      <x:c r="X4" s="47"/>
      <x:c r="Y4" s="47"/>
      <x:c r="Z4" s="47"/>
    </x:row>
    <x:row r="5">
      <x:c r="A5" s="197" t="n">
        <x:v>0</x:v>
      </x:c>
      <x:c r="B5" s="198" t="str">
        <x:v>Foundation — charter, governance and legal boundary</x:v>
      </x:c>
      <x:c r="C5" s="198" t="str">
        <x:v>Define purpose, permitted/prohibited uses, lawful and ethical boundaries, employee rights, DPIA inputs, consultation, security principles, pilot protection and decision authority.</x:v>
      </x:c>
      <x:c r="D5" s="198" t="n">
        <x:v>2</x:v>
      </x:c>
      <x:c r="E5" s="198" t="n">
        <x:v>8</x:v>
      </x:c>
      <x:c r="F5" s="198" t="str">
        <x:v>None</x:v>
      </x:c>
      <x:c r="G5" s="198" t="str">
        <x:v>Product Charter v1; Purpose Policy Matrix; RACI; DPIA pack; threat model; pilot definition; Stage 0 gate.</x:v>
      </x:c>
      <x:c r="H5" s="198" t="str">
        <x:v>Executive Sponsor / Product / DPO</x:v>
      </x:c>
      <x:c r="I5" s="198" t="str">
        <x:v>Draft Complete — Gate Pending</x:v>
      </x:c>
      <x:c r="J5" s="198" t="str">
        <x:v>Critical</x:v>
      </x:c>
      <x:c r="K5" s="198" t="str">
        <x:v>High</x:v>
      </x:c>
      <x:c r="L5" s="243" t="n">
        <x:v>46223</x:v>
      </x:c>
      <x:c r="M5" s="243" t="n">
        <x:v>46236</x:v>
      </x:c>
      <x:c r="N5" s="236" t="n">
        <x:v>16</x:v>
      </x:c>
      <x:c r="O5" s="47"/>
      <x:c r="P5" s="47"/>
      <x:c r="Q5" s="47"/>
      <x:c r="R5" s="47"/>
      <x:c r="S5" s="47"/>
      <x:c r="T5" s="47"/>
      <x:c r="U5" s="47"/>
      <x:c r="V5" s="47"/>
      <x:c r="W5" s="47"/>
      <x:c r="X5" s="47"/>
      <x:c r="Y5" s="47"/>
      <x:c r="Z5" s="47"/>
    </x:row>
    <x:row r="6">
      <x:c r="A6" s="205" t="n">
        <x:v>1</x:v>
      </x:c>
      <x:c r="B6" s="206" t="str">
        <x:v>Foundation — market validation and reference architecture</x:v>
      </x:c>
      <x:c r="C6" s="206" t="str">
        <x:v>Validate market/OSS landscape; decide build/buy/integrate/defer; define HumanOS reference architecture, ADRs, technical spikes, licences, costs and resource conditions.</x:v>
      </x:c>
      <x:c r="D6" s="206" t="n">
        <x:v>2</x:v>
      </x:c>
      <x:c r="E6" s="206" t="n">
        <x:v>10</x:v>
      </x:c>
      <x:c r="F6" s="206" t="str">
        <x:v>Stage 0 workstream runs in parallel; Stage 0 approval is required for implementation use</x:v>
      </x:c>
      <x:c r="G6" s="206" t="str">
        <x:v>Market/OSS research; Gap Matrix; Build/Buy decisions; Reference Architecture; ADRs; Stage 1 gate; Stage 2/3 prompts.</x:v>
      </x:c>
      <x:c r="H6" s="206" t="str">
        <x:v>CTO / Architecture / Product</x:v>
      </x:c>
      <x:c r="I6" s="206" t="str">
        <x:v>Draft Complete — Gate Pending</x:v>
      </x:c>
      <x:c r="J6" s="206" t="str">
        <x:v>Critical</x:v>
      </x:c>
      <x:c r="K6" s="206" t="str">
        <x:v>High</x:v>
      </x:c>
      <x:c r="L6" s="244" t="n">
        <x:v>46223</x:v>
      </x:c>
      <x:c r="M6" s="244" t="n">
        <x:v>46236</x:v>
      </x:c>
      <x:c r="N6" s="242" t="n">
        <x:v>20</x:v>
      </x:c>
      <x:c r="O6" s="47"/>
      <x:c r="P6" s="47"/>
      <x:c r="Q6" s="47"/>
      <x:c r="R6" s="47"/>
      <x:c r="S6" s="47"/>
      <x:c r="T6" s="47"/>
      <x:c r="U6" s="47"/>
      <x:c r="V6" s="47"/>
      <x:c r="W6" s="47"/>
      <x:c r="X6" s="47"/>
      <x:c r="Y6" s="47"/>
      <x:c r="Z6" s="47"/>
    </x:row>
    <x:row r="7">
      <x:c r="A7" s="199" t="n">
        <x:v>2</x:v>
      </x:c>
      <x:c r="B7" s="200" t="str">
        <x:v>Role capability and task contract ontology</x:v>
      </x:c>
      <x:c r="C7" s="200" t="str">
        <x:v>Create domain-neutral Role Capability Contract, Task Execution Contract, evidence ontology, rubrics and implementation contracts, with software-development examples.</x:v>
      </x:c>
      <x:c r="D7" s="200" t="n">
        <x:v>3</x:v>
      </x:c>
      <x:c r="E7" s="200" t="n">
        <x:v>7</x:v>
      </x:c>
      <x:c r="F7" s="200" t="str">
        <x:v>Conditional Stage 0 and Stage 1 approval</x:v>
      </x:c>
      <x:c r="G7" s="200" t="str">
        <x:v>Schemas, rubrics, example roles/tasks, APIs/events, evaluator rules, backlog and Stage 2 gate.</x:v>
      </x:c>
      <x:c r="H7" s="200" t="str">
        <x:v>Product / Capability / AI / Domain Experts</x:v>
      </x:c>
      <x:c r="I7" s="200" t="str">
        <x:v>Specification Draft Complete — Gate Pending</x:v>
      </x:c>
      <x:c r="J7" s="200" t="str">
        <x:v>Critical</x:v>
      </x:c>
      <x:c r="K7" s="200" t="str">
        <x:v>High</x:v>
      </x:c>
      <x:c r="L7" s="245" t="n">
        <x:v>46251</x:v>
      </x:c>
      <x:c r="M7" s="245" t="n">
        <x:v>46271</x:v>
      </x:c>
      <x:c r="N7" s="238" t="n">
        <x:v>21</x:v>
      </x:c>
      <x:c r="O7" s="47"/>
      <x:c r="P7" s="47"/>
      <x:c r="Q7" s="47"/>
      <x:c r="R7" s="47"/>
      <x:c r="S7" s="47"/>
      <x:c r="T7" s="47"/>
      <x:c r="U7" s="47"/>
      <x:c r="V7" s="47"/>
      <x:c r="W7" s="47"/>
      <x:c r="X7" s="47"/>
      <x:c r="Y7" s="47"/>
      <x:c r="Z7" s="47"/>
    </x:row>
    <x:row r="8">
      <x:c r="A8" s="205" t="n">
        <x:v>3</x:v>
      </x:c>
      <x:c r="B8" s="206" t="str">
        <x:v>Device agent foundation</x:v>
      </x:c>
      <x:c r="C8" s="206" t="str">
        <x:v>Build signed Windows/macOS agent skeleton, device identity, policy sync, visible session control, encrypted journal, update/rollback and spike framework.</x:v>
      </x:c>
      <x:c r="D8" s="206" t="n">
        <x:v>5</x:v>
      </x:c>
      <x:c r="E8" s="206" t="n">
        <x:v>8</x:v>
      </x:c>
      <x:c r="F8" s="206" t="str">
        <x:v>Conditional Stage 0 and Stage 1 approval</x:v>
      </x:c>
      <x:c r="G8" s="206" t="str">
        <x:v>Installable agent skeleton; registration; signed policy; session state machine; local journal; health/update; test and threat evidence.</x:v>
      </x:c>
      <x:c r="H8" s="206" t="str">
        <x:v>Desktop / Platform / Security</x:v>
      </x:c>
      <x:c r="I8" s="206" t="str">
        <x:v>Specification Draft Complete — Gate Pending</x:v>
      </x:c>
      <x:c r="J8" s="206" t="str">
        <x:v>Critical</x:v>
      </x:c>
      <x:c r="K8" s="206" t="str">
        <x:v>High</x:v>
      </x:c>
      <x:c r="L8" s="244" t="n">
        <x:v>46272</x:v>
      </x:c>
      <x:c r="M8" s="244" t="n">
        <x:v>46306</x:v>
      </x:c>
      <x:c r="N8" s="242" t="n">
        <x:v>40</x:v>
      </x:c>
      <x:c r="O8" s="47"/>
      <x:c r="P8" s="47"/>
      <x:c r="Q8" s="47"/>
      <x:c r="R8" s="47"/>
      <x:c r="S8" s="47"/>
      <x:c r="T8" s="47"/>
      <x:c r="U8" s="47"/>
      <x:c r="V8" s="47"/>
      <x:c r="W8" s="47"/>
      <x:c r="X8" s="47"/>
      <x:c r="Y8" s="47"/>
      <x:c r="Z8" s="47"/>
    </x:row>
    <x:row r="9">
      <x:c r="A9" s="199" t="n">
        <x:v>4</x:v>
      </x:c>
      <x:c r="B9" s="200" t="str">
        <x:v>Telemetry ingestion and evidence storage</x:v>
      </x:c>
      <x:c r="C9" s="200" t="str">
        <x:v>Implement signed batch ingestion, schema governance, event bus, object evidence storage, audit linkage and replay APIs.</x:v>
      </x:c>
      <x:c r="D9" s="200" t="n">
        <x:v>4</x:v>
      </x:c>
      <x:c r="E9" s="200" t="n">
        <x:v>7</x:v>
      </x:c>
      <x:c r="F9" s="200" t="str">
        <x:v>Stage 3 foundation and approved event contracts</x:v>
      </x:c>
      <x:c r="G9" s="200" t="str">
        <x:v>Idempotent ingestion; schema registry; event topics; evidence/object storage; access and audit controls.</x:v>
      </x:c>
      <x:c r="H9" s="200" t="str">
        <x:v>Backend / Data / Platform</x:v>
      </x:c>
      <x:c r="I9" s="200" t="str">
        <x:v>Specification Draft Complete — Gate Pending</x:v>
      </x:c>
      <x:c r="J9" s="200" t="str">
        <x:v>Critical</x:v>
      </x:c>
      <x:c r="K9" s="200" t="str">
        <x:v>High</x:v>
      </x:c>
      <x:c r="L9" s="245" t="n">
        <x:v>46307</x:v>
      </x:c>
      <x:c r="M9" s="245" t="n">
        <x:v>46334</x:v>
      </x:c>
      <x:c r="N9" s="238" t="n">
        <x:v>28</x:v>
      </x:c>
      <x:c r="O9" s="47"/>
      <x:c r="P9" s="47"/>
      <x:c r="Q9" s="47"/>
      <x:c r="R9" s="47"/>
      <x:c r="S9" s="47"/>
      <x:c r="T9" s="47"/>
      <x:c r="U9" s="47"/>
      <x:c r="V9" s="47"/>
      <x:c r="W9" s="47"/>
      <x:c r="X9" s="47"/>
      <x:c r="Y9" s="47"/>
      <x:c r="Z9" s="47"/>
    </x:row>
    <x:row r="10">
      <x:c r="A10" s="205" t="n">
        <x:v>5</x:v>
      </x:c>
      <x:c r="B10" s="206" t="str">
        <x:v>Universal capture MVP</x:v>
      </x:c>
      <x:c r="C10" s="206" t="str">
        <x:v>Capture approved application/window, visual-state, input metadata/text delta, idle, process and file evidence with local exclusions and redaction.</x:v>
      </x:c>
      <x:c r="D10" s="206" t="n">
        <x:v>6</x:v>
      </x:c>
      <x:c r="E10" s="206" t="n">
        <x:v>9</x:v>
      </x:c>
      <x:c r="F10" s="206" t="str">
        <x:v>Stages 3 and 4; DPIA and pilot control approval</x:v>
      </x:c>
      <x:c r="G10" s="206" t="str">
        <x:v>Correlated endpoint timeline; secure-field blocking; visual-state graph; edge redaction; performance and privacy tests.</x:v>
      </x:c>
      <x:c r="H10" s="206" t="str">
        <x:v>Desktop / Data / Security</x:v>
      </x:c>
      <x:c r="I10" s="206" t="str">
        <x:v>Specification Draft Complete — Gate Pending</x:v>
      </x:c>
      <x:c r="J10" s="206" t="str">
        <x:v>Critical</x:v>
      </x:c>
      <x:c r="K10" s="206" t="str">
        <x:v>High</x:v>
      </x:c>
      <x:c r="L10" s="244" t="n">
        <x:v>46335</x:v>
      </x:c>
      <x:c r="M10" s="244" t="n">
        <x:v>46376</x:v>
      </x:c>
      <x:c r="N10" s="242" t="n">
        <x:v>54</x:v>
      </x:c>
      <x:c r="O10" s="47"/>
      <x:c r="P10" s="47"/>
      <x:c r="Q10" s="47"/>
      <x:c r="R10" s="47"/>
      <x:c r="S10" s="47"/>
      <x:c r="T10" s="47"/>
      <x:c r="U10" s="47"/>
      <x:c r="V10" s="47"/>
      <x:c r="W10" s="47"/>
      <x:c r="X10" s="47"/>
      <x:c r="Y10" s="47"/>
      <x:c r="Z10" s="47"/>
    </x:row>
    <x:row r="11">
      <x:c r="A11" s="199" t="n">
        <x:v>6</x:v>
      </x:c>
      <x:c r="B11" s="200" t="str">
        <x:v>Development semantics and AI-agent adapters</x:v>
      </x:c>
      <x:c r="C11" s="200" t="str">
        <x:v>Add browser, terminal, Git, tests/builds, Codex, Claude Code, IDE and toolchain adapters.</x:v>
      </x:c>
      <x:c r="D11" s="200" t="n">
        <x:v>6</x:v>
      </x:c>
      <x:c r="E11" s="200" t="n">
        <x:v>9</x:v>
      </x:c>
      <x:c r="F11" s="200" t="str">
        <x:v>Stage 5</x:v>
      </x:c>
      <x:c r="G11" s="200" t="str">
        <x:v>Normalised agent/tool events; terminal/process semantics; Git/test/build evidence; adapter SDK.</x:v>
      </x:c>
      <x:c r="H11" s="200" t="str">
        <x:v>Integrations / AI / Developer Platform</x:v>
      </x:c>
      <x:c r="I11" s="200" t="str">
        <x:v>Specification Draft Complete — Gate Pending</x:v>
      </x:c>
      <x:c r="J11" s="200" t="str">
        <x:v>High</x:v>
      </x:c>
      <x:c r="K11" s="200" t="str">
        <x:v>High</x:v>
      </x:c>
      <x:c r="L11" s="245" t="n">
        <x:v>46377</x:v>
      </x:c>
      <x:c r="M11" s="245" t="n">
        <x:v>46418</x:v>
      </x:c>
      <x:c r="N11" s="238" t="n">
        <x:v>54</x:v>
      </x:c>
      <x:c r="O11" s="47"/>
      <x:c r="P11" s="47"/>
      <x:c r="Q11" s="47"/>
      <x:c r="R11" s="47"/>
      <x:c r="S11" s="47"/>
      <x:c r="T11" s="47"/>
      <x:c r="U11" s="47"/>
      <x:c r="V11" s="47"/>
      <x:c r="W11" s="47"/>
      <x:c r="X11" s="47"/>
      <x:c r="Y11" s="47"/>
      <x:c r="Z11" s="47"/>
    </x:row>
    <x:row r="12">
      <x:c r="A12" s="205" t="n">
        <x:v>7</x:v>
      </x:c>
      <x:c r="B12" s="206" t="str">
        <x:v>Provenance and Task Assurance Engine</x:v>
      </x:c>
      <x:c r="C12" s="206" t="str">
        <x:v>Build work episodes, task alignment, human/AI/automation causal graph, acceptance-criteria and quality evaluation.</x:v>
      </x:c>
      <x:c r="D12" s="206" t="n">
        <x:v>7</x:v>
      </x:c>
      <x:c r="E12" s="206" t="n">
        <x:v>10</x:v>
      </x:c>
      <x:c r="F12" s="206" t="str">
        <x:v>Stages 2 and 6</x:v>
      </x:c>
      <x:c r="G12" s="206" t="str">
        <x:v>Evidence/provenance graph; task assessments; criterion state; confidence calibration; blocker detection; human review.</x:v>
      </x:c>
      <x:c r="H12" s="206" t="str">
        <x:v>AI / Backend / Product</x:v>
      </x:c>
      <x:c r="I12" s="206" t="str">
        <x:v>Specification Draft Complete — Gate Pending</x:v>
      </x:c>
      <x:c r="J12" s="206" t="str">
        <x:v>Critical</x:v>
      </x:c>
      <x:c r="K12" s="206" t="str">
        <x:v>High</x:v>
      </x:c>
      <x:c r="L12" s="244" t="n">
        <x:v>46419</x:v>
      </x:c>
      <x:c r="M12" s="244" t="n">
        <x:v>46467</x:v>
      </x:c>
      <x:c r="N12" s="242" t="n">
        <x:v>70</x:v>
      </x:c>
      <x:c r="O12" s="47"/>
      <x:c r="P12" s="47"/>
      <x:c r="Q12" s="47"/>
      <x:c r="R12" s="47"/>
      <x:c r="S12" s="47"/>
      <x:c r="T12" s="47"/>
      <x:c r="U12" s="47"/>
      <x:c r="V12" s="47"/>
      <x:c r="W12" s="47"/>
      <x:c r="X12" s="47"/>
      <x:c r="Y12" s="47"/>
      <x:c r="Z12" s="47"/>
    </x:row>
    <x:row r="13">
      <x:c r="A13" s="199" t="n">
        <x:v>8</x:v>
      </x:c>
      <x:c r="B13" s="200" t="str">
        <x:v>Capability Graph and baseline assessment</x:v>
      </x:c>
      <x:c r="C13" s="200" t="str">
        <x:v>Map role requirements and employee claims to repeated, context-qualified capability evidence and role readiness.</x:v>
      </x:c>
      <x:c r="D13" s="200" t="n">
        <x:v>5</x:v>
      </x:c>
      <x:c r="E13" s="200" t="n">
        <x:v>8</x:v>
      </x:c>
      <x:c r="F13" s="200" t="str">
        <x:v>Stages 2 and 7</x:v>
      </x:c>
      <x:c r="G13" s="200" t="str">
        <x:v>Capability service; baseline assessment; claim-evidence discrepancy workflow; fairness/evidence tests.</x:v>
      </x:c>
      <x:c r="H13" s="200" t="str">
        <x:v>Capability / HR / AI / Backend</x:v>
      </x:c>
      <x:c r="I13" s="200" t="str">
        <x:v>Specification Draft Complete — Gate Pending</x:v>
      </x:c>
      <x:c r="J13" s="200" t="str">
        <x:v>High</x:v>
      </x:c>
      <x:c r="K13" s="200" t="str">
        <x:v>High</x:v>
      </x:c>
      <x:c r="L13" s="245" t="n">
        <x:v>46468</x:v>
      </x:c>
      <x:c r="M13" s="245" t="n">
        <x:v>46502</x:v>
      </x:c>
      <x:c r="N13" s="238" t="n">
        <x:v>40</x:v>
      </x:c>
      <x:c r="O13" s="47"/>
      <x:c r="P13" s="47"/>
      <x:c r="Q13" s="47"/>
      <x:c r="R13" s="47"/>
      <x:c r="S13" s="47"/>
      <x:c r="T13" s="47"/>
      <x:c r="U13" s="47"/>
      <x:c r="V13" s="47"/>
      <x:c r="W13" s="47"/>
      <x:c r="X13" s="47"/>
      <x:c r="Y13" s="47"/>
      <x:c r="Z13" s="47"/>
    </x:row>
    <x:row r="14">
      <x:c r="A14" s="205" t="n">
        <x:v>9</x:v>
      </x:c>
      <x:c r="B14" s="206" t="str">
        <x:v>Growth Coach and learning loop</x:v>
      </x:c>
      <x:c r="C14" s="206" t="str">
        <x:v>Provide controlled observe/nudge/assist/teach/escalate interventions, training plans and effectiveness measurement.</x:v>
      </x:c>
      <x:c r="D14" s="206" t="n">
        <x:v>5</x:v>
      </x:c>
      <x:c r="E14" s="206" t="n">
        <x:v>8</x:v>
      </x:c>
      <x:c r="F14" s="206" t="str">
        <x:v>Stages 7 and 8</x:v>
      </x:c>
      <x:c r="G14" s="206" t="str">
        <x:v>Coaching orchestration; learning plans; mentor escalation; intervention safety; applied-learning evidence.</x:v>
      </x:c>
      <x:c r="H14" s="206" t="str">
        <x:v>AI / L&amp;D / Product</x:v>
      </x:c>
      <x:c r="I14" s="206" t="str">
        <x:v>Specification Draft Complete — Gate Pending</x:v>
      </x:c>
      <x:c r="J14" s="206" t="str">
        <x:v>High</x:v>
      </x:c>
      <x:c r="K14" s="206" t="str">
        <x:v>Medium</x:v>
      </x:c>
      <x:c r="L14" s="244" t="n">
        <x:v>46503</x:v>
      </x:c>
      <x:c r="M14" s="244" t="n">
        <x:v>46537</x:v>
      </x:c>
      <x:c r="N14" s="242" t="n">
        <x:v>40</x:v>
      </x:c>
      <x:c r="O14" s="47"/>
      <x:c r="P14" s="47"/>
      <x:c r="Q14" s="47"/>
      <x:c r="R14" s="47"/>
      <x:c r="S14" s="47"/>
      <x:c r="T14" s="47"/>
      <x:c r="U14" s="47"/>
      <x:c r="V14" s="47"/>
      <x:c r="W14" s="47"/>
      <x:c r="X14" s="47"/>
      <x:c r="Y14" s="47"/>
      <x:c r="Z14" s="47"/>
    </x:row>
    <x:row r="15">
      <x:c r="A15" s="199" t="n">
        <x:v>10</x:v>
      </x:c>
      <x:c r="B15" s="200" t="str">
        <x:v>Employee and manager experiences</x:v>
      </x:c>
      <x:c r="C15" s="200" t="str">
        <x:v>Deliver employee timeline/corrections/capability view and manager exception-led task/capability reports.</x:v>
      </x:c>
      <x:c r="D15" s="200" t="n">
        <x:v>5</x:v>
      </x:c>
      <x:c r="E15" s="200" t="n">
        <x:v>9</x:v>
      </x:c>
      <x:c r="F15" s="200" t="str">
        <x:v>Stages 7–9 and governance workflow</x:v>
      </x:c>
      <x:c r="G15" s="200" t="str">
        <x:v>Employee portal; dispute/review workflow; manager task assurance; access controls; usability evidence.</x:v>
      </x:c>
      <x:c r="H15" s="200" t="str">
        <x:v>Product / Frontend / Backend / Governance</x:v>
      </x:c>
      <x:c r="I15" s="200" t="str">
        <x:v>Specification Draft Complete — Gate Pending</x:v>
      </x:c>
      <x:c r="J15" s="200" t="str">
        <x:v>High</x:v>
      </x:c>
      <x:c r="K15" s="200" t="str">
        <x:v>High</x:v>
      </x:c>
      <x:c r="L15" s="245" t="n">
        <x:v>46538</x:v>
      </x:c>
      <x:c r="M15" s="245" t="n">
        <x:v>46572</x:v>
      </x:c>
      <x:c r="N15" s="238" t="n">
        <x:v>45</x:v>
      </x:c>
      <x:c r="O15" s="47"/>
      <x:c r="P15" s="47"/>
      <x:c r="Q15" s="47"/>
      <x:c r="R15" s="47"/>
      <x:c r="S15" s="47"/>
      <x:c r="T15" s="47"/>
      <x:c r="U15" s="47"/>
      <x:c r="V15" s="47"/>
      <x:c r="W15" s="47"/>
      <x:c r="X15" s="47"/>
      <x:c r="Y15" s="47"/>
      <x:c r="Z15" s="47"/>
    </x:row>
    <x:row r="16">
      <x:c r="A16" s="205" t="n">
        <x:v>11</x:v>
      </x:c>
      <x:c r="B16" s="206" t="str">
        <x:v>Skill Forge and governed self-improvement</x:v>
      </x:c>
      <x:c r="C16" s="206" t="str">
        <x:v>Create observation-to-skill/evaluator improvement with evaluation, approval, canary, promotion and rollback.</x:v>
      </x:c>
      <x:c r="D16" s="206" t="n">
        <x:v>6</x:v>
      </x:c>
      <x:c r="E16" s="206" t="n">
        <x:v>8</x:v>
      </x:c>
      <x:c r="F16" s="206" t="str">
        <x:v>Stages 9 and 10</x:v>
      </x:c>
      <x:c r="G16" s="206" t="str">
        <x:v>Skill registry; proposal/evaluation pipeline; confidentiality controls; approval/canary/rollback.</x:v>
      </x:c>
      <x:c r="H16" s="206" t="str">
        <x:v>AI Platform / Governance</x:v>
      </x:c>
      <x:c r="I16" s="206" t="str">
        <x:v>Specification Draft Complete — Gate Pending</x:v>
      </x:c>
      <x:c r="J16" s="206" t="str">
        <x:v>High</x:v>
      </x:c>
      <x:c r="K16" s="206" t="str">
        <x:v>High</x:v>
      </x:c>
      <x:c r="L16" s="244" t="n">
        <x:v>46573</x:v>
      </x:c>
      <x:c r="M16" s="244" t="n">
        <x:v>46614</x:v>
      </x:c>
      <x:c r="N16" s="242" t="n">
        <x:v>48</x:v>
      </x:c>
      <x:c r="O16" s="47"/>
      <x:c r="P16" s="47"/>
      <x:c r="Q16" s="47"/>
      <x:c r="R16" s="47"/>
      <x:c r="S16" s="47"/>
      <x:c r="T16" s="47"/>
      <x:c r="U16" s="47"/>
      <x:c r="V16" s="47"/>
      <x:c r="W16" s="47"/>
      <x:c r="X16" s="47"/>
      <x:c r="Y16" s="47"/>
      <x:c r="Z16" s="47"/>
    </x:row>
    <x:row r="17">
      <x:c r="A17" s="202" t="n">
        <x:v>12</x:v>
      </x:c>
      <x:c r="B17" s="203" t="str">
        <x:v>Security hardening, internal pilot and rollout decision</x:v>
      </x:c>
      <x:c r="C17" s="203" t="str">
        <x:v>Complete penetration/privacy/performance/evaluation testing, controlled pilot, evidence review, cost analysis and proceed/modify/restrict/stop decision.</x:v>
      </x:c>
      <x:c r="D17" s="203" t="n">
        <x:v>8</x:v>
      </x:c>
      <x:c r="E17" s="203" t="n">
        <x:v>12</x:v>
      </x:c>
      <x:c r="F17" s="203" t="str">
        <x:v>Stages 0–11 and all pilot approvals</x:v>
      </x:c>
      <x:c r="G17" s="203" t="str">
        <x:v>Pilot report; legal/DPO/security sign-off; employee/manager evidence; cost and launch-readiness decision.</x:v>
      </x:c>
      <x:c r="H17" s="203" t="str">
        <x:v>Executive Sponsor / CTO / DPO / CISO / Product</x:v>
      </x:c>
      <x:c r="I17" s="203" t="str">
        <x:v>Not Started</x:v>
      </x:c>
      <x:c r="J17" s="203" t="str">
        <x:v>Critical</x:v>
      </x:c>
      <x:c r="K17" s="203" t="str">
        <x:v>High</x:v>
      </x:c>
      <x:c r="L17" s="246" t="n">
        <x:v>46615</x:v>
      </x:c>
      <x:c r="M17" s="246" t="n">
        <x:v>46670</x:v>
      </x:c>
      <x:c r="N17" s="240" t="n">
        <x:v>96</x:v>
      </x:c>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N1"/>
    <x:mergeCell ref="A2:N2"/>
  </x:mergeCells>
  <x:conditionalFormatting sqref="K5:K17">
    <x:cfRule type="expression" dxfId="0" priority="1">
      <x:formula>K5="High"</x:formula>
    </x:cfRule>
  </x:conditionalFormatting>
  <x:conditionalFormatting sqref="J5:J17">
    <x:cfRule type="expression" dxfId="1" priority="2">
      <x:formula>J5="Critical"</x:formula>
    </x:cfRule>
  </x:conditionalFormatting>
  <x:dataValidations count="3">
    <x:dataValidation type="list" sqref="I5:I17">
      <x:formula1>"Draft Complete — Gate Pending,Not Started — Prompt Ready,Not Started,In Progress,Blocked,Complete"</x:formula1>
    </x:dataValidation>
    <x:dataValidation type="list" sqref="J5:J17">
      <x:formula1>"Critical,High,Medium,Low"</x:formula1>
    </x:dataValidation>
    <x:dataValidation type="list" sqref="K5:K17">
      <x:formula1>"High,Medium,Low"</x:formula1>
    </x:dataValidation>
  </x:dataValidations>
  <x:pageMargins left="0.7" right="0.7" top="0.75" bottom="0.75" header="0.3" footer="0.3"/>
  <x:drawing xmlns:r="http://schemas.openxmlformats.org/officeDocument/2006/relationships" r:id="Rf1290157305b4f0d"/>
  <x:tableParts count="1">
    <x:tablePart xmlns:r="http://schemas.openxmlformats.org/officeDocument/2006/relationships" r:id="R4c0c5377129940cb"/>
  </x:tableParts>
</x:worksheet>
</file>

<file path=xl/worksheets/sheet7.xml><?xml version="1.0" encoding="utf-8"?>
<x:worksheet xmlns:x="http://schemas.openxmlformats.org/spreadsheetml/2006/main">
  <x:sheetFormatPr defaultRowHeight="15"/>
  <x:cols>
    <x:col min="1" max="1" width="38" hidden="0" customWidth="1"/>
    <x:col min="2" max="2" width="54" hidden="0" customWidth="1"/>
    <x:col min="3" max="3" width="56" hidden="0" customWidth="1"/>
    <x:col min="4" max="4" width="32" hidden="0" customWidth="1"/>
    <x:col min="5" max="5" width="34" hidden="0" customWidth="1"/>
    <x:col min="6" max="6" width="38" hidden="0" customWidth="1"/>
    <x:col min="7" max="7" width="38" hidden="0" customWidth="1"/>
    <x:col min="8" max="8" width="38" hidden="0" customWidth="1"/>
    <x:col min="9" max="9" width="14" hidden="0" customWidth="1"/>
    <x:col min="10" max="10" width="44" hidden="0" customWidth="1"/>
    <x:col min="11" max="11" width="26" hidden="0" customWidth="1"/>
  </x:cols>
  <x:sheetData>
    <x:row r="1" ht="30" customHeight="1">
      <x:c r="A1" s="161" t="str">
        <x:v>Microservices and Deployment Map</x:v>
      </x:c>
      <x:c r="B1" s="161"/>
      <x:c r="C1" s="161"/>
      <x:c r="D1" s="161"/>
      <x:c r="E1" s="161"/>
      <x:c r="F1" s="161"/>
      <x:c r="G1" s="161"/>
      <x:c r="H1" s="161"/>
      <x:c r="I1" s="161"/>
      <x:c r="J1" s="161"/>
      <x:c r="K1" s="161"/>
      <x:c r="L1" s="64"/>
      <x:c r="M1" s="65"/>
      <x:c r="N1" s="65"/>
      <x:c r="O1" s="65"/>
      <x:c r="P1" s="65"/>
      <x:c r="Q1" s="65"/>
      <x:c r="R1" s="65"/>
      <x:c r="S1" s="65"/>
      <x:c r="T1" s="65"/>
      <x:c r="U1" s="65"/>
      <x:c r="V1" s="65"/>
      <x:c r="W1" s="65"/>
      <x:c r="X1" s="65"/>
      <x:c r="Y1" s="65"/>
      <x:c r="Z1" s="65"/>
    </x:row>
    <x:row r="2" ht="34" customHeight="1">
      <x:c r="A2" s="164" t="str">
        <x:v>Initial physical deployment plan. Logical bounded contexts can be separated later, but a new deployable requires a demonstrated security, scale, availability, ownership or transactional boundary.</x:v>
      </x:c>
      <x:c r="B2" s="164"/>
      <x:c r="C2" s="164"/>
      <x:c r="D2" s="164"/>
      <x:c r="E2" s="164"/>
      <x:c r="F2" s="164"/>
      <x:c r="G2" s="164"/>
      <x:c r="H2" s="164"/>
      <x:c r="I2" s="164"/>
      <x:c r="J2" s="164"/>
      <x:c r="K2" s="164"/>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Deployable / component</x:v>
      </x:c>
      <x:c r="B4" s="170" t="str">
        <x:v>Includes bounded contexts</x:v>
      </x:c>
      <x:c r="C4" s="170" t="str">
        <x:v>Primary responsibility</x:v>
      </x:c>
      <x:c r="D4" s="170" t="str">
        <x:v>Primary runtime</x:v>
      </x:c>
      <x:c r="E4" s="170" t="str">
        <x:v>Primary stores</x:v>
      </x:c>
      <x:c r="F4" s="170" t="str">
        <x:v>Consumes / integrates</x:v>
      </x:c>
      <x:c r="G4" s="170" t="str">
        <x:v>Publishes / exposes</x:v>
      </x:c>
      <x:c r="H4" s="170" t="str">
        <x:v>HumanOS foundation reuse</x:v>
      </x:c>
      <x:c r="I4" s="170" t="str">
        <x:v>Initial stage</x:v>
      </x:c>
      <x:c r="J4" s="170" t="str">
        <x:v>Future split trigger</x:v>
      </x:c>
      <x:c r="K4" s="175" t="str">
        <x:v>Owner / note</x:v>
      </x:c>
      <x:c r="L4" s="47"/>
      <x:c r="M4" s="47"/>
      <x:c r="N4" s="47"/>
      <x:c r="O4" s="47"/>
      <x:c r="P4" s="47"/>
      <x:c r="Q4" s="47"/>
      <x:c r="R4" s="47"/>
      <x:c r="S4" s="47"/>
      <x:c r="T4" s="47"/>
      <x:c r="U4" s="47"/>
      <x:c r="V4" s="47"/>
      <x:c r="W4" s="47"/>
      <x:c r="X4" s="47"/>
      <x:c r="Y4" s="47"/>
      <x:c r="Z4" s="47"/>
    </x:row>
    <x:row r="5">
      <x:c r="A5" s="197" t="str">
        <x:v>Endpoint Device Agent</x:v>
      </x:c>
      <x:c r="B5" s="198" t="str">
        <x:v>Native core; Windows bridge; macOS bridge; local policy; session control; encrypted journal; uploader; health/update; adapter SDK.</x:v>
      </x:c>
      <x:c r="C5" s="198" t="str">
        <x:v>Visible, policy-controlled endpoint evidence collection, local minimisation/redaction, offline durability and signed event batching.</x:v>
      </x:c>
      <x:c r="D5" s="198" t="str">
        <x:v>Rust shared core + Swift + Windows native bridge + TypeScript browser extension</x:v>
      </x:c>
      <x:c r="E5" s="198" t="str">
        <x:v>Encrypted SQLite/SQLCipher-style journal and content-addressed local cache</x:v>
      </x:c>
      <x:c r="F5" s="198" t="str">
        <x:v>Device policy, HumanOS session/task context, OS/application/agent adapters</x:v>
      </x:c>
      <x:c r="G5" s="198" t="str">
        <x:v>Signed event batches, device health, policy status, telemetry gaps</x:v>
      </x:c>
      <x:c r="H5" s="198" t="str">
        <x:v>Device identity, policy, secrets, audit, notification</x:v>
      </x:c>
      <x:c r="I5" s="198" t="str">
        <x:v>3–6</x:v>
      </x:c>
      <x:c r="J5" s="198" t="str">
        <x:v>OS-specific components may become separate packages, not necessarily cloud services.</x:v>
      </x:c>
      <x:c r="K5" s="220" t="str">
        <x:v>Desktop Platform</x:v>
      </x:c>
      <x:c r="L5" s="47"/>
      <x:c r="M5" s="47"/>
      <x:c r="N5" s="47"/>
      <x:c r="O5" s="47"/>
      <x:c r="P5" s="47"/>
      <x:c r="Q5" s="47"/>
      <x:c r="R5" s="47"/>
      <x:c r="S5" s="47"/>
      <x:c r="T5" s="47"/>
      <x:c r="U5" s="47"/>
      <x:c r="V5" s="47"/>
      <x:c r="W5" s="47"/>
      <x:c r="X5" s="47"/>
      <x:c r="Y5" s="47"/>
      <x:c r="Z5" s="47"/>
    </x:row>
    <x:row r="6">
      <x:c r="A6" s="205" t="str">
        <x:v>Deployable 1 — Device Control &amp; Policy Gateway</x:v>
      </x:c>
      <x:c r="B6" s="206" t="str">
        <x:v>Device registry; certificate lifecycle; policy distribution; session command/control; update rollout metadata; agent health.</x:v>
      </x:c>
      <x:c r="C6" s="206" t="str">
        <x:v>Cloud control plane for managed devices and capture policy.</x:v>
      </x:c>
      <x:c r="D6" s="206" t="str">
        <x:v>Java + Spring Boot</x:v>
      </x:c>
      <x:c r="E6" s="206" t="str">
        <x:v>PostgreSQL</x:v>
      </x:c>
      <x:c r="F6" s="206" t="str">
        <x:v>IAM, organisation, device attestation/MDM, policy service, secrets/KMS</x:v>
      </x:c>
      <x:c r="G6" s="206" t="str">
        <x:v>Registration/session/policy/update APIs and device events</x:v>
      </x:c>
      <x:c r="H6" s="206" t="str">
        <x:v>Identity, organisation, policy, secrets, audit, notification, API gateway</x:v>
      </x:c>
      <x:c r="I6" s="206" t="str">
        <x:v>3–4</x:v>
      </x:c>
      <x:c r="J6" s="206" t="str">
        <x:v>Split update service or fleet health if endpoint scale/ownership demands it.</x:v>
      </x:c>
      <x:c r="K6" s="207" t="str">
        <x:v>Platform / Security</x:v>
      </x:c>
      <x:c r="L6" s="47"/>
      <x:c r="M6" s="47"/>
      <x:c r="N6" s="47"/>
      <x:c r="O6" s="47"/>
      <x:c r="P6" s="47"/>
      <x:c r="Q6" s="47"/>
      <x:c r="R6" s="47"/>
      <x:c r="S6" s="47"/>
      <x:c r="T6" s="47"/>
      <x:c r="U6" s="47"/>
      <x:c r="V6" s="47"/>
      <x:c r="W6" s="47"/>
      <x:c r="X6" s="47"/>
      <x:c r="Y6" s="47"/>
      <x:c r="Z6" s="47"/>
    </x:row>
    <x:row r="7">
      <x:c r="A7" s="199" t="str">
        <x:v>Deployable 2 — Telemetry Ingestion &amp; Schema</x:v>
      </x:c>
      <x:c r="B7" s="200" t="str">
        <x:v>Batch gateway; signature validation; idempotency; tenant partitioning; schema registry integration; quotas; reject/diagnostics.</x:v>
      </x:c>
      <x:c r="C7" s="200" t="str">
        <x:v>Receive signed endpoint/adapter batches and publish normalised, replayable events.</x:v>
      </x:c>
      <x:c r="D7" s="200" t="str">
        <x:v>Java + Spring Boot + Spring Kafka</x:v>
      </x:c>
      <x:c r="E7" s="200" t="str">
        <x:v>Kafka-compatible bus + PostgreSQL ingestion metadata</x:v>
      </x:c>
      <x:c r="F7" s="200" t="str">
        <x:v>Device certificates, tenant/IAM, schema registry, event bus</x:v>
      </x:c>
      <x:c r="G7" s="200" t="str">
        <x:v>Normalised event topics, batch receipts, telemetry gap and rejection events</x:v>
      </x:c>
      <x:c r="H7" s="200" t="str">
        <x:v>IAM, event infrastructure, audit, API gateway</x:v>
      </x:c>
      <x:c r="I7" s="200" t="str">
        <x:v>4</x:v>
      </x:c>
      <x:c r="J7" s="200" t="str">
        <x:v>Scale ingress independently by region or workload when measured.</x:v>
      </x:c>
      <x:c r="K7" s="201" t="str">
        <x:v>Backend / Data Platform</x:v>
      </x:c>
      <x:c r="L7" s="47"/>
      <x:c r="M7" s="47"/>
      <x:c r="N7" s="47"/>
      <x:c r="O7" s="47"/>
      <x:c r="P7" s="47"/>
      <x:c r="Q7" s="47"/>
      <x:c r="R7" s="47"/>
      <x:c r="S7" s="47"/>
      <x:c r="T7" s="47"/>
      <x:c r="U7" s="47"/>
      <x:c r="V7" s="47"/>
      <x:c r="W7" s="47"/>
      <x:c r="X7" s="47"/>
      <x:c r="Y7" s="47"/>
      <x:c r="Z7" s="47"/>
    </x:row>
    <x:row r="8">
      <x:c r="A8" s="205" t="str">
        <x:v>Deployable 3 — Evidence &amp; Timeline</x:v>
      </x:c>
      <x:c r="B8" s="206" t="str">
        <x:v>Activity events; visual-state metadata; artefact references; relational provenance edges; retention; timeline/replay; evidence access.</x:v>
      </x:c>
      <x:c r="C8" s="206" t="str">
        <x:v>System of record for work evidence metadata and evidence-linked timelines.</x:v>
      </x:c>
      <x:c r="D8" s="206" t="str">
        <x:v>Java + Spring Boot</x:v>
      </x:c>
      <x:c r="E8" s="206" t="str">
        <x:v>PostgreSQL + object storage; search indexes as needed</x:v>
      </x:c>
      <x:c r="F8" s="206" t="str">
        <x:v>Normalised events, task/project context, file/Git/test/agent events, policy decisions</x:v>
      </x:c>
      <x:c r="G8" s="206" t="str">
        <x:v>Evidence/timeline APIs; evidence.linked and provenance.updated events</x:v>
      </x:c>
      <x:c r="H8" s="206" t="str">
        <x:v>Object/file service, policy, audit, IAM, tenant</x:v>
      </x:c>
      <x:c r="I8" s="206" t="str">
        <x:v>4–7</x:v>
      </x:c>
      <x:c r="J8" s="206" t="str">
        <x:v>Split visual/object indexing if retention/security/throughput becomes independent.</x:v>
      </x:c>
      <x:c r="K8" s="207" t="str">
        <x:v>Data / Evidence</x:v>
      </x:c>
      <x:c r="L8" s="47"/>
      <x:c r="M8" s="47"/>
      <x:c r="N8" s="47"/>
      <x:c r="O8" s="47"/>
      <x:c r="P8" s="47"/>
      <x:c r="Q8" s="47"/>
      <x:c r="R8" s="47"/>
      <x:c r="S8" s="47"/>
      <x:c r="T8" s="47"/>
      <x:c r="U8" s="47"/>
      <x:c r="V8" s="47"/>
      <x:c r="W8" s="47"/>
      <x:c r="X8" s="47"/>
      <x:c r="Y8" s="47"/>
      <x:c r="Z8" s="47"/>
    </x:row>
    <x:row r="9">
      <x:c r="A9" s="199" t="str">
        <x:v>Deployable 4A — Task Assurance Domain</x:v>
      </x:c>
      <x:c r="B9" s="200" t="str">
        <x:v>Task contract state; acceptance criteria; deterministic validators; assessment workflow; blocker and task-alignment state.</x:v>
      </x:c>
      <x:c r="C9" s="200" t="str">
        <x:v>Own durable task-assurance lifecycle and orchestrate evaluators and human review.</x:v>
      </x:c>
      <x:c r="D9" s="200" t="str">
        <x:v>Java + Spring Boot</x:v>
      </x:c>
      <x:c r="E9" s="200" t="str">
        <x:v>PostgreSQL</x:v>
      </x:c>
      <x:c r="F9" s="200" t="str">
        <x:v>HumanOS tasks/projects/workflow, evidence, build/test/CI, reviewer decisions</x:v>
      </x:c>
      <x:c r="G9" s="200" t="str">
        <x:v>Task assessment/criterion/blocker APIs and events</x:v>
      </x:c>
      <x:c r="H9" s="200" t="str">
        <x:v>Task/project service, workflow, policy, audit, notification</x:v>
      </x:c>
      <x:c r="I9" s="200" t="str">
        <x:v>2,7</x:v>
      </x:c>
      <x:c r="J9" s="200" t="str">
        <x:v>Separate task-contract compiler or validator workers only after independent scale/ownership.</x:v>
      </x:c>
      <x:c r="K9" s="201" t="str">
        <x:v>Product / Backend</x:v>
      </x:c>
      <x:c r="L9" s="47"/>
      <x:c r="M9" s="47"/>
      <x:c r="N9" s="47"/>
      <x:c r="O9" s="47"/>
      <x:c r="P9" s="47"/>
      <x:c r="Q9" s="47"/>
      <x:c r="R9" s="47"/>
      <x:c r="S9" s="47"/>
      <x:c r="T9" s="47"/>
      <x:c r="U9" s="47"/>
      <x:c r="V9" s="47"/>
      <x:c r="W9" s="47"/>
      <x:c r="X9" s="47"/>
      <x:c r="Y9" s="47"/>
      <x:c r="Z9" s="47"/>
    </x:row>
    <x:row r="10">
      <x:c r="A10" s="205" t="str">
        <x:v>Deployable 4B — Task &amp; Activity Evaluators</x:v>
      </x:c>
      <x:c r="B10" s="206" t="str">
        <x:v>Episode segmentation; task alignment; visual/text interpretation; quality reasoning; confidence calibration; evaluation harness.</x:v>
      </x:c>
      <x:c r="C10" s="206" t="str">
        <x:v>Return versioned, evidence-linked AI findings without owning final employment or task state.</x:v>
      </x:c>
      <x:c r="D10" s="206" t="str">
        <x:v>Python + FastAPI/worker runtime</x:v>
      </x:c>
      <x:c r="E10" s="206" t="str">
        <x:v>Evaluation/model artefact store + approved vector/search index</x:v>
      </x:c>
      <x:c r="F10" s="206" t="str">
        <x:v>Evidence references and minimised approved content through Model Gateway</x:v>
      </x:c>
      <x:c r="G10" s="206" t="str">
        <x:v>Evaluator findings, confidence, missing evidence and model/skill metadata</x:v>
      </x:c>
      <x:c r="H10" s="206" t="str">
        <x:v>Model Gateway, policy, audit, secrets, observability</x:v>
      </x:c>
      <x:c r="I10" s="206" t="str">
        <x:v>7</x:v>
      </x:c>
      <x:c r="J10" s="206" t="str">
        <x:v>Separate model-specific worker pools based on compute/security class.</x:v>
      </x:c>
      <x:c r="K10" s="207" t="str">
        <x:v>AI / Evaluation</x:v>
      </x:c>
      <x:c r="L10" s="47"/>
      <x:c r="M10" s="47"/>
      <x:c r="N10" s="47"/>
      <x:c r="O10" s="47"/>
      <x:c r="P10" s="47"/>
      <x:c r="Q10" s="47"/>
      <x:c r="R10" s="47"/>
      <x:c r="S10" s="47"/>
      <x:c r="T10" s="47"/>
      <x:c r="U10" s="47"/>
      <x:c r="V10" s="47"/>
      <x:c r="W10" s="47"/>
      <x:c r="X10" s="47"/>
      <x:c r="Y10" s="47"/>
      <x:c r="Z10" s="47"/>
    </x:row>
    <x:row r="11">
      <x:c r="A11" s="199" t="str">
        <x:v>Deployable 5A — Capability &amp; Learning Domain</x:v>
      </x:c>
      <x:c r="B11" s="200" t="str">
        <x:v>Role capability contracts; claims; evidence state; role readiness; learning plans; intervention workflow; employee capability view.</x:v>
      </x:c>
      <x:c r="C11" s="200" t="str">
        <x:v>Own transparent capability and learning lifecycle across HumanOS verticals.</x:v>
      </x:c>
      <x:c r="D11" s="200" t="str">
        <x:v>Java + Spring Boot</x:v>
      </x:c>
      <x:c r="E11" s="200" t="str">
        <x:v>PostgreSQL</x:v>
      </x:c>
      <x:c r="F11" s="200" t="str">
        <x:v>Organisation/roles, task assessments, baseline assessments, training outcomes, review decisions</x:v>
      </x:c>
      <x:c r="G11" s="200" t="str">
        <x:v>Capability evidence/state, gap, learning and role-readiness APIs/events</x:v>
      </x:c>
      <x:c r="H11" s="200" t="str">
        <x:v>Organisation/role, workflow, HR integrations, policy, audit, notification</x:v>
      </x:c>
      <x:c r="I11" s="200" t="str">
        <x:v>2,8–9</x:v>
      </x:c>
      <x:c r="J11" s="200" t="str">
        <x:v>Split learning marketplace/content integration if volume and ownership justify.</x:v>
      </x:c>
      <x:c r="K11" s="201" t="str">
        <x:v>Capability Product / L&amp;D</x:v>
      </x:c>
      <x:c r="L11" s="47"/>
      <x:c r="M11" s="47"/>
      <x:c r="N11" s="47"/>
      <x:c r="O11" s="47"/>
      <x:c r="P11" s="47"/>
      <x:c r="Q11" s="47"/>
      <x:c r="R11" s="47"/>
      <x:c r="S11" s="47"/>
      <x:c r="T11" s="47"/>
      <x:c r="U11" s="47"/>
      <x:c r="V11" s="47"/>
      <x:c r="W11" s="47"/>
      <x:c r="X11" s="47"/>
      <x:c r="Y11" s="47"/>
      <x:c r="Z11" s="47"/>
    </x:row>
    <x:row r="12">
      <x:c r="A12" s="205" t="str">
        <x:v>Deployable 5B — Capability Scoring &amp; Coaching AI</x:v>
      </x:c>
      <x:c r="B12" s="206" t="str">
        <x:v>Evidence weighting; confidence/recency/consistency; gap classification; coaching generation; training recommendations; effectiveness evaluation.</x:v>
      </x:c>
      <x:c r="C12" s="206" t="str">
        <x:v>Provide explainable recommendations to the durable Capability &amp; Learning domain.</x:v>
      </x:c>
      <x:c r="D12" s="206" t="str">
        <x:v>Python + FastAPI/worker runtime</x:v>
      </x:c>
      <x:c r="E12" s="206" t="str">
        <x:v>Evaluation store + approved skill/content index</x:v>
      </x:c>
      <x:c r="F12" s="206" t="str">
        <x:v>Qualified capability evidence, task context, employee request and approved learning content</x:v>
      </x:c>
      <x:c r="G12" s="206" t="str">
        <x:v>Scoring/coaching recommendations with explanations and version metadata</x:v>
      </x:c>
      <x:c r="H12" s="206" t="str">
        <x:v>Model Gateway, policy, audit, workflow</x:v>
      </x:c>
      <x:c r="I12" s="206" t="str">
        <x:v>8–9</x:v>
      </x:c>
      <x:c r="J12" s="206" t="str">
        <x:v>Separate coaching latency path from batch capability scoring if required.</x:v>
      </x:c>
      <x:c r="K12" s="207" t="str">
        <x:v>AI / L&amp;D</x:v>
      </x:c>
      <x:c r="L12" s="47"/>
      <x:c r="M12" s="47"/>
      <x:c r="N12" s="47"/>
      <x:c r="O12" s="47"/>
      <x:c r="P12" s="47"/>
      <x:c r="Q12" s="47"/>
      <x:c r="R12" s="47"/>
      <x:c r="S12" s="47"/>
      <x:c r="T12" s="47"/>
      <x:c r="U12" s="47"/>
      <x:c r="V12" s="47"/>
      <x:c r="W12" s="47"/>
      <x:c r="X12" s="47"/>
      <x:c r="Y12" s="47"/>
      <x:c r="Z12" s="47"/>
    </x:row>
    <x:row r="13">
      <x:c r="A13" s="199" t="str">
        <x:v>Deployable 6 — AI Adapter &amp; Memory Hub</x:v>
      </x:c>
      <x:c r="B13" s="200" t="str">
        <x:v>Codex/Claude/IDE agent adapters; provider-normalised lifecycle; prompt/tool observation; approved session memory; model/evaluation routing extensions.</x:v>
      </x:c>
      <x:c r="C13" s="200" t="str">
        <x:v>Connect AI work surfaces to HumanOS evidence and provide provider-neutral agent provenance.</x:v>
      </x:c>
      <x:c r="D13" s="200" t="str">
        <x:v>Python adapters + Java API/orchestration; extend existing HumanOS Model Gateway</x:v>
      </x:c>
      <x:c r="E13" s="200" t="str">
        <x:v>PostgreSQL metadata + approved search/vector index</x:v>
      </x:c>
      <x:c r="F13" s="200" t="str">
        <x:v>Official agent hooks, MCP/tool events, Model Gateway, evidence/task context</x:v>
      </x:c>
      <x:c r="G13" s="200" t="str">
        <x:v>Normalised agent events, memory/search APIs and AI audit</x:v>
      </x:c>
      <x:c r="H13" s="200" t="str">
        <x:v>Model Gateway, secrets, policy, audit, event bus</x:v>
      </x:c>
      <x:c r="I13" s="200" t="str">
        <x:v>6,11</x:v>
      </x:c>
      <x:c r="J13" s="200" t="str">
        <x:v>Split provider adapters or memory service when scale/security/ownership demands it.</x:v>
      </x:c>
      <x:c r="K13" s="201" t="str">
        <x:v>AI Platform / Integrations</x:v>
      </x:c>
      <x:c r="L13" s="47"/>
      <x:c r="M13" s="47"/>
      <x:c r="N13" s="47"/>
      <x:c r="O13" s="47"/>
      <x:c r="P13" s="47"/>
      <x:c r="Q13" s="47"/>
      <x:c r="R13" s="47"/>
      <x:c r="S13" s="47"/>
      <x:c r="T13" s="47"/>
      <x:c r="U13" s="47"/>
      <x:c r="V13" s="47"/>
      <x:c r="W13" s="47"/>
      <x:c r="X13" s="47"/>
      <x:c r="Y13" s="47"/>
      <x:c r="Z13" s="47"/>
    </x:row>
    <x:row r="14">
      <x:c r="A14" s="205" t="str">
        <x:v>Deployable 7 — Governance &amp; Human Review</x:v>
      </x:c>
      <x:c r="B14" s="206" t="str">
        <x:v>Employee evidence access; corrections; disputes; manager raw-evidence requests; human review; policy/decision reasons; consequential-decision safeguards.</x:v>
      </x:c>
      <x:c r="C14" s="206" t="str">
        <x:v>Operationalise employee rights and meaningful human review before assessments are used.</x:v>
      </x:c>
      <x:c r="D14" s="206" t="str">
        <x:v>Java + Spring Boot</x:v>
      </x:c>
      <x:c r="E14" s="206" t="str">
        <x:v>PostgreSQL + immutable audit references</x:v>
      </x:c>
      <x:c r="F14" s="206" t="str">
        <x:v>Assessment/dispute/access requests, identity/organisation, workflow and policy</x:v>
      </x:c>
      <x:c r="G14" s="206" t="str">
        <x:v>Review/correction/access decision APIs and events</x:v>
      </x:c>
      <x:c r="H14" s="206" t="str">
        <x:v>Workflow Runtime, IAM, policy, audit, notification</x:v>
      </x:c>
      <x:c r="I14" s="206" t="str">
        <x:v>0,7–10</x:v>
      </x:c>
      <x:c r="J14" s="206" t="str">
        <x:v>Split access-control admin from review case management only if security ownership differs.</x:v>
      </x:c>
      <x:c r="K14" s="207" t="str">
        <x:v>Governance / HR / DPO</x:v>
      </x:c>
      <x:c r="L14" s="47"/>
      <x:c r="M14" s="47"/>
      <x:c r="N14" s="47"/>
      <x:c r="O14" s="47"/>
      <x:c r="P14" s="47"/>
      <x:c r="Q14" s="47"/>
      <x:c r="R14" s="47"/>
      <x:c r="S14" s="47"/>
      <x:c r="T14" s="47"/>
      <x:c r="U14" s="47"/>
      <x:c r="V14" s="47"/>
      <x:c r="W14" s="47"/>
      <x:c r="X14" s="47"/>
      <x:c r="Y14" s="47"/>
      <x:c r="Z14" s="47"/>
    </x:row>
    <x:row r="15">
      <x:c r="A15" s="199" t="str">
        <x:v>Deployable 8 — Reporting &amp; Analytics</x:v>
      </x:c>
      <x:c r="B15" s="200" t="str">
        <x:v>Employee timeline read model; manager task assurance; capability views; pilot KPI; team/process and executive reporting.</x:v>
      </x:c>
      <x:c r="C15" s="200" t="str">
        <x:v>Deliver role-appropriate, exception-led views without making raw evidence the default experience.</x:v>
      </x:c>
      <x:c r="D15" s="200" t="str">
        <x:v>Java APIs + frontend/BI; Python/SQL analytics where justified</x:v>
      </x:c>
      <x:c r="E15" s="200" t="str">
        <x:v>PostgreSQL read models; warehouse/lakehouse later</x:v>
      </x:c>
      <x:c r="F15" s="200" t="str">
        <x:v>Task, capability, review, workflow and aggregated evidence events</x:v>
      </x:c>
      <x:c r="G15" s="200" t="str">
        <x:v>Reports, dashboards, exports and analytics APIs</x:v>
      </x:c>
      <x:c r="H15" s="200" t="str">
        <x:v>IAM, organisation, audit, notification, existing analytics platform</x:v>
      </x:c>
      <x:c r="I15" s="200" t="str">
        <x:v>10</x:v>
      </x:c>
      <x:c r="J15" s="200" t="str">
        <x:v>Separate analytics pipeline/warehouse after data-volume and governance proof.</x:v>
      </x:c>
      <x:c r="K15" s="201" t="str">
        <x:v>Product Analytics</x:v>
      </x:c>
      <x:c r="L15" s="47"/>
      <x:c r="M15" s="47"/>
      <x:c r="N15" s="47"/>
      <x:c r="O15" s="47"/>
      <x:c r="P15" s="47"/>
      <x:c r="Q15" s="47"/>
      <x:c r="R15" s="47"/>
      <x:c r="S15" s="47"/>
      <x:c r="T15" s="47"/>
      <x:c r="U15" s="47"/>
      <x:c r="V15" s="47"/>
      <x:c r="W15" s="47"/>
      <x:c r="X15" s="47"/>
      <x:c r="Y15" s="47"/>
      <x:c r="Z15" s="47"/>
    </x:row>
    <x:row r="16">
      <x:c r="A16" s="205" t="str">
        <x:v>Skill Forge Module — initially inside AI Platform</x:v>
      </x:c>
      <x:c r="B16" s="206" t="str">
        <x:v>Skill observation; proposal generation; version registry; evaluation suites; approvals; canary; promotion/rollback; confidentiality classification.</x:v>
      </x:c>
      <x:c r="C16" s="206" t="str">
        <x:v>Improve HumanOS skills, prompts, adapters and evaluators through governed evidence and feedback.</x:v>
      </x:c>
      <x:c r="D16" s="206" t="str">
        <x:v>Java lifecycle + Python generation/evaluation</x:v>
      </x:c>
      <x:c r="E16" s="206" t="str">
        <x:v>PostgreSQL + Git/artifact/evaluation stores</x:v>
      </x:c>
      <x:c r="F16" s="206" t="str">
        <x:v>User corrections, successful patterns, model/evaluator feedback, research candidates</x:v>
      </x:c>
      <x:c r="G16" s="206" t="str">
        <x:v>Skill proposal/version/deployment events</x:v>
      </x:c>
      <x:c r="H16" s="206" t="str">
        <x:v>Workflow, Model Gateway, policy, audit, secrets, notification</x:v>
      </x:c>
      <x:c r="I16" s="206" t="str">
        <x:v>11</x:v>
      </x:c>
      <x:c r="J16" s="206" t="str">
        <x:v>Become an independent deployable when cross-HumanOS usage and ownership justify it.</x:v>
      </x:c>
      <x:c r="K16" s="207" t="str">
        <x:v>AI Platform / Governance</x:v>
      </x:c>
      <x:c r="L16" s="47"/>
      <x:c r="M16" s="47"/>
      <x:c r="N16" s="47"/>
      <x:c r="O16" s="47"/>
      <x:c r="P16" s="47"/>
      <x:c r="Q16" s="47"/>
      <x:c r="R16" s="47"/>
      <x:c r="S16" s="47"/>
      <x:c r="T16" s="47"/>
      <x:c r="U16" s="47"/>
      <x:c r="V16" s="47"/>
      <x:c r="W16" s="47"/>
      <x:c r="X16" s="47"/>
      <x:c r="Y16" s="47"/>
      <x:c r="Z16" s="47"/>
    </x:row>
    <x:row r="17">
      <x:c r="A17" s="199" t="str">
        <x:v>Shared HumanOS — Identity &amp; Organisation</x:v>
      </x:c>
      <x:c r="B17" s="200" t="str">
        <x:v>Identity, tenant, person, team, manager, role assignment and service authentication.</x:v>
      </x:c>
      <x:c r="C17" s="200" t="str">
        <x:v>Remain authoritative for people, organisations and access context.</x:v>
      </x:c>
      <x:c r="D17" s="200" t="str">
        <x:v>Existing Java/Spring services</x:v>
      </x:c>
      <x:c r="E17" s="200" t="str">
        <x:v>Existing HumanOS stores</x:v>
      </x:c>
      <x:c r="F17" s="200" t="str">
        <x:v>Corporate identity/HR integrations</x:v>
      </x:c>
      <x:c r="G17" s="200" t="str">
        <x:v>Tokens, claims and organisation/role events</x:v>
      </x:c>
      <x:c r="H17" s="200" t="str">
        <x:v>Authoritative foundation</x:v>
      </x:c>
      <x:c r="I17" s="200" t="str">
        <x:v>All</x:v>
      </x:c>
      <x:c r="J17" s="200" t="str">
        <x:v>Do not duplicate in Work Intelligence.</x:v>
      </x:c>
      <x:c r="K17" s="201" t="str">
        <x:v>HumanOS Platform</x:v>
      </x:c>
      <x:c r="L17" s="47"/>
      <x:c r="M17" s="47"/>
      <x:c r="N17" s="47"/>
      <x:c r="O17" s="47"/>
      <x:c r="P17" s="47"/>
      <x:c r="Q17" s="47"/>
      <x:c r="R17" s="47"/>
      <x:c r="S17" s="47"/>
      <x:c r="T17" s="47"/>
      <x:c r="U17" s="47"/>
      <x:c r="V17" s="47"/>
      <x:c r="W17" s="47"/>
      <x:c r="X17" s="47"/>
      <x:c r="Y17" s="47"/>
      <x:c r="Z17" s="47"/>
    </x:row>
    <x:row r="18">
      <x:c r="A18" s="205" t="str">
        <x:v>Shared HumanOS — Projects, Tasks &amp; Plans</x:v>
      </x:c>
      <x:c r="B18" s="206" t="str">
        <x:v>Projects, assigned tasks, daily plans, status, deadlines and integration adapters.</x:v>
      </x:c>
      <x:c r="C18" s="206" t="str">
        <x:v>Remain authoritative for assigned work; Task Assurance compiles/evaluates contracts but does not replace task ownership.</x:v>
      </x:c>
      <x:c r="D18" s="206" t="str">
        <x:v>Existing Java/Spring services</x:v>
      </x:c>
      <x:c r="E18" s="206" t="str">
        <x:v>Existing HumanOS stores</x:v>
      </x:c>
      <x:c r="F18" s="206" t="str">
        <x:v>HumanOS/project-management integrations</x:v>
      </x:c>
      <x:c r="G18" s="206" t="str">
        <x:v>Task/project APIs and events</x:v>
      </x:c>
      <x:c r="H18" s="206" t="str">
        <x:v>Authoritative foundation</x:v>
      </x:c>
      <x:c r="I18" s="206" t="str">
        <x:v>2+</x:v>
      </x:c>
      <x:c r="J18" s="206" t="str">
        <x:v>Extend only where Task Execution Contract linkage is missing.</x:v>
      </x:c>
      <x:c r="K18" s="207" t="str">
        <x:v>HumanOS Product Platform</x:v>
      </x:c>
      <x:c r="L18" s="47"/>
      <x:c r="M18" s="47"/>
      <x:c r="N18" s="47"/>
      <x:c r="O18" s="47"/>
      <x:c r="P18" s="47"/>
      <x:c r="Q18" s="47"/>
      <x:c r="R18" s="47"/>
      <x:c r="S18" s="47"/>
      <x:c r="T18" s="47"/>
      <x:c r="U18" s="47"/>
      <x:c r="V18" s="47"/>
      <x:c r="W18" s="47"/>
      <x:c r="X18" s="47"/>
      <x:c r="Y18" s="47"/>
      <x:c r="Z18" s="47"/>
    </x:row>
    <x:row r="19">
      <x:c r="A19" s="199" t="str">
        <x:v>Shared HumanOS — Workflow Runtime</x:v>
      </x:c>
      <x:c r="B19" s="200" t="str">
        <x:v>Long-running review, dispute, coaching, approval, escalation and Skill Forge workflows.</x:v>
      </x:c>
      <x:c r="C19" s="200" t="str">
        <x:v>Provide deterministic orchestration and human tasks.</x:v>
      </x:c>
      <x:c r="D19" s="200" t="str">
        <x:v>Existing HumanOS workflow runtime</x:v>
      </x:c>
      <x:c r="E19" s="200" t="str">
        <x:v>Existing workflow state</x:v>
      </x:c>
      <x:c r="F19" s="200" t="str">
        <x:v>Domain events/commands</x:v>
      </x:c>
      <x:c r="G19" s="200" t="str">
        <x:v>Workflow states/actions/events</x:v>
      </x:c>
      <x:c r="H19" s="200" t="str">
        <x:v>Authoritative foundation</x:v>
      </x:c>
      <x:c r="I19" s="200" t="str">
        <x:v>0+</x:v>
      </x:c>
      <x:c r="J19" s="200" t="str">
        <x:v>Evaluate Temporal/alternative only after documented capability gaps.</x:v>
      </x:c>
      <x:c r="K19" s="201" t="str">
        <x:v>HumanOS Platform</x:v>
      </x:c>
      <x:c r="L19" s="47"/>
      <x:c r="M19" s="47"/>
      <x:c r="N19" s="47"/>
      <x:c r="O19" s="47"/>
      <x:c r="P19" s="47"/>
      <x:c r="Q19" s="47"/>
      <x:c r="R19" s="47"/>
      <x:c r="S19" s="47"/>
      <x:c r="T19" s="47"/>
      <x:c r="U19" s="47"/>
      <x:c r="V19" s="47"/>
      <x:c r="W19" s="47"/>
      <x:c r="X19" s="47"/>
      <x:c r="Y19" s="47"/>
      <x:c r="Z19" s="47"/>
    </x:row>
    <x:row r="20">
      <x:c r="A20" s="205" t="str">
        <x:v>Shared HumanOS — Policy, Audit, Secrets &amp; Object</x:v>
      </x:c>
      <x:c r="B20" s="206" t="str">
        <x:v>Policy decisions; immutable audit; device/service/evidence keys; evidence objects; regional storage; retention and access tokens.</x:v>
      </x:c>
      <x:c r="C20" s="206" t="str">
        <x:v>Provide shared control-plane and evidence infrastructure.</x:v>
      </x:c>
      <x:c r="D20" s="206" t="str">
        <x:v>Existing HumanOS services; evaluate OPA where valuable</x:v>
      </x:c>
      <x:c r="E20" s="206" t="str">
        <x:v>Policy repo, audit store, KMS/HSM, S3-compatible storage</x:v>
      </x:c>
      <x:c r="F20" s="206" t="str">
        <x:v>All Work Intelligence services</x:v>
      </x:c>
      <x:c r="G20" s="206" t="str">
        <x:v>Decisions, audit records, object references and security events</x:v>
      </x:c>
      <x:c r="H20" s="206" t="str">
        <x:v>Authoritative foundation</x:v>
      </x:c>
      <x:c r="I20" s="206" t="str">
        <x:v>0+</x:v>
      </x:c>
      <x:c r="J20" s="206" t="str">
        <x:v>Evidence-specific extensions require architecture review, not duplicated foundations.</x:v>
      </x:c>
      <x:c r="K20" s="207" t="str">
        <x:v>Security / Platform</x:v>
      </x:c>
      <x:c r="L20" s="47"/>
      <x:c r="M20" s="47"/>
      <x:c r="N20" s="47"/>
      <x:c r="O20" s="47"/>
      <x:c r="P20" s="47"/>
      <x:c r="Q20" s="47"/>
      <x:c r="R20" s="47"/>
      <x:c r="S20" s="47"/>
      <x:c r="T20" s="47"/>
      <x:c r="U20" s="47"/>
      <x:c r="V20" s="47"/>
      <x:c r="W20" s="47"/>
      <x:c r="X20" s="47"/>
      <x:c r="Y20" s="47"/>
      <x:c r="Z20" s="47"/>
    </x:row>
    <x:row r="21">
      <x:c r="A21" s="202" t="str">
        <x:v>Shared HumanOS — Event, API &amp; Observability Platform</x:v>
      </x:c>
      <x:c r="B21" s="203" t="str">
        <x:v>Kafka-compatible event bus; schema registry; API gateway; service mesh/mTLS; OpenTelemetry; deployment/feature flags.</x:v>
      </x:c>
      <x:c r="C21" s="203" t="str">
        <x:v>Provide cross-service contracts, security, operations and regional deployment.</x:v>
      </x:c>
      <x:c r="D21" s="203" t="str">
        <x:v>Existing HumanOS platform</x:v>
      </x:c>
      <x:c r="E21" s="203" t="str">
        <x:v>Kafka/schema/telemetry/platform stores</x:v>
      </x:c>
      <x:c r="F21" s="203" t="str">
        <x:v>All services and agents</x:v>
      </x:c>
      <x:c r="G21" s="203" t="str">
        <x:v>Events, APIs, traces/metrics/logs and deployments</x:v>
      </x:c>
      <x:c r="H21" s="203" t="str">
        <x:v>Authoritative foundation</x:v>
      </x:c>
      <x:c r="I21" s="203" t="str">
        <x:v>1+</x:v>
      </x:c>
      <x:c r="J21" s="203" t="str">
        <x:v>Operational telemetry must not become the raw employee-evidence store.</x:v>
      </x:c>
      <x:c r="K21" s="204" t="str">
        <x:v>Platform / SRE</x:v>
      </x:c>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K1"/>
    <x:mergeCell ref="A2:K2"/>
  </x:mergeCells>
  <x:dataValidations count="1">
    <x:dataValidation type="list" sqref="G5:G19">
      <x:formula1>"Yes,Partial,Later"</x:formula1>
    </x:dataValidation>
  </x:dataValidations>
  <x:pageMargins left="0.7" right="0.7" top="0.75" bottom="0.75" header="0.3" footer="0.3"/>
  <x:tableParts count="1">
    <x:tablePart xmlns:r="http://schemas.openxmlformats.org/officeDocument/2006/relationships" r:id="Re628ffe370b04755"/>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52" hidden="0" customWidth="1"/>
    <x:col min="4" max="4" width="8" hidden="0" customWidth="1"/>
    <x:col min="5" max="5" width="18" hidden="0" customWidth="1"/>
    <x:col min="6" max="6" width="12" hidden="0" customWidth="1"/>
    <x:col min="7" max="7" width="14" hidden="0" customWidth="1"/>
    <x:col min="8" max="8" width="10" hidden="0" customWidth="1"/>
    <x:col min="9" max="9" width="50" hidden="0" customWidth="1"/>
    <x:col min="10" max="10" width="30" hidden="0" customWidth="1"/>
    <x:col min="11" max="11" width="30" hidden="0" customWidth="1"/>
  </x:cols>
  <x:sheetData>
    <x:row r="1" ht="34" customHeight="1">
      <x:c r="A1" s="64" t="str">
        <x:v>MVP Backlog</x:v>
      </x:c>
      <x:c r="B1" s="64"/>
      <x:c r="C1" s="64"/>
      <x:c r="D1" s="64"/>
      <x:c r="E1" s="64"/>
      <x:c r="F1" s="64"/>
      <x:c r="G1" s="64"/>
      <x:c r="H1" s="64"/>
      <x:c r="I1" s="64"/>
      <x:c r="J1" s="64"/>
      <x:c r="K1" s="64"/>
      <x:c r="L1" s="65"/>
      <x:c r="M1" s="65"/>
      <x:c r="N1" s="65"/>
      <x:c r="O1" s="65"/>
      <x:c r="P1" s="65"/>
      <x:c r="Q1" s="65"/>
      <x:c r="R1" s="65"/>
      <x:c r="S1" s="65"/>
      <x:c r="T1" s="65"/>
      <x:c r="U1" s="65"/>
      <x:c r="V1" s="65"/>
      <x:c r="W1" s="65"/>
      <x:c r="X1" s="65"/>
      <x:c r="Y1" s="65"/>
      <x:c r="Z1" s="65"/>
    </x:row>
    <x:row r="2" ht="34" customHeight="1">
      <x:c r="A2" s="48" t="str">
        <x:v>Initial epics and features for the controlled internal pilot.</x:v>
      </x:c>
      <x:c r="B2" s="48"/>
      <x:c r="C2" s="48"/>
      <x:c r="D2" s="48"/>
      <x:c r="E2" s="48"/>
      <x:c r="F2" s="48"/>
      <x:c r="G2" s="48"/>
      <x:c r="H2" s="48"/>
      <x:c r="I2" s="48"/>
      <x:c r="J2" s="48"/>
      <x:c r="K2" s="48"/>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Epic ID</x:v>
      </x:c>
      <x:c r="B4" s="49" t="str">
        <x:v>Epic</x:v>
      </x:c>
      <x:c r="C4" s="49" t="str">
        <x:v>Feature / user story</x:v>
      </x:c>
      <x:c r="D4" s="49" t="str">
        <x:v>Stage</x:v>
      </x:c>
      <x:c r="E4" s="49" t="str">
        <x:v>Owner</x:v>
      </x:c>
      <x:c r="F4" s="49" t="str">
        <x:v>Priority</x:v>
      </x:c>
      <x:c r="G4" s="49" t="str">
        <x:v>Status</x:v>
      </x:c>
      <x:c r="H4" s="49" t="str">
        <x:v>Effort pts</x:v>
      </x:c>
      <x:c r="I4" s="49" t="str">
        <x:v>Acceptance criteria</x:v>
      </x:c>
      <x:c r="J4" s="49" t="str">
        <x:v>Dependencies</x:v>
      </x:c>
      <x:c r="K4" s="49" t="str">
        <x:v>Notes</x:v>
      </x:c>
      <x:c r="L4" s="47"/>
      <x:c r="M4" s="47"/>
      <x:c r="N4" s="47"/>
      <x:c r="O4" s="47"/>
      <x:c r="P4" s="47"/>
      <x:c r="Q4" s="47"/>
      <x:c r="R4" s="47"/>
      <x:c r="S4" s="47"/>
      <x:c r="T4" s="47"/>
      <x:c r="U4" s="47"/>
      <x:c r="V4" s="47"/>
      <x:c r="W4" s="47"/>
      <x:c r="X4" s="47"/>
      <x:c r="Y4" s="47"/>
      <x:c r="Z4" s="47"/>
    </x:row>
    <x:row r="5">
      <x:c r="A5" s="50" t="str">
        <x:v>E01</x:v>
      </x:c>
      <x:c r="B5" s="50" t="str">
        <x:v>Work session control</x:v>
      </x:c>
      <x:c r="C5" s="50" t="str">
        <x:v>Employee can start/pause/stop a monitored work session against a HumanOS task.</x:v>
      </x:c>
      <x:c r="D5" s="50" t="n">
        <x:v>3</x:v>
      </x:c>
      <x:c r="E5" s="50" t="str">
        <x:v>Desktop/Backend</x:v>
      </x:c>
      <x:c r="F5" s="50" t="str">
        <x:v>Critical</x:v>
      </x:c>
      <x:c r="G5" s="50" t="str">
        <x:v>Not Started</x:v>
      </x:c>
      <x:c r="H5" s="50" t="n">
        <x:v>8</x:v>
      </x:c>
      <x:c r="I5" s="50" t="str">
        <x:v>Session event exists; visible status; offline buffering; task ID linked.</x:v>
      </x:c>
      <x:c r="J5" s="50" t="str">
        <x:v>Device Agent Gateway</x:v>
      </x:c>
      <x:c r="K5" s="50" t="str">
        <x:v>No hidden mode.</x:v>
      </x:c>
      <x:c r="L5" s="47"/>
      <x:c r="M5" s="47"/>
      <x:c r="N5" s="47"/>
      <x:c r="O5" s="47"/>
      <x:c r="P5" s="47"/>
      <x:c r="Q5" s="47"/>
      <x:c r="R5" s="47"/>
      <x:c r="S5" s="47"/>
      <x:c r="T5" s="47"/>
      <x:c r="U5" s="47"/>
      <x:c r="V5" s="47"/>
      <x:c r="W5" s="47"/>
      <x:c r="X5" s="47"/>
      <x:c r="Y5" s="47"/>
      <x:c r="Z5" s="47"/>
    </x:row>
    <x:row r="6">
      <x:c r="A6" s="50" t="str">
        <x:v>E02</x:v>
      </x:c>
      <x:c r="B6" s="50" t="str">
        <x:v>Policy sync</x:v>
      </x:c>
      <x:c r="C6" s="50" t="str">
        <x:v>Agent receives tenant/jurisdiction/capture policy before recording.</x:v>
      </x:c>
      <x:c r="D6" s="50" t="n">
        <x:v>3</x:v>
      </x:c>
      <x:c r="E6" s="50" t="str">
        <x:v>Platform/Security</x:v>
      </x:c>
      <x:c r="F6" s="50" t="str">
        <x:v>Critical</x:v>
      </x:c>
      <x:c r="G6" s="50" t="str">
        <x:v>Not Started</x:v>
      </x:c>
      <x:c r="H6" s="50" t="n">
        <x:v>8</x:v>
      </x:c>
      <x:c r="I6" s="50" t="str">
        <x:v>Policy signature verified; excluded apps/domains applied; audit emitted.</x:v>
      </x:c>
      <x:c r="J6" s="50" t="str">
        <x:v>Policy Service</x:v>
      </x:c>
      <x:c r="K6" s="50" t="str">
        <x:v>Policy version visible.</x:v>
      </x:c>
      <x:c r="L6" s="47"/>
      <x:c r="M6" s="47"/>
      <x:c r="N6" s="47"/>
      <x:c r="O6" s="47"/>
      <x:c r="P6" s="47"/>
      <x:c r="Q6" s="47"/>
      <x:c r="R6" s="47"/>
      <x:c r="S6" s="47"/>
      <x:c r="T6" s="47"/>
      <x:c r="U6" s="47"/>
      <x:c r="V6" s="47"/>
      <x:c r="W6" s="47"/>
      <x:c r="X6" s="47"/>
      <x:c r="Y6" s="47"/>
      <x:c r="Z6" s="47"/>
    </x:row>
    <x:row r="7">
      <x:c r="A7" s="50" t="str">
        <x:v>E03</x:v>
      </x:c>
      <x:c r="B7" s="50" t="str">
        <x:v>App/window telemetry</x:v>
      </x:c>
      <x:c r="C7" s="50" t="str">
        <x:v>Capture foreground app, process, window title and transitions.</x:v>
      </x:c>
      <x:c r="D7" s="50" t="n">
        <x:v>5</x:v>
      </x:c>
      <x:c r="E7" s="50" t="str">
        <x:v>Desktop</x:v>
      </x:c>
      <x:c r="F7" s="50" t="str">
        <x:v>Critical</x:v>
      </x:c>
      <x:c r="G7" s="50" t="str">
        <x:v>Not Started</x:v>
      </x:c>
      <x:c r="H7" s="50" t="n">
        <x:v>5</x:v>
      </x:c>
      <x:c r="I7" s="50" t="str">
        <x:v>99% foreground app transition capture in pilot.</x:v>
      </x:c>
      <x:c r="J7" s="50" t="str">
        <x:v>Agent foundation</x:v>
      </x:c>
      <x:c r="K7" s="50" t="str"/>
      <x:c r="L7" s="47"/>
      <x:c r="M7" s="47"/>
      <x:c r="N7" s="47"/>
      <x:c r="O7" s="47"/>
      <x:c r="P7" s="47"/>
      <x:c r="Q7" s="47"/>
      <x:c r="R7" s="47"/>
      <x:c r="S7" s="47"/>
      <x:c r="T7" s="47"/>
      <x:c r="U7" s="47"/>
      <x:c r="V7" s="47"/>
      <x:c r="W7" s="47"/>
      <x:c r="X7" s="47"/>
      <x:c r="Y7" s="47"/>
      <x:c r="Z7" s="47"/>
    </x:row>
    <x:row r="8">
      <x:c r="A8" s="50" t="str">
        <x:v>E04</x:v>
      </x:c>
      <x:c r="B8" s="50" t="str">
        <x:v>Click + visual state</x:v>
      </x:c>
      <x:c r="C8" s="50" t="str">
        <x:v>Capture mouse click with pre/post visual states and changed region.</x:v>
      </x:c>
      <x:c r="D8" s="50" t="n">
        <x:v>5</x:v>
      </x:c>
      <x:c r="E8" s="50" t="str">
        <x:v>Desktop/AI</x:v>
      </x:c>
      <x:c r="F8" s="50" t="str">
        <x:v>Critical</x:v>
      </x:c>
      <x:c r="G8" s="50" t="str">
        <x:v>Not Started</x:v>
      </x:c>
      <x:c r="H8" s="50" t="n">
        <x:v>13</x:v>
      </x:c>
      <x:c r="I8" s="50" t="str">
        <x:v>98% click-to-state correlation in supported pilot apps.</x:v>
      </x:c>
      <x:c r="J8" s="50" t="str">
        <x:v>Visual Evidence Store</x:v>
      </x:c>
      <x:c r="K8" s="50" t="str"/>
      <x:c r="L8" s="47"/>
      <x:c r="M8" s="47"/>
      <x:c r="N8" s="47"/>
      <x:c r="O8" s="47"/>
      <x:c r="P8" s="47"/>
      <x:c r="Q8" s="47"/>
      <x:c r="R8" s="47"/>
      <x:c r="S8" s="47"/>
      <x:c r="T8" s="47"/>
      <x:c r="U8" s="47"/>
      <x:c r="V8" s="47"/>
      <x:c r="W8" s="47"/>
      <x:c r="X8" s="47"/>
      <x:c r="Y8" s="47"/>
      <x:c r="Z8" s="47"/>
    </x:row>
    <x:row r="9">
      <x:c r="A9" s="50" t="str">
        <x:v>E05</x:v>
      </x:c>
      <x:c r="B9" s="50" t="str">
        <x:v>Text-state capture</x:v>
      </x:c>
      <x:c r="C9" s="50" t="str">
        <x:v>Reconcile physical input, text deltas and resulting artefact changes in approved controls.</x:v>
      </x:c>
      <x:c r="D9" s="50" t="n">
        <x:v>5</x:v>
      </x:c>
      <x:c r="E9" s="50" t="str">
        <x:v>Desktop/Data</x:v>
      </x:c>
      <x:c r="F9" s="50" t="str">
        <x:v>Critical</x:v>
      </x:c>
      <x:c r="G9" s="50" t="str">
        <x:v>Not Started</x:v>
      </x:c>
      <x:c r="H9" s="50" t="n">
        <x:v>21</x:v>
      </x:c>
      <x:c r="I9" s="50" t="str">
        <x:v>95% reconstruction in supported controls; zero secure-field leakage.</x:v>
      </x:c>
      <x:c r="J9" s="50" t="str">
        <x:v>Policy / UI accessibility</x:v>
      </x:c>
      <x:c r="K9" s="50" t="str">
        <x:v>Avoid raw keylogger-only logic.</x:v>
      </x:c>
      <x:c r="L9" s="47"/>
      <x:c r="M9" s="47"/>
      <x:c r="N9" s="47"/>
      <x:c r="O9" s="47"/>
      <x:c r="P9" s="47"/>
      <x:c r="Q9" s="47"/>
      <x:c r="R9" s="47"/>
      <x:c r="S9" s="47"/>
      <x:c r="T9" s="47"/>
      <x:c r="U9" s="47"/>
      <x:c r="V9" s="47"/>
      <x:c r="W9" s="47"/>
      <x:c r="X9" s="47"/>
      <x:c r="Y9" s="47"/>
      <x:c r="Z9" s="47"/>
    </x:row>
    <x:row r="10">
      <x:c r="A10" s="50" t="str">
        <x:v>E06</x:v>
      </x:c>
      <x:c r="B10" s="50" t="str">
        <x:v>File/process telemetry</x:v>
      </x:c>
      <x:c r="C10" s="50" t="str">
        <x:v>Capture process tree, file create/modify/delete and build/test process markers.</x:v>
      </x:c>
      <x:c r="D10" s="50" t="n">
        <x:v>5</x:v>
      </x:c>
      <x:c r="E10" s="50" t="str">
        <x:v>Desktop/Data</x:v>
      </x:c>
      <x:c r="F10" s="50" t="str">
        <x:v>High</x:v>
      </x:c>
      <x:c r="G10" s="50" t="str">
        <x:v>Not Started</x:v>
      </x:c>
      <x:c r="H10" s="50" t="n">
        <x:v>13</x:v>
      </x:c>
      <x:c r="I10" s="50" t="str">
        <x:v>Event causal chain links process -&gt; file/test output.</x:v>
      </x:c>
      <x:c r="J10" s="50" t="str">
        <x:v>ETW/macOS process bridge</x:v>
      </x:c>
      <x:c r="K10" s="50" t="str"/>
      <x:c r="L10" s="47"/>
      <x:c r="M10" s="47"/>
      <x:c r="N10" s="47"/>
      <x:c r="O10" s="47"/>
      <x:c r="P10" s="47"/>
      <x:c r="Q10" s="47"/>
      <x:c r="R10" s="47"/>
      <x:c r="S10" s="47"/>
      <x:c r="T10" s="47"/>
      <x:c r="U10" s="47"/>
      <x:c r="V10" s="47"/>
      <x:c r="W10" s="47"/>
      <x:c r="X10" s="47"/>
      <x:c r="Y10" s="47"/>
      <x:c r="Z10" s="47"/>
    </x:row>
    <x:row r="11">
      <x:c r="A11" s="50" t="str">
        <x:v>E07</x:v>
      </x:c>
      <x:c r="B11" s="50" t="str">
        <x:v>Browser adapter</x:v>
      </x:c>
      <x:c r="C11" s="50" t="str">
        <x:v>Capture active tab, title, approved URL/domain, navigation and visible page event.</x:v>
      </x:c>
      <x:c r="D11" s="50" t="n">
        <x:v>6</x:v>
      </x:c>
      <x:c r="E11" s="50" t="str">
        <x:v>Integrations</x:v>
      </x:c>
      <x:c r="F11" s="50" t="str">
        <x:v>High</x:v>
      </x:c>
      <x:c r="G11" s="50" t="str">
        <x:v>Not Started</x:v>
      </x:c>
      <x:c r="H11" s="50" t="n">
        <x:v>8</x:v>
      </x:c>
      <x:c r="I11" s="50" t="str">
        <x:v>Chrome/Edge MV3 extension sends normalized events.</x:v>
      </x:c>
      <x:c r="J11" s="50" t="str">
        <x:v>Native messaging</x:v>
      </x:c>
      <x:c r="K11" s="50" t="str"/>
      <x:c r="L11" s="47"/>
      <x:c r="M11" s="47"/>
      <x:c r="N11" s="47"/>
      <x:c r="O11" s="47"/>
      <x:c r="P11" s="47"/>
      <x:c r="Q11" s="47"/>
      <x:c r="R11" s="47"/>
      <x:c r="S11" s="47"/>
      <x:c r="T11" s="47"/>
      <x:c r="U11" s="47"/>
      <x:c r="V11" s="47"/>
      <x:c r="W11" s="47"/>
      <x:c r="X11" s="47"/>
      <x:c r="Y11" s="47"/>
      <x:c r="Z11" s="47"/>
    </x:row>
    <x:row r="12">
      <x:c r="A12" s="50" t="str">
        <x:v>E08</x:v>
      </x:c>
      <x:c r="B12" s="50" t="str">
        <x:v>Terminal adapter</x:v>
      </x:c>
      <x:c r="C12" s="50" t="str">
        <x:v>Capture command, cwd, exit code, stdout/stderr summary and process duration.</x:v>
      </x:c>
      <x:c r="D12" s="50" t="n">
        <x:v>6</x:v>
      </x:c>
      <x:c r="E12" s="50" t="str">
        <x:v>Integrations</x:v>
      </x:c>
      <x:c r="F12" s="50" t="str">
        <x:v>High</x:v>
      </x:c>
      <x:c r="G12" s="50" t="str">
        <x:v>Not Started</x:v>
      </x:c>
      <x:c r="H12" s="50" t="n">
        <x:v>13</x:v>
      </x:c>
      <x:c r="I12" s="50" t="str">
        <x:v>Command event links to resulting processes and files.</x:v>
      </x:c>
      <x:c r="J12" s="50" t="str">
        <x:v>Shell/PTTY hooks</x:v>
      </x:c>
      <x:c r="K12" s="50" t="str"/>
      <x:c r="L12" s="47"/>
      <x:c r="M12" s="47"/>
      <x:c r="N12" s="47"/>
      <x:c r="O12" s="47"/>
      <x:c r="P12" s="47"/>
      <x:c r="Q12" s="47"/>
      <x:c r="R12" s="47"/>
      <x:c r="S12" s="47"/>
      <x:c r="T12" s="47"/>
      <x:c r="U12" s="47"/>
      <x:c r="V12" s="47"/>
      <x:c r="W12" s="47"/>
      <x:c r="X12" s="47"/>
      <x:c r="Y12" s="47"/>
      <x:c r="Z12" s="47"/>
    </x:row>
    <x:row r="13">
      <x:c r="A13" s="50" t="str">
        <x:v>E09</x:v>
      </x:c>
      <x:c r="B13" s="50" t="str">
        <x:v>Git adapter</x:v>
      </x:c>
      <x:c r="C13" s="50" t="str">
        <x:v>Capture branch, diff summary, commit, PR, changed files and reviewer state.</x:v>
      </x:c>
      <x:c r="D13" s="50" t="n">
        <x:v>6</x:v>
      </x:c>
      <x:c r="E13" s="50" t="str">
        <x:v>Integrations</x:v>
      </x:c>
      <x:c r="F13" s="50" t="str">
        <x:v>High</x:v>
      </x:c>
      <x:c r="G13" s="50" t="str">
        <x:v>Not Started</x:v>
      </x:c>
      <x:c r="H13" s="50" t="n">
        <x:v>8</x:v>
      </x:c>
      <x:c r="I13" s="50" t="str">
        <x:v>Git diff/commit events linked to task and actor.</x:v>
      </x:c>
      <x:c r="J13" s="50" t="str">
        <x:v>GitHub/GitLab connectors</x:v>
      </x:c>
      <x:c r="K13" s="50" t="str"/>
      <x:c r="L13" s="47"/>
      <x:c r="M13" s="47"/>
      <x:c r="N13" s="47"/>
      <x:c r="O13" s="47"/>
      <x:c r="P13" s="47"/>
      <x:c r="Q13" s="47"/>
      <x:c r="R13" s="47"/>
      <x:c r="S13" s="47"/>
      <x:c r="T13" s="47"/>
      <x:c r="U13" s="47"/>
      <x:c r="V13" s="47"/>
      <x:c r="W13" s="47"/>
      <x:c r="X13" s="47"/>
      <x:c r="Y13" s="47"/>
      <x:c r="Z13" s="47"/>
    </x:row>
    <x:row r="14">
      <x:c r="A14" s="50" t="str">
        <x:v>E10</x:v>
      </x:c>
      <x:c r="B14" s="50" t="str">
        <x:v>Codex adapter</x:v>
      </x:c>
      <x:c r="C14" s="50" t="str">
        <x:v>Capture Codex prompt/tool/permission/stop lifecycle via hooks.</x:v>
      </x:c>
      <x:c r="D14" s="50" t="n">
        <x:v>6</x:v>
      </x:c>
      <x:c r="E14" s="50" t="str">
        <x:v>AI Integrations</x:v>
      </x:c>
      <x:c r="F14" s="50" t="str">
        <x:v>Critical</x:v>
      </x:c>
      <x:c r="G14" s="50" t="str">
        <x:v>Not Started</x:v>
      </x:c>
      <x:c r="H14" s="50" t="n">
        <x:v>8</x:v>
      </x:c>
      <x:c r="I14" s="50" t="str">
        <x:v>Agent events mapped to OTel-style spans and provenance graph.</x:v>
      </x:c>
      <x:c r="J14" s="50" t="str">
        <x:v>Codex hooks</x:v>
      </x:c>
      <x:c r="K14" s="50" t="str"/>
      <x:c r="L14" s="47"/>
      <x:c r="M14" s="47"/>
      <x:c r="N14" s="47"/>
      <x:c r="O14" s="47"/>
      <x:c r="P14" s="47"/>
      <x:c r="Q14" s="47"/>
      <x:c r="R14" s="47"/>
      <x:c r="S14" s="47"/>
      <x:c r="T14" s="47"/>
      <x:c r="U14" s="47"/>
      <x:c r="V14" s="47"/>
      <x:c r="W14" s="47"/>
      <x:c r="X14" s="47"/>
      <x:c r="Y14" s="47"/>
      <x:c r="Z14" s="47"/>
    </x:row>
    <x:row r="15">
      <x:c r="A15" s="50" t="str">
        <x:v>E11</x:v>
      </x:c>
      <x:c r="B15" s="50" t="str">
        <x:v>Claude Code adapter</x:v>
      </x:c>
      <x:c r="C15" s="50" t="str">
        <x:v>Capture Claude Code usage through hooks/OTel/MCP where available.</x:v>
      </x:c>
      <x:c r="D15" s="50" t="n">
        <x:v>6</x:v>
      </x:c>
      <x:c r="E15" s="50" t="str">
        <x:v>AI Integrations</x:v>
      </x:c>
      <x:c r="F15" s="50" t="str">
        <x:v>High</x:v>
      </x:c>
      <x:c r="G15" s="50" t="str">
        <x:v>Not Started</x:v>
      </x:c>
      <x:c r="H15" s="50" t="n">
        <x:v>8</x:v>
      </x:c>
      <x:c r="I15" s="50" t="str">
        <x:v>Prompt/tool/file/command events normalized.</x:v>
      </x:c>
      <x:c r="J15" s="50" t="str">
        <x:v>Claude Code config</x:v>
      </x:c>
      <x:c r="K15" s="50" t="str"/>
      <x:c r="L15" s="47"/>
      <x:c r="M15" s="47"/>
      <x:c r="N15" s="47"/>
      <x:c r="O15" s="47"/>
      <x:c r="P15" s="47"/>
      <x:c r="Q15" s="47"/>
      <x:c r="R15" s="47"/>
      <x:c r="S15" s="47"/>
      <x:c r="T15" s="47"/>
      <x:c r="U15" s="47"/>
      <x:c r="V15" s="47"/>
      <x:c r="W15" s="47"/>
      <x:c r="X15" s="47"/>
      <x:c r="Y15" s="47"/>
      <x:c r="Z15" s="47"/>
    </x:row>
    <x:row r="16">
      <x:c r="A16" s="50" t="str">
        <x:v>E12</x:v>
      </x:c>
      <x:c r="B16" s="50" t="str">
        <x:v>Episode segmentation</x:v>
      </x:c>
      <x:c r="C16" s="50" t="str">
        <x:v>Group raw events into meaningful 30-180 second work episodes.</x:v>
      </x:c>
      <x:c r="D16" s="50" t="n">
        <x:v>7</x:v>
      </x:c>
      <x:c r="E16" s="50" t="str">
        <x:v>AI/Data</x:v>
      </x:c>
      <x:c r="F16" s="50" t="str">
        <x:v>Critical</x:v>
      </x:c>
      <x:c r="G16" s="50" t="str">
        <x:v>Not Started</x:v>
      </x:c>
      <x:c r="H16" s="50" t="n">
        <x:v>21</x:v>
      </x:c>
      <x:c r="I16" s="50" t="str">
        <x:v>Episodes align with human review &gt;=90% in pilot sample.</x:v>
      </x:c>
      <x:c r="J16" s="50" t="str">
        <x:v>Evidence graph</x:v>
      </x:c>
      <x:c r="K16" s="50" t="str"/>
      <x:c r="L16" s="47"/>
      <x:c r="M16" s="47"/>
      <x:c r="N16" s="47"/>
      <x:c r="O16" s="47"/>
      <x:c r="P16" s="47"/>
      <x:c r="Q16" s="47"/>
      <x:c r="R16" s="47"/>
      <x:c r="S16" s="47"/>
      <x:c r="T16" s="47"/>
      <x:c r="U16" s="47"/>
      <x:c r="V16" s="47"/>
      <x:c r="W16" s="47"/>
      <x:c r="X16" s="47"/>
      <x:c r="Y16" s="47"/>
      <x:c r="Z16" s="47"/>
    </x:row>
    <x:row r="17">
      <x:c r="A17" s="50" t="str">
        <x:v>E13</x:v>
      </x:c>
      <x:c r="B17" s="50" t="str">
        <x:v>Task alignment classifier</x:v>
      </x:c>
      <x:c r="C17" s="50" t="str">
        <x:v>Classify episodes as on-task, supporting, blocked, automated-wait, idle, unrelated.</x:v>
      </x:c>
      <x:c r="D17" s="50" t="n">
        <x:v>7</x:v>
      </x:c>
      <x:c r="E17" s="50" t="str">
        <x:v>AI</x:v>
      </x:c>
      <x:c r="F17" s="50" t="str">
        <x:v>Critical</x:v>
      </x:c>
      <x:c r="G17" s="50" t="str">
        <x:v>Not Started</x:v>
      </x:c>
      <x:c r="H17" s="50" t="n">
        <x:v>21</x:v>
      </x:c>
      <x:c r="I17" s="50" t="str">
        <x:v>False idle below 5%; confidence calibrated.</x:v>
      </x:c>
      <x:c r="J17" s="50" t="str">
        <x:v>Task contracts</x:v>
      </x:c>
      <x:c r="K17" s="50" t="str"/>
      <x:c r="L17" s="47"/>
      <x:c r="M17" s="47"/>
      <x:c r="N17" s="47"/>
      <x:c r="O17" s="47"/>
      <x:c r="P17" s="47"/>
      <x:c r="Q17" s="47"/>
      <x:c r="R17" s="47"/>
      <x:c r="S17" s="47"/>
      <x:c r="T17" s="47"/>
      <x:c r="U17" s="47"/>
      <x:c r="V17" s="47"/>
      <x:c r="W17" s="47"/>
      <x:c r="X17" s="47"/>
      <x:c r="Y17" s="47"/>
      <x:c r="Z17" s="47"/>
    </x:row>
    <x:row r="18">
      <x:c r="A18" s="50" t="str">
        <x:v>E14</x:v>
      </x:c>
      <x:c r="B18" s="50" t="str">
        <x:v>Acceptance criteria validator</x:v>
      </x:c>
      <x:c r="C18" s="50" t="str">
        <x:v>Determine task completion evidence and missing verification.</x:v>
      </x:c>
      <x:c r="D18" s="50" t="n">
        <x:v>7</x:v>
      </x:c>
      <x:c r="E18" s="50" t="str">
        <x:v>AI/Product</x:v>
      </x:c>
      <x:c r="F18" s="50" t="str">
        <x:v>Critical</x:v>
      </x:c>
      <x:c r="G18" s="50" t="str">
        <x:v>Not Started</x:v>
      </x:c>
      <x:c r="H18" s="50" t="n">
        <x:v>21</x:v>
      </x:c>
      <x:c r="I18" s="50" t="str">
        <x:v>Every criterion has evidence, status and confidence.</x:v>
      </x:c>
      <x:c r="J18" s="50" t="str">
        <x:v>Task contract</x:v>
      </x:c>
      <x:c r="K18" s="50" t="str"/>
      <x:c r="L18" s="47"/>
      <x:c r="M18" s="47"/>
      <x:c r="N18" s="47"/>
      <x:c r="O18" s="47"/>
      <x:c r="P18" s="47"/>
      <x:c r="Q18" s="47"/>
      <x:c r="R18" s="47"/>
      <x:c r="S18" s="47"/>
      <x:c r="T18" s="47"/>
      <x:c r="U18" s="47"/>
      <x:c r="V18" s="47"/>
      <x:c r="W18" s="47"/>
      <x:c r="X18" s="47"/>
      <x:c r="Y18" s="47"/>
      <x:c r="Z18" s="47"/>
    </x:row>
    <x:row r="19">
      <x:c r="A19" s="50" t="str">
        <x:v>E15</x:v>
      </x:c>
      <x:c r="B19" s="50" t="str">
        <x:v>Capability graph MVP</x:v>
      </x:c>
      <x:c r="C19" s="50" t="str">
        <x:v>Create role capability profile and update capability evidence after assessed tasks.</x:v>
      </x:c>
      <x:c r="D19" s="50" t="n">
        <x:v>8</x:v>
      </x:c>
      <x:c r="E19" s="50" t="str">
        <x:v>AI/Backend</x:v>
      </x:c>
      <x:c r="F19" s="50" t="str">
        <x:v>High</x:v>
      </x:c>
      <x:c r="G19" s="50" t="str">
        <x:v>Not Started</x:v>
      </x:c>
      <x:c r="H19" s="50" t="n">
        <x:v>13</x:v>
      </x:c>
      <x:c r="I19" s="50" t="str">
        <x:v>Capability level, confidence, recency and evidence visible.</x:v>
      </x:c>
      <x:c r="J19" s="50" t="str">
        <x:v>Role ontology</x:v>
      </x:c>
      <x:c r="K19" s="50" t="str"/>
      <x:c r="L19" s="47"/>
      <x:c r="M19" s="47"/>
      <x:c r="N19" s="47"/>
      <x:c r="O19" s="47"/>
      <x:c r="P19" s="47"/>
      <x:c r="Q19" s="47"/>
      <x:c r="R19" s="47"/>
      <x:c r="S19" s="47"/>
      <x:c r="T19" s="47"/>
      <x:c r="U19" s="47"/>
      <x:c r="V19" s="47"/>
      <x:c r="W19" s="47"/>
      <x:c r="X19" s="47"/>
      <x:c r="Y19" s="47"/>
      <x:c r="Z19" s="47"/>
    </x:row>
    <x:row r="20">
      <x:c r="A20" s="50" t="str">
        <x:v>E16</x:v>
      </x:c>
      <x:c r="B20" s="50" t="str">
        <x:v>Growth coach MVP</x:v>
      </x:c>
      <x:c r="C20" s="50" t="str">
        <x:v>Generate non-disruptive guidance when task risk or capability gap is detected.</x:v>
      </x:c>
      <x:c r="D20" s="50" t="n">
        <x:v>9</x:v>
      </x:c>
      <x:c r="E20" s="50" t="str">
        <x:v>AI/L&amp;D</x:v>
      </x:c>
      <x:c r="F20" s="50" t="str">
        <x:v>High</x:v>
      </x:c>
      <x:c r="G20" s="50" t="str">
        <x:v>Not Started</x:v>
      </x:c>
      <x:c r="H20" s="50" t="n">
        <x:v>13</x:v>
      </x:c>
      <x:c r="I20" s="50" t="str">
        <x:v>Nudge/assist/teach messages audited; employee can dismiss/correct.</x:v>
      </x:c>
      <x:c r="J20" s="50" t="str">
        <x:v>Task intelligence</x:v>
      </x:c>
      <x:c r="K20" s="50" t="str"/>
      <x:c r="L20" s="47"/>
      <x:c r="M20" s="47"/>
      <x:c r="N20" s="47"/>
      <x:c r="O20" s="47"/>
      <x:c r="P20" s="47"/>
      <x:c r="Q20" s="47"/>
      <x:c r="R20" s="47"/>
      <x:c r="S20" s="47"/>
      <x:c r="T20" s="47"/>
      <x:c r="U20" s="47"/>
      <x:c r="V20" s="47"/>
      <x:c r="W20" s="47"/>
      <x:c r="X20" s="47"/>
      <x:c r="Y20" s="47"/>
      <x:c r="Z20" s="47"/>
    </x:row>
    <x:row r="21">
      <x:c r="A21" s="50" t="str">
        <x:v>E17</x:v>
      </x:c>
      <x:c r="B21" s="50" t="str">
        <x:v>Employee portal</x:v>
      </x:c>
      <x:c r="C21" s="50" t="str">
        <x:v>Employee can see timeline, report, capability profile and dispute findings.</x:v>
      </x:c>
      <x:c r="D21" s="50" t="n">
        <x:v>10</x:v>
      </x:c>
      <x:c r="E21" s="50" t="str">
        <x:v>Frontend</x:v>
      </x:c>
      <x:c r="F21" s="50" t="str">
        <x:v>Critical</x:v>
      </x:c>
      <x:c r="G21" s="50" t="str">
        <x:v>Not Started</x:v>
      </x:c>
      <x:c r="H21" s="50" t="n">
        <x:v>13</x:v>
      </x:c>
      <x:c r="I21" s="50" t="str">
        <x:v>Dispute creates review workflow; employee evidence visible.</x:v>
      </x:c>
      <x:c r="J21" s="50" t="str">
        <x:v>Reporting/Governance</x:v>
      </x:c>
      <x:c r="K21" s="50" t="str"/>
      <x:c r="L21" s="47"/>
      <x:c r="M21" s="47"/>
      <x:c r="N21" s="47"/>
      <x:c r="O21" s="47"/>
      <x:c r="P21" s="47"/>
      <x:c r="Q21" s="47"/>
      <x:c r="R21" s="47"/>
      <x:c r="S21" s="47"/>
      <x:c r="T21" s="47"/>
      <x:c r="U21" s="47"/>
      <x:c r="V21" s="47"/>
      <x:c r="W21" s="47"/>
      <x:c r="X21" s="47"/>
      <x:c r="Y21" s="47"/>
      <x:c r="Z21" s="47"/>
    </x:row>
    <x:row r="22">
      <x:c r="A22" s="50" t="str">
        <x:v>E18</x:v>
      </x:c>
      <x:c r="B22" s="50" t="str">
        <x:v>Manager console</x:v>
      </x:c>
      <x:c r="C22" s="50" t="str">
        <x:v>Lead sees exception-led task report, blockers, quality gaps and training recommendations.</x:v>
      </x:c>
      <x:c r="D22" s="50" t="n">
        <x:v>10</x:v>
      </x:c>
      <x:c r="E22" s="50" t="str">
        <x:v>Frontend/Product</x:v>
      </x:c>
      <x:c r="F22" s="50" t="str">
        <x:v>Critical</x:v>
      </x:c>
      <x:c r="G22" s="50" t="str">
        <x:v>Not Started</x:v>
      </x:c>
      <x:c r="H22" s="50" t="n">
        <x:v>13</x:v>
      </x:c>
      <x:c r="I22" s="50" t="str">
        <x:v>Manager report cites evidence and confidence.</x:v>
      </x:c>
      <x:c r="J22" s="50" t="str">
        <x:v>Task/capability services</x:v>
      </x:c>
      <x:c r="K22" s="50" t="str"/>
      <x:c r="L22" s="47"/>
      <x:c r="M22" s="47"/>
      <x:c r="N22" s="47"/>
      <x:c r="O22" s="47"/>
      <x:c r="P22" s="47"/>
      <x:c r="Q22" s="47"/>
      <x:c r="R22" s="47"/>
      <x:c r="S22" s="47"/>
      <x:c r="T22" s="47"/>
      <x:c r="U22" s="47"/>
      <x:c r="V22" s="47"/>
      <x:c r="W22" s="47"/>
      <x:c r="X22" s="47"/>
      <x:c r="Y22" s="47"/>
      <x:c r="Z22" s="47"/>
    </x:row>
    <x:row r="23">
      <x:c r="A23" s="50" t="str">
        <x:v>E19</x:v>
      </x:c>
      <x:c r="B23" s="50" t="str">
        <x:v>Skill observation log</x:v>
      </x:c>
      <x:c r="C23" s="50" t="str">
        <x:v>System logs user/system corrections as candidate skill improvements.</x:v>
      </x:c>
      <x:c r="D23" s="50" t="n">
        <x:v>11</x:v>
      </x:c>
      <x:c r="E23" s="50" t="str">
        <x:v>AI Platform</x:v>
      </x:c>
      <x:c r="F23" s="50" t="str">
        <x:v>Medium</x:v>
      </x:c>
      <x:c r="G23" s="50" t="str">
        <x:v>Not Started</x:v>
      </x:c>
      <x:c r="H23" s="50" t="n">
        <x:v>8</x:v>
      </x:c>
      <x:c r="I23" s="50" t="str">
        <x:v>Observation includes issue, improvement, principle, evidence and confidentiality class.</x:v>
      </x:c>
      <x:c r="J23" s="50" t="str">
        <x:v>Skill Forge</x:v>
      </x:c>
      <x:c r="K23" s="50" t="str"/>
      <x:c r="L23" s="47"/>
      <x:c r="M23" s="47"/>
      <x:c r="N23" s="47"/>
      <x:c r="O23" s="47"/>
      <x:c r="P23" s="47"/>
      <x:c r="Q23" s="47"/>
      <x:c r="R23" s="47"/>
      <x:c r="S23" s="47"/>
      <x:c r="T23" s="47"/>
      <x:c r="U23" s="47"/>
      <x:c r="V23" s="47"/>
      <x:c r="W23" s="47"/>
      <x:c r="X23" s="47"/>
      <x:c r="Y23" s="47"/>
      <x:c r="Z23" s="47"/>
    </x:row>
    <x:row r="24">
      <x:c r="A24" s="50" t="str">
        <x:v>E20</x:v>
      </x:c>
      <x:c r="B24" s="50" t="str">
        <x:v>Pilot validation</x:v>
      </x:c>
      <x:c r="C24" s="50" t="str">
        <x:v>Run internal pilot and measure capture accuracy, task alignment, worker trust and manager value.</x:v>
      </x:c>
      <x:c r="D24" s="50" t="n">
        <x:v>12</x:v>
      </x:c>
      <x:c r="E24" s="50" t="str">
        <x:v>Leadership/QA</x:v>
      </x:c>
      <x:c r="F24" s="50" t="str">
        <x:v>Critical</x:v>
      </x:c>
      <x:c r="G24" s="50" t="str">
        <x:v>Not Started</x:v>
      </x:c>
      <x:c r="H24" s="50" t="n">
        <x:v>21</x:v>
      </x:c>
      <x:c r="I24" s="50" t="str">
        <x:v>Pilot report with acceptance metrics and rollout decision.</x:v>
      </x:c>
      <x:c r="J24" s="50" t="str">
        <x:v>All MVP epics</x:v>
      </x:c>
      <x:c r="K24" s="50" t="str"/>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K1"/>
    <x:mergeCell ref="A2:K2"/>
  </x:mergeCells>
  <x:conditionalFormatting sqref="F5:F24">
    <x:cfRule type="expression" dxfId="2" priority="1">
      <x:formula>F5="Critical"</x:formula>
    </x:cfRule>
  </x:conditionalFormatting>
  <x:dataValidations count="2">
    <x:dataValidation type="list" sqref="F5:F24">
      <x:formula1>"Critical,High,Medium,Low"</x:formula1>
    </x:dataValidation>
    <x:dataValidation type="list" sqref="G5:G24">
      <x:formula1>"Not Started,In Progress,Blocked,Done"</x:formula1>
    </x:dataValidation>
  </x:dataValidations>
  <x:pageMargins left="0.7" right="0.7" top="0.75" bottom="0.75" header="0.3" footer="0.3"/>
  <x:tableParts count="1">
    <x:tablePart xmlns:r="http://schemas.openxmlformats.org/officeDocument/2006/relationships" r:id="R4d59f4ed671b4969"/>
  </x:tableParts>
</x:worksheet>
</file>

<file path=xl/worksheets/sheet9.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44" hidden="0" customWidth="1"/>
    <x:col min="5" max="5" width="24" hidden="0" customWidth="1"/>
    <x:col min="6" max="6" width="26" hidden="0" customWidth="1"/>
    <x:col min="7" max="7" width="8" hidden="0" customWidth="1"/>
    <x:col min="8" max="8" width="40" hidden="0" customWidth="1"/>
    <x:col min="9" max="9" width="30" hidden="0" customWidth="1"/>
  </x:cols>
  <x:sheetData>
    <x:row r="1" ht="34" customHeight="1">
      <x:c r="A1" s="64" t="str">
        <x:v>Event &amp; Data Model</x:v>
      </x:c>
      <x:c r="B1" s="64"/>
      <x:c r="C1" s="64"/>
      <x:c r="D1" s="64"/>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48" t="str">
        <x:v>Core evidence graph, events, entities and provenance relationships.</x:v>
      </x:c>
      <x:c r="B2" s="48"/>
      <x:c r="C2" s="48"/>
      <x:c r="D2" s="48"/>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Model area</x:v>
      </x:c>
      <x:c r="B4" s="49" t="str">
        <x:v>Entity/Event</x:v>
      </x:c>
      <x:c r="C4" s="49" t="str">
        <x:v>Purpose</x:v>
      </x:c>
      <x:c r="D4" s="49" t="str">
        <x:v>Key fields</x:v>
      </x:c>
      <x:c r="E4" s="49" t="str">
        <x:v>Producer</x:v>
      </x:c>
      <x:c r="F4" s="49" t="str">
        <x:v>Consumer</x:v>
      </x:c>
      <x:c r="G4" s="49" t="str">
        <x:v>MVP</x:v>
      </x:c>
      <x:c r="H4" s="49" t="str">
        <x:v>Notes</x:v>
      </x:c>
      <x:c r="I4" s="49" t="str">
        <x:v>Source/ref</x:v>
      </x:c>
      <x:c r="J4" s="47"/>
      <x:c r="K4" s="47"/>
      <x:c r="L4" s="47"/>
      <x:c r="M4" s="47"/>
      <x:c r="N4" s="47"/>
      <x:c r="O4" s="47"/>
      <x:c r="P4" s="47"/>
      <x:c r="Q4" s="47"/>
      <x:c r="R4" s="47"/>
      <x:c r="S4" s="47"/>
      <x:c r="T4" s="47"/>
      <x:c r="U4" s="47"/>
      <x:c r="V4" s="47"/>
      <x:c r="W4" s="47"/>
      <x:c r="X4" s="47"/>
      <x:c r="Y4" s="47"/>
      <x:c r="Z4" s="47"/>
    </x:row>
    <x:row r="5">
      <x:c r="A5" s="50" t="str">
        <x:v>Entity</x:v>
      </x:c>
      <x:c r="B5" s="50" t="str">
        <x:v>WorkSession</x:v>
      </x:c>
      <x:c r="C5" s="50" t="str">
        <x:v>Tracks a monitored work period and task linkage.</x:v>
      </x:c>
      <x:c r="D5" s="50" t="str">
        <x:v>session_id, person_id, device_id, task_id, start/end, policy_version</x:v>
      </x:c>
      <x:c r="E5" s="50" t="str">
        <x:v>Device Agent Gateway</x:v>
      </x:c>
      <x:c r="F5" s="50" t="str">
        <x:v>Task Intelligence, Reporting</x:v>
      </x:c>
      <x:c r="G5" s="50" t="str">
        <x:v>Yes</x:v>
      </x:c>
      <x:c r="H5" s="50" t="str">
        <x:v>Supports pause/private/excluded segments.</x:v>
      </x:c>
      <x:c r="I5" s="50" t="str"/>
      <x:c r="J5" s="47"/>
      <x:c r="K5" s="47"/>
      <x:c r="L5" s="47"/>
      <x:c r="M5" s="47"/>
      <x:c r="N5" s="47"/>
      <x:c r="O5" s="47"/>
      <x:c r="P5" s="47"/>
      <x:c r="Q5" s="47"/>
      <x:c r="R5" s="47"/>
      <x:c r="S5" s="47"/>
      <x:c r="T5" s="47"/>
      <x:c r="U5" s="47"/>
      <x:c r="V5" s="47"/>
      <x:c r="W5" s="47"/>
      <x:c r="X5" s="47"/>
      <x:c r="Y5" s="47"/>
      <x:c r="Z5" s="47"/>
    </x:row>
    <x:row r="6">
      <x:c r="A6" s="50" t="str">
        <x:v>Entity</x:v>
      </x:c>
      <x:c r="B6" s="50" t="str">
        <x:v>TaskExecutionContract</x:v>
      </x:c>
      <x:c r="C6" s="50" t="str">
        <x:v>Structured task expectations and acceptance criteria.</x:v>
      </x:c>
      <x:c r="D6" s="50" t="str">
        <x:v>objective, criteria, evidence_required, tools, risks, reviewer</x:v>
      </x:c>
      <x:c r="E6" s="50" t="str">
        <x:v>Task Intelligence</x:v>
      </x:c>
      <x:c r="F6" s="50" t="str">
        <x:v>Task Assurance, Coach</x:v>
      </x:c>
      <x:c r="G6" s="50" t="str">
        <x:v>Yes</x:v>
      </x:c>
      <x:c r="H6" s="50" t="str">
        <x:v>Compiled from HumanOS task.</x:v>
      </x:c>
      <x:c r="I6" s="50" t="str"/>
      <x:c r="J6" s="47"/>
      <x:c r="K6" s="47"/>
      <x:c r="L6" s="47"/>
      <x:c r="M6" s="47"/>
      <x:c r="N6" s="47"/>
      <x:c r="O6" s="47"/>
      <x:c r="P6" s="47"/>
      <x:c r="Q6" s="47"/>
      <x:c r="R6" s="47"/>
      <x:c r="S6" s="47"/>
      <x:c r="T6" s="47"/>
      <x:c r="U6" s="47"/>
      <x:c r="V6" s="47"/>
      <x:c r="W6" s="47"/>
      <x:c r="X6" s="47"/>
      <x:c r="Y6" s="47"/>
      <x:c r="Z6" s="47"/>
    </x:row>
    <x:row r="7">
      <x:c r="A7" s="50" t="str">
        <x:v>Entity</x:v>
      </x:c>
      <x:c r="B7" s="50" t="str">
        <x:v>RoleCapabilityContract</x:v>
      </x:c>
      <x:c r="C7" s="50" t="str">
        <x:v>Structured role/job description capability requirements.</x:v>
      </x:c>
      <x:c r="D7" s="50" t="str">
        <x:v>role, level, capabilities, evidence rubrics, autonomy</x:v>
      </x:c>
      <x:c r="E7" s="50" t="str">
        <x:v>Role &amp; Capability</x:v>
      </x:c>
      <x:c r="F7" s="50" t="str">
        <x:v>Capability Graph</x:v>
      </x:c>
      <x:c r="G7" s="50" t="str">
        <x:v>Yes</x:v>
      </x:c>
      <x:c r="H7" s="50" t="str">
        <x:v>Job description becomes measurable contract.</x:v>
      </x:c>
      <x:c r="I7" s="50" t="str"/>
      <x:c r="J7" s="47"/>
      <x:c r="K7" s="47"/>
      <x:c r="L7" s="47"/>
      <x:c r="M7" s="47"/>
      <x:c r="N7" s="47"/>
      <x:c r="O7" s="47"/>
      <x:c r="P7" s="47"/>
      <x:c r="Q7" s="47"/>
      <x:c r="R7" s="47"/>
      <x:c r="S7" s="47"/>
      <x:c r="T7" s="47"/>
      <x:c r="U7" s="47"/>
      <x:c r="V7" s="47"/>
      <x:c r="W7" s="47"/>
      <x:c r="X7" s="47"/>
      <x:c r="Y7" s="47"/>
      <x:c r="Z7" s="47"/>
    </x:row>
    <x:row r="8">
      <x:c r="A8" s="50" t="str">
        <x:v>Event</x:v>
      </x:c>
      <x:c r="B8" s="50" t="str">
        <x:v>activity.application.changed</x:v>
      </x:c>
      <x:c r="C8" s="50" t="str">
        <x:v>Foreground app/window/process transition.</x:v>
      </x:c>
      <x:c r="D8" s="50" t="str">
        <x:v>app, pid, window_title, timestamp, confidence</x:v>
      </x:c>
      <x:c r="E8" s="50" t="str">
        <x:v>Desktop Agent</x:v>
      </x:c>
      <x:c r="F8" s="50" t="str">
        <x:v>Evidence Service</x:v>
      </x:c>
      <x:c r="G8" s="50" t="str">
        <x:v>Yes</x:v>
      </x:c>
      <x:c r="H8" s="50" t="str">
        <x:v>Universal capture stream.</x:v>
      </x:c>
      <x:c r="I8" s="50" t="str"/>
      <x:c r="J8" s="47"/>
      <x:c r="K8" s="47"/>
      <x:c r="L8" s="47"/>
      <x:c r="M8" s="47"/>
      <x:c r="N8" s="47"/>
      <x:c r="O8" s="47"/>
      <x:c r="P8" s="47"/>
      <x:c r="Q8" s="47"/>
      <x:c r="R8" s="47"/>
      <x:c r="S8" s="47"/>
      <x:c r="T8" s="47"/>
      <x:c r="U8" s="47"/>
      <x:c r="V8" s="47"/>
      <x:c r="W8" s="47"/>
      <x:c r="X8" s="47"/>
      <x:c r="Y8" s="47"/>
      <x:c r="Z8" s="47"/>
    </x:row>
    <x:row r="9">
      <x:c r="A9" s="50" t="str">
        <x:v>Event</x:v>
      </x:c>
      <x:c r="B9" s="50" t="str">
        <x:v>activity.input.observed</x:v>
      </x:c>
      <x:c r="C9" s="50" t="str">
        <x:v>Physical mouse/keyboard input metadata.</x:v>
      </x:c>
      <x:c r="D9" s="50" t="str">
        <x:v>input_type, key/button, coordinate, injected_flag, secure_field</x:v>
      </x:c>
      <x:c r="E9" s="50" t="str">
        <x:v>Desktop Agent</x:v>
      </x:c>
      <x:c r="F9" s="50" t="str">
        <x:v>Evidence Service</x:v>
      </x:c>
      <x:c r="G9" s="50" t="str">
        <x:v>Yes</x:v>
      </x:c>
      <x:c r="H9" s="50" t="str">
        <x:v>Text stored separately and controlled.</x:v>
      </x:c>
      <x:c r="I9" s="50" t="str">
        <x:v>Microsoft SetWindowsHookEx</x:v>
      </x:c>
      <x:c r="J9" s="47"/>
      <x:c r="K9" s="47"/>
      <x:c r="L9" s="47"/>
      <x:c r="M9" s="47"/>
      <x:c r="N9" s="47"/>
      <x:c r="O9" s="47"/>
      <x:c r="P9" s="47"/>
      <x:c r="Q9" s="47"/>
      <x:c r="R9" s="47"/>
      <x:c r="S9" s="47"/>
      <x:c r="T9" s="47"/>
      <x:c r="U9" s="47"/>
      <x:c r="V9" s="47"/>
      <x:c r="W9" s="47"/>
      <x:c r="X9" s="47"/>
      <x:c r="Y9" s="47"/>
      <x:c r="Z9" s="47"/>
    </x:row>
    <x:row r="10">
      <x:c r="A10" s="50" t="str">
        <x:v>Event</x:v>
      </x:c>
      <x:c r="B10" s="50" t="str">
        <x:v>activity.visual.changed</x:v>
      </x:c>
      <x:c r="C10" s="50" t="str">
        <x:v>Visual state changed due to click/app/action.</x:v>
      </x:c>
      <x:c r="D10" s="50" t="str">
        <x:v>before_state, after_state, changed_region, screenshot_hash</x:v>
      </x:c>
      <x:c r="E10" s="50" t="str">
        <x:v>Desktop Agent</x:v>
      </x:c>
      <x:c r="F10" s="50" t="str">
        <x:v>Evidence Service</x:v>
      </x:c>
      <x:c r="G10" s="50" t="str">
        <x:v>Yes</x:v>
      </x:c>
      <x:c r="H10" s="50" t="str">
        <x:v>Event-driven capture, not brute-force video.</x:v>
      </x:c>
      <x:c r="I10" s="50" t="str"/>
      <x:c r="J10" s="47"/>
      <x:c r="K10" s="47"/>
      <x:c r="L10" s="47"/>
      <x:c r="M10" s="47"/>
      <x:c r="N10" s="47"/>
      <x:c r="O10" s="47"/>
      <x:c r="P10" s="47"/>
      <x:c r="Q10" s="47"/>
      <x:c r="R10" s="47"/>
      <x:c r="S10" s="47"/>
      <x:c r="T10" s="47"/>
      <x:c r="U10" s="47"/>
      <x:c r="V10" s="47"/>
      <x:c r="W10" s="47"/>
      <x:c r="X10" s="47"/>
      <x:c r="Y10" s="47"/>
      <x:c r="Z10" s="47"/>
    </x:row>
    <x:row r="11">
      <x:c r="A11" s="50" t="str">
        <x:v>Event</x:v>
      </x:c>
      <x:c r="B11" s="50" t="str">
        <x:v>activity.text.changed</x:v>
      </x:c>
      <x:c r="C11" s="50" t="str">
        <x:v>Resulting text delta in an approved control/editor.</x:v>
      </x:c>
      <x:c r="D11" s="50" t="str">
        <x:v>inserted_ref, deleted_ref, source_control, privacy_class</x:v>
      </x:c>
      <x:c r="E11" s="50" t="str">
        <x:v>Desktop Agent/IDE Adapter</x:v>
      </x:c>
      <x:c r="F11" s="50" t="str">
        <x:v>Evidence, Task Intelligence</x:v>
      </x:c>
      <x:c r="G11" s="50" t="str">
        <x:v>Yes</x:v>
      </x:c>
      <x:c r="H11" s="50" t="str">
        <x:v>Authoritative text-state &gt; raw keys.</x:v>
      </x:c>
      <x:c r="I11" s="50" t="str"/>
      <x:c r="J11" s="47"/>
      <x:c r="K11" s="47"/>
      <x:c r="L11" s="47"/>
      <x:c r="M11" s="47"/>
      <x:c r="N11" s="47"/>
      <x:c r="O11" s="47"/>
      <x:c r="P11" s="47"/>
      <x:c r="Q11" s="47"/>
      <x:c r="R11" s="47"/>
      <x:c r="S11" s="47"/>
      <x:c r="T11" s="47"/>
      <x:c r="U11" s="47"/>
      <x:c r="V11" s="47"/>
      <x:c r="W11" s="47"/>
      <x:c r="X11" s="47"/>
      <x:c r="Y11" s="47"/>
      <x:c r="Z11" s="47"/>
    </x:row>
    <x:row r="12">
      <x:c r="A12" s="50" t="str">
        <x:v>Event</x:v>
      </x:c>
      <x:c r="B12" s="50" t="str">
        <x:v>agent.prompt.submitted</x:v>
      </x:c>
      <x:c r="C12" s="50" t="str">
        <x:v>Prompt sent to Codex/Claude/Cursor/etc.</x:v>
      </x:c>
      <x:c r="D12" s="50" t="str">
        <x:v>agent, prompt_ref, task_id, turn_id</x:v>
      </x:c>
      <x:c r="E12" s="50" t="str">
        <x:v>AI Agent Adapter</x:v>
      </x:c>
      <x:c r="F12" s="50" t="str">
        <x:v>Provenance, Coach</x:v>
      </x:c>
      <x:c r="G12" s="50" t="str">
        <x:v>Yes</x:v>
      </x:c>
      <x:c r="H12" s="50" t="str">
        <x:v>Use official hooks where possible.</x:v>
      </x:c>
      <x:c r="I12" s="50" t="str">
        <x:v>Codex hooks</x:v>
      </x:c>
      <x:c r="J12" s="47"/>
      <x:c r="K12" s="47"/>
      <x:c r="L12" s="47"/>
      <x:c r="M12" s="47"/>
      <x:c r="N12" s="47"/>
      <x:c r="O12" s="47"/>
      <x:c r="P12" s="47"/>
      <x:c r="Q12" s="47"/>
      <x:c r="R12" s="47"/>
      <x:c r="S12" s="47"/>
      <x:c r="T12" s="47"/>
      <x:c r="U12" s="47"/>
      <x:c r="V12" s="47"/>
      <x:c r="W12" s="47"/>
      <x:c r="X12" s="47"/>
      <x:c r="Y12" s="47"/>
      <x:c r="Z12" s="47"/>
    </x:row>
    <x:row r="13">
      <x:c r="A13" s="50" t="str">
        <x:v>Event</x:v>
      </x:c>
      <x:c r="B13" s="50" t="str">
        <x:v>agent.tool.completed</x:v>
      </x:c>
      <x:c r="C13" s="50" t="str">
        <x:v>Agent tool command or file operation completed.</x:v>
      </x:c>
      <x:c r="D13" s="50" t="str">
        <x:v>tool, input_ref, output_ref, exit_code, files_touched</x:v>
      </x:c>
      <x:c r="E13" s="50" t="str">
        <x:v>AI Agent Adapter</x:v>
      </x:c>
      <x:c r="F13" s="50" t="str">
        <x:v>Provenance</x:v>
      </x:c>
      <x:c r="G13" s="50" t="str">
        <x:v>Yes</x:v>
      </x:c>
      <x:c r="H13" s="50" t="str">
        <x:v>Causal parent is prompt or prior tool call.</x:v>
      </x:c>
      <x:c r="I13" s="50" t="str">
        <x:v>OpenTelemetry GenAI</x:v>
      </x:c>
      <x:c r="J13" s="47"/>
      <x:c r="K13" s="47"/>
      <x:c r="L13" s="47"/>
      <x:c r="M13" s="47"/>
      <x:c r="N13" s="47"/>
      <x:c r="O13" s="47"/>
      <x:c r="P13" s="47"/>
      <x:c r="Q13" s="47"/>
      <x:c r="R13" s="47"/>
      <x:c r="S13" s="47"/>
      <x:c r="T13" s="47"/>
      <x:c r="U13" s="47"/>
      <x:c r="V13" s="47"/>
      <x:c r="W13" s="47"/>
      <x:c r="X13" s="47"/>
      <x:c r="Y13" s="47"/>
      <x:c r="Z13" s="47"/>
    </x:row>
    <x:row r="14">
      <x:c r="A14" s="50" t="str">
        <x:v>Event</x:v>
      </x:c>
      <x:c r="B14" s="50" t="str">
        <x:v>process.completed</x:v>
      </x:c>
      <x:c r="C14" s="50" t="str">
        <x:v>System command/build/test process ended.</x:v>
      </x:c>
      <x:c r="D14" s="50" t="str">
        <x:v>command_ref, cwd, exit_code, duration, stdout_ref</x:v>
      </x:c>
      <x:c r="E14" s="50" t="str">
        <x:v>Terminal/OS Adapter</x:v>
      </x:c>
      <x:c r="F14" s="50" t="str">
        <x:v>Task Assurance</x:v>
      </x:c>
      <x:c r="G14" s="50" t="str">
        <x:v>Yes</x:v>
      </x:c>
      <x:c r="H14" s="50" t="str">
        <x:v>Distinguish automated wait from idle.</x:v>
      </x:c>
      <x:c r="I14" s="50" t="str"/>
      <x:c r="J14" s="47"/>
      <x:c r="K14" s="47"/>
      <x:c r="L14" s="47"/>
      <x:c r="M14" s="47"/>
      <x:c r="N14" s="47"/>
      <x:c r="O14" s="47"/>
      <x:c r="P14" s="47"/>
      <x:c r="Q14" s="47"/>
      <x:c r="R14" s="47"/>
      <x:c r="S14" s="47"/>
      <x:c r="T14" s="47"/>
      <x:c r="U14" s="47"/>
      <x:c r="V14" s="47"/>
      <x:c r="W14" s="47"/>
      <x:c r="X14" s="47"/>
      <x:c r="Y14" s="47"/>
      <x:c r="Z14" s="47"/>
    </x:row>
    <x:row r="15">
      <x:c r="A15" s="50" t="str">
        <x:v>Event</x:v>
      </x:c>
      <x:c r="B15" s="50" t="str">
        <x:v>task.criterion.verified</x:v>
      </x:c>
      <x:c r="C15" s="50" t="str">
        <x:v>Task criterion satisfied or failed with evidence.</x:v>
      </x:c>
      <x:c r="D15" s="50" t="str">
        <x:v>criterion_id, status, evidence_refs, confidence</x:v>
      </x:c>
      <x:c r="E15" s="50" t="str">
        <x:v>Task Intelligence</x:v>
      </x:c>
      <x:c r="F15" s="50" t="str">
        <x:v>Reporting/Capability</x:v>
      </x:c>
      <x:c r="G15" s="50" t="str">
        <x:v>Yes</x:v>
      </x:c>
      <x:c r="H15" s="50" t="str">
        <x:v>Outcome-driven assessment.</x:v>
      </x:c>
      <x:c r="I15" s="50" t="str"/>
      <x:c r="J15" s="47"/>
      <x:c r="K15" s="47"/>
      <x:c r="L15" s="47"/>
      <x:c r="M15" s="47"/>
      <x:c r="N15" s="47"/>
      <x:c r="O15" s="47"/>
      <x:c r="P15" s="47"/>
      <x:c r="Q15" s="47"/>
      <x:c r="R15" s="47"/>
      <x:c r="S15" s="47"/>
      <x:c r="T15" s="47"/>
      <x:c r="U15" s="47"/>
      <x:c r="V15" s="47"/>
      <x:c r="W15" s="47"/>
      <x:c r="X15" s="47"/>
      <x:c r="Y15" s="47"/>
      <x:c r="Z15" s="47"/>
    </x:row>
    <x:row r="16">
      <x:c r="A16" s="50" t="str">
        <x:v>Event</x:v>
      </x:c>
      <x:c r="B16" s="50" t="str">
        <x:v>capability.evidence.recorded</x:v>
      </x:c>
      <x:c r="C16" s="50" t="str">
        <x:v>Capability evidence gained from a task episode.</x:v>
      </x:c>
      <x:c r="D16" s="50" t="str">
        <x:v>capability_id, level_signal, confidence, evidence_refs</x:v>
      </x:c>
      <x:c r="E16" s="50" t="str">
        <x:v>Role &amp; Capability</x:v>
      </x:c>
      <x:c r="F16" s="50" t="str">
        <x:v>Learning/Reporting</x:v>
      </x:c>
      <x:c r="G16" s="50" t="str">
        <x:v>Yes</x:v>
      </x:c>
      <x:c r="H16" s="50" t="str">
        <x:v>Repeated evidence updates profile.</x:v>
      </x:c>
      <x:c r="I16" s="50" t="str"/>
      <x:c r="J16" s="47"/>
      <x:c r="K16" s="47"/>
      <x:c r="L16" s="47"/>
      <x:c r="M16" s="47"/>
      <x:c r="N16" s="47"/>
      <x:c r="O16" s="47"/>
      <x:c r="P16" s="47"/>
      <x:c r="Q16" s="47"/>
      <x:c r="R16" s="47"/>
      <x:c r="S16" s="47"/>
      <x:c r="T16" s="47"/>
      <x:c r="U16" s="47"/>
      <x:c r="V16" s="47"/>
      <x:c r="W16" s="47"/>
      <x:c r="X16" s="47"/>
      <x:c r="Y16" s="47"/>
      <x:c r="Z16" s="47"/>
    </x:row>
    <x:row r="17">
      <x:c r="A17" s="50" t="str">
        <x:v>Event</x:v>
      </x:c>
      <x:c r="B17" s="50" t="str">
        <x:v>skill.observation.created</x:v>
      </x:c>
      <x:c r="C17" s="50" t="str">
        <x:v>Candidate improvement to HumanOS skill/plugin/evaluator.</x:v>
      </x:c>
      <x:c r="D17" s="50" t="str">
        <x:v>issue, improvement, principle, evidence_refs, confidentiality</x:v>
      </x:c>
      <x:c r="E17" s="50" t="str">
        <x:v>Skill Forge</x:v>
      </x:c>
      <x:c r="F17" s="50" t="str">
        <x:v>Skill Review</x:v>
      </x:c>
      <x:c r="G17" s="50" t="str">
        <x:v>Later</x:v>
      </x:c>
      <x:c r="H17" s="50" t="str">
        <x:v>Human approval before activation.</x:v>
      </x:c>
      <x:c r="I17" s="50" t="str"/>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s>
  <x:pageMargins left="0.7" right="0.7" top="0.75" bottom="0.75" header="0.3" footer="0.3"/>
  <x:tableParts count="1">
    <x:tablePart xmlns:r="http://schemas.openxmlformats.org/officeDocument/2006/relationships" r:id="Rf80e04855616445b"/>
  </x:tableParts>
</x:worksheet>
</file>

<file path=xl/worksheets/sheet10.xml><?xml version="1.0" encoding="utf-8"?>
<x:worksheet xmlns:x="http://schemas.openxmlformats.org/spreadsheetml/2006/main">
  <x:sheetFormatPr defaultRowHeight="15"/>
  <x:cols>
    <x:col min="1" max="1" width="30" hidden="0" customWidth="1"/>
    <x:col min="2" max="2" width="44" hidden="0" customWidth="1"/>
    <x:col min="3" max="3" width="28" hidden="0" customWidth="1"/>
    <x:col min="4" max="4" width="48" hidden="0" customWidth="1"/>
    <x:col min="5" max="5" width="42" hidden="0" customWidth="1"/>
    <x:col min="6" max="6" width="10" hidden="0" customWidth="1"/>
  </x:cols>
  <x:sheetData>
    <x:row r="1" ht="34" customHeight="1">
      <x:c r="A1" s="64" t="str">
        <x:v>AI Capability System</x:v>
      </x:c>
      <x:c r="B1" s="64"/>
      <x:c r="C1" s="64"/>
      <x:c r="D1" s="64"/>
      <x:c r="E1" s="64"/>
      <x:c r="F1" s="64"/>
      <x:c r="G1" s="64"/>
      <x:c r="H1" s="64"/>
      <x:c r="I1" s="64"/>
      <x:c r="J1" s="64"/>
      <x:c r="K1" s="65"/>
      <x:c r="L1" s="65"/>
      <x:c r="M1" s="65"/>
      <x:c r="N1" s="65"/>
      <x:c r="O1" s="65"/>
      <x:c r="P1" s="65"/>
      <x:c r="Q1" s="65"/>
      <x:c r="R1" s="65"/>
      <x:c r="S1" s="65"/>
      <x:c r="T1" s="65"/>
      <x:c r="U1" s="65"/>
      <x:c r="V1" s="65"/>
      <x:c r="W1" s="65"/>
      <x:c r="X1" s="65"/>
      <x:c r="Y1" s="65"/>
      <x:c r="Z1" s="65"/>
    </x:row>
    <x:row r="2" ht="34" customHeight="1">
      <x:c r="A2" s="48" t="str">
        <x:v>How Nessovo verifies capability, improves employees, and improves HumanOS itself.</x:v>
      </x:c>
      <x:c r="B2" s="48"/>
      <x:c r="C2" s="48"/>
      <x:c r="D2" s="48"/>
      <x:c r="E2" s="48"/>
      <x:c r="F2" s="48"/>
      <x:c r="G2" s="48"/>
      <x:c r="H2" s="4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Level</x:v>
      </x:c>
      <x:c r="B4" s="49" t="str">
        <x:v>Name</x:v>
      </x:c>
      <x:c r="C4" s="49" t="str">
        <x:v>Meaning</x:v>
      </x:c>
      <x:c r="D4" s="49" t="str">
        <x:v>Evidence examples</x:v>
      </x:c>
      <x:c r="E4" s="49" t="str">
        <x:v>Manager interpretation</x:v>
      </x:c>
      <x:c r="F4" s="49" t="str">
        <x:v>Employee experience</x:v>
      </x:c>
      <x:c r="G4" s="47"/>
      <x:c r="H4" s="47"/>
      <x:c r="I4" s="47"/>
      <x:c r="J4" s="47"/>
      <x:c r="K4" s="47"/>
      <x:c r="L4" s="47"/>
      <x:c r="M4" s="47"/>
      <x:c r="N4" s="47"/>
      <x:c r="O4" s="47"/>
      <x:c r="P4" s="47"/>
      <x:c r="Q4" s="47"/>
      <x:c r="R4" s="47"/>
      <x:c r="S4" s="47"/>
      <x:c r="T4" s="47"/>
      <x:c r="U4" s="47"/>
      <x:c r="V4" s="47"/>
      <x:c r="W4" s="47"/>
      <x:c r="X4" s="47"/>
      <x:c r="Y4" s="47"/>
      <x:c r="Z4" s="47"/>
    </x:row>
    <x:row r="5">
      <x:c r="A5" s="50" t="n">
        <x:v>0</x:v>
      </x:c>
      <x:c r="B5" s="50" t="str">
        <x:v>Unverified</x:v>
      </x:c>
      <x:c r="C5" s="50" t="str">
        <x:v>Claim exists but no reliable evidence yet.</x:v>
      </x:c>
      <x:c r="D5" s="50" t="str">
        <x:v>Onboarding claim, CV, self-assessment.</x:v>
      </x:c>
      <x:c r="E5" s="50" t="str">
        <x:v>Do not assume capability; assign baseline tasks.</x:v>
      </x:c>
      <x:c r="F5" s="50" t="str">
        <x:v>Skill locked or greyed out.</x:v>
      </x:c>
      <x:c r="G5" s="47"/>
      <x:c r="H5" s="47"/>
      <x:c r="I5" s="47"/>
      <x:c r="J5" s="47"/>
      <x:c r="K5" s="47"/>
      <x:c r="L5" s="47"/>
      <x:c r="M5" s="47"/>
      <x:c r="N5" s="47"/>
      <x:c r="O5" s="47"/>
      <x:c r="P5" s="47"/>
      <x:c r="Q5" s="47"/>
      <x:c r="R5" s="47"/>
      <x:c r="S5" s="47"/>
      <x:c r="T5" s="47"/>
      <x:c r="U5" s="47"/>
      <x:c r="V5" s="47"/>
      <x:c r="W5" s="47"/>
      <x:c r="X5" s="47"/>
      <x:c r="Y5" s="47"/>
      <x:c r="Z5" s="47"/>
    </x:row>
    <x:row r="6">
      <x:c r="A6" s="50" t="n">
        <x:v>1</x:v>
      </x:c>
      <x:c r="B6" s="50" t="str">
        <x:v>Learning</x:v>
      </x:c>
      <x:c r="C6" s="50" t="str">
        <x:v>Requires direct instruction and close guidance.</x:v>
      </x:c>
      <x:c r="D6" s="50" t="str">
        <x:v>Fails routine tasks without support; training in progress.</x:v>
      </x:c>
      <x:c r="E6" s="50" t="str">
        <x:v>Needs guided work and mentor review.</x:v>
      </x:c>
      <x:c r="F6" s="50" t="str">
        <x:v>Starter quests and basic lessons.</x:v>
      </x:c>
      <x:c r="G6" s="47"/>
      <x:c r="H6" s="47"/>
      <x:c r="I6" s="47"/>
      <x:c r="J6" s="47"/>
      <x:c r="K6" s="47"/>
      <x:c r="L6" s="47"/>
      <x:c r="M6" s="47"/>
      <x:c r="N6" s="47"/>
      <x:c r="O6" s="47"/>
      <x:c r="P6" s="47"/>
      <x:c r="Q6" s="47"/>
      <x:c r="R6" s="47"/>
      <x:c r="S6" s="47"/>
      <x:c r="T6" s="47"/>
      <x:c r="U6" s="47"/>
      <x:c r="V6" s="47"/>
      <x:c r="W6" s="47"/>
      <x:c r="X6" s="47"/>
      <x:c r="Y6" s="47"/>
      <x:c r="Z6" s="47"/>
    </x:row>
    <x:row r="7">
      <x:c r="A7" s="50" t="n">
        <x:v>2</x:v>
      </x:c>
      <x:c r="B7" s="50" t="str">
        <x:v>Assisted</x:v>
      </x:c>
      <x:c r="C7" s="50" t="str">
        <x:v>Can complete routine work with support.</x:v>
      </x:c>
      <x:c r="D7" s="50" t="str">
        <x:v>Completes tasks when guided; recurring review required.</x:v>
      </x:c>
      <x:c r="E7" s="50" t="str">
        <x:v>Suitable for scoped tasks.</x:v>
      </x:c>
      <x:c r="F7" s="50" t="str">
        <x:v>Progress quests and coaching.</x:v>
      </x:c>
      <x:c r="G7" s="47"/>
      <x:c r="H7" s="47"/>
      <x:c r="I7" s="47"/>
      <x:c r="J7" s="47"/>
      <x:c r="K7" s="47"/>
      <x:c r="L7" s="47"/>
      <x:c r="M7" s="47"/>
      <x:c r="N7" s="47"/>
      <x:c r="O7" s="47"/>
      <x:c r="P7" s="47"/>
      <x:c r="Q7" s="47"/>
      <x:c r="R7" s="47"/>
      <x:c r="S7" s="47"/>
      <x:c r="T7" s="47"/>
      <x:c r="U7" s="47"/>
      <x:c r="V7" s="47"/>
      <x:c r="W7" s="47"/>
      <x:c r="X7" s="47"/>
      <x:c r="Y7" s="47"/>
      <x:c r="Z7" s="47"/>
    </x:row>
    <x:row r="8">
      <x:c r="A8" s="50" t="n">
        <x:v>3</x:v>
      </x:c>
      <x:c r="B8" s="50" t="str">
        <x:v>Independent</x:v>
      </x:c>
      <x:c r="C8" s="50" t="str">
        <x:v>Reliably completes standard work independently.</x:v>
      </x:c>
      <x:c r="D8" s="50" t="str">
        <x:v>Multiple successful tasks with appropriate verification.</x:v>
      </x:c>
      <x:c r="E8" s="50" t="str">
        <x:v>Meets normal role requirement.</x:v>
      </x:c>
      <x:c r="F8" s="50" t="str">
        <x:v>Core skill unlocked.</x:v>
      </x:c>
      <x:c r="G8" s="47"/>
      <x:c r="H8" s="47"/>
      <x:c r="I8" s="47"/>
      <x:c r="J8" s="47"/>
      <x:c r="K8" s="47"/>
      <x:c r="L8" s="47"/>
      <x:c r="M8" s="47"/>
      <x:c r="N8" s="47"/>
      <x:c r="O8" s="47"/>
      <x:c r="P8" s="47"/>
      <x:c r="Q8" s="47"/>
      <x:c r="R8" s="47"/>
      <x:c r="S8" s="47"/>
      <x:c r="T8" s="47"/>
      <x:c r="U8" s="47"/>
      <x:c r="V8" s="47"/>
      <x:c r="W8" s="47"/>
      <x:c r="X8" s="47"/>
      <x:c r="Y8" s="47"/>
      <x:c r="Z8" s="47"/>
    </x:row>
    <x:row r="9">
      <x:c r="A9" s="50" t="n">
        <x:v>4</x:v>
      </x:c>
      <x:c r="B9" s="50" t="str">
        <x:v>Advanced</x:v>
      </x:c>
      <x:c r="C9" s="50" t="str">
        <x:v>Handles complex/non-routine work and supports others.</x:v>
      </x:c>
      <x:c r="D9" s="50" t="str">
        <x:v>Solves unfamiliar variants; mentors peers; improves playbooks.</x:v>
      </x:c>
      <x:c r="E9" s="50" t="str">
        <x:v>Can own complex workstreams.</x:v>
      </x:c>
      <x:c r="F9" s="50" t="str">
        <x:v>Advanced challenges and mentor badges.</x:v>
      </x:c>
      <x:c r="G9" s="47"/>
      <x:c r="H9" s="47"/>
      <x:c r="I9" s="47"/>
      <x:c r="J9" s="47"/>
      <x:c r="K9" s="47"/>
      <x:c r="L9" s="47"/>
      <x:c r="M9" s="47"/>
      <x:c r="N9" s="47"/>
      <x:c r="O9" s="47"/>
      <x:c r="P9" s="47"/>
      <x:c r="Q9" s="47"/>
      <x:c r="R9" s="47"/>
      <x:c r="S9" s="47"/>
      <x:c r="T9" s="47"/>
      <x:c r="U9" s="47"/>
      <x:c r="V9" s="47"/>
      <x:c r="W9" s="47"/>
      <x:c r="X9" s="47"/>
      <x:c r="Y9" s="47"/>
      <x:c r="Z9" s="47"/>
    </x:row>
    <x:row r="10">
      <x:c r="A10" s="50" t="n">
        <x:v>5</x:v>
      </x:c>
      <x:c r="B10" s="50" t="str">
        <x:v>Mastery</x:v>
      </x:c>
      <x:c r="C10" s="50" t="str">
        <x:v>Defines standards, solves novel problems and coaches others.</x:v>
      </x:c>
      <x:c r="D10" s="50" t="str">
        <x:v>Creates reusable methods; reviews designs; leads standards.</x:v>
      </x:c>
      <x:c r="E10" s="50" t="str">
        <x:v>Can define organisational practice.</x:v>
      </x:c>
      <x:c r="F10" s="50" t="str">
        <x:v>Mastery status and skill authoring.</x:v>
      </x:c>
      <x:c r="G10" s="47"/>
      <x:c r="H10" s="47"/>
      <x:c r="I10" s="47"/>
      <x:c r="J10" s="47"/>
      <x:c r="K10" s="47"/>
      <x:c r="L10" s="47"/>
      <x:c r="M10" s="47"/>
      <x:c r="N10" s="47"/>
      <x:c r="O10" s="47"/>
      <x:c r="P10" s="47"/>
      <x:c r="Q10" s="47"/>
      <x:c r="R10" s="47"/>
      <x:c r="S10" s="47"/>
      <x:c r="T10" s="47"/>
      <x:c r="U10" s="47"/>
      <x:c r="V10" s="47"/>
      <x:c r="W10" s="47"/>
      <x:c r="X10" s="47"/>
      <x:c r="Y10" s="47"/>
      <x:c r="Z10" s="47"/>
    </x:row>
    <x:row r="11">
      <x:c r="A11" s="47"/>
      <x:c r="B11" s="47"/>
      <x:c r="C11" s="47"/>
      <x:c r="D11" s="47"/>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7"/>
      <x:c r="B12" s="47"/>
      <x:c r="C12" s="47"/>
      <x:c r="D12" s="47"/>
      <x:c r="E12" s="47"/>
      <x:c r="F12" s="47"/>
      <x:c r="G12" s="47"/>
      <x:c r="H12" s="47"/>
      <x:c r="I12" s="47"/>
      <x:c r="J12" s="47"/>
      <x:c r="K12" s="47"/>
      <x:c r="L12" s="47"/>
      <x:c r="M12" s="47"/>
      <x:c r="N12" s="47"/>
      <x:c r="O12" s="47"/>
      <x:c r="P12" s="47"/>
      <x:c r="Q12" s="47"/>
      <x:c r="R12" s="47"/>
      <x:c r="S12" s="47"/>
      <x:c r="T12" s="47"/>
      <x:c r="U12" s="47"/>
      <x:c r="V12" s="47"/>
      <x:c r="W12" s="47"/>
      <x:c r="X12" s="47"/>
      <x:c r="Y12" s="47"/>
      <x:c r="Z12" s="47"/>
    </x:row>
    <x:row r="13" ht="32" customHeight="1">
      <x:c r="A13" s="49" t="str">
        <x:v>Loop</x:v>
      </x:c>
      <x:c r="B13" s="49" t="str">
        <x:v>Input</x:v>
      </x:c>
      <x:c r="C13" s="49" t="str">
        <x:v>AI action</x:v>
      </x:c>
      <x:c r="D13" s="49" t="str">
        <x:v>Human control</x:v>
      </x:c>
      <x:c r="E13" s="49" t="str">
        <x:v>Output</x:v>
      </x:c>
      <x:c r="F13" s="47"/>
      <x:c r="G13" s="47"/>
      <x:c r="H13" s="47"/>
      <x:c r="I13" s="47"/>
      <x:c r="J13" s="47"/>
      <x:c r="K13" s="47"/>
      <x:c r="L13" s="47"/>
      <x:c r="M13" s="47"/>
      <x:c r="N13" s="47"/>
      <x:c r="O13" s="47"/>
      <x:c r="P13" s="47"/>
      <x:c r="Q13" s="47"/>
      <x:c r="R13" s="47"/>
      <x:c r="S13" s="47"/>
      <x:c r="T13" s="47"/>
      <x:c r="U13" s="47"/>
      <x:c r="V13" s="47"/>
      <x:c r="W13" s="47"/>
      <x:c r="X13" s="47"/>
      <x:c r="Y13" s="47"/>
      <x:c r="Z13" s="47"/>
    </x:row>
    <x:row r="14">
      <x:c r="A14" s="50" t="str">
        <x:v>Employee learning loop</x:v>
      </x:c>
      <x:c r="B14" s="50" t="str">
        <x:v>Task evidence, errors, coaching response</x:v>
      </x:c>
      <x:c r="C14" s="50" t="str">
        <x:v>Detect gap and recommend training/practice</x:v>
      </x:c>
      <x:c r="D14" s="50" t="str">
        <x:v>Employee can challenge; manager/mentor reviews</x:v>
      </x:c>
      <x:c r="E14" s="50" t="str">
        <x:v>Capability evidence and learning plan</x:v>
      </x:c>
      <x:c r="F14" s="47"/>
      <x:c r="G14" s="47"/>
      <x:c r="H14" s="47"/>
      <x:c r="I14" s="47"/>
      <x:c r="J14" s="47"/>
      <x:c r="K14" s="47"/>
      <x:c r="L14" s="47"/>
      <x:c r="M14" s="47"/>
      <x:c r="N14" s="47"/>
      <x:c r="O14" s="47"/>
      <x:c r="P14" s="47"/>
      <x:c r="Q14" s="47"/>
      <x:c r="R14" s="47"/>
      <x:c r="S14" s="47"/>
      <x:c r="T14" s="47"/>
      <x:c r="U14" s="47"/>
      <x:c r="V14" s="47"/>
      <x:c r="W14" s="47"/>
      <x:c r="X14" s="47"/>
      <x:c r="Y14" s="47"/>
      <x:c r="Z14" s="47"/>
    </x:row>
    <x:row r="15">
      <x:c r="A15" s="50" t="str">
        <x:v>Task assurance loop</x:v>
      </x:c>
      <x:c r="B15" s="50" t="str">
        <x:v>Task contract, activity episodes, artefacts</x:v>
      </x:c>
      <x:c r="C15" s="50" t="str">
        <x:v>Assess task alignment, progress, quality and completion</x:v>
      </x:c>
      <x:c r="D15" s="50" t="str">
        <x:v>Lead/reviewer decides status</x:v>
      </x:c>
      <x:c r="E15" s="50" t="str">
        <x:v>Evidence-backed task report</x:v>
      </x:c>
      <x:c r="F15" s="47"/>
      <x:c r="G15" s="47"/>
      <x:c r="H15" s="47"/>
      <x:c r="I15" s="47"/>
      <x:c r="J15" s="47"/>
      <x:c r="K15" s="47"/>
      <x:c r="L15" s="47"/>
      <x:c r="M15" s="47"/>
      <x:c r="N15" s="47"/>
      <x:c r="O15" s="47"/>
      <x:c r="P15" s="47"/>
      <x:c r="Q15" s="47"/>
      <x:c r="R15" s="47"/>
      <x:c r="S15" s="47"/>
      <x:c r="T15" s="47"/>
      <x:c r="U15" s="47"/>
      <x:c r="V15" s="47"/>
      <x:c r="W15" s="47"/>
      <x:c r="X15" s="47"/>
      <x:c r="Y15" s="47"/>
      <x:c r="Z15" s="47"/>
    </x:row>
    <x:row r="16">
      <x:c r="A16" s="50" t="str">
        <x:v>Organisational learning loop</x:v>
      </x:c>
      <x:c r="B16" s="50" t="str">
        <x:v>Repeated successful work patterns</x:v>
      </x:c>
      <x:c r="C16" s="50" t="str">
        <x:v>Propose playbooks/templates/workflows</x:v>
      </x:c>
      <x:c r="D16" s="50" t="str">
        <x:v>Domain expert approves</x:v>
      </x:c>
      <x:c r="E16" s="50" t="str">
        <x:v>HumanOS workflow / standard method</x:v>
      </x:c>
      <x:c r="F16" s="47"/>
      <x:c r="G16" s="47"/>
      <x:c r="H16" s="47"/>
      <x:c r="I16" s="47"/>
      <x:c r="J16" s="47"/>
      <x:c r="K16" s="47"/>
      <x:c r="L16" s="47"/>
      <x:c r="M16" s="47"/>
      <x:c r="N16" s="47"/>
      <x:c r="O16" s="47"/>
      <x:c r="P16" s="47"/>
      <x:c r="Q16" s="47"/>
      <x:c r="R16" s="47"/>
      <x:c r="S16" s="47"/>
      <x:c r="T16" s="47"/>
      <x:c r="U16" s="47"/>
      <x:c r="V16" s="47"/>
      <x:c r="W16" s="47"/>
      <x:c r="X16" s="47"/>
      <x:c r="Y16" s="47"/>
      <x:c r="Z16" s="47"/>
    </x:row>
    <x:row r="17">
      <x:c r="A17" s="50" t="str">
        <x:v>Skill Forge loop</x:v>
      </x:c>
      <x:c r="B17" s="50" t="str">
        <x:v>User correction, evaluator failure, new research</x:v>
      </x:c>
      <x:c r="C17" s="50" t="str">
        <x:v>Propose skill/plugin/evaluator update</x:v>
      </x:c>
      <x:c r="D17" s="50" t="str">
        <x:v>Skill reviewer, tests, canary, rollback</x:v>
      </x:c>
      <x:c r="E17" s="50" t="str">
        <x:v>Versioned HumanOS skill</x:v>
      </x:c>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ht="32" customHeight="1">
      <x:c r="A20" s="49" t="str">
        <x:v>Evaluator</x:v>
      </x:c>
      <x:c r="B20" s="49" t="str">
        <x:v>Purpose</x:v>
      </x:c>
      <x:c r="C20" s="49" t="str">
        <x:v>Runtime</x:v>
      </x:c>
      <x:c r="D20" s="49" t="str">
        <x:v>Inputs</x:v>
      </x:c>
      <x:c r="E20" s="49" t="str">
        <x:v>Outputs</x:v>
      </x:c>
      <x:c r="F20" s="49" t="str">
        <x:v>MVP</x:v>
      </x:c>
      <x:c r="G20" s="47"/>
      <x:c r="H20" s="47"/>
      <x:c r="I20" s="47"/>
      <x:c r="J20" s="47"/>
      <x:c r="K20" s="47"/>
      <x:c r="L20" s="47"/>
      <x:c r="M20" s="47"/>
      <x:c r="N20" s="47"/>
      <x:c r="O20" s="47"/>
      <x:c r="P20" s="47"/>
      <x:c r="Q20" s="47"/>
      <x:c r="R20" s="47"/>
      <x:c r="S20" s="47"/>
      <x:c r="T20" s="47"/>
      <x:c r="U20" s="47"/>
      <x:c r="V20" s="47"/>
      <x:c r="W20" s="47"/>
      <x:c r="X20" s="47"/>
      <x:c r="Y20" s="47"/>
      <x:c r="Z20" s="47"/>
    </x:row>
    <x:row r="21">
      <x:c r="A21" s="50" t="str">
        <x:v>Task alignment classifier</x:v>
      </x:c>
      <x:c r="B21" s="50" t="str">
        <x:v>Classify episode relative to assigned task.</x:v>
      </x:c>
      <x:c r="C21" s="50" t="str">
        <x:v>Python</x:v>
      </x:c>
      <x:c r="D21" s="50" t="str">
        <x:v>Episode, task contract, app context, artefacts</x:v>
      </x:c>
      <x:c r="E21" s="50" t="str">
        <x:v>classification + confidence + evidence refs</x:v>
      </x:c>
      <x:c r="F21" s="50" t="str">
        <x:v>Yes</x:v>
      </x:c>
      <x:c r="G21" s="47"/>
      <x:c r="H21" s="47"/>
      <x:c r="I21" s="47"/>
      <x:c r="J21" s="47"/>
      <x:c r="K21" s="47"/>
      <x:c r="L21" s="47"/>
      <x:c r="M21" s="47"/>
      <x:c r="N21" s="47"/>
      <x:c r="O21" s="47"/>
      <x:c r="P21" s="47"/>
      <x:c r="Q21" s="47"/>
      <x:c r="R21" s="47"/>
      <x:c r="S21" s="47"/>
      <x:c r="T21" s="47"/>
      <x:c r="U21" s="47"/>
      <x:c r="V21" s="47"/>
      <x:c r="W21" s="47"/>
      <x:c r="X21" s="47"/>
      <x:c r="Y21" s="47"/>
      <x:c r="Z21" s="47"/>
    </x:row>
    <x:row r="22">
      <x:c r="A22" s="50" t="str">
        <x:v>Provenance classifier</x:v>
      </x:c>
      <x:c r="B22" s="50" t="str">
        <x:v>Classify human/AI/automation/system actor.</x:v>
      </x:c>
      <x:c r="C22" s="50" t="str">
        <x:v>Python + rules</x:v>
      </x:c>
      <x:c r="D22" s="50" t="str">
        <x:v>Input events, agent hooks, process tree, file deltas</x:v>
      </x:c>
      <x:c r="E22" s="50" t="str">
        <x:v>actor + confidence + causal edge</x:v>
      </x:c>
      <x:c r="F22" s="50" t="str">
        <x:v>Yes</x:v>
      </x:c>
      <x:c r="G22" s="47"/>
      <x:c r="H22" s="47"/>
      <x:c r="I22" s="47"/>
      <x:c r="J22" s="47"/>
      <x:c r="K22" s="47"/>
      <x:c r="L22" s="47"/>
      <x:c r="M22" s="47"/>
      <x:c r="N22" s="47"/>
      <x:c r="O22" s="47"/>
      <x:c r="P22" s="47"/>
      <x:c r="Q22" s="47"/>
      <x:c r="R22" s="47"/>
      <x:c r="S22" s="47"/>
      <x:c r="T22" s="47"/>
      <x:c r="U22" s="47"/>
      <x:c r="V22" s="47"/>
      <x:c r="W22" s="47"/>
      <x:c r="X22" s="47"/>
      <x:c r="Y22" s="47"/>
      <x:c r="Z22" s="47"/>
    </x:row>
    <x:row r="23">
      <x:c r="A23" s="50" t="str">
        <x:v>Acceptance criteria verifier</x:v>
      </x:c>
      <x:c r="B23" s="50" t="str">
        <x:v>Determine criterion status and missing evidence.</x:v>
      </x:c>
      <x:c r="C23" s="50" t="str">
        <x:v>Python + deterministic validators</x:v>
      </x:c>
      <x:c r="D23" s="50" t="str">
        <x:v>Task contract, artefacts, tests, screenshots, reports</x:v>
      </x:c>
      <x:c r="E23" s="50" t="str">
        <x:v>met/partial/missing + evidence</x:v>
      </x:c>
      <x:c r="F23" s="50" t="str">
        <x:v>Yes</x:v>
      </x:c>
      <x:c r="G23" s="47"/>
      <x:c r="H23" s="47"/>
      <x:c r="I23" s="47"/>
      <x:c r="J23" s="47"/>
      <x:c r="K23" s="47"/>
      <x:c r="L23" s="47"/>
      <x:c r="M23" s="47"/>
      <x:c r="N23" s="47"/>
      <x:c r="O23" s="47"/>
      <x:c r="P23" s="47"/>
      <x:c r="Q23" s="47"/>
      <x:c r="R23" s="47"/>
      <x:c r="S23" s="47"/>
      <x:c r="T23" s="47"/>
      <x:c r="U23" s="47"/>
      <x:c r="V23" s="47"/>
      <x:c r="W23" s="47"/>
      <x:c r="X23" s="47"/>
      <x:c r="Y23" s="47"/>
      <x:c r="Z23" s="47"/>
    </x:row>
    <x:row r="24">
      <x:c r="A24" s="50" t="str">
        <x:v>Capability updater</x:v>
      </x:c>
      <x:c r="B24" s="50" t="str">
        <x:v>Update capability confidence and level from evidence.</x:v>
      </x:c>
      <x:c r="C24" s="50" t="str">
        <x:v>Python scoring + Java persistence</x:v>
      </x:c>
      <x:c r="D24" s="50" t="str">
        <x:v>Task assessment, difficulty, independence, guidance</x:v>
      </x:c>
      <x:c r="E24" s="50" t="str">
        <x:v>capability signal + level update proposal</x:v>
      </x:c>
      <x:c r="F24" s="50" t="str">
        <x:v>Yes</x:v>
      </x:c>
      <x:c r="G24" s="47"/>
      <x:c r="H24" s="47"/>
      <x:c r="I24" s="47"/>
      <x:c r="J24" s="47"/>
      <x:c r="K24" s="47"/>
      <x:c r="L24" s="47"/>
      <x:c r="M24" s="47"/>
      <x:c r="N24" s="47"/>
      <x:c r="O24" s="47"/>
      <x:c r="P24" s="47"/>
      <x:c r="Q24" s="47"/>
      <x:c r="R24" s="47"/>
      <x:c r="S24" s="47"/>
      <x:c r="T24" s="47"/>
      <x:c r="U24" s="47"/>
      <x:c r="V24" s="47"/>
      <x:c r="W24" s="47"/>
      <x:c r="X24" s="47"/>
      <x:c r="Y24" s="47"/>
      <x:c r="Z24" s="47"/>
    </x:row>
    <x:row r="25">
      <x:c r="A25" s="50" t="str">
        <x:v>Coaching selector</x:v>
      </x:c>
      <x:c r="B25" s="50" t="str">
        <x:v>Choose whether/how to intervene.</x:v>
      </x:c>
      <x:c r="C25" s="50" t="str">
        <x:v>Python</x:v>
      </x:c>
      <x:c r="D25" s="50" t="str">
        <x:v>Risk, confidence, history, user preferences</x:v>
      </x:c>
      <x:c r="E25" s="50" t="str">
        <x:v>nudge/assist/teach/escalate/observe</x:v>
      </x:c>
      <x:c r="F25" s="50" t="str">
        <x:v>Yes</x:v>
      </x:c>
      <x:c r="G25" s="47"/>
      <x:c r="H25" s="47"/>
      <x:c r="I25" s="47"/>
      <x:c r="J25" s="47"/>
      <x:c r="K25" s="47"/>
      <x:c r="L25" s="47"/>
      <x:c r="M25" s="47"/>
      <x:c r="N25" s="47"/>
      <x:c r="O25" s="47"/>
      <x:c r="P25" s="47"/>
      <x:c r="Q25" s="47"/>
      <x:c r="R25" s="47"/>
      <x:c r="S25" s="47"/>
      <x:c r="T25" s="47"/>
      <x:c r="U25" s="47"/>
      <x:c r="V25" s="47"/>
      <x:c r="W25" s="47"/>
      <x:c r="X25" s="47"/>
      <x:c r="Y25" s="47"/>
      <x:c r="Z25" s="47"/>
    </x:row>
    <x:row r="26">
      <x:c r="A26" s="50" t="str">
        <x:v>Skill improvement evaluator</x:v>
      </x:c>
      <x:c r="B26" s="50" t="str">
        <x:v>Test proposed skill/plugin changes.</x:v>
      </x:c>
      <x:c r="C26" s="50" t="str">
        <x:v>Python</x:v>
      </x:c>
      <x:c r="D26" s="50" t="str">
        <x:v>Observation, skill diff, test corpus, policy constraints</x:v>
      </x:c>
      <x:c r="E26" s="50" t="str">
        <x:v>pass/fail/regression/risk report</x:v>
      </x:c>
      <x:c r="F26" s="50" t="str">
        <x:v>Later</x:v>
      </x:c>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s>
  <x:pageMargins left="0.7" right="0.7" top="0.75" bottom="0.75" header="0.3" footer="0.3"/>
  <x:tableParts count="3">
    <x:tablePart xmlns:r="http://schemas.openxmlformats.org/officeDocument/2006/relationships" r:id="R1d01a155341244cf"/>
    <x:tablePart xmlns:r="http://schemas.openxmlformats.org/officeDocument/2006/relationships" r:id="R937ec5c857b544da"/>
    <x:tablePart xmlns:r="http://schemas.openxmlformats.org/officeDocument/2006/relationships" r:id="R612ce9ab13ae4caa"/>
  </x:tableParts>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56" hidden="0" customWidth="1"/>
    <x:col min="4" max="4" width="52" hidden="0" customWidth="1"/>
    <x:col min="5" max="5" width="24" hidden="0" customWidth="1"/>
    <x:col min="6" max="6" width="15" hidden="0" customWidth="1"/>
    <x:col min="7" max="7" width="36" hidden="0" customWidth="1"/>
    <x:col min="8" max="8" width="18" hidden="0" customWidth="1"/>
    <x:col min="9" max="9" width="36" hidden="0" customWidth="1"/>
    <x:col min="10" max="10" width="34" hidden="0" customWidth="1"/>
  </x:cols>
  <x:sheetData>
    <x:row r="1" ht="30" customHeight="1">
      <x:c r="A1" s="161" t="str">
        <x:v>Governance and Compliance Control Baseline</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Minimum Stage 0 controls. This workbook defines the requirements; legal, DPO, security, HR and worker-consultation approvals remain necessary before an employee pilot.</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Control ID</x:v>
      </x:c>
      <x:c r="B4" s="170" t="str">
        <x:v>Control area</x:v>
      </x:c>
      <x:c r="C4" s="170" t="str">
        <x:v>Mandatory requirement</x:v>
      </x:c>
      <x:c r="D4" s="170" t="str">
        <x:v>Implementation direction</x:v>
      </x:c>
      <x:c r="E4" s="170" t="str">
        <x:v>Accountable owner</x:v>
      </x:c>
      <x:c r="F4" s="170" t="str">
        <x:v>Pilot blocking</x:v>
      </x:c>
      <x:c r="G4" s="170" t="str">
        <x:v>Required evidence</x:v>
      </x:c>
      <x:c r="H4" s="170" t="str">
        <x:v>Control status</x:v>
      </x:c>
      <x:c r="I4" s="170" t="str">
        <x:v>Primary risk reduced</x:v>
      </x:c>
      <x:c r="J4" s="175" t="str">
        <x:v>Source / note</x:v>
      </x:c>
      <x:c r="K4" s="47"/>
      <x:c r="L4" s="47"/>
      <x:c r="M4" s="47"/>
      <x:c r="N4" s="47"/>
      <x:c r="O4" s="47"/>
      <x:c r="P4" s="47"/>
      <x:c r="Q4" s="47"/>
      <x:c r="R4" s="47"/>
      <x:c r="S4" s="47"/>
      <x:c r="T4" s="47"/>
      <x:c r="U4" s="47"/>
      <x:c r="V4" s="47"/>
      <x:c r="W4" s="47"/>
      <x:c r="X4" s="47"/>
      <x:c r="Y4" s="47"/>
      <x:c r="Z4" s="47"/>
    </x:row>
    <x:row r="5">
      <x:c r="A5" s="197" t="str">
        <x:v>GOV-001</x:v>
      </x:c>
      <x:c r="B5" s="198" t="str">
        <x:v>Purpose and necessity</x:v>
      </x:c>
      <x:c r="C5" s="198" t="str">
        <x:v>Every collected or derived data category has a specific approved purpose, necessity analysis and less-intrusive alternative assessment.</x:v>
      </x:c>
      <x:c r="D5" s="198" t="str">
        <x:v>Purpose Policy Matrix, policy identifiers in events, periodic DPO review.</x:v>
      </x:c>
      <x:c r="E5" s="198" t="str">
        <x:v>DPO / Product</x:v>
      </x:c>
      <x:c r="F5" s="198" t="str">
        <x:v>Yes</x:v>
      </x:c>
      <x:c r="G5" s="198" t="str">
        <x:v>Approved matrix and DPIA.</x:v>
      </x:c>
      <x:c r="H5" s="198" t="str">
        <x:v>Draft Ready</x:v>
      </x:c>
      <x:c r="I5" s="198" t="str">
        <x:v>Excessive or repurposed surveillance.</x:v>
      </x:c>
      <x:c r="J5" s="220" t="str">
        <x:v>ICO monitoring guidance.</x:v>
      </x:c>
      <x:c r="K5" s="47"/>
      <x:c r="L5" s="47"/>
      <x:c r="M5" s="47"/>
      <x:c r="N5" s="47"/>
      <x:c r="O5" s="47"/>
      <x:c r="P5" s="47"/>
      <x:c r="Q5" s="47"/>
      <x:c r="R5" s="47"/>
      <x:c r="S5" s="47"/>
      <x:c r="T5" s="47"/>
      <x:c r="U5" s="47"/>
      <x:c r="V5" s="47"/>
      <x:c r="W5" s="47"/>
      <x:c r="X5" s="47"/>
      <x:c r="Y5" s="47"/>
      <x:c r="Z5" s="47"/>
    </x:row>
    <x:row r="6">
      <x:c r="A6" s="205" t="str">
        <x:v>GOV-002</x:v>
      </x:c>
      <x:c r="B6" s="206" t="str">
        <x:v>Transparency</x:v>
      </x:c>
      <x:c r="C6" s="206" t="str">
        <x:v>Workers understand what is captured, when, why, who can see it, retention, automated analysis and rights.</x:v>
      </x:c>
      <x:c r="D6" s="206" t="str">
        <x:v>Clear privacy notice, monitoring policy, onboarding, visible endpoint status and policy version.</x:v>
      </x:c>
      <x:c r="E6" s="206" t="str">
        <x:v>DPO / HR / Legal</x:v>
      </x:c>
      <x:c r="F6" s="206" t="str">
        <x:v>Yes</x:v>
      </x:c>
      <x:c r="G6" s="206" t="str">
        <x:v>Approved notice/policy and acknowledgement record.</x:v>
      </x:c>
      <x:c r="H6" s="206" t="str">
        <x:v>Draft Ready</x:v>
      </x:c>
      <x:c r="I6" s="206" t="str">
        <x:v>Unfair/opaque processing and trust failure.</x:v>
      </x:c>
      <x:c r="J6" s="207" t="str">
        <x:v>GOV.UK / ICO.</x:v>
      </x:c>
      <x:c r="K6" s="47"/>
      <x:c r="L6" s="47"/>
      <x:c r="M6" s="47"/>
      <x:c r="N6" s="47"/>
      <x:c r="O6" s="47"/>
      <x:c r="P6" s="47"/>
      <x:c r="Q6" s="47"/>
      <x:c r="R6" s="47"/>
      <x:c r="S6" s="47"/>
      <x:c r="T6" s="47"/>
      <x:c r="U6" s="47"/>
      <x:c r="V6" s="47"/>
      <x:c r="W6" s="47"/>
      <x:c r="X6" s="47"/>
      <x:c r="Y6" s="47"/>
      <x:c r="Z6" s="47"/>
    </x:row>
    <x:row r="7">
      <x:c r="A7" s="199" t="str">
        <x:v>GOV-003</x:v>
      </x:c>
      <x:c r="B7" s="200" t="str">
        <x:v>Worker consultation</x:v>
      </x:c>
      <x:c r="C7" s="200" t="str">
        <x:v>Affected workers or representatives are consulted before design is frozen and before material policy changes.</x:v>
      </x:c>
      <x:c r="D7" s="200" t="str">
        <x:v>Consultation plan, facilitated sessions, issue log, Nessovo response and change record.</x:v>
      </x:c>
      <x:c r="E7" s="200" t="str">
        <x:v>HR / DPO</x:v>
      </x:c>
      <x:c r="F7" s="200" t="str">
        <x:v>Yes</x:v>
      </x:c>
      <x:c r="G7" s="200" t="str">
        <x:v>Consultation record.</x:v>
      </x:c>
      <x:c r="H7" s="200" t="str">
        <x:v>Not Started</x:v>
      </x:c>
      <x:c r="I7" s="200" t="str">
        <x:v>Lack of worker voice and undiscovered harms.</x:v>
      </x:c>
      <x:c r="J7" s="201" t="str">
        <x:v>ICO and UK consultation direction.</x:v>
      </x:c>
      <x:c r="K7" s="47"/>
      <x:c r="L7" s="47"/>
      <x:c r="M7" s="47"/>
      <x:c r="N7" s="47"/>
      <x:c r="O7" s="47"/>
      <x:c r="P7" s="47"/>
      <x:c r="Q7" s="47"/>
      <x:c r="R7" s="47"/>
      <x:c r="S7" s="47"/>
      <x:c r="T7" s="47"/>
      <x:c r="U7" s="47"/>
      <x:c r="V7" s="47"/>
      <x:c r="W7" s="47"/>
      <x:c r="X7" s="47"/>
      <x:c r="Y7" s="47"/>
      <x:c r="Z7" s="47"/>
    </x:row>
    <x:row r="8">
      <x:c r="A8" s="205" t="str">
        <x:v>GOV-004</x:v>
      </x:c>
      <x:c r="B8" s="206" t="str">
        <x:v>DPIA</x:v>
      </x:c>
      <x:c r="C8" s="206" t="str">
        <x:v>High-risk monitoring and employment AI receive a completed DPIA and recorded DPO advice before pilot.</x:v>
      </x:c>
      <x:c r="D8" s="206" t="str">
        <x:v>Governance workflow, risk register, mitigation owners, residual-risk acceptance and review date.</x:v>
      </x:c>
      <x:c r="E8" s="206" t="str">
        <x:v>DPO</x:v>
      </x:c>
      <x:c r="F8" s="206" t="str">
        <x:v>Yes</x:v>
      </x:c>
      <x:c r="G8" s="206" t="str">
        <x:v>Completed DPIA and advice.</x:v>
      </x:c>
      <x:c r="H8" s="206" t="str">
        <x:v>Not Started</x:v>
      </x:c>
      <x:c r="I8" s="206" t="str">
        <x:v>Regulatory and employee harm.</x:v>
      </x:c>
      <x:c r="J8" s="207" t="str">
        <x:v>ICO.</x:v>
      </x:c>
      <x:c r="K8" s="47"/>
      <x:c r="L8" s="47"/>
      <x:c r="M8" s="47"/>
      <x:c r="N8" s="47"/>
      <x:c r="O8" s="47"/>
      <x:c r="P8" s="47"/>
      <x:c r="Q8" s="47"/>
      <x:c r="R8" s="47"/>
      <x:c r="S8" s="47"/>
      <x:c r="T8" s="47"/>
      <x:c r="U8" s="47"/>
      <x:c r="V8" s="47"/>
      <x:c r="W8" s="47"/>
      <x:c r="X8" s="47"/>
      <x:c r="Y8" s="47"/>
      <x:c r="Z8" s="47"/>
    </x:row>
    <x:row r="9">
      <x:c r="A9" s="199" t="str">
        <x:v>GOV-005</x:v>
      </x:c>
      <x:c r="B9" s="200" t="str">
        <x:v>Jurisdiction review</x:v>
      </x:c>
      <x:c r="C9" s="200" t="str">
        <x:v>UK and Pakistan/Lahore deployments have separate legal and employment assessments; EU customer deployment receives AI Act/GDPR analysis.</x:v>
      </x:c>
      <x:c r="D9" s="200" t="str">
        <x:v>Jurisdiction policy packs, data-flow maps, contractual safeguards and deployment flags.</x:v>
      </x:c>
      <x:c r="E9" s="200" t="str">
        <x:v>Legal / DPO</x:v>
      </x:c>
      <x:c r="F9" s="200" t="str">
        <x:v>Yes</x:v>
      </x:c>
      <x:c r="G9" s="200" t="str">
        <x:v>Legal memoranda and approved policy packs.</x:v>
      </x:c>
      <x:c r="H9" s="200" t="str">
        <x:v>Owner Input</x:v>
      </x:c>
      <x:c r="I9" s="200" t="str">
        <x:v>Cross-border and local-law non-compliance.</x:v>
      </x:c>
      <x:c r="J9" s="201" t="str">
        <x:v>Local counsel required.</x:v>
      </x:c>
      <x:c r="K9" s="47"/>
      <x:c r="L9" s="47"/>
      <x:c r="M9" s="47"/>
      <x:c r="N9" s="47"/>
      <x:c r="O9" s="47"/>
      <x:c r="P9" s="47"/>
      <x:c r="Q9" s="47"/>
      <x:c r="R9" s="47"/>
      <x:c r="S9" s="47"/>
      <x:c r="T9" s="47"/>
      <x:c r="U9" s="47"/>
      <x:c r="V9" s="47"/>
      <x:c r="W9" s="47"/>
      <x:c r="X9" s="47"/>
      <x:c r="Y9" s="47"/>
      <x:c r="Z9" s="47"/>
    </x:row>
    <x:row r="10">
      <x:c r="A10" s="205" t="str">
        <x:v>GOV-006</x:v>
      </x:c>
      <x:c r="B10" s="206" t="str">
        <x:v>No covert general monitoring</x:v>
      </x:c>
      <x:c r="C10" s="206" t="str">
        <x:v>The product has no routine hidden mode; any exceptional investigation is separate, specific, time-limited and legally authorised.</x:v>
      </x:c>
      <x:c r="D10" s="206" t="str">
        <x:v>Visible status, signed policy, restricted investigation workflow outside normal product operation.</x:v>
      </x:c>
      <x:c r="E10" s="206" t="str">
        <x:v>Legal / DPO / CISO</x:v>
      </x:c>
      <x:c r="F10" s="206" t="str">
        <x:v>Yes</x:v>
      </x:c>
      <x:c r="G10" s="206" t="str">
        <x:v>Product test and policy approval.</x:v>
      </x:c>
      <x:c r="H10" s="206" t="str">
        <x:v>Draft Ready</x:v>
      </x:c>
      <x:c r="I10" s="206" t="str">
        <x:v>Unlawful covert surveillance.</x:v>
      </x:c>
      <x:c r="J10" s="207" t="str">
        <x:v>GOV.UK.</x:v>
      </x:c>
      <x:c r="K10" s="47"/>
      <x:c r="L10" s="47"/>
      <x:c r="M10" s="47"/>
      <x:c r="N10" s="47"/>
      <x:c r="O10" s="47"/>
      <x:c r="P10" s="47"/>
      <x:c r="Q10" s="47"/>
      <x:c r="R10" s="47"/>
      <x:c r="S10" s="47"/>
      <x:c r="T10" s="47"/>
      <x:c r="U10" s="47"/>
      <x:c r="V10" s="47"/>
      <x:c r="W10" s="47"/>
      <x:c r="X10" s="47"/>
      <x:c r="Y10" s="47"/>
      <x:c r="Z10" s="47"/>
    </x:row>
    <x:row r="11">
      <x:c r="A11" s="199" t="str">
        <x:v>GOV-007</x:v>
      </x:c>
      <x:c r="B11" s="200" t="str">
        <x:v>Secure-field and secret blocking</x:v>
      </x:c>
      <x:c r="C11" s="200" t="str">
        <x:v>Passwords, authentication codes, known secure fields and detected secrets are suppressed before durable storage or upload.</x:v>
      </x:c>
      <x:c r="D11" s="200" t="str">
        <x:v>OS secure-control detection, local secret scanning/redaction, exclusion policy, zero-retention suppression event.</x:v>
      </x:c>
      <x:c r="E11" s="200" t="str">
        <x:v>CISO / Desktop</x:v>
      </x:c>
      <x:c r="F11" s="200" t="str">
        <x:v>Yes</x:v>
      </x:c>
      <x:c r="G11" s="200" t="str">
        <x:v>Adversarial leakage test with zero known-secret retention.</x:v>
      </x:c>
      <x:c r="H11" s="200" t="str">
        <x:v>Draft Ready</x:v>
      </x:c>
      <x:c r="I11" s="200" t="str">
        <x:v>Credential/IP/data breach.</x:v>
      </x:c>
      <x:c r="J11" s="201" t="str">
        <x:v>Privacy engineering requirement.</x:v>
      </x:c>
      <x:c r="K11" s="47"/>
      <x:c r="L11" s="47"/>
      <x:c r="M11" s="47"/>
      <x:c r="N11" s="47"/>
      <x:c r="O11" s="47"/>
      <x:c r="P11" s="47"/>
      <x:c r="Q11" s="47"/>
      <x:c r="R11" s="47"/>
      <x:c r="S11" s="47"/>
      <x:c r="T11" s="47"/>
      <x:c r="U11" s="47"/>
      <x:c r="V11" s="47"/>
      <x:c r="W11" s="47"/>
      <x:c r="X11" s="47"/>
      <x:c r="Y11" s="47"/>
      <x:c r="Z11" s="47"/>
    </x:row>
    <x:row r="12">
      <x:c r="A12" s="205" t="str">
        <x:v>GOV-008</x:v>
      </x:c>
      <x:c r="B12" s="206" t="str">
        <x:v>Application/domain/hour exclusions</x:v>
      </x:c>
      <x:c r="C12" s="206" t="str">
        <x:v>Personal/sensitive apps, domains, monitors and out-of-policy hours cannot be captured.</x:v>
      </x:c>
      <x:c r="D12" s="206" t="str">
        <x:v>Signed local policy, employee-visible exclusions, fail-safe behaviour and audit.</x:v>
      </x:c>
      <x:c r="E12" s="206" t="str">
        <x:v>DPO / HR / Security</x:v>
      </x:c>
      <x:c r="F12" s="206" t="str">
        <x:v>Yes</x:v>
      </x:c>
      <x:c r="G12" s="206" t="str">
        <x:v>Policy tests and endpoint audit.</x:v>
      </x:c>
      <x:c r="H12" s="206" t="str">
        <x:v>Draft Ready</x:v>
      </x:c>
      <x:c r="I12" s="206" t="str">
        <x:v>Private-life and special-category exposure.</x:v>
      </x:c>
      <x:c r="J12" s="207" t="str">
        <x:v>Purpose Policy Matrix.</x:v>
      </x:c>
      <x:c r="K12" s="47"/>
      <x:c r="L12" s="47"/>
      <x:c r="M12" s="47"/>
      <x:c r="N12" s="47"/>
      <x:c r="O12" s="47"/>
      <x:c r="P12" s="47"/>
      <x:c r="Q12" s="47"/>
      <x:c r="R12" s="47"/>
      <x:c r="S12" s="47"/>
      <x:c r="T12" s="47"/>
      <x:c r="U12" s="47"/>
      <x:c r="V12" s="47"/>
      <x:c r="W12" s="47"/>
      <x:c r="X12" s="47"/>
      <x:c r="Y12" s="47"/>
      <x:c r="Z12" s="47"/>
    </x:row>
    <x:row r="13">
      <x:c r="A13" s="199" t="str">
        <x:v>GOV-009</x:v>
      </x:c>
      <x:c r="B13" s="200" t="str">
        <x:v>Edge minimisation</x:v>
      </x:c>
      <x:c r="C13" s="200" t="str">
        <x:v>Deduplication, event-driven capture, changed regions, redaction and aggregation occur locally wherever feasible.</x:v>
      </x:c>
      <x:c r="D13" s="200" t="str">
        <x:v>Native agent pipeline and privacy budget.</x:v>
      </x:c>
      <x:c r="E13" s="200" t="str">
        <x:v>CISO / DPO / Desktop</x:v>
      </x:c>
      <x:c r="F13" s="200" t="str">
        <x:v>Yes</x:v>
      </x:c>
      <x:c r="G13" s="200" t="str">
        <x:v>Data-flow and benchmark evidence.</x:v>
      </x:c>
      <x:c r="H13" s="200" t="str">
        <x:v>Draft Ready</x:v>
      </x:c>
      <x:c r="I13" s="200" t="str">
        <x:v>Data concentration and cost.</x:v>
      </x:c>
      <x:c r="J13" s="201" t="str"/>
      <x:c r="K13" s="47"/>
      <x:c r="L13" s="47"/>
      <x:c r="M13" s="47"/>
      <x:c r="N13" s="47"/>
      <x:c r="O13" s="47"/>
      <x:c r="P13" s="47"/>
      <x:c r="Q13" s="47"/>
      <x:c r="R13" s="47"/>
      <x:c r="S13" s="47"/>
      <x:c r="T13" s="47"/>
      <x:c r="U13" s="47"/>
      <x:c r="V13" s="47"/>
      <x:c r="W13" s="47"/>
      <x:c r="X13" s="47"/>
      <x:c r="Y13" s="47"/>
      <x:c r="Z13" s="47"/>
    </x:row>
    <x:row r="14">
      <x:c r="A14" s="205" t="str">
        <x:v>GOV-010</x:v>
      </x:c>
      <x:c r="B14" s="206" t="str">
        <x:v>Raw evidence access</x:v>
      </x:c>
      <x:c r="C14" s="206" t="str">
        <x:v>Raw screenshots/text/keystrokes are not default manager content and require role, purpose, task, time and audit authorisation.</x:v>
      </x:c>
      <x:c r="D14" s="206" t="str">
        <x:v>Summary-first UX, purpose codes, ABAC/policy decisions, JIT access and immutable access log.</x:v>
      </x:c>
      <x:c r="E14" s="206" t="str">
        <x:v>Security / DPO / HR</x:v>
      </x:c>
      <x:c r="F14" s="206" t="str">
        <x:v>Yes</x:v>
      </x:c>
      <x:c r="G14" s="206" t="str">
        <x:v>Access-control tests and audit review.</x:v>
      </x:c>
      <x:c r="H14" s="206" t="str">
        <x:v>Draft Ready</x:v>
      </x:c>
      <x:c r="I14" s="206" t="str">
        <x:v>Manager/insider misuse.</x:v>
      </x:c>
      <x:c r="J14" s="207" t="str"/>
      <x:c r="K14" s="47"/>
      <x:c r="L14" s="47"/>
      <x:c r="M14" s="47"/>
      <x:c r="N14" s="47"/>
      <x:c r="O14" s="47"/>
      <x:c r="P14" s="47"/>
      <x:c r="Q14" s="47"/>
      <x:c r="R14" s="47"/>
      <x:c r="S14" s="47"/>
      <x:c r="T14" s="47"/>
      <x:c r="U14" s="47"/>
      <x:c r="V14" s="47"/>
      <x:c r="W14" s="47"/>
      <x:c r="X14" s="47"/>
      <x:c r="Y14" s="47"/>
      <x:c r="Z14" s="47"/>
    </x:row>
    <x:row r="15">
      <x:c r="A15" s="199" t="str">
        <x:v>GOV-011</x:v>
      </x:c>
      <x:c r="B15" s="200" t="str">
        <x:v>Employee access and correction</x:v>
      </x:c>
      <x:c r="C15" s="200" t="str">
        <x:v>Employees can view material evidence and assessments, correct task attribution/context and add explanations.</x:v>
      </x:c>
      <x:c r="D15" s="200" t="str">
        <x:v>Employee portal and correction workflow preserving original/corrected lineage.</x:v>
      </x:c>
      <x:c r="E15" s="200" t="str">
        <x:v>Product / DPO</x:v>
      </x:c>
      <x:c r="F15" s="200" t="str">
        <x:v>Yes</x:v>
      </x:c>
      <x:c r="G15" s="200" t="str">
        <x:v>UX test and correction audit.</x:v>
      </x:c>
      <x:c r="H15" s="200" t="str">
        <x:v>Draft Ready</x:v>
      </x:c>
      <x:c r="I15" s="200" t="str">
        <x:v>False or incomplete conclusions.</x:v>
      </x:c>
      <x:c r="J15" s="201" t="str">
        <x:v>ICO accuracy/challenge.</x:v>
      </x:c>
      <x:c r="K15" s="47"/>
      <x:c r="L15" s="47"/>
      <x:c r="M15" s="47"/>
      <x:c r="N15" s="47"/>
      <x:c r="O15" s="47"/>
      <x:c r="P15" s="47"/>
      <x:c r="Q15" s="47"/>
      <x:c r="R15" s="47"/>
      <x:c r="S15" s="47"/>
      <x:c r="T15" s="47"/>
      <x:c r="U15" s="47"/>
      <x:c r="V15" s="47"/>
      <x:c r="W15" s="47"/>
      <x:c r="X15" s="47"/>
      <x:c r="Y15" s="47"/>
      <x:c r="Z15" s="47"/>
    </x:row>
    <x:row r="16">
      <x:c r="A16" s="205" t="str">
        <x:v>GOV-012</x:v>
      </x:c>
      <x:c r="B16" s="206" t="str">
        <x:v>Dispute and human review</x:v>
      </x:c>
      <x:c r="C16" s="206" t="str">
        <x:v>Employees can request review; qualified reviewers consider context and can reject AI findings.</x:v>
      </x:c>
      <x:c r="D16" s="206" t="str">
        <x:v>Workflow SLA, reviewer qualifications, evidence package, reasoned decision and override logging.</x:v>
      </x:c>
      <x:c r="E16" s="206" t="str">
        <x:v>HR / Legal / DPO</x:v>
      </x:c>
      <x:c r="F16" s="206" t="str">
        <x:v>Yes</x:v>
      </x:c>
      <x:c r="G16" s="206" t="str">
        <x:v>End-to-end review test.</x:v>
      </x:c>
      <x:c r="H16" s="206" t="str">
        <x:v>Draft Ready</x:v>
      </x:c>
      <x:c r="I16" s="206" t="str">
        <x:v>Rubber-stamped automated decisions.</x:v>
      </x:c>
      <x:c r="J16" s="207" t="str">
        <x:v>ICO human review.</x:v>
      </x:c>
      <x:c r="K16" s="47"/>
      <x:c r="L16" s="47"/>
      <x:c r="M16" s="47"/>
      <x:c r="N16" s="47"/>
      <x:c r="O16" s="47"/>
      <x:c r="P16" s="47"/>
      <x:c r="Q16" s="47"/>
      <x:c r="R16" s="47"/>
      <x:c r="S16" s="47"/>
      <x:c r="T16" s="47"/>
      <x:c r="U16" s="47"/>
      <x:c r="V16" s="47"/>
      <x:c r="W16" s="47"/>
      <x:c r="X16" s="47"/>
      <x:c r="Y16" s="47"/>
      <x:c r="Z16" s="47"/>
    </x:row>
    <x:row r="17">
      <x:c r="A17" s="199" t="str">
        <x:v>GOV-013</x:v>
      </x:c>
      <x:c r="B17" s="200" t="str">
        <x:v>Consequential decisions</x:v>
      </x:c>
      <x:c r="C17" s="200" t="str">
        <x:v>No solely automated dismissal, discipline, pay, promotion, probation or equivalent decision.</x:v>
      </x:c>
      <x:c r="D17" s="200" t="str">
        <x:v>Policy and workflow block final decision state without authorised human decision and supporting evidence.</x:v>
      </x:c>
      <x:c r="E17" s="200" t="str">
        <x:v>HR / Legal</x:v>
      </x:c>
      <x:c r="F17" s="200" t="str">
        <x:v>Yes</x:v>
      </x:c>
      <x:c r="G17" s="200" t="str">
        <x:v>Decision audit and policy test.</x:v>
      </x:c>
      <x:c r="H17" s="200" t="str">
        <x:v>Draft Ready</x:v>
      </x:c>
      <x:c r="I17" s="200" t="str">
        <x:v>Employment harm and automated-decision breach.</x:v>
      </x:c>
      <x:c r="J17" s="201" t="str"/>
      <x:c r="K17" s="47"/>
      <x:c r="L17" s="47"/>
      <x:c r="M17" s="47"/>
      <x:c r="N17" s="47"/>
      <x:c r="O17" s="47"/>
      <x:c r="P17" s="47"/>
      <x:c r="Q17" s="47"/>
      <x:c r="R17" s="47"/>
      <x:c r="S17" s="47"/>
      <x:c r="T17" s="47"/>
      <x:c r="U17" s="47"/>
      <x:c r="V17" s="47"/>
      <x:c r="W17" s="47"/>
      <x:c r="X17" s="47"/>
      <x:c r="Y17" s="47"/>
      <x:c r="Z17" s="47"/>
    </x:row>
    <x:row r="18">
      <x:c r="A18" s="205" t="str">
        <x:v>GOV-014</x:v>
      </x:c>
      <x:c r="B18" s="206" t="str">
        <x:v>Evidence hierarchy</x:v>
      </x:c>
      <x:c r="C18" s="206" t="str">
        <x:v>Authoritative system outcomes and artefacts outrank tool, OS, accessibility, visual and AI inference evidence.</x:v>
      </x:c>
      <x:c r="D18" s="206" t="str">
        <x:v>Typed evidence classes and evaluator rules.</x:v>
      </x:c>
      <x:c r="E18" s="206" t="str">
        <x:v>Product / Data / AI</x:v>
      </x:c>
      <x:c r="F18" s="206" t="str">
        <x:v>Yes</x:v>
      </x:c>
      <x:c r="G18" s="206" t="str">
        <x:v>Evaluation tests and report explainability.</x:v>
      </x:c>
      <x:c r="H18" s="206" t="str">
        <x:v>Draft Ready</x:v>
      </x:c>
      <x:c r="I18" s="206" t="str">
        <x:v>Screenshot/AI narrative overriding facts.</x:v>
      </x:c>
      <x:c r="J18" s="207" t="str"/>
      <x:c r="K18" s="47"/>
      <x:c r="L18" s="47"/>
      <x:c r="M18" s="47"/>
      <x:c r="N18" s="47"/>
      <x:c r="O18" s="47"/>
      <x:c r="P18" s="47"/>
      <x:c r="Q18" s="47"/>
      <x:c r="R18" s="47"/>
      <x:c r="S18" s="47"/>
      <x:c r="T18" s="47"/>
      <x:c r="U18" s="47"/>
      <x:c r="V18" s="47"/>
      <x:c r="W18" s="47"/>
      <x:c r="X18" s="47"/>
      <x:c r="Y18" s="47"/>
      <x:c r="Z18" s="47"/>
    </x:row>
    <x:row r="19">
      <x:c r="A19" s="199" t="str">
        <x:v>GOV-015</x:v>
      </x:c>
      <x:c r="B19" s="200" t="str">
        <x:v>Confidence and uncertainty</x:v>
      </x:c>
      <x:c r="C19" s="200" t="str">
        <x:v>Material AI findings include confidence, evidence, missing evidence, alternative explanation, model/skill version and review status.</x:v>
      </x:c>
      <x:c r="D19" s="200" t="str">
        <x:v>Evaluator output schema and report UI.</x:v>
      </x:c>
      <x:c r="E19" s="200" t="str">
        <x:v>AI Governance</x:v>
      </x:c>
      <x:c r="F19" s="200" t="str">
        <x:v>Yes</x:v>
      </x:c>
      <x:c r="G19" s="200" t="str">
        <x:v>Calibration/evidence-grounding test.</x:v>
      </x:c>
      <x:c r="H19" s="200" t="str">
        <x:v>Draft Ready</x:v>
      </x:c>
      <x:c r="I19" s="200" t="str">
        <x:v>Overconfident false allegation.</x:v>
      </x:c>
      <x:c r="J19" s="201" t="str">
        <x:v>NIST AI RMF.</x:v>
      </x:c>
      <x:c r="K19" s="47"/>
      <x:c r="L19" s="47"/>
      <x:c r="M19" s="47"/>
      <x:c r="N19" s="47"/>
      <x:c r="O19" s="47"/>
      <x:c r="P19" s="47"/>
      <x:c r="Q19" s="47"/>
      <x:c r="R19" s="47"/>
      <x:c r="S19" s="47"/>
      <x:c r="T19" s="47"/>
      <x:c r="U19" s="47"/>
      <x:c r="V19" s="47"/>
      <x:c r="W19" s="47"/>
      <x:c r="X19" s="47"/>
      <x:c r="Y19" s="47"/>
      <x:c r="Z19" s="47"/>
    </x:row>
    <x:row r="20">
      <x:c r="A20" s="205" t="str">
        <x:v>GOV-016</x:v>
      </x:c>
      <x:c r="B20" s="206" t="str">
        <x:v>Prohibited inference</x:v>
      </x:c>
      <x:c r="C20" s="206" t="str">
        <x:v>No emotion, personality, honesty, protected-trait, health or mental-state inference from computer activity.</x:v>
      </x:c>
      <x:c r="D20" s="206" t="str">
        <x:v>Model-policy deny list, prompt/evaluator tests and review.</x:v>
      </x:c>
      <x:c r="E20" s="206" t="str">
        <x:v>AI Governance / DPO</x:v>
      </x:c>
      <x:c r="F20" s="206" t="str">
        <x:v>Yes</x:v>
      </x:c>
      <x:c r="G20" s="206" t="str">
        <x:v>Prohibited-output red-team results.</x:v>
      </x:c>
      <x:c r="H20" s="206" t="str">
        <x:v>Draft Ready</x:v>
      </x:c>
      <x:c r="I20" s="206" t="str">
        <x:v>Discriminatory or unlawful inference.</x:v>
      </x:c>
      <x:c r="J20" s="207" t="str">
        <x:v>EU employment AI risk context.</x:v>
      </x:c>
      <x:c r="K20" s="47"/>
      <x:c r="L20" s="47"/>
      <x:c r="M20" s="47"/>
      <x:c r="N20" s="47"/>
      <x:c r="O20" s="47"/>
      <x:c r="P20" s="47"/>
      <x:c r="Q20" s="47"/>
      <x:c r="R20" s="47"/>
      <x:c r="S20" s="47"/>
      <x:c r="T20" s="47"/>
      <x:c r="U20" s="47"/>
      <x:c r="V20" s="47"/>
      <x:c r="W20" s="47"/>
      <x:c r="X20" s="47"/>
      <x:c r="Y20" s="47"/>
      <x:c r="Z20" s="47"/>
    </x:row>
    <x:row r="21">
      <x:c r="A21" s="199" t="str">
        <x:v>GOV-017</x:v>
      </x:c>
      <x:c r="B21" s="200" t="str">
        <x:v>Outcome over activity</x:v>
      </x:c>
      <x:c r="C21" s="200" t="str">
        <x:v>Clicks, keys, code volume and hours are not used as standalone productivity or capability scores.</x:v>
      </x:c>
      <x:c r="D21" s="200" t="str">
        <x:v>Metric-policy rules and report tests.</x:v>
      </x:c>
      <x:c r="E21" s="200" t="str">
        <x:v>Product / HR</x:v>
      </x:c>
      <x:c r="F21" s="200" t="str">
        <x:v>Yes</x:v>
      </x:c>
      <x:c r="G21" s="200" t="str">
        <x:v>KPI/report review.</x:v>
      </x:c>
      <x:c r="H21" s="200" t="str">
        <x:v>Draft Ready</x:v>
      </x:c>
      <x:c r="I21" s="200" t="str">
        <x:v>Gaming and unfair management.</x:v>
      </x:c>
      <x:c r="J21" s="201" t="str"/>
      <x:c r="K21" s="47"/>
      <x:c r="L21" s="47"/>
      <x:c r="M21" s="47"/>
      <x:c r="N21" s="47"/>
      <x:c r="O21" s="47"/>
      <x:c r="P21" s="47"/>
      <x:c r="Q21" s="47"/>
      <x:c r="R21" s="47"/>
      <x:c r="S21" s="47"/>
      <x:c r="T21" s="47"/>
      <x:c r="U21" s="47"/>
      <x:c r="V21" s="47"/>
      <x:c r="W21" s="47"/>
      <x:c r="X21" s="47"/>
      <x:c r="Y21" s="47"/>
      <x:c r="Z21" s="47"/>
    </x:row>
    <x:row r="22">
      <x:c r="A22" s="205" t="str">
        <x:v>GOV-018</x:v>
      </x:c>
      <x:c r="B22" s="206" t="str">
        <x:v>Capability evidence</x:v>
      </x:c>
      <x:c r="C22" s="206" t="str">
        <x:v>Capability levels require repeated, context-qualified evidence, independence and quality; one task cannot establish dishonesty or permanent incapability.</x:v>
      </x:c>
      <x:c r="D22" s="206" t="str">
        <x:v>Stage 2 ontology, evidence thresholds, contradiction/recency and human review.</x:v>
      </x:c>
      <x:c r="E22" s="206" t="str">
        <x:v>Capability Lead / HR</x:v>
      </x:c>
      <x:c r="F22" s="206" t="str">
        <x:v>Yes before capability pilot</x:v>
      </x:c>
      <x:c r="G22" s="206" t="str">
        <x:v>Ontology/evaluation/fairness tests.</x:v>
      </x:c>
      <x:c r="H22" s="206" t="str">
        <x:v>Draft Ready</x:v>
      </x:c>
      <x:c r="I22" s="206" t="str">
        <x:v>Career harm and deceptive labels.</x:v>
      </x:c>
      <x:c r="J22" s="207" t="str"/>
      <x:c r="K22" s="47"/>
      <x:c r="L22" s="47"/>
      <x:c r="M22" s="47"/>
      <x:c r="N22" s="47"/>
      <x:c r="O22" s="47"/>
      <x:c r="P22" s="47"/>
      <x:c r="Q22" s="47"/>
      <x:c r="R22" s="47"/>
      <x:c r="S22" s="47"/>
      <x:c r="T22" s="47"/>
      <x:c r="U22" s="47"/>
      <x:c r="V22" s="47"/>
      <x:c r="W22" s="47"/>
      <x:c r="X22" s="47"/>
      <x:c r="Y22" s="47"/>
      <x:c r="Z22" s="47"/>
    </x:row>
    <x:row r="23">
      <x:c r="A23" s="199" t="str">
        <x:v>GOV-019</x:v>
      </x:c>
      <x:c r="B23" s="200" t="str">
        <x:v>Training use</x:v>
      </x:c>
      <x:c r="C23" s="200" t="str">
        <x:v>Detected gaps first support explanation, coaching, training and reassessment; training completion alone does not increase capability.</x:v>
      </x:c>
      <x:c r="D23" s="200" t="str">
        <x:v>Learning workflow and applied-evidence rule.</x:v>
      </x:c>
      <x:c r="E23" s="200" t="str">
        <x:v>HR / L&amp;D / Product</x:v>
      </x:c>
      <x:c r="F23" s="200" t="str">
        <x:v>No for capture pilot; yes for capability use</x:v>
      </x:c>
      <x:c r="G23" s="200" t="str">
        <x:v>Learning effectiveness design.</x:v>
      </x:c>
      <x:c r="H23" s="200" t="str">
        <x:v>Draft Ready</x:v>
      </x:c>
      <x:c r="I23" s="200" t="str">
        <x:v>Punitive or performative learning.</x:v>
      </x:c>
      <x:c r="J23" s="201" t="str"/>
      <x:c r="K23" s="47"/>
      <x:c r="L23" s="47"/>
      <x:c r="M23" s="47"/>
      <x:c r="N23" s="47"/>
      <x:c r="O23" s="47"/>
      <x:c r="P23" s="47"/>
      <x:c r="Q23" s="47"/>
      <x:c r="R23" s="47"/>
      <x:c r="S23" s="47"/>
      <x:c r="T23" s="47"/>
      <x:c r="U23" s="47"/>
      <x:c r="V23" s="47"/>
      <x:c r="W23" s="47"/>
      <x:c r="X23" s="47"/>
      <x:c r="Y23" s="47"/>
      <x:c r="Z23" s="47"/>
    </x:row>
    <x:row r="24">
      <x:c r="A24" s="205" t="str">
        <x:v>GOV-020</x:v>
      </x:c>
      <x:c r="B24" s="206" t="str">
        <x:v>Retention and deletion</x:v>
      </x:c>
      <x:c r="C24" s="206" t="str">
        <x:v>Raw evidence has short purpose-based retention; derived records have justified retention, deletion, export and legal-hold controls.</x:v>
      </x:c>
      <x:c r="D24" s="206" t="str">
        <x:v>Per-class retention policy, object lifecycle, deletion verification and employee request workflow.</x:v>
      </x:c>
      <x:c r="E24" s="206" t="str">
        <x:v>DPO / Data Governance</x:v>
      </x:c>
      <x:c r="F24" s="206" t="str">
        <x:v>Yes</x:v>
      </x:c>
      <x:c r="G24" s="206" t="str">
        <x:v>Approved schedule and deletion tests.</x:v>
      </x:c>
      <x:c r="H24" s="206" t="str">
        <x:v>Owner Input</x:v>
      </x:c>
      <x:c r="I24" s="206" t="str">
        <x:v>Data concentration and over-retention.</x:v>
      </x:c>
      <x:c r="J24" s="207" t="str"/>
      <x:c r="K24" s="47"/>
      <x:c r="L24" s="47"/>
      <x:c r="M24" s="47"/>
      <x:c r="N24" s="47"/>
      <x:c r="O24" s="47"/>
      <x:c r="P24" s="47"/>
      <x:c r="Q24" s="47"/>
      <x:c r="R24" s="47"/>
      <x:c r="S24" s="47"/>
      <x:c r="T24" s="47"/>
      <x:c r="U24" s="47"/>
      <x:c r="V24" s="47"/>
      <x:c r="W24" s="47"/>
      <x:c r="X24" s="47"/>
      <x:c r="Y24" s="47"/>
      <x:c r="Z24" s="47"/>
    </x:row>
    <x:row r="25">
      <x:c r="A25" s="199" t="str">
        <x:v>GOV-021</x:v>
      </x:c>
      <x:c r="B25" s="200" t="str">
        <x:v>Model/provider governance</x:v>
      </x:c>
      <x:c r="C25" s="200" t="str">
        <x:v>Employee evidence only uses approved Model Gateway routes, contracts and regional/private processing appropriate to its classification.</x:v>
      </x:c>
      <x:c r="D25" s="200" t="str">
        <x:v>Provider allowlist, no-training/retention terms, egress controls and model audit.</x:v>
      </x:c>
      <x:c r="E25" s="200" t="str">
        <x:v>AI Platform / CISO / Legal</x:v>
      </x:c>
      <x:c r="F25" s="200" t="str">
        <x:v>Yes</x:v>
      </x:c>
      <x:c r="G25" s="200" t="str">
        <x:v>Provider contracts and egress tests.</x:v>
      </x:c>
      <x:c r="H25" s="200" t="str">
        <x:v>Owner Input</x:v>
      </x:c>
      <x:c r="I25" s="200" t="str">
        <x:v>Third-party retention/training/exposure.</x:v>
      </x:c>
      <x:c r="J25" s="201" t="str"/>
      <x:c r="K25" s="47"/>
      <x:c r="L25" s="47"/>
      <x:c r="M25" s="47"/>
      <x:c r="N25" s="47"/>
      <x:c r="O25" s="47"/>
      <x:c r="P25" s="47"/>
      <x:c r="Q25" s="47"/>
      <x:c r="R25" s="47"/>
      <x:c r="S25" s="47"/>
      <x:c r="T25" s="47"/>
      <x:c r="U25" s="47"/>
      <x:c r="V25" s="47"/>
      <x:c r="W25" s="47"/>
      <x:c r="X25" s="47"/>
      <x:c r="Y25" s="47"/>
      <x:c r="Z25" s="47"/>
    </x:row>
    <x:row r="26">
      <x:c r="A26" s="205" t="str">
        <x:v>GOV-022</x:v>
      </x:c>
      <x:c r="B26" s="206" t="str">
        <x:v>Prompt injection and tool safety</x:v>
      </x:c>
      <x:c r="C26" s="206" t="str">
        <x:v>Observed content is untrusted data; evaluators and coaches cannot expand privileges or follow embedded instructions.</x:v>
      </x:c>
      <x:c r="D26" s="206" t="str">
        <x:v>Prompt isolation, tool restrictions, retrieval allowlists, output validation and adversarial tests.</x:v>
      </x:c>
      <x:c r="E26" s="206" t="str">
        <x:v>AI Security</x:v>
      </x:c>
      <x:c r="F26" s="206" t="str">
        <x:v>Yes before AI pilot</x:v>
      </x:c>
      <x:c r="G26" s="206" t="str">
        <x:v>Indirect-injection benchmark.</x:v>
      </x:c>
      <x:c r="H26" s="206" t="str">
        <x:v>Draft Ready</x:v>
      </x:c>
      <x:c r="I26" s="206" t="str">
        <x:v>Model manipulation and data exfiltration.</x:v>
      </x:c>
      <x:c r="J26" s="207" t="str"/>
      <x:c r="K26" s="47"/>
      <x:c r="L26" s="47"/>
      <x:c r="M26" s="47"/>
      <x:c r="N26" s="47"/>
      <x:c r="O26" s="47"/>
      <x:c r="P26" s="47"/>
      <x:c r="Q26" s="47"/>
      <x:c r="R26" s="47"/>
      <x:c r="S26" s="47"/>
      <x:c r="T26" s="47"/>
      <x:c r="U26" s="47"/>
      <x:c r="V26" s="47"/>
      <x:c r="W26" s="47"/>
      <x:c r="X26" s="47"/>
      <x:c r="Y26" s="47"/>
      <x:c r="Z26" s="47"/>
    </x:row>
    <x:row r="27">
      <x:c r="A27" s="199" t="str">
        <x:v>GOV-023</x:v>
      </x:c>
      <x:c r="B27" s="200" t="str">
        <x:v>Auditability</x:v>
      </x:c>
      <x:c r="C27" s="200" t="str">
        <x:v>Evidence access, policy decisions, AI findings, human reviews, corrections and skill changes are immutably auditable.</x:v>
      </x:c>
      <x:c r="D27" s="200" t="str">
        <x:v>Existing HumanOS audit extension and correlation identifiers.</x:v>
      </x:c>
      <x:c r="E27" s="200" t="str">
        <x:v>CISO / Audit</x:v>
      </x:c>
      <x:c r="F27" s="200" t="str">
        <x:v>Yes</x:v>
      </x:c>
      <x:c r="G27" s="200" t="str">
        <x:v>Audit coverage test.</x:v>
      </x:c>
      <x:c r="H27" s="200" t="str">
        <x:v>Draft Ready</x:v>
      </x:c>
      <x:c r="I27" s="200" t="str">
        <x:v>Undetectable misuse or unaccountable decisions.</x:v>
      </x:c>
      <x:c r="J27" s="201" t="str"/>
      <x:c r="K27" s="47"/>
      <x:c r="L27" s="47"/>
      <x:c r="M27" s="47"/>
      <x:c r="N27" s="47"/>
      <x:c r="O27" s="47"/>
      <x:c r="P27" s="47"/>
      <x:c r="Q27" s="47"/>
      <x:c r="R27" s="47"/>
      <x:c r="S27" s="47"/>
      <x:c r="T27" s="47"/>
      <x:c r="U27" s="47"/>
      <x:c r="V27" s="47"/>
      <x:c r="W27" s="47"/>
      <x:c r="X27" s="47"/>
      <x:c r="Y27" s="47"/>
      <x:c r="Z27" s="47"/>
    </x:row>
    <x:row r="28">
      <x:c r="A28" s="205" t="str">
        <x:v>GOV-024</x:v>
      </x:c>
      <x:c r="B28" s="206" t="str">
        <x:v>Skill/evaluator governance</x:v>
      </x:c>
      <x:c r="C28" s="206" t="str">
        <x:v>System improvements are proposals until evaluation, expert/security review, canary and rollback; confidential data is not leaked into reusable skills.</x:v>
      </x:c>
      <x:c r="D28" s="206" t="str">
        <x:v>Skill Forge lifecycle, signed versions, eval suites, internal/open classification and deployment gates.</x:v>
      </x:c>
      <x:c r="E28" s="206" t="str">
        <x:v>AI Platform / Governance</x:v>
      </x:c>
      <x:c r="F28" s="206" t="str">
        <x:v>Yes before Stage 11 production</x:v>
      </x:c>
      <x:c r="G28" s="206" t="str">
        <x:v>Regression and confidentiality tests.</x:v>
      </x:c>
      <x:c r="H28" s="206" t="str">
        <x:v>Draft Ready</x:v>
      </x:c>
      <x:c r="I28" s="206" t="str">
        <x:v>Unsafe self-modification and IP leakage.</x:v>
      </x:c>
      <x:c r="J28" s="207" t="str">
        <x:v>Task Observer/Claude-Mem patterns.</x:v>
      </x:c>
      <x:c r="K28" s="47"/>
      <x:c r="L28" s="47"/>
      <x:c r="M28" s="47"/>
      <x:c r="N28" s="47"/>
      <x:c r="O28" s="47"/>
      <x:c r="P28" s="47"/>
      <x:c r="Q28" s="47"/>
      <x:c r="R28" s="47"/>
      <x:c r="S28" s="47"/>
      <x:c r="T28" s="47"/>
      <x:c r="U28" s="47"/>
      <x:c r="V28" s="47"/>
      <x:c r="W28" s="47"/>
      <x:c r="X28" s="47"/>
      <x:c r="Y28" s="47"/>
      <x:c r="Z28" s="47"/>
    </x:row>
    <x:row r="29">
      <x:c r="A29" s="199" t="str">
        <x:v>GOV-025</x:v>
      </x:c>
      <x:c r="B29" s="200" t="str">
        <x:v>Pilot participant protection</x:v>
      </x:c>
      <x:c r="C29" s="200" t="str">
        <x:v>Pilot outputs are developmental/evaluative and cannot solely or primarily create adverse employment action.</x:v>
      </x:c>
      <x:c r="D29" s="200" t="str">
        <x:v>Participant terms, system labels, manager training, review and audit.</x:v>
      </x:c>
      <x:c r="E29" s="200" t="str">
        <x:v>Executive Sponsor / HR</x:v>
      </x:c>
      <x:c r="F29" s="200" t="str">
        <x:v>Yes</x:v>
      </x:c>
      <x:c r="G29" s="200" t="str">
        <x:v>Approved protocol and decision audit.</x:v>
      </x:c>
      <x:c r="H29" s="200" t="str">
        <x:v>Draft Ready</x:v>
      </x:c>
      <x:c r="I29" s="200" t="str">
        <x:v>Unvalidated pilot harm.</x:v>
      </x:c>
      <x:c r="J29" s="201" t="str"/>
      <x:c r="K29" s="47"/>
      <x:c r="L29" s="47"/>
      <x:c r="M29" s="47"/>
      <x:c r="N29" s="47"/>
      <x:c r="O29" s="47"/>
      <x:c r="P29" s="47"/>
      <x:c r="Q29" s="47"/>
      <x:c r="R29" s="47"/>
      <x:c r="S29" s="47"/>
      <x:c r="T29" s="47"/>
      <x:c r="U29" s="47"/>
      <x:c r="V29" s="47"/>
      <x:c r="W29" s="47"/>
      <x:c r="X29" s="47"/>
      <x:c r="Y29" s="47"/>
      <x:c r="Z29" s="47"/>
    </x:row>
    <x:row r="30">
      <x:c r="A30" s="208" t="str">
        <x:v>GOV-026</x:v>
      </x:c>
      <x:c r="B30" s="209" t="str">
        <x:v>Incident and stop control</x:v>
      </x:c>
      <x:c r="C30" s="209" t="str">
        <x:v>DPO, CISO and executive sponsor can pause affected capture or the pilot when blocking criteria occur.</x:v>
      </x:c>
      <x:c r="D30" s="209" t="str">
        <x:v>Agent disable, feature flags, containment, notification, evidence preservation and decision log.</x:v>
      </x:c>
      <x:c r="E30" s="209" t="str">
        <x:v>CISO / DPO / Executive Sponsor</x:v>
      </x:c>
      <x:c r="F30" s="209" t="str">
        <x:v>Yes</x:v>
      </x:c>
      <x:c r="G30" s="209" t="str">
        <x:v>Incident exercise.</x:v>
      </x:c>
      <x:c r="H30" s="209" t="str">
        <x:v>Draft Ready</x:v>
      </x:c>
      <x:c r="I30" s="209" t="str">
        <x:v>Continued harmful processing.</x:v>
      </x:c>
      <x:c r="J30" s="210" t="str"/>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dataValidations count="1">
    <x:dataValidation type="list" sqref="H5:H30">
      <x:formula1>"Met,Draft Ready,In Review,Owner Input,Not Started,Blocked"</x:formula1>
    </x:dataValidation>
  </x:dataValidations>
  <x:pageMargins left="0.7" right="0.7" top="0.75" bottom="0.75" header="0.3" footer="0.3"/>
  <x:tableParts count="1">
    <x:tablePart xmlns:r="http://schemas.openxmlformats.org/officeDocument/2006/relationships" r:id="Rd0484d76a1d94fb4"/>
  </x:tableParts>
</x:worksheet>
</file>

<file path=xl/worksheets/sheet12.xml><?xml version="1.0" encoding="utf-8"?>
<x:worksheet xmlns:x="http://schemas.openxmlformats.org/spreadsheetml/2006/main">
  <x:sheetFormatPr defaultRowHeight="15"/>
  <x:cols>
    <x:col min="1" max="1" width="11" hidden="0" customWidth="1"/>
    <x:col min="2" max="2" width="52" hidden="0" customWidth="1"/>
    <x:col min="3" max="3" width="24" hidden="0" customWidth="1"/>
    <x:col min="4" max="4" width="12" hidden="0" customWidth="1"/>
    <x:col min="5" max="5" width="12" hidden="0" customWidth="1"/>
    <x:col min="6" max="6" width="12" hidden="0" customWidth="1"/>
    <x:col min="7" max="7" width="60" hidden="0" customWidth="1"/>
    <x:col min="8" max="8" width="28" hidden="0" customWidth="1"/>
    <x:col min="9" max="9" width="16" hidden="0" customWidth="1"/>
    <x:col min="10" max="10" width="14" hidden="0" customWidth="1"/>
    <x:col min="11" max="11" width="14" hidden="0" customWidth="1"/>
    <x:col min="12" max="12" width="48" hidden="0" customWidth="1"/>
  </x:cols>
  <x:sheetData>
    <x:row r="1" ht="30" customHeight="1">
      <x:c r="A1" s="161" t="str">
        <x:v>Programme Risk Register</x:v>
      </x:c>
      <x:c r="B1" s="161"/>
      <x:c r="C1" s="161"/>
      <x:c r="D1" s="161"/>
      <x:c r="E1" s="161"/>
      <x:c r="F1" s="161"/>
      <x:c r="G1" s="161"/>
      <x:c r="H1" s="161"/>
      <x:c r="I1" s="161"/>
      <x:c r="J1" s="161"/>
      <x:c r="K1" s="161"/>
      <x:c r="L1" s="161"/>
      <x:c r="M1" s="65"/>
      <x:c r="N1" s="65"/>
      <x:c r="O1" s="65"/>
      <x:c r="P1" s="65"/>
      <x:c r="Q1" s="65"/>
      <x:c r="R1" s="65"/>
      <x:c r="S1" s="65"/>
      <x:c r="T1" s="65"/>
      <x:c r="U1" s="65"/>
      <x:c r="V1" s="65"/>
      <x:c r="W1" s="65"/>
      <x:c r="X1" s="65"/>
      <x:c r="Y1" s="65"/>
      <x:c r="Z1" s="65"/>
    </x:row>
    <x:row r="2" ht="34" customHeight="1">
      <x:c r="A2" s="164" t="str">
        <x:v>Leadership-level risks. The Foundation Threats sheet contains the deeper scenario/control model. Scores use 1–5 likelihood and impact.</x:v>
      </x:c>
      <x:c r="B2" s="164"/>
      <x:c r="C2" s="164"/>
      <x:c r="D2" s="164"/>
      <x:c r="E2" s="164"/>
      <x:c r="F2" s="164"/>
      <x:c r="G2" s="164"/>
      <x:c r="H2" s="164"/>
      <x:c r="I2" s="164"/>
      <x:c r="J2" s="164"/>
      <x:c r="K2" s="164"/>
      <x:c r="L2" s="164"/>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Risk ID</x:v>
      </x:c>
      <x:c r="B4" s="170" t="str">
        <x:v>Risk</x:v>
      </x:c>
      <x:c r="C4" s="170" t="str">
        <x:v>Category</x:v>
      </x:c>
      <x:c r="D4" s="170" t="str">
        <x:v>Likelihood</x:v>
      </x:c>
      <x:c r="E4" s="170" t="str">
        <x:v>Impact</x:v>
      </x:c>
      <x:c r="F4" s="170" t="str">
        <x:v>Inherent score</x:v>
      </x:c>
      <x:c r="G4" s="170" t="str">
        <x:v>Primary mitigation</x:v>
      </x:c>
      <x:c r="H4" s="170" t="str">
        <x:v>Accountable owner</x:v>
      </x:c>
      <x:c r="I4" s="170" t="str">
        <x:v>Relevant stage</x:v>
      </x:c>
      <x:c r="J4" s="170" t="str">
        <x:v>Status</x:v>
      </x:c>
      <x:c r="K4" s="170" t="str">
        <x:v>Residual target</x:v>
      </x:c>
      <x:c r="L4" s="175" t="str">
        <x:v>Trigger / escalation</x:v>
      </x:c>
      <x:c r="M4" s="47"/>
      <x:c r="N4" s="47"/>
      <x:c r="O4" s="47"/>
      <x:c r="P4" s="47"/>
      <x:c r="Q4" s="47"/>
      <x:c r="R4" s="47"/>
      <x:c r="S4" s="47"/>
      <x:c r="T4" s="47"/>
      <x:c r="U4" s="47"/>
      <x:c r="V4" s="47"/>
      <x:c r="W4" s="47"/>
      <x:c r="X4" s="47"/>
      <x:c r="Y4" s="47"/>
      <x:c r="Z4" s="47"/>
    </x:row>
    <x:row r="5">
      <x:c r="A5" s="197" t="str">
        <x:v>R-001</x:v>
      </x:c>
      <x:c r="B5" s="198" t="str">
        <x:v>Employees experience the product as punitive surveillance, reducing trust, retention and data quality.</x:v>
      </x:c>
      <x:c r="C5" s="198" t="str">
        <x:v>Trust / Adoption</x:v>
      </x:c>
      <x:c r="D5" s="198" t="n">
        <x:v>4</x:v>
      </x:c>
      <x:c r="E5" s="198" t="n">
        <x:v>5</x:v>
      </x:c>
      <x:c r="F5" s="198" t="n">
        <x:f>D5*E5</x:f>
        <x:v>20</x:v>
      </x:c>
      <x:c r="G5" s="198" t="str">
        <x:v>Employee value proposition; worker consultation; own evidence/corrections; pilot protection; no activity scores; manager training.</x:v>
      </x:c>
      <x:c r="H5" s="198" t="str">
        <x:v>Executive Sponsor / HR / Product</x:v>
      </x:c>
      <x:c r="I5" s="198" t="str">
        <x:v>0–12</x:v>
      </x:c>
      <x:c r="J5" s="198" t="str">
        <x:v>Open</x:v>
      </x:c>
      <x:c r="K5" s="198" t="n">
        <x:v>8</x:v>
      </x:c>
      <x:c r="L5" s="220" t="str">
        <x:v>Material negative trust shift, high opt-out/complaint rate or repeated manager misuse.</x:v>
      </x:c>
      <x:c r="M5" s="47"/>
      <x:c r="N5" s="47"/>
      <x:c r="O5" s="47"/>
      <x:c r="P5" s="47"/>
      <x:c r="Q5" s="47"/>
      <x:c r="R5" s="47"/>
      <x:c r="S5" s="47"/>
      <x:c r="T5" s="47"/>
      <x:c r="U5" s="47"/>
      <x:c r="V5" s="47"/>
      <x:c r="W5" s="47"/>
      <x:c r="X5" s="47"/>
      <x:c r="Y5" s="47"/>
      <x:c r="Z5" s="47"/>
    </x:row>
    <x:row r="6">
      <x:c r="A6" s="205" t="str">
        <x:v>R-002</x:v>
      </x:c>
      <x:c r="B6" s="206" t="str">
        <x:v>Passwords, secrets, customer data or private content are retained or uploaded.</x:v>
      </x:c>
      <x:c r="C6" s="206" t="str">
        <x:v>Privacy / Security</x:v>
      </x:c>
      <x:c r="D6" s="206" t="n">
        <x:v>4</x:v>
      </x:c>
      <x:c r="E6" s="206" t="n">
        <x:v>5</x:v>
      </x:c>
      <x:c r="F6" s="206" t="n">
        <x:f>D6*E6</x:f>
        <x:v>20</x:v>
      </x:c>
      <x:c r="G6" s="206" t="str">
        <x:v>Secure-field blocking; exclusions; local redaction; short retention; DLP tests; emergency stop.</x:v>
      </x:c>
      <x:c r="H6" s="206" t="str">
        <x:v>CISO / DPO / Desktop</x:v>
      </x:c>
      <x:c r="I6" s="206" t="str">
        <x:v>0,3–12</x:v>
      </x:c>
      <x:c r="J6" s="206" t="str">
        <x:v>Open</x:v>
      </x:c>
      <x:c r="K6" s="206" t="n">
        <x:v>5</x:v>
      </x:c>
      <x:c r="L6" s="207" t="str">
        <x:v>Any known secret or unauthorised private-content retention is pilot blocking.</x:v>
      </x:c>
      <x:c r="M6" s="47"/>
      <x:c r="N6" s="47"/>
      <x:c r="O6" s="47"/>
      <x:c r="P6" s="47"/>
      <x:c r="Q6" s="47"/>
      <x:c r="R6" s="47"/>
      <x:c r="S6" s="47"/>
      <x:c r="T6" s="47"/>
      <x:c r="U6" s="47"/>
      <x:c r="V6" s="47"/>
      <x:c r="W6" s="47"/>
      <x:c r="X6" s="47"/>
      <x:c r="Y6" s="47"/>
      <x:c r="Z6" s="47"/>
    </x:row>
    <x:row r="7">
      <x:c r="A7" s="199" t="str">
        <x:v>R-003</x:v>
      </x:c>
      <x:c r="B7" s="200" t="str">
        <x:v>AI task/idle/capability finding is wrong and harms an employee.</x:v>
      </x:c>
      <x:c r="C7" s="200" t="str">
        <x:v>AI / Employment</x:v>
      </x:c>
      <x:c r="D7" s="200" t="n">
        <x:v>4</x:v>
      </x:c>
      <x:c r="E7" s="200" t="n">
        <x:v>5</x:v>
      </x:c>
      <x:c r="F7" s="200" t="n">
        <x:f>D7*E7</x:f>
        <x:v>20</x:v>
      </x:c>
      <x:c r="G7" s="200" t="str">
        <x:v>Evidence hierarchy; confidence; alternatives; employee correction; qualified human review; no solely automated consequential decision.</x:v>
      </x:c>
      <x:c r="H7" s="200" t="str">
        <x:v>AI Governance / HR / DPO</x:v>
      </x:c>
      <x:c r="I7" s="200" t="str">
        <x:v>0,7–12</x:v>
      </x:c>
      <x:c r="J7" s="200" t="str">
        <x:v>Open</x:v>
      </x:c>
      <x:c r="K7" s="200" t="n">
        <x:v>8</x:v>
      </x:c>
      <x:c r="L7" s="201" t="str">
        <x:v>High-confidence unsupported allegation, material dispute overturn or subgroup error.</x:v>
      </x:c>
      <x:c r="M7" s="47"/>
      <x:c r="N7" s="47"/>
      <x:c r="O7" s="47"/>
      <x:c r="P7" s="47"/>
      <x:c r="Q7" s="47"/>
      <x:c r="R7" s="47"/>
      <x:c r="S7" s="47"/>
      <x:c r="T7" s="47"/>
      <x:c r="U7" s="47"/>
      <x:c r="V7" s="47"/>
      <x:c r="W7" s="47"/>
      <x:c r="X7" s="47"/>
      <x:c r="Y7" s="47"/>
      <x:c r="Z7" s="47"/>
    </x:row>
    <x:row r="8">
      <x:c r="A8" s="205" t="str">
        <x:v>R-004</x:v>
      </x:c>
      <x:c r="B8" s="206" t="str">
        <x:v>Legal basis, employment documentation or local monitoring requirements are unresolved.</x:v>
      </x:c>
      <x:c r="C8" s="206" t="str">
        <x:v>Legal / Regulatory</x:v>
      </x:c>
      <x:c r="D8" s="206" t="n">
        <x:v>3</x:v>
      </x:c>
      <x:c r="E8" s="206" t="n">
        <x:v>5</x:v>
      </x:c>
      <x:c r="F8" s="206" t="n">
        <x:f>D8*E8</x:f>
        <x:v>15</x:v>
      </x:c>
      <x:c r="G8" s="206" t="str">
        <x:v>Full DPIA; UK and Pakistan counsel; policy/notice; consultation; jurisdiction packs; controlled pilot.</x:v>
      </x:c>
      <x:c r="H8" s="206" t="str">
        <x:v>Legal / DPO</x:v>
      </x:c>
      <x:c r="I8" s="206" t="str">
        <x:v>0–12</x:v>
      </x:c>
      <x:c r="J8" s="206" t="str">
        <x:v>Open</x:v>
      </x:c>
      <x:c r="K8" s="206" t="n">
        <x:v>5</x:v>
      </x:c>
      <x:c r="L8" s="207" t="str">
        <x:v>Counsel/DPO advises hold or residual high risk is unaccepted.</x:v>
      </x:c>
      <x:c r="M8" s="47"/>
      <x:c r="N8" s="47"/>
      <x:c r="O8" s="47"/>
      <x:c r="P8" s="47"/>
      <x:c r="Q8" s="47"/>
      <x:c r="R8" s="47"/>
      <x:c r="S8" s="47"/>
      <x:c r="T8" s="47"/>
      <x:c r="U8" s="47"/>
      <x:c r="V8" s="47"/>
      <x:c r="W8" s="47"/>
      <x:c r="X8" s="47"/>
      <x:c r="Y8" s="47"/>
      <x:c r="Z8" s="47"/>
    </x:row>
    <x:row r="9">
      <x:c r="A9" s="199" t="str">
        <x:v>R-005</x:v>
      </x:c>
      <x:c r="B9" s="200" t="str">
        <x:v>Managers or administrators misuse raw evidence outside an approved purpose.</x:v>
      </x:c>
      <x:c r="C9" s="200" t="str">
        <x:v>Governance / Insider</x:v>
      </x:c>
      <x:c r="D9" s="200" t="n">
        <x:v>3</x:v>
      </x:c>
      <x:c r="E9" s="200" t="n">
        <x:v>5</x:v>
      </x:c>
      <x:c r="F9" s="200" t="n">
        <x:f>D9*E9</x:f>
        <x:v>15</x:v>
      </x:c>
      <x:c r="G9" s="200" t="str">
        <x:v>Summary-first UX; purpose/task/time access; JIT approval; separation of duties; immutable access audit and sanctions.</x:v>
      </x:c>
      <x:c r="H9" s="200" t="str">
        <x:v>CISO / HR / DPO</x:v>
      </x:c>
      <x:c r="I9" s="200" t="str">
        <x:v>0,10–12</x:v>
      </x:c>
      <x:c r="J9" s="200" t="str">
        <x:v>Open</x:v>
      </x:c>
      <x:c r="K9" s="200" t="n">
        <x:v>6</x:v>
      </x:c>
      <x:c r="L9" s="201" t="str">
        <x:v>Unauthorised access, repeated curiosity browsing or unreviewed live surveillance.</x:v>
      </x:c>
      <x:c r="M9" s="47"/>
      <x:c r="N9" s="47"/>
      <x:c r="O9" s="47"/>
      <x:c r="P9" s="47"/>
      <x:c r="Q9" s="47"/>
      <x:c r="R9" s="47"/>
      <x:c r="S9" s="47"/>
      <x:c r="T9" s="47"/>
      <x:c r="U9" s="47"/>
      <x:c r="V9" s="47"/>
      <x:c r="W9" s="47"/>
      <x:c r="X9" s="47"/>
      <x:c r="Y9" s="47"/>
      <x:c r="Z9" s="47"/>
    </x:row>
    <x:row r="10">
      <x:c r="A10" s="205" t="str">
        <x:v>R-006</x:v>
      </x:c>
      <x:c r="B10" s="206" t="str">
        <x:v>Device agent introduces unacceptable latency, CPU, memory, battery or stability impact.</x:v>
      </x:c>
      <x:c r="C10" s="206" t="str">
        <x:v>Endpoint / Technical</x:v>
      </x:c>
      <x:c r="D10" s="206" t="n">
        <x:v>4</x:v>
      </x:c>
      <x:c r="E10" s="206" t="n">
        <x:v>4</x:v>
      </x:c>
      <x:c r="F10" s="206" t="n">
        <x:f>D10*E10</x:f>
        <x:v>16</x:v>
      </x:c>
      <x:c r="G10" s="206" t="str">
        <x:v>Native/event-driven design; adaptive throttling; performance budgets; application compatibility matrix; kill switch.</x:v>
      </x:c>
      <x:c r="H10" s="206" t="str">
        <x:v>Desktop Lead / SRE</x:v>
      </x:c>
      <x:c r="I10" s="206" t="str">
        <x:v>3–12</x:v>
      </x:c>
      <x:c r="J10" s="206" t="str">
        <x:v>Open</x:v>
      </x:c>
      <x:c r="K10" s="206" t="n">
        <x:v>6</x:v>
      </x:c>
      <x:c r="L10" s="207" t="str">
        <x:v>Perceptible input latency, typical CPU above target or critical app instability.</x:v>
      </x:c>
      <x:c r="M10" s="47"/>
      <x:c r="N10" s="47"/>
      <x:c r="O10" s="47"/>
      <x:c r="P10" s="47"/>
      <x:c r="Q10" s="47"/>
      <x:c r="R10" s="47"/>
      <x:c r="S10" s="47"/>
      <x:c r="T10" s="47"/>
      <x:c r="U10" s="47"/>
      <x:c r="V10" s="47"/>
      <x:c r="W10" s="47"/>
      <x:c r="X10" s="47"/>
      <x:c r="Y10" s="47"/>
      <x:c r="Z10" s="47"/>
    </x:row>
    <x:row r="11">
      <x:c r="A11" s="199" t="str">
        <x:v>R-007</x:v>
      </x:c>
      <x:c r="B11" s="200" t="str">
        <x:v>Endpoint agent or update channel becomes a high-privilege compromise path.</x:v>
      </x:c>
      <x:c r="C11" s="200" t="str">
        <x:v>Security / Supply Chain</x:v>
      </x:c>
      <x:c r="D11" s="200" t="n">
        <x:v>3</x:v>
      </x:c>
      <x:c r="E11" s="200" t="n">
        <x:v>5</x:v>
      </x:c>
      <x:c r="F11" s="200" t="n">
        <x:f>D11*E11</x:f>
        <x:v>15</x:v>
      </x:c>
      <x:c r="G11" s="200" t="str">
        <x:v>Least privilege; signing/notarisation; SBOM; dependency scanning; staged updates; attestation; rollback; signing-key controls.</x:v>
      </x:c>
      <x:c r="H11" s="200" t="str">
        <x:v>CISO / DevSecOps / Desktop</x:v>
      </x:c>
      <x:c r="I11" s="200" t="str">
        <x:v>3–12</x:v>
      </x:c>
      <x:c r="J11" s="200" t="str">
        <x:v>Open</x:v>
      </x:c>
      <x:c r="K11" s="200" t="n">
        <x:v>5</x:v>
      </x:c>
      <x:c r="L11" s="201" t="str">
        <x:v>Critical endpoint finding or update-signing incident.</x:v>
      </x:c>
      <x:c r="M11" s="47"/>
      <x:c r="N11" s="47"/>
      <x:c r="O11" s="47"/>
      <x:c r="P11" s="47"/>
      <x:c r="Q11" s="47"/>
      <x:c r="R11" s="47"/>
      <x:c r="S11" s="47"/>
      <x:c r="T11" s="47"/>
      <x:c r="U11" s="47"/>
      <x:c r="V11" s="47"/>
      <x:c r="W11" s="47"/>
      <x:c r="X11" s="47"/>
      <x:c r="Y11" s="47"/>
      <x:c r="Z11" s="47"/>
    </x:row>
    <x:row r="12">
      <x:c r="A12" s="205" t="str">
        <x:v>R-008</x:v>
      </x:c>
      <x:c r="B12" s="206" t="str">
        <x:v>Human, AI-agent and automation provenance remains incomplete or inaccurate.</x:v>
      </x:c>
      <x:c r="C12" s="206" t="str">
        <x:v>Product / AI</x:v>
      </x:c>
      <x:c r="D12" s="206" t="n">
        <x:v>4</x:v>
      </x:c>
      <x:c r="E12" s="206" t="n">
        <x:v>4</x:v>
      </x:c>
      <x:c r="F12" s="206" t="n">
        <x:f>D12*E12</x:f>
        <x:v>16</x:v>
      </x:c>
      <x:c r="G12" s="206" t="str">
        <x:v>Official hooks; process/file correlation; event sequencing; authoritative artefacts; confidence/unknown class; labelled evaluation.</x:v>
      </x:c>
      <x:c r="H12" s="206" t="str">
        <x:v>AI Integrations / Data</x:v>
      </x:c>
      <x:c r="I12" s="206" t="str">
        <x:v>6–12</x:v>
      </x:c>
      <x:c r="J12" s="206" t="str">
        <x:v>Open</x:v>
      </x:c>
      <x:c r="K12" s="206" t="n">
        <x:v>8</x:v>
      </x:c>
      <x:c r="L12" s="207" t="str">
        <x:v>Attribution accuracy below pilot threshold or repeated mixed-origin errors.</x:v>
      </x:c>
      <x:c r="M12" s="47"/>
      <x:c r="N12" s="47"/>
      <x:c r="O12" s="47"/>
      <x:c r="P12" s="47"/>
      <x:c r="Q12" s="47"/>
      <x:c r="R12" s="47"/>
      <x:c r="S12" s="47"/>
      <x:c r="T12" s="47"/>
      <x:c r="U12" s="47"/>
      <x:c r="V12" s="47"/>
      <x:c r="W12" s="47"/>
      <x:c r="X12" s="47"/>
      <x:c r="Y12" s="47"/>
      <x:c r="Z12" s="47"/>
    </x:row>
    <x:row r="13">
      <x:c r="A13" s="199" t="str">
        <x:v>R-009</x:v>
      </x:c>
      <x:c r="B13" s="200" t="str">
        <x:v>Task Assurance rewards a preferred process instead of valid outcomes and evidence.</x:v>
      </x:c>
      <x:c r="C13" s="200" t="str">
        <x:v>Product / Fairness</x:v>
      </x:c>
      <x:c r="D13" s="200" t="n">
        <x:v>3</x:v>
      </x:c>
      <x:c r="E13" s="200" t="n">
        <x:v>5</x:v>
      </x:c>
      <x:c r="F13" s="200" t="n">
        <x:f>D13*E13</x:f>
        <x:v>15</x:v>
      </x:c>
      <x:c r="G13" s="200" t="str">
        <x:v>Task contracts with multiple valid methods; outcome/quality gates; employee explanation; domain reviewer; deterministic evidence.</x:v>
      </x:c>
      <x:c r="H13" s="200" t="str">
        <x:v>Product / Domain Reviewers</x:v>
      </x:c>
      <x:c r="I13" s="200" t="str">
        <x:v>2,7–12</x:v>
      </x:c>
      <x:c r="J13" s="200" t="str">
        <x:v>Open</x:v>
      </x:c>
      <x:c r="K13" s="200" t="n">
        <x:v>6</x:v>
      </x:c>
      <x:c r="L13" s="201" t="str">
        <x:v>Novel but valid work method receives repeated negative findings.</x:v>
      </x:c>
      <x:c r="M13" s="47"/>
      <x:c r="N13" s="47"/>
      <x:c r="O13" s="47"/>
      <x:c r="P13" s="47"/>
      <x:c r="Q13" s="47"/>
      <x:c r="R13" s="47"/>
      <x:c r="S13" s="47"/>
      <x:c r="T13" s="47"/>
      <x:c r="U13" s="47"/>
      <x:c r="V13" s="47"/>
      <x:c r="W13" s="47"/>
      <x:c r="X13" s="47"/>
      <x:c r="Y13" s="47"/>
      <x:c r="Z13" s="47"/>
    </x:row>
    <x:row r="14">
      <x:c r="A14" s="205" t="str">
        <x:v>R-010</x:v>
      </x:c>
      <x:c r="B14" s="206" t="str">
        <x:v>Capability model overstates certainty, treats one task as proof or implies deception.</x:v>
      </x:c>
      <x:c r="C14" s="206" t="str">
        <x:v>Capability / Employment</x:v>
      </x:c>
      <x:c r="D14" s="206" t="n">
        <x:v>4</x:v>
      </x:c>
      <x:c r="E14" s="206" t="n">
        <x:v>5</x:v>
      </x:c>
      <x:c r="F14" s="206" t="n">
        <x:f>D14*E14</x:f>
        <x:v>20</x:v>
      </x:c>
      <x:c r="G14" s="206" t="str">
        <x:v>Repeated context-qualified evidence; neutral claim-discrepancy states; confidence/recency/contradiction; human review and appeal.</x:v>
      </x:c>
      <x:c r="H14" s="206" t="str">
        <x:v>Capability Lead / HR / DPO</x:v>
      </x:c>
      <x:c r="I14" s="206" t="str">
        <x:v>2,8–12</x:v>
      </x:c>
      <x:c r="J14" s="206" t="str">
        <x:v>Open</x:v>
      </x:c>
      <x:c r="K14" s="206" t="n">
        <x:v>6</x:v>
      </x:c>
      <x:c r="L14" s="207" t="str">
        <x:v>Permanent capability or honesty label from insufficient evidence.</x:v>
      </x:c>
      <x:c r="M14" s="47"/>
      <x:c r="N14" s="47"/>
      <x:c r="O14" s="47"/>
      <x:c r="P14" s="47"/>
      <x:c r="Q14" s="47"/>
      <x:c r="R14" s="47"/>
      <x:c r="S14" s="47"/>
      <x:c r="T14" s="47"/>
      <x:c r="U14" s="47"/>
      <x:c r="V14" s="47"/>
      <x:c r="W14" s="47"/>
      <x:c r="X14" s="47"/>
      <x:c r="Y14" s="47"/>
      <x:c r="Z14" s="47"/>
    </x:row>
    <x:row r="15">
      <x:c r="A15" s="199" t="str">
        <x:v>R-011</x:v>
      </x:c>
      <x:c r="B15" s="200" t="str">
        <x:v>Accessibility accommodations, deep thinking, research or collaboration are misclassified.</x:v>
      </x:c>
      <x:c r="C15" s="200" t="str">
        <x:v>Fairness / Inclusion</x:v>
      </x:c>
      <x:c r="D15" s="200" t="n">
        <x:v>3</x:v>
      </x:c>
      <x:c r="E15" s="200" t="n">
        <x:v>5</x:v>
      </x:c>
      <x:c r="F15" s="200" t="n">
        <x:f>D15*E15</x:f>
        <x:v>15</x:v>
      </x:c>
      <x:c r="G15" s="200" t="str">
        <x:v>Outcome over activity; accommodation context; reading/review/collaboration classes; accessibility review; subgroup error tests.</x:v>
      </x:c>
      <x:c r="H15" s="200" t="str">
        <x:v>HR / Product / DPO</x:v>
      </x:c>
      <x:c r="I15" s="200" t="str">
        <x:v>0,7–12</x:v>
      </x:c>
      <x:c r="J15" s="200" t="str">
        <x:v>Open</x:v>
      </x:c>
      <x:c r="K15" s="200" t="n">
        <x:v>5</x:v>
      </x:c>
      <x:c r="L15" s="201" t="str">
        <x:v>Disproportionate errors or employee evidence of accommodation-related harm.</x:v>
      </x:c>
      <x:c r="M15" s="47"/>
      <x:c r="N15" s="47"/>
      <x:c r="O15" s="47"/>
      <x:c r="P15" s="47"/>
      <x:c r="Q15" s="47"/>
      <x:c r="R15" s="47"/>
      <x:c r="S15" s="47"/>
      <x:c r="T15" s="47"/>
      <x:c r="U15" s="47"/>
      <x:c r="V15" s="47"/>
      <x:c r="W15" s="47"/>
      <x:c r="X15" s="47"/>
      <x:c r="Y15" s="47"/>
      <x:c r="Z15" s="47"/>
    </x:row>
    <x:row r="16">
      <x:c r="A16" s="205" t="str">
        <x:v>R-012</x:v>
      </x:c>
      <x:c r="B16" s="206" t="str">
        <x:v>Skill Forge introduces a harmful, biased, insecure or confidential-data-leaking update.</x:v>
      </x:c>
      <x:c r="C16" s="206" t="str">
        <x:v>AI Platform / Governance</x:v>
      </x:c>
      <x:c r="D16" s="206" t="n">
        <x:v>3</x:v>
      </x:c>
      <x:c r="E16" s="206" t="n">
        <x:v>5</x:v>
      </x:c>
      <x:c r="F16" s="206" t="n">
        <x:f>D16*E16</x:f>
        <x:v>15</x:v>
      </x:c>
      <x:c r="G16" s="206" t="str">
        <x:v>Proposal-only observation; evaluation; expert/security/DPO review; internal/open classification; canary; rollback.</x:v>
      </x:c>
      <x:c r="H16" s="206" t="str">
        <x:v>AI Platform / Governance</x:v>
      </x:c>
      <x:c r="I16" s="206" t="str">
        <x:v>11–12</x:v>
      </x:c>
      <x:c r="J16" s="206" t="str">
        <x:v>Open</x:v>
      </x:c>
      <x:c r="K16" s="206" t="n">
        <x:v>6</x:v>
      </x:c>
      <x:c r="L16" s="207" t="str">
        <x:v>Regression, policy violation, confidential leakage or failed rollback.</x:v>
      </x:c>
      <x:c r="M16" s="47"/>
      <x:c r="N16" s="47"/>
      <x:c r="O16" s="47"/>
      <x:c r="P16" s="47"/>
      <x:c r="Q16" s="47"/>
      <x:c r="R16" s="47"/>
      <x:c r="S16" s="47"/>
      <x:c r="T16" s="47"/>
      <x:c r="U16" s="47"/>
      <x:c r="V16" s="47"/>
      <x:c r="W16" s="47"/>
      <x:c r="X16" s="47"/>
      <x:c r="Y16" s="47"/>
      <x:c r="Z16" s="47"/>
    </x:row>
    <x:row r="17">
      <x:c r="A17" s="199" t="str">
        <x:v>R-013</x:v>
      </x:c>
      <x:c r="B17" s="200" t="str">
        <x:v>Scope expands across HumanOS verticals before the core is technically and ethically proven.</x:v>
      </x:c>
      <x:c r="C17" s="200" t="str">
        <x:v>Programme / Scope</x:v>
      </x:c>
      <x:c r="D17" s="200" t="n">
        <x:v>4</x:v>
      </x:c>
      <x:c r="E17" s="200" t="n">
        <x:v>4</x:v>
      </x:c>
      <x:c r="F17" s="200" t="n">
        <x:f>D17*E17</x:f>
        <x:v>16</x:v>
      </x:c>
      <x:c r="G17" s="200" t="str">
        <x:v>Software-development first; domain-neutral ontology; expansion gates; kill criteria and next-vertical business case.</x:v>
      </x:c>
      <x:c r="H17" s="200" t="str">
        <x:v>CEO / Product / CTO</x:v>
      </x:c>
      <x:c r="I17" s="200" t="str">
        <x:v>0–12</x:v>
      </x:c>
      <x:c r="J17" s="200" t="str">
        <x:v>Open</x:v>
      </x:c>
      <x:c r="K17" s="200" t="n">
        <x:v>6</x:v>
      </x:c>
      <x:c r="L17" s="201" t="str">
        <x:v>New vertical added before pilot evidence or without domain/legal adapter plan.</x:v>
      </x:c>
      <x:c r="M17" s="47"/>
      <x:c r="N17" s="47"/>
      <x:c r="O17" s="47"/>
      <x:c r="P17" s="47"/>
      <x:c r="Q17" s="47"/>
      <x:c r="R17" s="47"/>
      <x:c r="S17" s="47"/>
      <x:c r="T17" s="47"/>
      <x:c r="U17" s="47"/>
      <x:c r="V17" s="47"/>
      <x:c r="W17" s="47"/>
      <x:c r="X17" s="47"/>
      <x:c r="Y17" s="47"/>
      <x:c r="Z17" s="47"/>
    </x:row>
    <x:row r="18">
      <x:c r="A18" s="205" t="str">
        <x:v>R-014</x:v>
      </x:c>
      <x:c r="B18" s="206" t="str">
        <x:v>Microservice fragmentation creates excessive latency, failure modes and operational burden.</x:v>
      </x:c>
      <x:c r="C18" s="206" t="str">
        <x:v>Architecture / Delivery</x:v>
      </x:c>
      <x:c r="D18" s="206" t="n">
        <x:v>4</x:v>
      </x:c>
      <x:c r="E18" s="206" t="n">
        <x:v>3</x:v>
      </x:c>
      <x:c r="F18" s="206" t="n">
        <x:f>D18*E18</x:f>
        <x:v>12</x:v>
      </x:c>
      <x:c r="G18" s="206" t="str">
        <x:v>Approximately eight initial deployables; reuse HumanOS foundations; service split triggers; architecture review.</x:v>
      </x:c>
      <x:c r="H18" s="206" t="str">
        <x:v>Enterprise Architect</x:v>
      </x:c>
      <x:c r="I18" s="206" t="str">
        <x:v>1–12</x:v>
      </x:c>
      <x:c r="J18" s="206" t="str">
        <x:v>Open</x:v>
      </x:c>
      <x:c r="K18" s="206" t="n">
        <x:v>4</x:v>
      </x:c>
      <x:c r="L18" s="207" t="str">
        <x:v>High cross-service change coupling, excessive synchronous chains or operational ownership gaps.</x:v>
      </x:c>
      <x:c r="M18" s="47"/>
      <x:c r="N18" s="47"/>
      <x:c r="O18" s="47"/>
      <x:c r="P18" s="47"/>
      <x:c r="Q18" s="47"/>
      <x:c r="R18" s="47"/>
      <x:c r="S18" s="47"/>
      <x:c r="T18" s="47"/>
      <x:c r="U18" s="47"/>
      <x:c r="V18" s="47"/>
      <x:c r="W18" s="47"/>
      <x:c r="X18" s="47"/>
      <x:c r="Y18" s="47"/>
      <x:c r="Z18" s="47"/>
    </x:row>
    <x:row r="19">
      <x:c r="A19" s="199" t="str">
        <x:v>R-015</x:v>
      </x:c>
      <x:c r="B19" s="200" t="str">
        <x:v>Existing HumanOS foundation services do not meet Work Intelligence security, scale or workflow needs.</x:v>
      </x:c>
      <x:c r="C19" s="200" t="str">
        <x:v>Platform / Dependency</x:v>
      </x:c>
      <x:c r="D19" s="200" t="n">
        <x:v>3</x:v>
      </x:c>
      <x:c r="E19" s="200" t="n">
        <x:v>4</x:v>
      </x:c>
      <x:c r="F19" s="200" t="n">
        <x:f>D19*E19</x:f>
        <x:v>12</x:v>
      </x:c>
      <x:c r="G19" s="200" t="str">
        <x:v>Capability inventory; explicit extension/gap decisions; technical spikes; do not duplicate without evidence.</x:v>
      </x:c>
      <x:c r="H19" s="200" t="str">
        <x:v>CTO / Platform Architect</x:v>
      </x:c>
      <x:c r="I19" s="200" t="str">
        <x:v>1–4</x:v>
      </x:c>
      <x:c r="J19" s="200" t="str">
        <x:v>Open</x:v>
      </x:c>
      <x:c r="K19" s="200" t="n">
        <x:v>6</x:v>
      </x:c>
      <x:c r="L19" s="201" t="str">
        <x:v>Policy/workflow/audit/object/event capability gap blocks Stage 3/4.</x:v>
      </x:c>
      <x:c r="M19" s="47"/>
      <x:c r="N19" s="47"/>
      <x:c r="O19" s="47"/>
      <x:c r="P19" s="47"/>
      <x:c r="Q19" s="47"/>
      <x:c r="R19" s="47"/>
      <x:c r="S19" s="47"/>
      <x:c r="T19" s="47"/>
      <x:c r="U19" s="47"/>
      <x:c r="V19" s="47"/>
      <x:c r="W19" s="47"/>
      <x:c r="X19" s="47"/>
      <x:c r="Y19" s="47"/>
      <x:c r="Z19" s="47"/>
    </x:row>
    <x:row r="20">
      <x:c r="A20" s="205" t="str">
        <x:v>R-016</x:v>
      </x:c>
      <x:c r="B20" s="206" t="str">
        <x:v>Third-party source-available/OSS code is used beyond licence conditions or creates supply-chain exposure.</x:v>
      </x:c>
      <x:c r="C20" s="206" t="str">
        <x:v>Legal / Supply Chain</x:v>
      </x:c>
      <x:c r="D20" s="206" t="n">
        <x:v>3</x:v>
      </x:c>
      <x:c r="E20" s="206" t="n">
        <x:v>4</x:v>
      </x:c>
      <x:c r="F20" s="206" t="n">
        <x:f>D20*E20</x:f>
        <x:v>12</x:v>
      </x:c>
      <x:c r="G20" s="206" t="str">
        <x:v>Licence register; counsel review; SBOM; clean-room build where needed; dependency/security scanning.</x:v>
      </x:c>
      <x:c r="H20" s="206" t="str">
        <x:v>Legal / Architecture / CISO</x:v>
      </x:c>
      <x:c r="I20" s="206" t="str">
        <x:v>1–12</x:v>
      </x:c>
      <x:c r="J20" s="206" t="str">
        <x:v>Open</x:v>
      </x:c>
      <x:c r="K20" s="206" t="n">
        <x:v>4</x:v>
      </x:c>
      <x:c r="L20" s="207" t="str">
        <x:v>Unapproved dependency or ambiguous commercial/distribution rights.</x:v>
      </x:c>
      <x:c r="M20" s="47"/>
      <x:c r="N20" s="47"/>
      <x:c r="O20" s="47"/>
      <x:c r="P20" s="47"/>
      <x:c r="Q20" s="47"/>
      <x:c r="R20" s="47"/>
      <x:c r="S20" s="47"/>
      <x:c r="T20" s="47"/>
      <x:c r="U20" s="47"/>
      <x:c r="V20" s="47"/>
      <x:c r="W20" s="47"/>
      <x:c r="X20" s="47"/>
      <x:c r="Y20" s="47"/>
      <x:c r="Z20" s="47"/>
    </x:row>
    <x:row r="21">
      <x:c r="A21" s="199" t="str">
        <x:v>R-017</x:v>
      </x:c>
      <x:c r="B21" s="200" t="str">
        <x:v>Raw evidence and AI inference costs make the product economically unviable.</x:v>
      </x:c>
      <x:c r="C21" s="200" t="str">
        <x:v>Cost / Scalability</x:v>
      </x:c>
      <x:c r="D21" s="200" t="n">
        <x:v>4</x:v>
      </x:c>
      <x:c r="E21" s="200" t="n">
        <x:v>4</x:v>
      </x:c>
      <x:c r="F21" s="200" t="n">
        <x:f>D21*E21</x:f>
        <x:v>16</x:v>
      </x:c>
      <x:c r="G21" s="200" t="str">
        <x:v>Event-driven capture; dedup; edge summarisation; tiered retention; quotas; low/base/high cost model; model routing.</x:v>
      </x:c>
      <x:c r="H21" s="200" t="str">
        <x:v>FinOps / Product / Data</x:v>
      </x:c>
      <x:c r="I21" s="200" t="str">
        <x:v>1,4–12</x:v>
      </x:c>
      <x:c r="J21" s="200" t="str">
        <x:v>Open</x:v>
      </x:c>
      <x:c r="K21" s="200" t="n">
        <x:v>6</x:v>
      </x:c>
      <x:c r="L21" s="201" t="str">
        <x:v>Cost per employee/task exceeds approved threshold or grows nonlinearly.</x:v>
      </x:c>
      <x:c r="M21" s="47"/>
      <x:c r="N21" s="47"/>
      <x:c r="O21" s="47"/>
      <x:c r="P21" s="47"/>
      <x:c r="Q21" s="47"/>
      <x:c r="R21" s="47"/>
      <x:c r="S21" s="47"/>
      <x:c r="T21" s="47"/>
      <x:c r="U21" s="47"/>
      <x:c r="V21" s="47"/>
      <x:c r="W21" s="47"/>
      <x:c r="X21" s="47"/>
      <x:c r="Y21" s="47"/>
      <x:c r="Z21" s="47"/>
    </x:row>
    <x:row r="22">
      <x:c r="A22" s="205" t="str">
        <x:v>R-018</x:v>
      </x:c>
      <x:c r="B22" s="206" t="str">
        <x:v>Operational telemetry copies sensitive employee evidence into logs or traces.</x:v>
      </x:c>
      <x:c r="C22" s="206" t="str">
        <x:v>Privacy / Observability</x:v>
      </x:c>
      <x:c r="D22" s="206" t="n">
        <x:v>3</x:v>
      </x:c>
      <x:c r="E22" s="206" t="n">
        <x:v>5</x:v>
      </x:c>
      <x:c r="F22" s="206" t="n">
        <x:f>D22*E22</x:f>
        <x:v>15</x:v>
      </x:c>
      <x:c r="G22" s="206" t="str">
        <x:v>Separate evidence domain; content-off OTel defaults; classification-aware logging; sampling/redaction; telemetry tests.</x:v>
      </x:c>
      <x:c r="H22" s="206" t="str">
        <x:v>SRE / DPO / AI Platform</x:v>
      </x:c>
      <x:c r="I22" s="206" t="str">
        <x:v>1,3–12</x:v>
      </x:c>
      <x:c r="J22" s="206" t="str">
        <x:v>Open</x:v>
      </x:c>
      <x:c r="K22" s="206" t="n">
        <x:v>5</x:v>
      </x:c>
      <x:c r="L22" s="207" t="str">
        <x:v>Prompt/text/screenshot content discovered in general observability backend.</x:v>
      </x:c>
      <x:c r="M22" s="47"/>
      <x:c r="N22" s="47"/>
      <x:c r="O22" s="47"/>
      <x:c r="P22" s="47"/>
      <x:c r="Q22" s="47"/>
      <x:c r="R22" s="47"/>
      <x:c r="S22" s="47"/>
      <x:c r="T22" s="47"/>
      <x:c r="U22" s="47"/>
      <x:c r="V22" s="47"/>
      <x:c r="W22" s="47"/>
      <x:c r="X22" s="47"/>
      <x:c r="Y22" s="47"/>
      <x:c r="Z22" s="47"/>
    </x:row>
    <x:row r="23">
      <x:c r="A23" s="199" t="str">
        <x:v>R-019</x:v>
      </x:c>
      <x:c r="B23" s="200" t="str">
        <x:v>Third-party AI provider retains, trains on or transfers employee evidence outside approved conditions.</x:v>
      </x:c>
      <x:c r="C23" s="200" t="str">
        <x:v>Vendor / Privacy</x:v>
      </x:c>
      <x:c r="D23" s="200" t="n">
        <x:v>3</x:v>
      </x:c>
      <x:c r="E23" s="200" t="n">
        <x:v>5</x:v>
      </x:c>
      <x:c r="F23" s="200" t="n">
        <x:f>D23*E23</x:f>
        <x:v>15</x:v>
      </x:c>
      <x:c r="G23" s="200" t="str">
        <x:v>Approved Model Gateway; contractual no-training/retention; regional/private models; minimised requests; egress controls.</x:v>
      </x:c>
      <x:c r="H23" s="200" t="str">
        <x:v>AI Platform / Legal / CISO</x:v>
      </x:c>
      <x:c r="I23" s="200" t="str">
        <x:v>1,7–12</x:v>
      </x:c>
      <x:c r="J23" s="200" t="str">
        <x:v>Open</x:v>
      </x:c>
      <x:c r="K23" s="200" t="n">
        <x:v>5</x:v>
      </x:c>
      <x:c r="L23" s="201" t="str">
        <x:v>Provider contract or technical behaviour does not meet policy.</x:v>
      </x:c>
      <x:c r="M23" s="47"/>
      <x:c r="N23" s="47"/>
      <x:c r="O23" s="47"/>
      <x:c r="P23" s="47"/>
      <x:c r="Q23" s="47"/>
      <x:c r="R23" s="47"/>
      <x:c r="S23" s="47"/>
      <x:c r="T23" s="47"/>
      <x:c r="U23" s="47"/>
      <x:c r="V23" s="47"/>
      <x:c r="W23" s="47"/>
      <x:c r="X23" s="47"/>
      <x:c r="Y23" s="47"/>
      <x:c r="Z23" s="47"/>
    </x:row>
    <x:row r="24">
      <x:c r="A24" s="205" t="str">
        <x:v>R-020</x:v>
      </x:c>
      <x:c r="B24" s="206" t="str">
        <x:v>Prompt injection or malicious observed content manipulates evaluators or coaching agents.</x:v>
      </x:c>
      <x:c r="C24" s="206" t="str">
        <x:v>AI Security</x:v>
      </x:c>
      <x:c r="D24" s="206" t="n">
        <x:v>4</x:v>
      </x:c>
      <x:c r="E24" s="206" t="n">
        <x:v>4</x:v>
      </x:c>
      <x:c r="F24" s="206" t="n">
        <x:f>D24*E24</x:f>
        <x:v>16</x:v>
      </x:c>
      <x:c r="G24" s="206" t="str">
        <x:v>Treat observed content as untrusted; prompt isolation; tool restrictions; allowlisted retrieval; output validation; adversarial tests.</x:v>
      </x:c>
      <x:c r="H24" s="206" t="str">
        <x:v>AI Security Lead</x:v>
      </x:c>
      <x:c r="I24" s="206" t="str">
        <x:v>7–12</x:v>
      </x:c>
      <x:c r="J24" s="206" t="str">
        <x:v>Open</x:v>
      </x:c>
      <x:c r="K24" s="206" t="n">
        <x:v>6</x:v>
      </x:c>
      <x:c r="L24" s="207" t="str">
        <x:v>Evaluator follows instructions embedded in screen/repository content or attempts unauthorised tools.</x:v>
      </x:c>
      <x:c r="M24" s="47"/>
      <x:c r="N24" s="47"/>
      <x:c r="O24" s="47"/>
      <x:c r="P24" s="47"/>
      <x:c r="Q24" s="47"/>
      <x:c r="R24" s="47"/>
      <x:c r="S24" s="47"/>
      <x:c r="T24" s="47"/>
      <x:c r="U24" s="47"/>
      <x:c r="V24" s="47"/>
      <x:c r="W24" s="47"/>
      <x:c r="X24" s="47"/>
      <x:c r="Y24" s="47"/>
      <x:c r="Z24" s="47"/>
    </x:row>
    <x:row r="25">
      <x:c r="A25" s="199" t="str">
        <x:v>R-021</x:v>
      </x:c>
      <x:c r="B25" s="200" t="str">
        <x:v>Pilot data and labels are biased, weak or too small to validate accuracy and fairness.</x:v>
      </x:c>
      <x:c r="C25" s="200" t="str">
        <x:v>Evaluation / Data</x:v>
      </x:c>
      <x:c r="D25" s="200" t="n">
        <x:v>4</x:v>
      </x:c>
      <x:c r="E25" s="200" t="n">
        <x:v>4</x:v>
      </x:c>
      <x:c r="F25" s="200" t="n">
        <x:f>D25*E25</x:f>
        <x:v>16</x:v>
      </x:c>
      <x:c r="G25" s="200" t="str">
        <x:v>Representative tasks/roles; employee context; expert labels; holdout sets; disagreement adjudication; confidence intervals.</x:v>
      </x:c>
      <x:c r="H25" s="200" t="str">
        <x:v>AI Evaluation / Product / HR</x:v>
      </x:c>
      <x:c r="I25" s="200" t="str">
        <x:v>7–12</x:v>
      </x:c>
      <x:c r="J25" s="200" t="str">
        <x:v>Open</x:v>
      </x:c>
      <x:c r="K25" s="200" t="n">
        <x:v>8</x:v>
      </x:c>
      <x:c r="L25" s="201" t="str">
        <x:v>Low label agreement, sparse edge cases or inability to estimate subgroup performance.</x:v>
      </x:c>
      <x:c r="M25" s="47"/>
      <x:c r="N25" s="47"/>
      <x:c r="O25" s="47"/>
      <x:c r="P25" s="47"/>
      <x:c r="Q25" s="47"/>
      <x:c r="R25" s="47"/>
      <x:c r="S25" s="47"/>
      <x:c r="T25" s="47"/>
      <x:c r="U25" s="47"/>
      <x:c r="V25" s="47"/>
      <x:c r="W25" s="47"/>
      <x:c r="X25" s="47"/>
      <x:c r="Y25" s="47"/>
      <x:c r="Z25" s="47"/>
    </x:row>
    <x:row r="26">
      <x:c r="A26" s="208" t="str">
        <x:v>R-022</x:v>
      </x:c>
      <x:c r="B26" s="209" t="str">
        <x:v>Product provides reports but fails to produce measurable employee learning or task-quality improvement.</x:v>
      </x:c>
      <x:c r="C26" s="209" t="str">
        <x:v>Product / Commercial</x:v>
      </x:c>
      <x:c r="D26" s="209" t="n">
        <x:v>3</x:v>
      </x:c>
      <x:c r="E26" s="209" t="n">
        <x:v>5</x:v>
      </x:c>
      <x:c r="F26" s="209" t="n">
        <x:f>D26*E26</x:f>
        <x:v>15</x:v>
      </x:c>
      <x:c r="G26" s="209" t="str">
        <x:v>Employee-benefit KPIs; coaching experiments; applied-learning verification; manager and employee qualitative evidence; stop/modify decision.</x:v>
      </x:c>
      <x:c r="H26" s="209" t="str">
        <x:v>Product / L&amp;D / Executive Sponsor</x:v>
      </x:c>
      <x:c r="I26" s="209" t="str">
        <x:v>9–12</x:v>
      </x:c>
      <x:c r="J26" s="209" t="str">
        <x:v>Open</x:v>
      </x:c>
      <x:c r="K26" s="209" t="n">
        <x:v>8</x:v>
      </x:c>
      <x:c r="L26" s="210" t="str">
        <x:v>No measurable reduction in rework/gaps or low employee usefulness after controlled trial.</x:v>
      </x:c>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A1:L1"/>
    <x:mergeCell ref="A2:L2"/>
  </x:mergeCells>
  <x:conditionalFormatting sqref="F5:F16">
    <x:cfRule type="colorScale" priority="1">
      <x:colorScale>
        <x:cfvo type="min"/>
        <x:cfvo type="percentile" val="50"/>
        <x:cfvo type="max"/>
        <x:color rgb="FFDCFCE7"/>
        <x:color rgb="FFFEF3C7"/>
        <x:color rgb="FFFEE2E2"/>
      </x:colorScale>
    </x:cfRule>
  </x:conditionalFormatting>
  <x:conditionalFormatting sqref="F5:F26">
    <x:cfRule type="colorScale" priority="2">
      <x:colorScale>
        <x:cfvo type="min"/>
        <x:cfvo type="percentile" val="50"/>
        <x:cfvo type="max"/>
        <x:color rgb="FFE2F0D9"/>
        <x:color rgb="FFFFF2CC"/>
        <x:color rgb="FFFCE4D6"/>
      </x:colorScale>
    </x:cfRule>
  </x:conditionalFormatting>
  <x:dataValidations count="3">
    <x:dataValidation operator="between" sqref="D5:D26">
      <x:formula1>1</x:formula1>
      <x:formula2>5</x:formula2>
    </x:dataValidation>
    <x:dataValidation operator="between" sqref="E5:E26">
      <x:formula1>1</x:formula1>
      <x:formula2>5</x:formula2>
    </x:dataValidation>
    <x:dataValidation type="list" sqref="J5:J26">
      <x:formula1>"Open,Mitigating,Accepted,Closed,Blocked"</x:formula1>
    </x:dataValidation>
  </x:dataValidations>
  <x:pageMargins left="0.7" right="0.7" top="0.75" bottom="0.75" header="0.3" footer="0.3"/>
  <x:tableParts count="1">
    <x:tablePart xmlns:r="http://schemas.openxmlformats.org/officeDocument/2006/relationships" r:id="Rbfd32d37e9604fca"/>
  </x:tableParts>
</x:worksheet>
</file>

<file path=xl/worksheets/sheet13.xml><?xml version="1.0" encoding="utf-8"?>
<x:worksheet xmlns:x="http://schemas.openxmlformats.org/spreadsheetml/2006/main">
  <x:sheetFormatPr defaultRowHeight="15"/>
  <x:cols>
    <x:col min="1" max="1" width="34" hidden="0" customWidth="1"/>
    <x:col min="2" max="2" width="18" hidden="0" customWidth="1"/>
    <x:col min="3" max="3" width="4" hidden="0" customWidth="1"/>
    <x:col min="5" max="5" width="45" hidden="0" customWidth="1"/>
    <x:col min="6" max="6" width="14" hidden="0" customWidth="1"/>
    <x:col min="7" max="7" width="4" hidden="0" customWidth="1"/>
    <x:col min="8" max="8" width="18" hidden="0" customWidth="1"/>
    <x:col min="9" max="9" width="18" hidden="0" customWidth="1"/>
    <x:col min="10" max="10" width="18" hidden="0" customWidth="1"/>
    <x:col min="4" max="4" width="10" hidden="0" customWidth="1"/>
  </x:cols>
  <x:sheetData>
    <x:row r="1" ht="30" customHeight="1">
      <x:c r="A1" s="161" t="str">
        <x:v>Programme KPI Dashboard</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Formula-driven programme summary. Foundation readiness reflects draft maturity and outstanding gate conditions; it is not a legal or leadership approval.</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Programme metric</x:v>
      </x:c>
      <x:c r="B4" s="175" t="str">
        <x:v>Value</x:v>
      </x:c>
      <x:c r="C4" s="49"/>
      <x:c r="D4" s="169" t="str">
        <x:v>Stage</x:v>
      </x:c>
      <x:c r="E4" s="170" t="str">
        <x:v>Stage name</x:v>
      </x:c>
      <x:c r="F4" s="175" t="str">
        <x:v>Effort PW</x:v>
      </x:c>
      <x:c r="G4" s="62"/>
      <x:c r="H4" s="62"/>
      <x:c r="I4" s="62"/>
      <x:c r="J4" s="62"/>
      <x:c r="K4" s="47"/>
      <x:c r="L4" s="47"/>
      <x:c r="M4" s="47"/>
      <x:c r="N4" s="47"/>
      <x:c r="O4" s="47"/>
      <x:c r="P4" s="47"/>
      <x:c r="Q4" s="47"/>
      <x:c r="R4" s="47"/>
      <x:c r="S4" s="47"/>
      <x:c r="T4" s="47"/>
      <x:c r="U4" s="47"/>
      <x:c r="V4" s="47"/>
      <x:c r="W4" s="47"/>
      <x:c r="X4" s="47"/>
      <x:c r="Y4" s="47"/>
      <x:c r="Z4" s="47"/>
    </x:row>
    <x:row r="5">
      <x:c r="A5" s="197" t="str">
        <x:v>Total stages</x:v>
      </x:c>
      <x:c r="B5" s="220" t="n">
        <x:f>COUNTA('Delivery Stages'!A5:A17)</x:f>
        <x:v>13</x:v>
      </x:c>
      <x:c r="C5" s="50"/>
      <x:c r="D5" s="197" t="n">
        <x:f>'Delivery Stages'!A5</x:f>
        <x:v>0</x:v>
      </x:c>
      <x:c r="E5" s="181" t="str">
        <x:f>'Delivery Stages'!B5</x:f>
        <x:v>Foundation — charter, governance and legal boundary</x:v>
      </x:c>
      <x:c r="F5" s="182" t="n">
        <x:f>'Delivery Stages'!N5</x:f>
        <x:v>16</x:v>
      </x:c>
      <x:c r="G5" s="48"/>
      <x:c r="H5" s="48"/>
      <x:c r="I5" s="48"/>
      <x:c r="J5" s="48"/>
      <x:c r="K5" s="47"/>
      <x:c r="L5" s="47"/>
      <x:c r="M5" s="47"/>
      <x:c r="N5" s="47"/>
      <x:c r="O5" s="47"/>
      <x:c r="P5" s="47"/>
      <x:c r="Q5" s="47"/>
      <x:c r="R5" s="47"/>
      <x:c r="S5" s="47"/>
      <x:c r="T5" s="47"/>
      <x:c r="U5" s="47"/>
      <x:c r="V5" s="47"/>
      <x:c r="W5" s="47"/>
      <x:c r="X5" s="47"/>
      <x:c r="Y5" s="47"/>
      <x:c r="Z5" s="47"/>
    </x:row>
    <x:row r="6">
      <x:c r="A6" s="199" t="str">
        <x:v>Total planned duration weeks</x:v>
      </x:c>
      <x:c r="B6" s="201" t="n">
        <x:f>SUM('Delivery Stages'!D5:D17)</x:f>
        <x:v>64</x:v>
      </x:c>
      <x:c r="C6" s="50"/>
      <x:c r="D6" s="199" t="n">
        <x:f>'Delivery Stages'!A6</x:f>
        <x:v>1</x:v>
      </x:c>
      <x:c r="E6" s="185" t="str">
        <x:f>'Delivery Stages'!B6</x:f>
        <x:v>Foundation — market validation and reference architecture</x:v>
      </x:c>
      <x:c r="F6" s="186" t="n">
        <x:f>'Delivery Stages'!N6</x:f>
        <x:v>20</x:v>
      </x:c>
      <x:c r="G6" s="48"/>
      <x:c r="H6" s="48"/>
      <x:c r="I6" s="48"/>
      <x:c r="J6" s="48"/>
      <x:c r="K6" s="47"/>
      <x:c r="L6" s="47"/>
      <x:c r="M6" s="47"/>
      <x:c r="N6" s="47"/>
      <x:c r="O6" s="47"/>
      <x:c r="P6" s="47"/>
      <x:c r="Q6" s="47"/>
      <x:c r="R6" s="47"/>
      <x:c r="S6" s="47"/>
      <x:c r="T6" s="47"/>
      <x:c r="U6" s="47"/>
      <x:c r="V6" s="47"/>
      <x:c r="W6" s="47"/>
      <x:c r="X6" s="47"/>
      <x:c r="Y6" s="47"/>
      <x:c r="Z6" s="47"/>
    </x:row>
    <x:row r="7">
      <x:c r="A7" s="199" t="str">
        <x:v>Indicative total effort person-weeks</x:v>
      </x:c>
      <x:c r="B7" s="201" t="n">
        <x:f>SUM('Delivery Stages'!N5:N17)</x:f>
        <x:v>572</x:v>
      </x:c>
      <x:c r="C7" s="50"/>
      <x:c r="D7" s="199" t="n">
        <x:f>'Delivery Stages'!A7</x:f>
        <x:v>2</x:v>
      </x:c>
      <x:c r="E7" s="185" t="str">
        <x:f>'Delivery Stages'!B7</x:f>
        <x:v>Role capability and task contract ontology</x:v>
      </x:c>
      <x:c r="F7" s="186" t="n">
        <x:f>'Delivery Stages'!N7</x:f>
        <x:v>21</x:v>
      </x:c>
      <x:c r="G7" s="48"/>
      <x:c r="H7" s="48"/>
      <x:c r="I7" s="48"/>
      <x:c r="J7" s="48"/>
      <x:c r="K7" s="47"/>
      <x:c r="L7" s="47"/>
      <x:c r="M7" s="47"/>
      <x:c r="N7" s="47"/>
      <x:c r="O7" s="47"/>
      <x:c r="P7" s="47"/>
      <x:c r="Q7" s="47"/>
      <x:c r="R7" s="47"/>
      <x:c r="S7" s="47"/>
      <x:c r="T7" s="47"/>
      <x:c r="U7" s="47"/>
      <x:c r="V7" s="47"/>
      <x:c r="W7" s="47"/>
      <x:c r="X7" s="47"/>
      <x:c r="Y7" s="47"/>
      <x:c r="Z7" s="47"/>
    </x:row>
    <x:row r="8">
      <x:c r="A8" s="199" t="str">
        <x:v>Critical-priority stages</x:v>
      </x:c>
      <x:c r="B8" s="201" t="n">
        <x:f>COUNTIF('Delivery Stages'!J5:J17,"Critical")</x:f>
        <x:v>8</x:v>
      </x:c>
      <x:c r="C8" s="50"/>
      <x:c r="D8" s="199" t="n">
        <x:f>'Delivery Stages'!A8</x:f>
        <x:v>3</x:v>
      </x:c>
      <x:c r="E8" s="185" t="str">
        <x:f>'Delivery Stages'!B8</x:f>
        <x:v>Device agent foundation</x:v>
      </x:c>
      <x:c r="F8" s="186" t="n">
        <x:f>'Delivery Stages'!N8</x:f>
        <x:v>40</x:v>
      </x:c>
      <x:c r="G8" s="48"/>
      <x:c r="H8" s="48"/>
      <x:c r="I8" s="48"/>
      <x:c r="J8" s="48"/>
      <x:c r="K8" s="47"/>
      <x:c r="L8" s="47"/>
      <x:c r="M8" s="47"/>
      <x:c r="N8" s="47"/>
      <x:c r="O8" s="47"/>
      <x:c r="P8" s="47"/>
      <x:c r="Q8" s="47"/>
      <x:c r="R8" s="47"/>
      <x:c r="S8" s="47"/>
      <x:c r="T8" s="47"/>
      <x:c r="U8" s="47"/>
      <x:c r="V8" s="47"/>
      <x:c r="W8" s="47"/>
      <x:c r="X8" s="47"/>
      <x:c r="Y8" s="47"/>
      <x:c r="Z8" s="47"/>
    </x:row>
    <x:row r="9">
      <x:c r="A9" s="199" t="str">
        <x:v>High-risk stages</x:v>
      </x:c>
      <x:c r="B9" s="201" t="n">
        <x:f>COUNTIF('Delivery Stages'!K5:K17,"High")</x:f>
        <x:v>12</x:v>
      </x:c>
      <x:c r="C9" s="50"/>
      <x:c r="D9" s="199" t="n">
        <x:f>'Delivery Stages'!A9</x:f>
        <x:v>4</x:v>
      </x:c>
      <x:c r="E9" s="185" t="str">
        <x:f>'Delivery Stages'!B9</x:f>
        <x:v>Telemetry ingestion and evidence storage</x:v>
      </x:c>
      <x:c r="F9" s="186" t="n">
        <x:f>'Delivery Stages'!N9</x:f>
        <x:v>28</x:v>
      </x:c>
      <x:c r="G9" s="48"/>
      <x:c r="H9" s="48"/>
      <x:c r="I9" s="48"/>
      <x:c r="J9" s="48"/>
      <x:c r="K9" s="47"/>
      <x:c r="L9" s="47"/>
      <x:c r="M9" s="47"/>
      <x:c r="N9" s="47"/>
      <x:c r="O9" s="47"/>
      <x:c r="P9" s="47"/>
      <x:c r="Q9" s="47"/>
      <x:c r="R9" s="47"/>
      <x:c r="S9" s="47"/>
      <x:c r="T9" s="47"/>
      <x:c r="U9" s="47"/>
      <x:c r="V9" s="47"/>
      <x:c r="W9" s="47"/>
      <x:c r="X9" s="47"/>
      <x:c r="Y9" s="47"/>
      <x:c r="Z9" s="47"/>
    </x:row>
    <x:row r="10">
      <x:c r="A10" s="199" t="str">
        <x:v>Stage 0 workplan maturity</x:v>
      </x:c>
      <x:c r="B10" s="247" t="n">
        <x:f>'Foundation Dashboard'!B6</x:f>
        <x:v>0.6529411764705886</x:v>
      </x:c>
      <x:c r="C10" s="50"/>
      <x:c r="D10" s="199" t="n">
        <x:f>'Delivery Stages'!A10</x:f>
        <x:v>5</x:v>
      </x:c>
      <x:c r="E10" s="200" t="str">
        <x:f>'Delivery Stages'!B10</x:f>
        <x:v>Universal capture MVP</x:v>
      </x:c>
      <x:c r="F10" s="201" t="n">
        <x:f>'Delivery Stages'!N10</x:f>
        <x:v>54</x:v>
      </x:c>
      <x:c r="G10" s="47"/>
      <x:c r="H10" s="47"/>
      <x:c r="I10" s="47"/>
      <x:c r="J10" s="47"/>
      <x:c r="K10" s="47"/>
      <x:c r="L10" s="47"/>
      <x:c r="M10" s="47"/>
      <x:c r="N10" s="47"/>
      <x:c r="O10" s="47"/>
      <x:c r="P10" s="47"/>
      <x:c r="Q10" s="47"/>
      <x:c r="R10" s="47"/>
      <x:c r="S10" s="47"/>
      <x:c r="T10" s="47"/>
      <x:c r="U10" s="47"/>
      <x:c r="V10" s="47"/>
      <x:c r="W10" s="47"/>
      <x:c r="X10" s="47"/>
      <x:c r="Y10" s="47"/>
      <x:c r="Z10" s="47"/>
    </x:row>
    <x:row r="11">
      <x:c r="A11" s="199" t="str">
        <x:v>Stage 1 workplan maturity</x:v>
      </x:c>
      <x:c r="B11" s="247" t="n">
        <x:f>'Foundation Dashboard'!B7</x:f>
        <x:v>0.7121212121212126</x:v>
      </x:c>
      <x:c r="C11" s="50"/>
      <x:c r="D11" s="199" t="n">
        <x:f>'Delivery Stages'!A11</x:f>
        <x:v>6</x:v>
      </x:c>
      <x:c r="E11" s="200" t="str">
        <x:f>'Delivery Stages'!B11</x:f>
        <x:v>Development semantics and AI-agent adapters</x:v>
      </x:c>
      <x:c r="F11" s="201" t="n">
        <x:f>'Delivery Stages'!N11</x:f>
        <x:v>54</x:v>
      </x:c>
      <x:c r="G11" s="47"/>
      <x:c r="H11" s="47"/>
      <x:c r="I11" s="47"/>
      <x:c r="J11" s="47"/>
      <x:c r="K11" s="47"/>
      <x:c r="L11" s="47"/>
      <x:c r="M11" s="47"/>
      <x:c r="N11" s="47"/>
      <x:c r="O11" s="47"/>
      <x:c r="P11" s="47"/>
      <x:c r="Q11" s="47"/>
      <x:c r="R11" s="47"/>
      <x:c r="S11" s="47"/>
      <x:c r="T11" s="47"/>
      <x:c r="U11" s="47"/>
      <x:c r="V11" s="47"/>
      <x:c r="W11" s="47"/>
      <x:c r="X11" s="47"/>
      <x:c r="Y11" s="47"/>
      <x:c r="Z11" s="47"/>
    </x:row>
    <x:row r="12" ht="32" customHeight="1">
      <x:c r="A12" s="199" t="str">
        <x:v>Stage 0 gate readiness</x:v>
      </x:c>
      <x:c r="B12" s="247" t="n">
        <x:f>'Foundation Dashboard'!B8</x:f>
        <x:v>0.5722222222222223</x:v>
      </x:c>
      <x:c r="C12" s="50"/>
      <x:c r="D12" s="199" t="n">
        <x:f>'Delivery Stages'!A12</x:f>
        <x:v>7</x:v>
      </x:c>
      <x:c r="E12" s="258" t="str">
        <x:f>'Delivery Stages'!B12</x:f>
        <x:v>Provenance and Task Assurance Engine</x:v>
      </x:c>
      <x:c r="F12" s="259" t="n">
        <x:f>'Delivery Stages'!N12</x:f>
        <x:v>70</x:v>
      </x:c>
      <x:c r="G12" s="47"/>
      <x:c r="H12" s="47"/>
      <x:c r="I12" s="47"/>
      <x:c r="J12" s="47"/>
      <x:c r="K12" s="47"/>
      <x:c r="L12" s="47"/>
      <x:c r="M12" s="47"/>
      <x:c r="N12" s="47"/>
      <x:c r="O12" s="47"/>
      <x:c r="P12" s="47"/>
      <x:c r="Q12" s="47"/>
      <x:c r="R12" s="47"/>
      <x:c r="S12" s="47"/>
      <x:c r="T12" s="47"/>
      <x:c r="U12" s="47"/>
      <x:c r="V12" s="47"/>
      <x:c r="W12" s="47"/>
      <x:c r="X12" s="47"/>
      <x:c r="Y12" s="47"/>
      <x:c r="Z12" s="47"/>
    </x:row>
    <x:row r="13">
      <x:c r="A13" s="199" t="str">
        <x:v>Stage 1 gate readiness</x:v>
      </x:c>
      <x:c r="B13" s="247" t="n">
        <x:f>'Foundation Dashboard'!B9</x:f>
        <x:v>0.5666666666666665</x:v>
      </x:c>
      <x:c r="C13" s="47"/>
      <x:c r="D13" s="199" t="n">
        <x:f>'Delivery Stages'!A13</x:f>
        <x:v>8</x:v>
      </x:c>
      <x:c r="E13" s="200" t="str">
        <x:f>'Delivery Stages'!B13</x:f>
        <x:v>Capability Graph and baseline assessment</x:v>
      </x:c>
      <x:c r="F13" s="201" t="n">
        <x:f>'Delivery Stages'!N13</x:f>
        <x:v>40</x:v>
      </x:c>
      <x:c r="G13" s="47"/>
      <x:c r="H13" s="47"/>
      <x:c r="I13" s="47"/>
      <x:c r="J13" s="47"/>
      <x:c r="K13" s="47"/>
      <x:c r="L13" s="47"/>
      <x:c r="M13" s="47"/>
      <x:c r="N13" s="47"/>
      <x:c r="O13" s="47"/>
      <x:c r="P13" s="47"/>
      <x:c r="Q13" s="47"/>
      <x:c r="R13" s="47"/>
      <x:c r="S13" s="47"/>
      <x:c r="T13" s="47"/>
      <x:c r="U13" s="47"/>
      <x:c r="V13" s="47"/>
      <x:c r="W13" s="47"/>
      <x:c r="X13" s="47"/>
      <x:c r="Y13" s="47"/>
      <x:c r="Z13" s="47"/>
    </x:row>
    <x:row r="14">
      <x:c r="A14" s="199" t="str">
        <x:v>Mandatory gate blockers/not-started</x:v>
      </x:c>
      <x:c r="B14" s="201" t="n">
        <x:f>'Foundation Dashboard'!B10</x:f>
        <x:v>5</x:v>
      </x:c>
      <x:c r="C14" s="47"/>
      <x:c r="D14" s="199" t="n">
        <x:f>'Delivery Stages'!A14</x:f>
        <x:v>9</x:v>
      </x:c>
      <x:c r="E14" s="200" t="str">
        <x:f>'Delivery Stages'!B14</x:f>
        <x:v>Growth Coach and learning loop</x:v>
      </x:c>
      <x:c r="F14" s="201" t="n">
        <x:f>'Delivery Stages'!N14</x:f>
        <x:v>40</x:v>
      </x:c>
      <x:c r="G14" s="47"/>
      <x:c r="H14" s="47"/>
      <x:c r="I14" s="47"/>
      <x:c r="J14" s="47"/>
      <x:c r="K14" s="47"/>
      <x:c r="L14" s="47"/>
      <x:c r="M14" s="47"/>
      <x:c r="N14" s="47"/>
      <x:c r="O14" s="47"/>
      <x:c r="P14" s="47"/>
      <x:c r="Q14" s="47"/>
      <x:c r="R14" s="47"/>
      <x:c r="S14" s="47"/>
      <x:c r="T14" s="47"/>
      <x:c r="U14" s="47"/>
      <x:c r="V14" s="47"/>
      <x:c r="W14" s="47"/>
      <x:c r="X14" s="47"/>
      <x:c r="Y14" s="47"/>
      <x:c r="Z14" s="47"/>
    </x:row>
    <x:row r="15">
      <x:c r="A15" s="199" t="str">
        <x:v>Open programme risks</x:v>
      </x:c>
      <x:c r="B15" s="201" t="n">
        <x:f>COUNTIF('Risk Register'!J5:J26,"Open")+COUNTIF('Risk Register'!J5:J26,"Mitigating")</x:f>
        <x:v>22</x:v>
      </x:c>
      <x:c r="C15" s="47"/>
      <x:c r="D15" s="199" t="n">
        <x:f>'Delivery Stages'!A15</x:f>
        <x:v>10</x:v>
      </x:c>
      <x:c r="E15" s="200" t="str">
        <x:f>'Delivery Stages'!B15</x:f>
        <x:v>Employee and manager experiences</x:v>
      </x:c>
      <x:c r="F15" s="201" t="n">
        <x:f>'Delivery Stages'!N15</x:f>
        <x:v>45</x:v>
      </x:c>
      <x:c r="G15" s="47"/>
      <x:c r="H15" s="47"/>
      <x:c r="I15" s="47"/>
      <x:c r="J15" s="47"/>
      <x:c r="K15" s="47"/>
      <x:c r="L15" s="47"/>
      <x:c r="M15" s="47"/>
      <x:c r="N15" s="47"/>
      <x:c r="O15" s="47"/>
      <x:c r="P15" s="47"/>
      <x:c r="Q15" s="47"/>
      <x:c r="R15" s="47"/>
      <x:c r="S15" s="47"/>
      <x:c r="T15" s="47"/>
      <x:c r="U15" s="47"/>
      <x:c r="V15" s="47"/>
      <x:c r="W15" s="47"/>
      <x:c r="X15" s="47"/>
      <x:c r="Y15" s="47"/>
      <x:c r="Z15" s="47"/>
    </x:row>
    <x:row r="16">
      <x:c r="A16" s="199" t="str">
        <x:v>High/critical inherent programme risks</x:v>
      </x:c>
      <x:c r="B16" s="201" t="n">
        <x:f>COUNTIF('Risk Register'!F5:F26,"&gt;=15")</x:f>
        <x:v>19</x:v>
      </x:c>
      <x:c r="C16" s="47"/>
      <x:c r="D16" s="199" t="n">
        <x:f>'Delivery Stages'!A16</x:f>
        <x:v>11</x:v>
      </x:c>
      <x:c r="E16" s="200" t="str">
        <x:f>'Delivery Stages'!B16</x:f>
        <x:v>Skill Forge and governed self-improvement</x:v>
      </x:c>
      <x:c r="F16" s="201" t="n">
        <x:f>'Delivery Stages'!N16</x:f>
        <x:v>48</x:v>
      </x:c>
      <x:c r="G16" s="47"/>
      <x:c r="H16" s="47"/>
      <x:c r="I16" s="47"/>
      <x:c r="J16" s="47"/>
      <x:c r="K16" s="47"/>
      <x:c r="L16" s="47"/>
      <x:c r="M16" s="47"/>
      <x:c r="N16" s="47"/>
      <x:c r="O16" s="47"/>
      <x:c r="P16" s="47"/>
      <x:c r="Q16" s="47"/>
      <x:c r="R16" s="47"/>
      <x:c r="S16" s="47"/>
      <x:c r="T16" s="47"/>
      <x:c r="U16" s="47"/>
      <x:c r="V16" s="47"/>
      <x:c r="W16" s="47"/>
      <x:c r="X16" s="47"/>
      <x:c r="Y16" s="47"/>
      <x:c r="Z16" s="47"/>
    </x:row>
    <x:row r="17">
      <x:c r="A17" s="199" t="str">
        <x:v>Residual high/critical foundation threats</x:v>
      </x:c>
      <x:c r="B17" s="201" t="n">
        <x:f>COUNTIF('Foundation Threats'!K5:K34,"&gt;=15")</x:f>
        <x:v>0</x:v>
      </x:c>
      <x:c r="C17" s="47"/>
      <x:c r="D17" s="202" t="n">
        <x:f>'Delivery Stages'!A17</x:f>
        <x:v>12</x:v>
      </x:c>
      <x:c r="E17" s="203" t="str">
        <x:f>'Delivery Stages'!B17</x:f>
        <x:v>Security hardening, internal pilot and rollout decision</x:v>
      </x:c>
      <x:c r="F17" s="204" t="n">
        <x:f>'Delivery Stages'!N17</x:f>
        <x:v>96</x:v>
      </x:c>
      <x:c r="G17" s="47"/>
      <x:c r="H17" s="47"/>
      <x:c r="I17" s="47"/>
      <x:c r="J17" s="47"/>
      <x:c r="K17" s="47"/>
      <x:c r="L17" s="47"/>
      <x:c r="M17" s="47"/>
      <x:c r="N17" s="47"/>
      <x:c r="O17" s="47"/>
      <x:c r="P17" s="47"/>
      <x:c r="Q17" s="47"/>
      <x:c r="R17" s="47"/>
      <x:c r="S17" s="47"/>
      <x:c r="T17" s="47"/>
      <x:c r="U17" s="47"/>
      <x:c r="V17" s="47"/>
      <x:c r="W17" s="47"/>
      <x:c r="X17" s="47"/>
      <x:c r="Y17" s="47"/>
      <x:c r="Z17" s="47"/>
    </x:row>
    <x:row r="18">
      <x:c r="A18" s="199" t="str">
        <x:v>Open assumptions/questions</x:v>
      </x:c>
      <x:c r="B18" s="201" t="n">
        <x:f>COUNTIF('Assumptions Questions'!H5:H44,"Open")+COUNTIF('Assumptions Questions'!H5:H44,"Assumed")+COUNTIF('Assumptions Questions'!H5:H44,"Draft decision")</x:f>
        <x:v>40</x:v>
      </x:c>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Architecture decisions accepted/in-principle</x:v>
      </x:c>
      <x:c r="B19" s="201" t="n">
        <x:f>COUNTIF('Architecture Decisions'!C5:C26,"Accepted in principle")+COUNTIF('Architecture Decisions'!C5:C26,"Accepted")</x:f>
        <x:v>20</x:v>
      </x:c>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2" t="str">
        <x:v>Registered research sources</x:v>
      </x:c>
      <x:c r="B20" s="204" t="n">
        <x:f>COUNTA('Source Register'!A5:A200)</x:f>
        <x:v>137</x:v>
      </x:c>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ht="30" customHeight="1">
      <x:c r="A24" s="261" t="str">
        <x:v>Leadership interpretation and decision rules</x:v>
      </x:c>
      <x:c r="B24" s="261"/>
      <x:c r="C24" s="261"/>
      <x:c r="D24" s="376" t="str">
        <x:v>Stage 2–3 metric</x:v>
      </x:c>
      <x:c r="E24" s="377" t="str">
        <x:v>Value</x:v>
      </x:c>
      <x:c r="F24" s="378" t="str">
        <x:v>Interpretation</x:v>
      </x:c>
      <x:c r="G24" s="261"/>
      <x:c r="H24" s="261"/>
      <x:c r="I24" s="261"/>
      <x:c r="J24" s="261"/>
      <x:c r="K24" s="47"/>
      <x:c r="L24" s="47"/>
      <x:c r="M24" s="47"/>
      <x:c r="N24" s="47"/>
      <x:c r="O24" s="47"/>
      <x:c r="P24" s="47"/>
      <x:c r="Q24" s="47"/>
      <x:c r="R24" s="47"/>
      <x:c r="S24" s="47"/>
      <x:c r="T24" s="47"/>
      <x:c r="U24" s="47"/>
      <x:c r="V24" s="47"/>
      <x:c r="W24" s="47"/>
      <x:c r="X24" s="47"/>
      <x:c r="Y24" s="47"/>
      <x:c r="Z24" s="47"/>
    </x:row>
    <x:row r="25" ht="28" customHeight="1">
      <x:c r="A25" s="169" t="str">
        <x:v>#</x:v>
      </x:c>
      <x:c r="B25" s="175" t="str">
        <x:v>Decision rule</x:v>
      </x:c>
      <x:c r="C25" s="47"/>
      <x:c r="D25" s="391" t="str">
        <x:v>Stage 2 gate readiness</x:v>
      </x:c>
      <x:c r="E25" s="399" t="n">
        <x:f>'Stage 2-3 Dashboard'!B5</x:f>
        <x:v>0.7571428571428572</x:v>
      </x:c>
      <x:c r="F25" s="393" t="str">
        <x:v>Ontology specification readiness; formal approval pending.</x:v>
      </x:c>
      <x:c r="G25" s="47"/>
      <x:c r="H25" s="47"/>
      <x:c r="I25" s="47"/>
      <x:c r="J25" s="47"/>
      <x:c r="K25" s="47"/>
      <x:c r="L25" s="47"/>
      <x:c r="M25" s="47"/>
      <x:c r="N25" s="47"/>
      <x:c r="O25" s="47"/>
      <x:c r="P25" s="47"/>
      <x:c r="Q25" s="47"/>
      <x:c r="R25" s="47"/>
      <x:c r="S25" s="47"/>
      <x:c r="T25" s="47"/>
      <x:c r="U25" s="47"/>
      <x:c r="V25" s="47"/>
      <x:c r="W25" s="47"/>
      <x:c r="X25" s="47"/>
      <x:c r="Y25" s="47"/>
      <x:c r="Z25" s="47"/>
    </x:row>
    <x:row r="26">
      <x:c r="A26" s="197" t="str">
        <x:v>1</x:v>
      </x:c>
      <x:c r="B26" s="262" t="str">
        <x:v>Foundation drafting is complete; Stage 0 remains unapproved until DPIA/DPO, legal, worker consultation, security and executive decisions are recorded.</x:v>
      </x:c>
      <x:c r="C26" s="267"/>
      <x:c r="D26" s="383" t="str">
        <x:v>Stage 3 gate readiness</x:v>
      </x:c>
      <x:c r="E26" s="400" t="n">
        <x:f>'Stage 2-3 Dashboard'!B6</x:f>
        <x:v>0.7333333333333333</x:v>
      </x:c>
      <x:c r="F26" s="384" t="str">
        <x:v>Device-agent foundation readiness; code implementation pending.</x:v>
      </x:c>
      <x:c r="G26" s="267"/>
      <x:c r="H26" s="267"/>
      <x:c r="I26" s="267"/>
      <x:c r="J26" s="268"/>
      <x:c r="K26" s="47"/>
      <x:c r="L26" s="47"/>
      <x:c r="M26" s="47"/>
      <x:c r="N26" s="47"/>
      <x:c r="O26" s="47"/>
      <x:c r="P26" s="47"/>
      <x:c r="Q26" s="47"/>
      <x:c r="R26" s="47"/>
      <x:c r="S26" s="47"/>
      <x:c r="T26" s="47"/>
      <x:c r="U26" s="47"/>
      <x:c r="V26" s="47"/>
      <x:c r="W26" s="47"/>
      <x:c r="X26" s="47"/>
      <x:c r="Y26" s="47"/>
      <x:c r="Z26" s="47"/>
    </x:row>
    <x:row r="27">
      <x:c r="A27" s="199" t="str">
        <x:v>2</x:v>
      </x:c>
      <x:c r="B27" s="262" t="str">
        <x:v>Stage 1 remains unapproved until formal licence, platform inventory, cost, resourcing and Architecture Board decisions are recorded.</x:v>
      </x:c>
      <x:c r="C27" s="267"/>
      <x:c r="D27" s="383" t="str">
        <x:v>Stage 2 backlog maturity</x:v>
      </x:c>
      <x:c r="E27" s="400" t="n">
        <x:f>'Stage 2-3 Dashboard'!B7</x:f>
        <x:v>0</x:v>
      </x:c>
      <x:c r="F27" s="384" t="str">
        <x:v>Backlog is not started; specs are drafted.</x:v>
      </x:c>
      <x:c r="G27" s="267"/>
      <x:c r="H27" s="267"/>
      <x:c r="I27" s="267"/>
      <x:c r="J27" s="268"/>
      <x:c r="K27" s="47"/>
      <x:c r="L27" s="47"/>
      <x:c r="M27" s="47"/>
      <x:c r="N27" s="47"/>
      <x:c r="O27" s="47"/>
      <x:c r="P27" s="47"/>
      <x:c r="Q27" s="47"/>
      <x:c r="R27" s="47"/>
      <x:c r="S27" s="47"/>
      <x:c r="T27" s="47"/>
      <x:c r="U27" s="47"/>
      <x:c r="V27" s="47"/>
      <x:c r="W27" s="47"/>
      <x:c r="X27" s="47"/>
      <x:c r="Y27" s="47"/>
      <x:c r="Z27" s="47"/>
    </x:row>
    <x:row r="28">
      <x:c r="A28" s="199" t="str">
        <x:v>3</x:v>
      </x:c>
      <x:c r="B28" s="262" t="str">
        <x:v>Stage 2 and Stage 3 prompts are ready and may be mobilised conditionally, but implementation involving employee monitoring must not bypass Stage 0 conditions.</x:v>
      </x:c>
      <x:c r="C28" s="267"/>
      <x:c r="D28" s="383" t="str">
        <x:v>Stage 3 backlog maturity</x:v>
      </x:c>
      <x:c r="E28" s="400" t="n">
        <x:f>'Stage 2-3 Dashboard'!B8</x:f>
        <x:v>0</x:v>
      </x:c>
      <x:c r="F28" s="384" t="str">
        <x:v>Backlog is not started; specs are drafted.</x:v>
      </x:c>
      <x:c r="G28" s="267"/>
      <x:c r="H28" s="267"/>
      <x:c r="I28" s="267"/>
      <x:c r="J28" s="268"/>
      <x:c r="K28" s="47"/>
      <x:c r="L28" s="47"/>
      <x:c r="M28" s="47"/>
      <x:c r="N28" s="47"/>
      <x:c r="O28" s="47"/>
      <x:c r="P28" s="47"/>
      <x:c r="Q28" s="47"/>
      <x:c r="R28" s="47"/>
      <x:c r="S28" s="47"/>
      <x:c r="T28" s="47"/>
      <x:c r="U28" s="47"/>
      <x:c r="V28" s="47"/>
      <x:c r="W28" s="47"/>
      <x:c r="X28" s="47"/>
      <x:c r="Y28" s="47"/>
      <x:c r="Z28" s="47"/>
    </x:row>
    <x:row r="29">
      <x:c r="A29" s="199" t="str">
        <x:v>4</x:v>
      </x:c>
      <x:c r="B29" s="262" t="str">
        <x:v>Build the proprietary evidence/provenance, Task Assurance, Capability Graph, Growth Coach and Skill Forge layers; reuse standards and HumanOS foundation services.</x:v>
      </x:c>
      <x:c r="C29" s="267"/>
      <x:c r="D29" s="383" t="str">
        <x:v>Stage 2 sources</x:v>
      </x:c>
      <x:c r="E29" s="379" t="n">
        <x:f>'Stage 2-3 Dashboard'!B13</x:f>
        <x:v>12</x:v>
      </x:c>
      <x:c r="F29" s="384" t="str">
        <x:v>Stage-specific sources.</x:v>
      </x:c>
      <x:c r="G29" s="267"/>
      <x:c r="H29" s="267"/>
      <x:c r="I29" s="267"/>
      <x:c r="J29" s="268"/>
      <x:c r="K29" s="47"/>
      <x:c r="L29" s="47"/>
      <x:c r="M29" s="47"/>
      <x:c r="N29" s="47"/>
      <x:c r="O29" s="47"/>
      <x:c r="P29" s="47"/>
      <x:c r="Q29" s="47"/>
      <x:c r="R29" s="47"/>
      <x:c r="S29" s="47"/>
      <x:c r="T29" s="47"/>
      <x:c r="U29" s="47"/>
      <x:c r="V29" s="47"/>
      <x:c r="W29" s="47"/>
      <x:c r="X29" s="47"/>
      <x:c r="Y29" s="47"/>
      <x:c r="Z29" s="47"/>
    </x:row>
    <x:row r="30">
      <x:c r="A30" s="199" t="str">
        <x:v>5</x:v>
      </x:c>
      <x:c r="B30" s="262" t="str">
        <x:v>Do not measure productivity through click, keystroke, code-volume or hours alone. Use task outcomes, quality, independence, context and employee response.</x:v>
      </x:c>
      <x:c r="C30" s="267"/>
      <x:c r="D30" s="385" t="str">
        <x:v>Stage 3 sources</x:v>
      </x:c>
      <x:c r="E30" s="386" t="n">
        <x:f>'Stage 2-3 Dashboard'!B14</x:f>
        <x:v>20</x:v>
      </x:c>
      <x:c r="F30" s="387" t="str">
        <x:v>Stage-specific sources.</x:v>
      </x:c>
      <x:c r="G30" s="267"/>
      <x:c r="H30" s="267"/>
      <x:c r="I30" s="267"/>
      <x:c r="J30" s="268"/>
      <x:c r="K30" s="47"/>
      <x:c r="L30" s="47"/>
      <x:c r="M30" s="47"/>
      <x:c r="N30" s="47"/>
      <x:c r="O30" s="47"/>
      <x:c r="P30" s="47"/>
      <x:c r="Q30" s="47"/>
      <x:c r="R30" s="47"/>
      <x:c r="S30" s="47"/>
      <x:c r="T30" s="47"/>
      <x:c r="U30" s="47"/>
      <x:c r="V30" s="47"/>
      <x:c r="W30" s="47"/>
      <x:c r="X30" s="47"/>
      <x:c r="Y30" s="47"/>
      <x:c r="Z30" s="47"/>
    </x:row>
    <x:row r="31">
      <x:c r="A31" s="199" t="str">
        <x:v>6</x:v>
      </x:c>
      <x:c r="B31" s="262" t="str">
        <x:v>Keep operational observability separate from sensitive employee evidence; use references and correlation identifiers rather than copying content into traces.</x:v>
      </x:c>
      <x:c r="C31" s="267"/>
      <x:c r="D31" s="267"/>
      <x:c r="E31" s="267"/>
      <x:c r="F31" s="267"/>
      <x:c r="G31" s="267"/>
      <x:c r="H31" s="267"/>
      <x:c r="I31" s="267"/>
      <x:c r="J31" s="268"/>
      <x:c r="K31" s="47"/>
      <x:c r="L31" s="47"/>
      <x:c r="M31" s="47"/>
      <x:c r="N31" s="47"/>
      <x:c r="O31" s="47"/>
      <x:c r="P31" s="47"/>
      <x:c r="Q31" s="47"/>
      <x:c r="R31" s="47"/>
      <x:c r="S31" s="47"/>
      <x:c r="T31" s="47"/>
      <x:c r="U31" s="47"/>
      <x:c r="V31" s="47"/>
      <x:c r="W31" s="47"/>
      <x:c r="X31" s="47"/>
      <x:c r="Y31" s="47"/>
      <x:c r="Z31" s="47"/>
    </x:row>
    <x:row r="32">
      <x:c r="A32" s="202" t="str">
        <x:v>7</x:v>
      </x:c>
      <x:c r="B32" s="262" t="str">
        <x:v>Pilot success requires employee usefulness and trust evidence as well as capture and model accuracy.</x:v>
      </x:c>
      <x:c r="C32" s="267"/>
      <x:c r="D32" s="267"/>
      <x:c r="E32" s="267"/>
      <x:c r="F32" s="267"/>
      <x:c r="G32" s="267"/>
      <x:c r="H32" s="267"/>
      <x:c r="I32" s="267"/>
      <x:c r="J32" s="268"/>
      <x:c r="K32" s="47"/>
      <x:c r="L32" s="47"/>
      <x:c r="M32" s="47"/>
      <x:c r="N32" s="47"/>
      <x:c r="O32" s="47"/>
      <x:c r="P32" s="47"/>
      <x:c r="Q32" s="47"/>
      <x:c r="R32" s="47"/>
      <x:c r="S32" s="47"/>
      <x:c r="T32" s="47"/>
      <x:c r="U32" s="47"/>
      <x:c r="V32" s="47"/>
      <x:c r="W32" s="47"/>
      <x:c r="X32" s="47"/>
      <x:c r="Y32" s="47"/>
      <x:c r="Z32" s="47"/>
    </x:row>
    <x:row r="33" ht="30" customHeight="1">
      <x:c r="A33" s="47"/>
      <x:c r="B33" s="47"/>
      <x:c r="C33" s="47"/>
      <x:c r="D33" s="531" t="str">
        <x:v>Stage 4–5 metric</x:v>
      </x:c>
      <x:c r="E33" s="532" t="str">
        <x:v>Value</x:v>
      </x:c>
      <x:c r="F33" s="533" t="str">
        <x:v>Interpretation</x:v>
      </x:c>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550" t="str">
        <x:v>Stage 4 gate readiness</x:v>
      </x:c>
      <x:c r="E34" s="558" t="n">
        <x:f>'Stage 4-5 Dashboard'!B5</x:f>
        <x:v>0.7333333333333335</x:v>
      </x:c>
      <x:c r="F34" s="552" t="str">
        <x:v>Evidence-ingestion/storage specification readiness; implementation and formal approval pending.</x:v>
      </x:c>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553" t="str">
        <x:v>Stage 5 gate readiness</x:v>
      </x:c>
      <x:c r="E35" s="559" t="n">
        <x:f>'Stage 4-5 Dashboard'!B6</x:f>
        <x:v>0.7375000000000002</x:v>
      </x:c>
      <x:c r="F35" s="554" t="str">
        <x:v>Universal-capture specification readiness; privacy/performance implementation pending.</x:v>
      </x:c>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553" t="str">
        <x:v>Stage 4 backlog maturity</x:v>
      </x:c>
      <x:c r="E36" s="559" t="n">
        <x:f>'Stage 4-5 Dashboard'!B7</x:f>
        <x:v>0</x:v>
      </x:c>
      <x:c r="F36" s="554" t="str">
        <x:v>Implementation backlog not started.</x:v>
      </x:c>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553" t="str">
        <x:v>Stage 5 backlog maturity</x:v>
      </x:c>
      <x:c r="E37" s="559" t="n">
        <x:f>'Stage 4-5 Dashboard'!B8</x:f>
        <x:v>0</x:v>
      </x:c>
      <x:c r="F37" s="554" t="str">
        <x:v>Implementation backlog not started.</x:v>
      </x:c>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553" t="str">
        <x:v>Stage 4 sources</x:v>
      </x:c>
      <x:c r="E38" s="200" t="n">
        <x:f>'Stage 4-5 Dashboard'!B13</x:f>
        <x:v>15</x:v>
      </x:c>
      <x:c r="F38" s="554" t="str">
        <x:v>Stage-specific primary sources.</x:v>
      </x:c>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555" t="str">
        <x:v>Stage 5 sources</x:v>
      </x:c>
      <x:c r="E39" s="556" t="n">
        <x:f>'Stage 4-5 Dashboard'!B14</x:f>
        <x:v>19</x:v>
      </x:c>
      <x:c r="F39" s="557" t="str">
        <x:v>Stage-specific primary sources.</x:v>
      </x:c>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ht="30" customHeight="1">
      <x:c r="A42" s="47"/>
      <x:c r="B42" s="47"/>
      <x:c r="C42" s="47"/>
      <x:c r="D42" s="645" t="str">
        <x:v>Stage 6–7 metric</x:v>
      </x:c>
      <x:c r="E42" s="646" t="str">
        <x:v>Value</x:v>
      </x:c>
      <x:c r="F42" s="647" t="str">
        <x:v>Interpretation</x:v>
      </x:c>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664" t="str">
        <x:v>Stage 6 gate readiness</x:v>
      </x:c>
      <x:c r="E43" s="672" t="n">
        <x:f>'Stage 6-7 Dashboard'!B5</x:f>
        <x:v>0.72</x:v>
      </x:c>
      <x:c r="F43" s="666" t="str">
        <x:v>Semantic-adapter specification readiness; implementation and formal approval pending.</x:v>
      </x:c>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667" t="str">
        <x:v>Stage 7 gate readiness</x:v>
      </x:c>
      <x:c r="E44" s="559" t="n">
        <x:f>'Stage 6-7 Dashboard'!B6</x:f>
        <x:v>0.7333333333333333</x:v>
      </x:c>
      <x:c r="F44" s="668" t="str">
        <x:v>Provenance/Task Assurance specification readiness; evaluation and formal approval pending.</x:v>
      </x:c>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667" t="str">
        <x:v>Stage 6 backlog maturity</x:v>
      </x:c>
      <x:c r="E45" s="559" t="n">
        <x:f>'Stage 6-7 Dashboard'!B7</x:f>
        <x:v>0</x:v>
      </x:c>
      <x:c r="F45" s="668" t="str">
        <x:v>Adapter implementation backlog not started.</x:v>
      </x:c>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667" t="str">
        <x:v>Stage 7 backlog maturity</x:v>
      </x:c>
      <x:c r="E46" s="559" t="n">
        <x:f>'Stage 6-7 Dashboard'!B8</x:f>
        <x:v>0</x:v>
      </x:c>
      <x:c r="F46" s="668" t="str">
        <x:v>Task-assurance implementation backlog not started.</x:v>
      </x:c>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667" t="str">
        <x:v>Stage 6–7 sources</x:v>
      </x:c>
      <x:c r="E47" s="200" t="n">
        <x:f>'Stage 6-7 Dashboard'!B12</x:f>
        <x:v>16</x:v>
      </x:c>
      <x:c r="F47" s="668" t="str">
        <x:v>Stage-specific primary sources.</x:v>
      </x:c>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669" t="str">
        <x:v>Evaluation cases</x:v>
      </x:c>
      <x:c r="E48" s="670" t="n">
        <x:f>'Stage 6-7 Dashboard'!B15</x:f>
        <x:v>20</x:v>
      </x:c>
      <x:c r="F48" s="671" t="str">
        <x:v>Initial labelled dataset cases specified.</x:v>
      </x:c>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ht="30" customHeight="1">
      <x:c r="A51" s="47"/>
      <x:c r="B51" s="47"/>
      <x:c r="C51" s="47"/>
      <x:c r="D51" s="767" t="str">
        <x:v>Stage 8–9 metric</x:v>
      </x:c>
      <x:c r="E51" s="768" t="str">
        <x:v>Value</x:v>
      </x:c>
      <x:c r="F51" s="769" t="str">
        <x:v>Interpretation</x:v>
      </x:c>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786" t="str">
        <x:v>Stage 8 gate readiness</x:v>
      </x:c>
      <x:c r="E52" s="794" t="n">
        <x:f>'Stage 8-9 Dashboard'!B5</x:f>
        <x:v>0.7285714285714285</x:v>
      </x:c>
      <x:c r="F52" s="788" t="str">
        <x:v>Capability Graph specification readiness; implementation, calibration and formal approval pending.</x:v>
      </x:c>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789" t="str">
        <x:v>Stage 9 gate readiness</x:v>
      </x:c>
      <x:c r="E53" s="559" t="n">
        <x:f>'Stage 8-9 Dashboard'!B6</x:f>
        <x:v>0.7428571428571429</x:v>
      </x:c>
      <x:c r="F53" s="790" t="str">
        <x:v>Growth Coach specification readiness; safety/usefulness implementation and formal approval pending.</x:v>
      </x:c>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789" t="str">
        <x:v>Stage 8 backlog maturity</x:v>
      </x:c>
      <x:c r="E54" s="559" t="n">
        <x:f>'Stage 8-9 Dashboard'!B7</x:f>
        <x:v>0</x:v>
      </x:c>
      <x:c r="F54" s="790" t="str">
        <x:v>Capability implementation backlog not started.</x:v>
      </x:c>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789" t="str">
        <x:v>Stage 9 backlog maturity</x:v>
      </x:c>
      <x:c r="E55" s="559" t="n">
        <x:f>'Stage 8-9 Dashboard'!B8</x:f>
        <x:v>0</x:v>
      </x:c>
      <x:c r="F55" s="790" t="str">
        <x:v>Coaching/learning implementation backlog not started.</x:v>
      </x:c>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789" t="str">
        <x:v>Stage 8–9 sources</x:v>
      </x:c>
      <x:c r="E56" s="200" t="n">
        <x:f>'Stage 8-9 Dashboard'!B12</x:f>
        <x:v>23</x:v>
      </x:c>
      <x:c r="F56" s="790" t="str">
        <x:v>Current framework, learning and coaching sources.</x:v>
      </x:c>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791" t="str">
        <x:v>Effectiveness metrics</x:v>
      </x:c>
      <x:c r="E57" s="792" t="n">
        <x:f>'Stage 8-9 Dashboard'!B18</x:f>
        <x:v>22</x:v>
      </x:c>
      <x:c r="F57" s="793" t="str">
        <x:v>System-quality and applied-learning measures specified.</x:v>
      </x:c>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ht="30" customHeight="1">
      <x:c r="A60" s="47"/>
      <x:c r="B60" s="47"/>
      <x:c r="C60" s="47"/>
      <x:c r="D60" s="885" t="str">
        <x:v>Stage 10–11 metric</x:v>
      </x:c>
      <x:c r="E60" s="886" t="str">
        <x:v>Value</x:v>
      </x:c>
      <x:c r="F60" s="887" t="str">
        <x:v>Interpretation</x:v>
      </x:c>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904" t="str">
        <x:v>Stage 10 gate readiness</x:v>
      </x:c>
      <x:c r="E61" s="912" t="n">
        <x:f>'Stage 10-11 Dashboard'!B5</x:f>
        <x:v>0.7444444444444446</x:v>
      </x:c>
      <x:c r="F61" s="906" t="str">
        <x:v>Human experience specification readiness; implementation, accessibility and formal approval pending.</x:v>
      </x:c>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907" t="str">
        <x:v>Stage 11 gate readiness</x:v>
      </x:c>
      <x:c r="E62" s="559" t="n">
        <x:f>'Stage 10-11 Dashboard'!B6</x:f>
        <x:v>0.7444444444444446</x:v>
      </x:c>
      <x:c r="F62" s="908" t="str">
        <x:v>Skill Forge specification readiness; supply-chain/evaluation implementation and formal approval pending.</x:v>
      </x:c>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907" t="str">
        <x:v>Stage 10 backlog maturity</x:v>
      </x:c>
      <x:c r="E63" s="559" t="n">
        <x:f>'Stage 10-11 Dashboard'!B7</x:f>
        <x:v>0</x:v>
      </x:c>
      <x:c r="F63" s="908" t="str">
        <x:v>Experience implementation backlog not started.</x:v>
      </x:c>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907" t="str">
        <x:v>Stage 11 backlog maturity</x:v>
      </x:c>
      <x:c r="E64" s="559" t="n">
        <x:f>'Stage 10-11 Dashboard'!B8</x:f>
        <x:v>0</x:v>
      </x:c>
      <x:c r="F64" s="908" t="str">
        <x:v>Skill Forge implementation backlog not started.</x:v>
      </x:c>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907" t="str">
        <x:v>Stage 10–11 sources</x:v>
      </x:c>
      <x:c r="E65" s="200" t="n">
        <x:f>'Stage 10-11 Dashboard'!B12</x:f>
        <x:v>30</x:v>
      </x:c>
      <x:c r="F65" s="908" t="str">
        <x:v>Current accessibility, governance, agent-skill, supply-chain and progressive-delivery sources.</x:v>
      </x:c>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909" t="str">
        <x:v>User journeys / lifecycle states</x:v>
      </x:c>
      <x:c r="E66" s="910" t="n">
        <x:f>'Stage 10-11 Dashboard'!B17+'Stage 10-11 Dashboard'!B20</x:f>
        <x:v>36</x:v>
      </x:c>
      <x:c r="F66" s="911" t="str">
        <x:v>End-to-end experience journeys and Skill Forge lifecycle states specified.</x:v>
      </x:c>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E4:J4"/>
    <x:mergeCell ref="F5:J5"/>
    <x:mergeCell ref="F6:J6"/>
    <x:mergeCell ref="F7:J7"/>
    <x:mergeCell ref="F8:J8"/>
    <x:mergeCell ref="F9:J9"/>
    <x:mergeCell ref="A24:J24"/>
    <x:mergeCell ref="B26:J26"/>
    <x:mergeCell ref="B27:J27"/>
    <x:mergeCell ref="B28:J28"/>
    <x:mergeCell ref="B29:J29"/>
    <x:mergeCell ref="B30:J30"/>
    <x:mergeCell ref="B31:J31"/>
    <x:mergeCell ref="B32:J32"/>
  </x:mergeCells>
  <x:conditionalFormatting sqref="B10:B13">
    <x:cfRule type="dataBar" priority="1">
      <x:dataBar>
        <x:cfvo type="min"/>
        <x:cfvo type="max"/>
        <x:color rgb="FFA02B93"/>
      </x:dataBar>
      <x:extLst>
        <x:ext xmlns:x14="http://schemas.microsoft.com/office/spreadsheetml/2009/9/main" uri="{B025F937-C7B1-47D3-B67F-A62EFF666E3E}">
          <x14:id>{A8C29B92-7E5D-F1FD-AD1F-1BC96FBD399E}</x14:id>
        </x:ext>
      </x:extLst>
    </x:cfRule>
  </x:conditionalFormatting>
  <x:pageMargins left="0.7" right="0.7" top="0.75" bottom="0.75" header="0.3" footer="0.3"/>
  <x:drawing xmlns:r="http://schemas.openxmlformats.org/officeDocument/2006/relationships" r:id="Ra78d4078891a4119"/>
  <x:tableParts count="1">
    <x:tablePart xmlns:r="http://schemas.openxmlformats.org/officeDocument/2006/relationships" r:id="Rd5a350030e374e8b"/>
  </x:tableParts>
  <x:extLst>
    <x:ext xmlns:x14="http://schemas.microsoft.com/office/spreadsheetml/2009/9/main" xmlns:xm="http://schemas.microsoft.com/office/excel/2006/main" uri="{78C0D931-6437-407d-A8EE-F0AAD7539E65}">
      <x14:conditionalFormattings>
        <x14:conditionalFormatting>
          <x14:cfRule type="dataBar" priority="1" id="{A8C29B92-7E5D-F1FD-AD1F-1BC96FBD399E}">
            <x14:dataBar gradient="1">
              <x14:cfvo type="min"/>
              <x14:cfvo type="max"/>
              <x14:fillColor rgb="FFA02B93"/>
            </x14:dataBar>
          </x14:cfRule>
          <xm:sqref>B10:B13</xm:sqref>
        </x14:conditionalFormatting>
      </x14:conditionalFormattings>
    </x:ext>
  </x:extLst>
</x:worksheet>
</file>

<file path=xl/worksheets/sheet14.xml><?xml version="1.0" encoding="utf-8"?>
<x:worksheet xmlns:x="http://schemas.openxmlformats.org/spreadsheetml/2006/main">
  <x:sheetFormatPr defaultRowHeight="15"/>
  <x:cols>
    <x:col min="1" max="1" width="12" hidden="0" customWidth="1"/>
    <x:col min="2" max="2" width="40" hidden="0" customWidth="1"/>
    <x:col min="3" max="3" width="26" hidden="0" customWidth="1"/>
    <x:col min="4" max="4" width="58" hidden="0" customWidth="1"/>
    <x:col min="5" max="5" width="64" hidden="0" customWidth="1"/>
    <x:col min="6" max="6" width="12" hidden="0" customWidth="1"/>
    <x:col min="7" max="7" width="42" hidden="0" customWidth="1"/>
  </x:cols>
  <x:sheetData>
    <x:row r="1" ht="30" customHeight="1">
      <x:c r="A1" s="161" t="str">
        <x:v>Source Register</x:v>
      </x:c>
      <x:c r="B1" s="161"/>
      <x:c r="C1" s="161"/>
      <x:c r="D1" s="161"/>
      <x:c r="E1" s="161"/>
      <x:c r="F1" s="161"/>
      <x:c r="G1" s="161"/>
      <x:c r="H1" s="64"/>
      <x:c r="I1" s="65"/>
      <x:c r="J1" s="65"/>
      <x:c r="K1" s="65"/>
      <x:c r="L1" s="65"/>
      <x:c r="M1" s="65"/>
      <x:c r="N1" s="65"/>
      <x:c r="O1" s="65"/>
      <x:c r="P1" s="65"/>
      <x:c r="Q1" s="65"/>
      <x:c r="R1" s="65"/>
      <x:c r="S1" s="65"/>
      <x:c r="T1" s="65"/>
      <x:c r="U1" s="65"/>
      <x:c r="V1" s="65"/>
      <x:c r="W1" s="65"/>
      <x:c r="X1" s="65"/>
      <x:c r="Y1" s="65"/>
      <x:c r="Z1" s="65"/>
    </x:row>
    <x:row r="2" ht="34" customHeight="1">
      <x:c r="A2" s="164" t="str">
        <x:v>Primary and high-value research sources used for the Stage 0–1 foundation package. Sources support planning decisions but do not replace Nessovo legal, security, architecture or procurement approvals.</x:v>
      </x:c>
      <x:c r="B2" s="164"/>
      <x:c r="C2" s="164"/>
      <x:c r="D2" s="164"/>
      <x:c r="E2" s="164"/>
      <x:c r="F2" s="164"/>
      <x:c r="G2" s="164"/>
      <x:c r="H2" s="48"/>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Source ID</x:v>
      </x:c>
      <x:c r="B4" s="170" t="str">
        <x:v>Source / publisher</x:v>
      </x:c>
      <x:c r="C4" s="170" t="str">
        <x:v>Type</x:v>
      </x:c>
      <x:c r="D4" s="170" t="str">
        <x:v>Supports</x:v>
      </x:c>
      <x:c r="E4" s="170" t="str">
        <x:v>Source URL</x:v>
      </x:c>
      <x:c r="F4" s="170" t="str">
        <x:v>Priority</x:v>
      </x:c>
      <x:c r="G4" s="175" t="str">
        <x:v>Review note / status</x:v>
      </x:c>
      <x:c r="H4" s="47"/>
      <x:c r="I4" s="47"/>
      <x:c r="J4" s="47"/>
      <x:c r="K4" s="47"/>
      <x:c r="L4" s="47"/>
      <x:c r="M4" s="47"/>
      <x:c r="N4" s="47"/>
      <x:c r="O4" s="47"/>
      <x:c r="P4" s="47"/>
      <x:c r="Q4" s="47"/>
      <x:c r="R4" s="47"/>
      <x:c r="S4" s="47"/>
      <x:c r="T4" s="47"/>
      <x:c r="U4" s="47"/>
      <x:c r="V4" s="47"/>
      <x:c r="W4" s="47"/>
      <x:c r="X4" s="47"/>
      <x:c r="Y4" s="47"/>
      <x:c r="Z4" s="47"/>
    </x:row>
    <x:row r="5">
      <x:c r="A5" s="197" t="str">
        <x:v>SRC-001</x:v>
      </x:c>
      <x:c r="B5" s="198" t="str">
        <x:v>OpenAI — Prompt engineering best practices</x:v>
      </x:c>
      <x:c r="C5" s="198" t="str">
        <x:v>Official guidance</x:v>
      </x:c>
      <x:c r="D5" s="198" t="str">
        <x:v>Instructions first, delimiters, specificity, output examples and iterative refinement.</x:v>
      </x:c>
      <x:c r="E5" s="198" t="str">
        <x:v>https://help.openai.com/en/articles/6654000-best-practices-for-prompt-engineering-with-the-openai-api</x:v>
      </x:c>
      <x:c r="F5" s="198" t="str">
        <x:v>High</x:v>
      </x:c>
      <x:c r="G5" s="220" t="str">
        <x:v>Used in Master Prompts.</x:v>
      </x:c>
      <x:c r="H5" s="47"/>
      <x:c r="I5" s="47"/>
      <x:c r="J5" s="47"/>
      <x:c r="K5" s="47"/>
      <x:c r="L5" s="47"/>
      <x:c r="M5" s="47"/>
      <x:c r="N5" s="47"/>
      <x:c r="O5" s="47"/>
      <x:c r="P5" s="47"/>
      <x:c r="Q5" s="47"/>
      <x:c r="R5" s="47"/>
      <x:c r="S5" s="47"/>
      <x:c r="T5" s="47"/>
      <x:c r="U5" s="47"/>
      <x:c r="V5" s="47"/>
      <x:c r="W5" s="47"/>
      <x:c r="X5" s="47"/>
      <x:c r="Y5" s="47"/>
      <x:c r="Z5" s="47"/>
    </x:row>
    <x:row r="6">
      <x:c r="A6" s="205" t="str">
        <x:v>SRC-002</x:v>
      </x:c>
      <x:c r="B6" s="206" t="str">
        <x:v>OpenAI — Prompt engineering best practices for ChatGPT</x:v>
      </x:c>
      <x:c r="C6" s="206" t="str">
        <x:v>Official guidance</x:v>
      </x:c>
      <x:c r="D6" s="206" t="str">
        <x:v>Clear task, context, format, iterative refinement and examples.</x:v>
      </x:c>
      <x:c r="E6" s="206" t="str">
        <x:v>https://help.openai.com/en/articles/10032626-prompt-engineering-best-practices</x:v>
      </x:c>
      <x:c r="F6" s="206" t="str">
        <x:v>High</x:v>
      </x:c>
      <x:c r="G6" s="207" t="str">
        <x:v>Used in Master Prompts.</x:v>
      </x:c>
      <x:c r="H6" s="47"/>
      <x:c r="I6" s="47"/>
      <x:c r="J6" s="47"/>
      <x:c r="K6" s="47"/>
      <x:c r="L6" s="47"/>
      <x:c r="M6" s="47"/>
      <x:c r="N6" s="47"/>
      <x:c r="O6" s="47"/>
      <x:c r="P6" s="47"/>
      <x:c r="Q6" s="47"/>
      <x:c r="R6" s="47"/>
      <x:c r="S6" s="47"/>
      <x:c r="T6" s="47"/>
      <x:c r="U6" s="47"/>
      <x:c r="V6" s="47"/>
      <x:c r="W6" s="47"/>
      <x:c r="X6" s="47"/>
      <x:c r="Y6" s="47"/>
      <x:c r="Z6" s="47"/>
    </x:row>
    <x:row r="7">
      <x:c r="A7" s="199" t="str">
        <x:v>SRC-003</x:v>
      </x:c>
      <x:c r="B7" s="200" t="str">
        <x:v>Google Gemini — Prompting strategies</x:v>
      </x:c>
      <x:c r="C7" s="200" t="str">
        <x:v>Official guidance</x:v>
      </x:c>
      <x:c r="D7" s="200" t="str">
        <x:v>Precise instructions, consistent structure, decomposition, planning and validation.</x:v>
      </x:c>
      <x:c r="E7" s="200" t="str">
        <x:v>https://ai.google.dev/gemini-api/docs/prompting-strategies</x:v>
      </x:c>
      <x:c r="F7" s="200" t="str">
        <x:v>High</x:v>
      </x:c>
      <x:c r="G7" s="201" t="str">
        <x:v>Used in Master Prompts.</x:v>
      </x:c>
      <x:c r="H7" s="47"/>
      <x:c r="I7" s="47"/>
      <x:c r="J7" s="47"/>
      <x:c r="K7" s="47"/>
      <x:c r="L7" s="47"/>
      <x:c r="M7" s="47"/>
      <x:c r="N7" s="47"/>
      <x:c r="O7" s="47"/>
      <x:c r="P7" s="47"/>
      <x:c r="Q7" s="47"/>
      <x:c r="R7" s="47"/>
      <x:c r="S7" s="47"/>
      <x:c r="T7" s="47"/>
      <x:c r="U7" s="47"/>
      <x:c r="V7" s="47"/>
      <x:c r="W7" s="47"/>
      <x:c r="X7" s="47"/>
      <x:c r="Y7" s="47"/>
      <x:c r="Z7" s="47"/>
    </x:row>
    <x:row r="8">
      <x:c r="A8" s="205" t="str">
        <x:v>SRC-004</x:v>
      </x:c>
      <x:c r="B8" s="206" t="str">
        <x:v>GitHub Copilot — Prompt engineering concepts</x:v>
      </x:c>
      <x:c r="C8" s="206" t="str">
        <x:v>Official guidance</x:v>
      </x:c>
      <x:c r="D8" s="206" t="str">
        <x:v>Break down complex tasks, provide context/examples and validate outputs.</x:v>
      </x:c>
      <x:c r="E8" s="206" t="str">
        <x:v>https://docs.github.com/en/enterprise-cloud@latest/copilot/concepts/prompting/prompt-engineering</x:v>
      </x:c>
      <x:c r="F8" s="206" t="str">
        <x:v>High</x:v>
      </x:c>
      <x:c r="G8" s="207" t="str">
        <x:v>Used in Master Prompts.</x:v>
      </x:c>
      <x:c r="H8" s="47"/>
      <x:c r="I8" s="47"/>
      <x:c r="J8" s="47"/>
      <x:c r="K8" s="47"/>
      <x:c r="L8" s="47"/>
      <x:c r="M8" s="47"/>
      <x:c r="N8" s="47"/>
      <x:c r="O8" s="47"/>
      <x:c r="P8" s="47"/>
      <x:c r="Q8" s="47"/>
      <x:c r="R8" s="47"/>
      <x:c r="S8" s="47"/>
      <x:c r="T8" s="47"/>
      <x:c r="U8" s="47"/>
      <x:c r="V8" s="47"/>
      <x:c r="W8" s="47"/>
      <x:c r="X8" s="47"/>
      <x:c r="Y8" s="47"/>
      <x:c r="Z8" s="47"/>
    </x:row>
    <x:row r="9">
      <x:c r="A9" s="199" t="str">
        <x:v>SRC-005</x:v>
      </x:c>
      <x:c r="B9" s="200" t="str">
        <x:v>GitHub Copilot — Best practices</x:v>
      </x:c>
      <x:c r="C9" s="200" t="str">
        <x:v>Official guidance</x:v>
      </x:c>
      <x:c r="D9" s="200" t="str">
        <x:v>Specific prompts, task decomposition, context and output review.</x:v>
      </x:c>
      <x:c r="E9" s="200" t="str">
        <x:v>https://docs.github.com/en/copilot/get-started/best-practices</x:v>
      </x:c>
      <x:c r="F9" s="200" t="str">
        <x:v>High</x:v>
      </x:c>
      <x:c r="G9" s="201" t="str">
        <x:v>Used in Master Prompts.</x:v>
      </x:c>
      <x:c r="H9" s="47"/>
      <x:c r="I9" s="47"/>
      <x:c r="J9" s="47"/>
      <x:c r="K9" s="47"/>
      <x:c r="L9" s="47"/>
      <x:c r="M9" s="47"/>
      <x:c r="N9" s="47"/>
      <x:c r="O9" s="47"/>
      <x:c r="P9" s="47"/>
      <x:c r="Q9" s="47"/>
      <x:c r="R9" s="47"/>
      <x:c r="S9" s="47"/>
      <x:c r="T9" s="47"/>
      <x:c r="U9" s="47"/>
      <x:c r="V9" s="47"/>
      <x:c r="W9" s="47"/>
      <x:c r="X9" s="47"/>
      <x:c r="Y9" s="47"/>
      <x:c r="Z9" s="47"/>
    </x:row>
    <x:row r="10">
      <x:c r="A10" s="205" t="str">
        <x:v>SRC-006</x:v>
      </x:c>
      <x:c r="B10" s="206" t="str">
        <x:v>Teramind employee monitoring</x:v>
      </x:c>
      <x:c r="C10" s="206" t="str">
        <x:v>Commercial product</x:v>
      </x:c>
      <x:c r="D10" s="206" t="str">
        <x:v>Market baseline for screen, keystroke, application/web and active/idle monitoring.</x:v>
      </x:c>
      <x:c r="E10" s="206" t="str">
        <x:v>https://www.teramind.co/solutions/employee-monitoring/</x:v>
      </x:c>
      <x:c r="F10" s="206" t="str">
        <x:v>High</x:v>
      </x:c>
      <x:c r="G10" s="207" t="str">
        <x:v>Benchmark only; not recommended as product core.</x:v>
      </x:c>
      <x:c r="H10" s="47"/>
      <x:c r="I10" s="47"/>
      <x:c r="J10" s="47"/>
      <x:c r="K10" s="47"/>
      <x:c r="L10" s="47"/>
      <x:c r="M10" s="47"/>
      <x:c r="N10" s="47"/>
      <x:c r="O10" s="47"/>
      <x:c r="P10" s="47"/>
      <x:c r="Q10" s="47"/>
      <x:c r="R10" s="47"/>
      <x:c r="S10" s="47"/>
      <x:c r="T10" s="47"/>
      <x:c r="U10" s="47"/>
      <x:c r="V10" s="47"/>
      <x:c r="W10" s="47"/>
      <x:c r="X10" s="47"/>
      <x:c r="Y10" s="47"/>
      <x:c r="Z10" s="47"/>
    </x:row>
    <x:row r="11">
      <x:c r="A11" s="199" t="str">
        <x:v>SRC-007</x:v>
      </x:c>
      <x:c r="B11" s="200" t="str">
        <x:v>Teramind live desktop/history playback</x:v>
      </x:c>
      <x:c r="C11" s="200" t="str">
        <x:v>Commercial product</x:v>
      </x:c>
      <x:c r="D11" s="200" t="str">
        <x:v>Live view and historical screen playback capability.</x:v>
      </x:c>
      <x:c r="E11" s="200" t="str">
        <x:v>https://www.teramind.co/features/live-desktop-view-history-playback/</x:v>
      </x:c>
      <x:c r="F11" s="200" t="str">
        <x:v>Medium</x:v>
      </x:c>
      <x:c r="G11" s="201" t="str">
        <x:v>Raw monitoring baseline.</x:v>
      </x:c>
      <x:c r="H11" s="47"/>
      <x:c r="I11" s="47"/>
      <x:c r="J11" s="47"/>
      <x:c r="K11" s="47"/>
      <x:c r="L11" s="47"/>
      <x:c r="M11" s="47"/>
      <x:c r="N11" s="47"/>
      <x:c r="O11" s="47"/>
      <x:c r="P11" s="47"/>
      <x:c r="Q11" s="47"/>
      <x:c r="R11" s="47"/>
      <x:c r="S11" s="47"/>
      <x:c r="T11" s="47"/>
      <x:c r="U11" s="47"/>
      <x:c r="V11" s="47"/>
      <x:c r="W11" s="47"/>
      <x:c r="X11" s="47"/>
      <x:c r="Y11" s="47"/>
      <x:c r="Z11" s="47"/>
    </x:row>
    <x:row r="12">
      <x:c r="A12" s="205" t="str">
        <x:v>SRC-008</x:v>
      </x:c>
      <x:c r="B12" s="206" t="str">
        <x:v>ActivTrak AI Insights</x:v>
      </x:c>
      <x:c r="C12" s="206" t="str">
        <x:v>Commercial product</x:v>
      </x:c>
      <x:c r="D12" s="206" t="str">
        <x:v>AI-tool adoption, workforce analytics and productivity-impact reporting.</x:v>
      </x:c>
      <x:c r="E12" s="206" t="str">
        <x:v>https://support.activtrak.com/hc/en-us/articles/50125731483675-AI-Insights-Add-on</x:v>
      </x:c>
      <x:c r="F12" s="206" t="str">
        <x:v>High</x:v>
      </x:c>
      <x:c r="G12" s="207" t="str">
        <x:v>Reporting/market signal.</x:v>
      </x:c>
      <x:c r="H12" s="47"/>
      <x:c r="I12" s="47"/>
      <x:c r="J12" s="47"/>
      <x:c r="K12" s="47"/>
      <x:c r="L12" s="47"/>
      <x:c r="M12" s="47"/>
      <x:c r="N12" s="47"/>
      <x:c r="O12" s="47"/>
      <x:c r="P12" s="47"/>
      <x:c r="Q12" s="47"/>
      <x:c r="R12" s="47"/>
      <x:c r="S12" s="47"/>
      <x:c r="T12" s="47"/>
      <x:c r="U12" s="47"/>
      <x:c r="V12" s="47"/>
      <x:c r="W12" s="47"/>
      <x:c r="X12" s="47"/>
      <x:c r="Y12" s="47"/>
      <x:c r="Z12" s="47"/>
    </x:row>
    <x:row r="13">
      <x:c r="A13" s="199" t="str">
        <x:v>SRC-009</x:v>
      </x:c>
      <x:c r="B13" s="200" t="str">
        <x:v>UiPath Task Capture settings</x:v>
      </x:c>
      <x:c r="C13" s="200" t="str">
        <x:v>Commercial documentation</x:v>
      </x:c>
      <x:c r="D13" s="200" t="str">
        <x:v>Screenshots around clicks/keyboard actions, UI elements and task capture.</x:v>
      </x:c>
      <x:c r="E13" s="200" t="str">
        <x:v>https://docs.uipath.com/task-capture/standalone/2021.10/user-guide/capture-settings</x:v>
      </x:c>
      <x:c r="F13" s="200" t="str">
        <x:v>High</x:v>
      </x:c>
      <x:c r="G13" s="201" t="str">
        <x:v>Action-level capture reference.</x:v>
      </x:c>
      <x:c r="H13" s="47"/>
      <x:c r="I13" s="47"/>
      <x:c r="J13" s="47"/>
      <x:c r="K13" s="47"/>
      <x:c r="L13" s="47"/>
      <x:c r="M13" s="47"/>
      <x:c r="N13" s="47"/>
      <x:c r="O13" s="47"/>
      <x:c r="P13" s="47"/>
      <x:c r="Q13" s="47"/>
      <x:c r="R13" s="47"/>
      <x:c r="S13" s="47"/>
      <x:c r="T13" s="47"/>
      <x:c r="U13" s="47"/>
      <x:c r="V13" s="47"/>
      <x:c r="W13" s="47"/>
      <x:c r="X13" s="47"/>
      <x:c r="Y13" s="47"/>
      <x:c r="Z13" s="47"/>
    </x:row>
    <x:row r="14">
      <x:c r="A14" s="205" t="str">
        <x:v>SRC-010</x:v>
      </x:c>
      <x:c r="B14" s="206" t="str">
        <x:v>UiPath Task Mining</x:v>
      </x:c>
      <x:c r="C14" s="206" t="str">
        <x:v>Commercial documentation</x:v>
      </x:c>
      <x:c r="D14" s="206" t="str">
        <x:v>Task-mining projects and process discovery.</x:v>
      </x:c>
      <x:c r="E14" s="206" t="str">
        <x:v>https://docs.uipath.com/process-mining/automation-cloud/latest/user-guide/starting-a-task-mining-project-from-process-mining</x:v>
      </x:c>
      <x:c r="F14" s="206" t="str">
        <x:v>High</x:v>
      </x:c>
      <x:c r="G14" s="207" t="str">
        <x:v>Process/task mining reference.</x:v>
      </x:c>
      <x:c r="H14" s="47"/>
      <x:c r="I14" s="47"/>
      <x:c r="J14" s="47"/>
      <x:c r="K14" s="47"/>
      <x:c r="L14" s="47"/>
      <x:c r="M14" s="47"/>
      <x:c r="N14" s="47"/>
      <x:c r="O14" s="47"/>
      <x:c r="P14" s="47"/>
      <x:c r="Q14" s="47"/>
      <x:c r="R14" s="47"/>
      <x:c r="S14" s="47"/>
      <x:c r="T14" s="47"/>
      <x:c r="U14" s="47"/>
      <x:c r="V14" s="47"/>
      <x:c r="W14" s="47"/>
      <x:c r="X14" s="47"/>
      <x:c r="Y14" s="47"/>
      <x:c r="Z14" s="47"/>
    </x:row>
    <x:row r="15">
      <x:c r="A15" s="199" t="str">
        <x:v>SRC-011</x:v>
      </x:c>
      <x:c r="B15" s="200" t="str">
        <x:v>ABBYY Timeline Task Mining</x:v>
      </x:c>
      <x:c r="C15" s="200" t="str">
        <x:v>Commercial documentation</x:v>
      </x:c>
      <x:c r="D15" s="200" t="str">
        <x:v>Screen snapshots, clicks, text entered, applications and task association.</x:v>
      </x:c>
      <x:c r="E15" s="200" t="str">
        <x:v>https://help.abbyy.com/en-us/timeline/6/user_guide/task-mining</x:v>
      </x:c>
      <x:c r="F15" s="200" t="str">
        <x:v>High</x:v>
      </x:c>
      <x:c r="G15" s="201" t="str">
        <x:v>Task reconstruction reference.</x:v>
      </x:c>
      <x:c r="H15" s="47"/>
      <x:c r="I15" s="47"/>
      <x:c r="J15" s="47"/>
      <x:c r="K15" s="47"/>
      <x:c r="L15" s="47"/>
      <x:c r="M15" s="47"/>
      <x:c r="N15" s="47"/>
      <x:c r="O15" s="47"/>
      <x:c r="P15" s="47"/>
      <x:c r="Q15" s="47"/>
      <x:c r="R15" s="47"/>
      <x:c r="S15" s="47"/>
      <x:c r="T15" s="47"/>
      <x:c r="U15" s="47"/>
      <x:c r="V15" s="47"/>
      <x:c r="W15" s="47"/>
      <x:c r="X15" s="47"/>
      <x:c r="Y15" s="47"/>
      <x:c r="Z15" s="47"/>
    </x:row>
    <x:row r="16">
      <x:c r="A16" s="205" t="str">
        <x:v>SRC-012</x:v>
      </x:c>
      <x:c r="B16" s="206" t="str">
        <x:v>Microsoft Power Automate AI Recorder</x:v>
      </x:c>
      <x:c r="C16" s="206" t="str">
        <x:v>Official documentation</x:v>
      </x:c>
      <x:c r="D16" s="206" t="str">
        <x:v>Screen/voice/mouse/keyboard demonstration converted into desktop automation.</x:v>
      </x:c>
      <x:c r="E16" s="206" t="str">
        <x:v>https://learn.microsoft.com/en-us/power-automate/desktop-flows/create-flow-using-ai-recorder</x:v>
      </x:c>
      <x:c r="F16" s="206" t="str">
        <x:v>Medium</x:v>
      </x:c>
      <x:c r="G16" s="207" t="str">
        <x:v>Record/replay and Skill Forge reference.</x:v>
      </x:c>
      <x:c r="H16" s="47"/>
      <x:c r="I16" s="47"/>
      <x:c r="J16" s="47"/>
      <x:c r="K16" s="47"/>
      <x:c r="L16" s="47"/>
      <x:c r="M16" s="47"/>
      <x:c r="N16" s="47"/>
      <x:c r="O16" s="47"/>
      <x:c r="P16" s="47"/>
      <x:c r="Q16" s="47"/>
      <x:c r="R16" s="47"/>
      <x:c r="S16" s="47"/>
      <x:c r="T16" s="47"/>
      <x:c r="U16" s="47"/>
      <x:c r="V16" s="47"/>
      <x:c r="W16" s="47"/>
      <x:c r="X16" s="47"/>
      <x:c r="Y16" s="47"/>
      <x:c r="Z16" s="47"/>
    </x:row>
    <x:row r="17">
      <x:c r="A17" s="199" t="str">
        <x:v>SRC-013</x:v>
      </x:c>
      <x:c r="B17" s="200" t="str">
        <x:v>Microsoft Power Automate desktop recording</x:v>
      </x:c>
      <x:c r="C17" s="200" t="str">
        <x:v>Official documentation</x:v>
      </x:c>
      <x:c r="D17" s="200" t="str">
        <x:v>Mouse/keyboard and UI/image/OCR-based automation recording.</x:v>
      </x:c>
      <x:c r="E17" s="200" t="str">
        <x:v>https://learn.microsoft.com/en-gb/power-automate/desktop-flows/recording-flow</x:v>
      </x:c>
      <x:c r="F17" s="200" t="str">
        <x:v>Medium</x:v>
      </x:c>
      <x:c r="G17" s="201" t="str">
        <x:v>GUI capture/replay reference.</x:v>
      </x:c>
      <x:c r="H17" s="47"/>
      <x:c r="I17" s="47"/>
      <x:c r="J17" s="47"/>
      <x:c r="K17" s="47"/>
      <x:c r="L17" s="47"/>
      <x:c r="M17" s="47"/>
      <x:c r="N17" s="47"/>
      <x:c r="O17" s="47"/>
      <x:c r="P17" s="47"/>
      <x:c r="Q17" s="47"/>
      <x:c r="R17" s="47"/>
      <x:c r="S17" s="47"/>
      <x:c r="T17" s="47"/>
      <x:c r="U17" s="47"/>
      <x:c r="V17" s="47"/>
      <x:c r="W17" s="47"/>
      <x:c r="X17" s="47"/>
      <x:c r="Y17" s="47"/>
      <x:c r="Z17" s="47"/>
    </x:row>
    <x:row r="18">
      <x:c r="A18" s="205" t="str">
        <x:v>SRC-014</x:v>
      </x:c>
      <x:c r="B18" s="206" t="str">
        <x:v>Soroco</x:v>
      </x:c>
      <x:c r="C18" s="206" t="str">
        <x:v>Commercial product</x:v>
      </x:c>
      <x:c r="D18" s="206" t="str">
        <x:v>Work graph, process variants, workarounds and automation opportunity discovery.</x:v>
      </x:c>
      <x:c r="E18" s="206" t="str">
        <x:v>https://soroco.com/</x:v>
      </x:c>
      <x:c r="F18" s="206" t="str">
        <x:v>Medium</x:v>
      </x:c>
      <x:c r="G18" s="207" t="str">
        <x:v>Work-graph category reference.</x:v>
      </x:c>
      <x:c r="H18" s="47"/>
      <x:c r="I18" s="47"/>
      <x:c r="J18" s="47"/>
      <x:c r="K18" s="47"/>
      <x:c r="L18" s="47"/>
      <x:c r="M18" s="47"/>
      <x:c r="N18" s="47"/>
      <x:c r="O18" s="47"/>
      <x:c r="P18" s="47"/>
      <x:c r="Q18" s="47"/>
      <x:c r="R18" s="47"/>
      <x:c r="S18" s="47"/>
      <x:c r="T18" s="47"/>
      <x:c r="U18" s="47"/>
      <x:c r="V18" s="47"/>
      <x:c r="W18" s="47"/>
      <x:c r="X18" s="47"/>
      <x:c r="Y18" s="47"/>
      <x:c r="Z18" s="47"/>
    </x:row>
    <x:row r="19">
      <x:c r="A19" s="199" t="str">
        <x:v>SRC-015</x:v>
      </x:c>
      <x:c r="B19" s="200" t="str">
        <x:v>Workfellow</x:v>
      </x:c>
      <x:c r="C19" s="200" t="str">
        <x:v>Commercial product</x:v>
      </x:c>
      <x:c r="D19" s="200" t="str">
        <x:v>Process and task mining and workflow analysis.</x:v>
      </x:c>
      <x:c r="E19" s="200" t="str">
        <x:v>https://www.workfellow.ai/</x:v>
      </x:c>
      <x:c r="F19" s="200" t="str">
        <x:v>Medium</x:v>
      </x:c>
      <x:c r="G19" s="201" t="str">
        <x:v>Process-intelligence reference.</x:v>
      </x:c>
      <x:c r="H19" s="47"/>
      <x:c r="I19" s="47"/>
      <x:c r="J19" s="47"/>
      <x:c r="K19" s="47"/>
      <x:c r="L19" s="47"/>
      <x:c r="M19" s="47"/>
      <x:c r="N19" s="47"/>
      <x:c r="O19" s="47"/>
      <x:c r="P19" s="47"/>
      <x:c r="Q19" s="47"/>
      <x:c r="R19" s="47"/>
      <x:c r="S19" s="47"/>
      <x:c r="T19" s="47"/>
      <x:c r="U19" s="47"/>
      <x:c r="V19" s="47"/>
      <x:c r="W19" s="47"/>
      <x:c r="X19" s="47"/>
      <x:c r="Y19" s="47"/>
      <x:c r="Z19" s="47"/>
    </x:row>
    <x:row r="20">
      <x:c r="A20" s="205" t="str">
        <x:v>SRC-016</x:v>
      </x:c>
      <x:c r="B20" s="206" t="str">
        <x:v>LinearB AI &amp; Developer Productivity Insights</x:v>
      </x:c>
      <x:c r="C20" s="206" t="str">
        <x:v>Commercial product</x:v>
      </x:c>
      <x:c r="D20" s="206" t="str">
        <x:v>AI usage, engineering productivity, workflow governance, coaching and business alignment.</x:v>
      </x:c>
      <x:c r="E20" s="206" t="str">
        <x:v>https://linearb.io/platform/ai-developer-productivity-insights</x:v>
      </x:c>
      <x:c r="F20" s="206" t="str">
        <x:v>High</x:v>
      </x:c>
      <x:c r="G20" s="207" t="str">
        <x:v>Adjacent software-development competitor.</x:v>
      </x:c>
      <x:c r="H20" s="47"/>
      <x:c r="I20" s="47"/>
      <x:c r="J20" s="47"/>
      <x:c r="K20" s="47"/>
      <x:c r="L20" s="47"/>
      <x:c r="M20" s="47"/>
      <x:c r="N20" s="47"/>
      <x:c r="O20" s="47"/>
      <x:c r="P20" s="47"/>
      <x:c r="Q20" s="47"/>
      <x:c r="R20" s="47"/>
      <x:c r="S20" s="47"/>
      <x:c r="T20" s="47"/>
      <x:c r="U20" s="47"/>
      <x:c r="V20" s="47"/>
      <x:c r="W20" s="47"/>
      <x:c r="X20" s="47"/>
      <x:c r="Y20" s="47"/>
      <x:c r="Z20" s="47"/>
    </x:row>
    <x:row r="21">
      <x:c r="A21" s="199" t="str">
        <x:v>SRC-017</x:v>
      </x:c>
      <x:c r="B21" s="200" t="str">
        <x:v>LinearB AI Workflow Governance</x:v>
      </x:c>
      <x:c r="C21" s="200" t="str">
        <x:v>Commercial product</x:v>
      </x:c>
      <x:c r="D21" s="200" t="str">
        <x:v>AI workflow automation, scalable policy and governance across engineering tools.</x:v>
      </x:c>
      <x:c r="E21" s="200" t="str">
        <x:v>https://linearb.io/platform/ai-workflow-governance</x:v>
      </x:c>
      <x:c r="F21" s="200" t="str">
        <x:v>Medium</x:v>
      </x:c>
      <x:c r="G21" s="201" t="str">
        <x:v>Developer AI governance reference.</x:v>
      </x:c>
      <x:c r="H21" s="47"/>
      <x:c r="I21" s="47"/>
      <x:c r="J21" s="47"/>
      <x:c r="K21" s="47"/>
      <x:c r="L21" s="47"/>
      <x:c r="M21" s="47"/>
      <x:c r="N21" s="47"/>
      <x:c r="O21" s="47"/>
      <x:c r="P21" s="47"/>
      <x:c r="Q21" s="47"/>
      <x:c r="R21" s="47"/>
      <x:c r="S21" s="47"/>
      <x:c r="T21" s="47"/>
      <x:c r="U21" s="47"/>
      <x:c r="V21" s="47"/>
      <x:c r="W21" s="47"/>
      <x:c r="X21" s="47"/>
      <x:c r="Y21" s="47"/>
      <x:c r="Z21" s="47"/>
    </x:row>
    <x:row r="22">
      <x:c r="A22" s="205" t="str">
        <x:v>SRC-018</x:v>
      </x:c>
      <x:c r="B22" s="206" t="str">
        <x:v>Jellyfish engineering intelligence</x:v>
      </x:c>
      <x:c r="C22" s="206" t="str">
        <x:v>Commercial product</x:v>
      </x:c>
      <x:c r="D22" s="206" t="str">
        <x:v>AI-integrated engineering intelligence, AI spend/usage, workflow and delivery outcomes.</x:v>
      </x:c>
      <x:c r="E22" s="206" t="str">
        <x:v>https://jellyfish.co/</x:v>
      </x:c>
      <x:c r="F22" s="206" t="str">
        <x:v>High</x:v>
      </x:c>
      <x:c r="G22" s="207" t="str">
        <x:v>Adjacent software-development competitor.</x:v>
      </x:c>
      <x:c r="H22" s="47"/>
      <x:c r="I22" s="47"/>
      <x:c r="J22" s="47"/>
      <x:c r="K22" s="47"/>
      <x:c r="L22" s="47"/>
      <x:c r="M22" s="47"/>
      <x:c r="N22" s="47"/>
      <x:c r="O22" s="47"/>
      <x:c r="P22" s="47"/>
      <x:c r="Q22" s="47"/>
      <x:c r="R22" s="47"/>
      <x:c r="S22" s="47"/>
      <x:c r="T22" s="47"/>
      <x:c r="U22" s="47"/>
      <x:c r="V22" s="47"/>
      <x:c r="W22" s="47"/>
      <x:c r="X22" s="47"/>
      <x:c r="Y22" s="47"/>
      <x:c r="Z22" s="47"/>
    </x:row>
    <x:row r="23">
      <x:c r="A23" s="199" t="str">
        <x:v>SRC-019</x:v>
      </x:c>
      <x:c r="B23" s="200" t="str">
        <x:v>Jellyfish Data Hub</x:v>
      </x:c>
      <x:c r="C23" s="200" t="str">
        <x:v>Commercial product</x:v>
      </x:c>
      <x:c r="D23" s="200" t="str">
        <x:v>Combines Jira/PR/AI usage, DORA and custom engineering metrics.</x:v>
      </x:c>
      <x:c r="E23" s="200" t="str">
        <x:v>https://jellyfish.co/platform/data-hub/</x:v>
      </x:c>
      <x:c r="F23" s="200" t="str">
        <x:v>Medium</x:v>
      </x:c>
      <x:c r="G23" s="201" t="str">
        <x:v>Engineering data model/reporting reference.</x:v>
      </x:c>
      <x:c r="H23" s="47"/>
      <x:c r="I23" s="47"/>
      <x:c r="J23" s="47"/>
      <x:c r="K23" s="47"/>
      <x:c r="L23" s="47"/>
      <x:c r="M23" s="47"/>
      <x:c r="N23" s="47"/>
      <x:c r="O23" s="47"/>
      <x:c r="P23" s="47"/>
      <x:c r="Q23" s="47"/>
      <x:c r="R23" s="47"/>
      <x:c r="S23" s="47"/>
      <x:c r="T23" s="47"/>
      <x:c r="U23" s="47"/>
      <x:c r="V23" s="47"/>
      <x:c r="W23" s="47"/>
      <x:c r="X23" s="47"/>
      <x:c r="Y23" s="47"/>
      <x:c r="Z23" s="47"/>
    </x:row>
    <x:row r="24">
      <x:c r="A24" s="205" t="str">
        <x:v>SRC-020</x:v>
      </x:c>
      <x:c r="B24" s="206" t="str">
        <x:v>Jellyfish Claude Code dashboard</x:v>
      </x:c>
      <x:c r="C24" s="206" t="str">
        <x:v>Commercial product</x:v>
      </x:c>
      <x:c r="D24" s="206" t="str">
        <x:v>Claude Code adoption, usage and delivery impact.</x:v>
      </x:c>
      <x:c r="E24" s="206" t="str">
        <x:v>https://jellyfish.co/platform/claude-code-dashboard/</x:v>
      </x:c>
      <x:c r="F24" s="206" t="str">
        <x:v>Medium</x:v>
      </x:c>
      <x:c r="G24" s="207" t="str">
        <x:v>AI developer-tool ROI reference.</x:v>
      </x:c>
      <x:c r="H24" s="47"/>
      <x:c r="I24" s="47"/>
      <x:c r="J24" s="47"/>
      <x:c r="K24" s="47"/>
      <x:c r="L24" s="47"/>
      <x:c r="M24" s="47"/>
      <x:c r="N24" s="47"/>
      <x:c r="O24" s="47"/>
      <x:c r="P24" s="47"/>
      <x:c r="Q24" s="47"/>
      <x:c r="R24" s="47"/>
      <x:c r="S24" s="47"/>
      <x:c r="T24" s="47"/>
      <x:c r="U24" s="47"/>
      <x:c r="V24" s="47"/>
      <x:c r="W24" s="47"/>
      <x:c r="X24" s="47"/>
      <x:c r="Y24" s="47"/>
      <x:c r="Z24" s="47"/>
    </x:row>
    <x:row r="25">
      <x:c r="A25" s="199" t="str">
        <x:v>SRC-021</x:v>
      </x:c>
      <x:c r="B25" s="200" t="str">
        <x:v>GitClear</x:v>
      </x:c>
      <x:c r="C25" s="200" t="str">
        <x:v>Commercial product</x:v>
      </x:c>
      <x:c r="D25" s="200" t="str">
        <x:v>Code analytics, AI-code quality and developer analytics.</x:v>
      </x:c>
      <x:c r="E25" s="200" t="str">
        <x:v>https://www.gitclear.com/</x:v>
      </x:c>
      <x:c r="F25" s="200" t="str">
        <x:v>Medium</x:v>
      </x:c>
      <x:c r="G25" s="201" t="str">
        <x:v>Repository/code-quality reference.</x:v>
      </x:c>
      <x:c r="H25" s="47"/>
      <x:c r="I25" s="47"/>
      <x:c r="J25" s="47"/>
      <x:c r="K25" s="47"/>
      <x:c r="L25" s="47"/>
      <x:c r="M25" s="47"/>
      <x:c r="N25" s="47"/>
      <x:c r="O25" s="47"/>
      <x:c r="P25" s="47"/>
      <x:c r="Q25" s="47"/>
      <x:c r="R25" s="47"/>
      <x:c r="S25" s="47"/>
      <x:c r="T25" s="47"/>
      <x:c r="U25" s="47"/>
      <x:c r="V25" s="47"/>
      <x:c r="W25" s="47"/>
      <x:c r="X25" s="47"/>
      <x:c r="Y25" s="47"/>
      <x:c r="Z25" s="47"/>
    </x:row>
    <x:row r="26">
      <x:c r="A26" s="205" t="str">
        <x:v>SRC-022</x:v>
      </x:c>
      <x:c r="B26" s="206" t="str">
        <x:v>TechWolf Skills Intelligence</x:v>
      </x:c>
      <x:c r="C26" s="206" t="str">
        <x:v>Commercial product</x:v>
      </x:c>
      <x:c r="D26" s="206" t="str">
        <x:v>Continuously inferred skills from actual work activity and HCM integration.</x:v>
      </x:c>
      <x:c r="E26" s="206" t="str">
        <x:v>https://www.techwolf.ai/product/skills-intelligence</x:v>
      </x:c>
      <x:c r="F26" s="206" t="str">
        <x:v>High</x:v>
      </x:c>
      <x:c r="G26" s="207" t="str">
        <x:v>Directly relevant to capability verification.</x:v>
      </x:c>
      <x:c r="H26" s="47"/>
      <x:c r="I26" s="47"/>
      <x:c r="J26" s="47"/>
      <x:c r="K26" s="47"/>
      <x:c r="L26" s="47"/>
      <x:c r="M26" s="47"/>
      <x:c r="N26" s="47"/>
      <x:c r="O26" s="47"/>
      <x:c r="P26" s="47"/>
      <x:c r="Q26" s="47"/>
      <x:c r="R26" s="47"/>
      <x:c r="S26" s="47"/>
      <x:c r="T26" s="47"/>
      <x:c r="U26" s="47"/>
      <x:c r="V26" s="47"/>
      <x:c r="W26" s="47"/>
      <x:c r="X26" s="47"/>
      <x:c r="Y26" s="47"/>
      <x:c r="Z26" s="47"/>
    </x:row>
    <x:row r="27">
      <x:c r="A27" s="199" t="str">
        <x:v>SRC-023</x:v>
      </x:c>
      <x:c r="B27" s="200" t="str">
        <x:v>TechWolf platform</x:v>
      </x:c>
      <x:c r="C27" s="200" t="str">
        <x:v>Commercial product</x:v>
      </x:c>
      <x:c r="D27" s="200" t="str">
        <x:v>Skills, work and market intelligence data layer.</x:v>
      </x:c>
      <x:c r="E27" s="200" t="str">
        <x:v>https://www.techwolf.ai/</x:v>
      </x:c>
      <x:c r="F27" s="200" t="str">
        <x:v>High</x:v>
      </x:c>
      <x:c r="G27" s="201" t="str">
        <x:v>Skills/work-intelligence category reference.</x:v>
      </x:c>
      <x:c r="H27" s="47"/>
      <x:c r="I27" s="47"/>
      <x:c r="J27" s="47"/>
      <x:c r="K27" s="47"/>
      <x:c r="L27" s="47"/>
      <x:c r="M27" s="47"/>
      <x:c r="N27" s="47"/>
      <x:c r="O27" s="47"/>
      <x:c r="P27" s="47"/>
      <x:c r="Q27" s="47"/>
      <x:c r="R27" s="47"/>
      <x:c r="S27" s="47"/>
      <x:c r="T27" s="47"/>
      <x:c r="U27" s="47"/>
      <x:c r="V27" s="47"/>
      <x:c r="W27" s="47"/>
      <x:c r="X27" s="47"/>
      <x:c r="Y27" s="47"/>
      <x:c r="Z27" s="47"/>
    </x:row>
    <x:row r="28">
      <x:c r="A28" s="205" t="str">
        <x:v>SRC-024</x:v>
      </x:c>
      <x:c r="B28" s="206" t="str">
        <x:v>Eightfold Talent Intelligence</x:v>
      </x:c>
      <x:c r="C28" s="206" t="str">
        <x:v>Commercial product</x:v>
      </x:c>
      <x:c r="D28" s="206" t="str">
        <x:v>Models workers, skills, capabilities and work signals for hiring, development and staffing.</x:v>
      </x:c>
      <x:c r="E28" s="206" t="str">
        <x:v>https://eightfold.ai/products/</x:v>
      </x:c>
      <x:c r="F28" s="206" t="str">
        <x:v>High</x:v>
      </x:c>
      <x:c r="G28" s="207" t="str">
        <x:v>Talent/capability reference.</x:v>
      </x:c>
      <x:c r="H28" s="47"/>
      <x:c r="I28" s="47"/>
      <x:c r="J28" s="47"/>
      <x:c r="K28" s="47"/>
      <x:c r="L28" s="47"/>
      <x:c r="M28" s="47"/>
      <x:c r="N28" s="47"/>
      <x:c r="O28" s="47"/>
      <x:c r="P28" s="47"/>
      <x:c r="Q28" s="47"/>
      <x:c r="R28" s="47"/>
      <x:c r="S28" s="47"/>
      <x:c r="T28" s="47"/>
      <x:c r="U28" s="47"/>
      <x:c r="V28" s="47"/>
      <x:c r="W28" s="47"/>
      <x:c r="X28" s="47"/>
      <x:c r="Y28" s="47"/>
      <x:c r="Z28" s="47"/>
    </x:row>
    <x:row r="29">
      <x:c r="A29" s="199" t="str">
        <x:v>SRC-025</x:v>
      </x:c>
      <x:c r="B29" s="200" t="str">
        <x:v>Eightfold Talent Management</x:v>
      </x:c>
      <x:c r="C29" s="200" t="str">
        <x:v>Commercial product</x:v>
      </x:c>
      <x:c r="D29" s="200" t="str">
        <x:v>Employee skills, work signals, career development and workforce readiness.</x:v>
      </x:c>
      <x:c r="E29" s="200" t="str">
        <x:v>https://eightfold.ai/products/talent-management/</x:v>
      </x:c>
      <x:c r="F29" s="200" t="str">
        <x:v>Medium</x:v>
      </x:c>
      <x:c r="G29" s="201" t="str">
        <x:v>Employee-growth reference.</x:v>
      </x:c>
      <x:c r="H29" s="47"/>
      <x:c r="I29" s="47"/>
      <x:c r="J29" s="47"/>
      <x:c r="K29" s="47"/>
      <x:c r="L29" s="47"/>
      <x:c r="M29" s="47"/>
      <x:c r="N29" s="47"/>
      <x:c r="O29" s="47"/>
      <x:c r="P29" s="47"/>
      <x:c r="Q29" s="47"/>
      <x:c r="R29" s="47"/>
      <x:c r="S29" s="47"/>
      <x:c r="T29" s="47"/>
      <x:c r="U29" s="47"/>
      <x:c r="V29" s="47"/>
      <x:c r="W29" s="47"/>
      <x:c r="X29" s="47"/>
      <x:c r="Y29" s="47"/>
      <x:c r="Z29" s="47"/>
    </x:row>
    <x:row r="30">
      <x:c r="A30" s="205" t="str">
        <x:v>SRC-026</x:v>
      </x:c>
      <x:c r="B30" s="206" t="str">
        <x:v>Gloat Workforce Graph</x:v>
      </x:c>
      <x:c r="C30" s="206" t="str">
        <x:v>Commercial product</x:v>
      </x:c>
      <x:c r="D30" s="206" t="str">
        <x:v>Dynamic skills ontology, task-role mapping and workforce graph.</x:v>
      </x:c>
      <x:c r="E30" s="206" t="str">
        <x:v>https://gloat.com/platform/workforce-graph/</x:v>
      </x:c>
      <x:c r="F30" s="206" t="str">
        <x:v>High</x:v>
      </x:c>
      <x:c r="G30" s="207" t="str">
        <x:v>Capability/workforce graph reference.</x:v>
      </x:c>
      <x:c r="H30" s="47"/>
      <x:c r="I30" s="47"/>
      <x:c r="J30" s="47"/>
      <x:c r="K30" s="47"/>
      <x:c r="L30" s="47"/>
      <x:c r="M30" s="47"/>
      <x:c r="N30" s="47"/>
      <x:c r="O30" s="47"/>
      <x:c r="P30" s="47"/>
      <x:c r="Q30" s="47"/>
      <x:c r="R30" s="47"/>
      <x:c r="S30" s="47"/>
      <x:c r="T30" s="47"/>
      <x:c r="U30" s="47"/>
      <x:c r="V30" s="47"/>
      <x:c r="W30" s="47"/>
      <x:c r="X30" s="47"/>
      <x:c r="Y30" s="47"/>
      <x:c r="Z30" s="47"/>
    </x:row>
    <x:row r="31">
      <x:c r="A31" s="199" t="str">
        <x:v>SRC-027</x:v>
      </x:c>
      <x:c r="B31" s="200" t="str">
        <x:v>Gloat Agentic HR Platform</x:v>
      </x:c>
      <x:c r="C31" s="200" t="str">
        <x:v>Commercial product</x:v>
      </x:c>
      <x:c r="D31" s="200" t="str">
        <x:v>Governed, auditable and reversible workforce agents and skills inference.</x:v>
      </x:c>
      <x:c r="E31" s="200" t="str">
        <x:v>https://gloat.com/</x:v>
      </x:c>
      <x:c r="F31" s="200" t="str">
        <x:v>High</x:v>
      </x:c>
      <x:c r="G31" s="201" t="str">
        <x:v>Agentic HR and governance reference.</x:v>
      </x:c>
      <x:c r="H31" s="47"/>
      <x:c r="I31" s="47"/>
      <x:c r="J31" s="47"/>
      <x:c r="K31" s="47"/>
      <x:c r="L31" s="47"/>
      <x:c r="M31" s="47"/>
      <x:c r="N31" s="47"/>
      <x:c r="O31" s="47"/>
      <x:c r="P31" s="47"/>
      <x:c r="Q31" s="47"/>
      <x:c r="R31" s="47"/>
      <x:c r="S31" s="47"/>
      <x:c r="T31" s="47"/>
      <x:c r="U31" s="47"/>
      <x:c r="V31" s="47"/>
      <x:c r="W31" s="47"/>
      <x:c r="X31" s="47"/>
      <x:c r="Y31" s="47"/>
      <x:c r="Z31" s="47"/>
    </x:row>
    <x:row r="32">
      <x:c r="A32" s="205" t="str">
        <x:v>SRC-028</x:v>
      </x:c>
      <x:c r="B32" s="206" t="str">
        <x:v>Gloat Work Orchestration Mosaic</x:v>
      </x:c>
      <x:c r="C32" s="206" t="str">
        <x:v>Commercial product</x:v>
      </x:c>
      <x:c r="D32" s="206" t="str">
        <x:v>Human/AI task-level work planning and orchestration.</x:v>
      </x:c>
      <x:c r="E32" s="206" t="str">
        <x:v>https://gloat.com/platform/work-orchestration-mosaic/</x:v>
      </x:c>
      <x:c r="F32" s="206" t="str">
        <x:v>Medium</x:v>
      </x:c>
      <x:c r="G32" s="207" t="str">
        <x:v>Human–AI work orchestration reference.</x:v>
      </x:c>
      <x:c r="H32" s="47"/>
      <x:c r="I32" s="47"/>
      <x:c r="J32" s="47"/>
      <x:c r="K32" s="47"/>
      <x:c r="L32" s="47"/>
      <x:c r="M32" s="47"/>
      <x:c r="N32" s="47"/>
      <x:c r="O32" s="47"/>
      <x:c r="P32" s="47"/>
      <x:c r="Q32" s="47"/>
      <x:c r="R32" s="47"/>
      <x:c r="S32" s="47"/>
      <x:c r="T32" s="47"/>
      <x:c r="U32" s="47"/>
      <x:c r="V32" s="47"/>
      <x:c r="W32" s="47"/>
      <x:c r="X32" s="47"/>
      <x:c r="Y32" s="47"/>
      <x:c r="Z32" s="47"/>
    </x:row>
    <x:row r="33">
      <x:c r="A33" s="199" t="str">
        <x:v>SRC-029</x:v>
      </x:c>
      <x:c r="B33" s="200" t="str">
        <x:v>Degreed Maestro</x:v>
      </x:c>
      <x:c r="C33" s="200" t="str">
        <x:v>Commercial product</x:v>
      </x:c>
      <x:c r="D33" s="200" t="str">
        <x:v>AI learning, coaching, skill review, pathways and behaviour change.</x:v>
      </x:c>
      <x:c r="E33" s="200" t="str">
        <x:v>https://degreed.com/experience/artificial-intelligence/</x:v>
      </x:c>
      <x:c r="F33" s="200" t="str">
        <x:v>High</x:v>
      </x:c>
      <x:c r="G33" s="201" t="str">
        <x:v>Learning/coaching reference.</x:v>
      </x:c>
      <x:c r="H33" s="47"/>
      <x:c r="I33" s="47"/>
      <x:c r="J33" s="47"/>
      <x:c r="K33" s="47"/>
      <x:c r="L33" s="47"/>
      <x:c r="M33" s="47"/>
      <x:c r="N33" s="47"/>
      <x:c r="O33" s="47"/>
      <x:c r="P33" s="47"/>
      <x:c r="Q33" s="47"/>
      <x:c r="R33" s="47"/>
      <x:c r="S33" s="47"/>
      <x:c r="T33" s="47"/>
      <x:c r="U33" s="47"/>
      <x:c r="V33" s="47"/>
      <x:c r="W33" s="47"/>
      <x:c r="X33" s="47"/>
      <x:c r="Y33" s="47"/>
      <x:c r="Z33" s="47"/>
    </x:row>
    <x:row r="34">
      <x:c r="A34" s="205" t="str">
        <x:v>SRC-030</x:v>
      </x:c>
      <x:c r="B34" s="206" t="str">
        <x:v>Degreed platform</x:v>
      </x:c>
      <x:c r="C34" s="206" t="str">
        <x:v>Commercial product</x:v>
      </x:c>
      <x:c r="D34" s="206" t="str">
        <x:v>Personalised workforce learning and targeted upskilling.</x:v>
      </x:c>
      <x:c r="E34" s="206" t="str">
        <x:v>https://degreed.com/</x:v>
      </x:c>
      <x:c r="F34" s="206" t="str">
        <x:v>Medium</x:v>
      </x:c>
      <x:c r="G34" s="207" t="str">
        <x:v>Learning-content and LMS integration reference.</x:v>
      </x:c>
      <x:c r="H34" s="47"/>
      <x:c r="I34" s="47"/>
      <x:c r="J34" s="47"/>
      <x:c r="K34" s="47"/>
      <x:c r="L34" s="47"/>
      <x:c r="M34" s="47"/>
      <x:c r="N34" s="47"/>
      <x:c r="O34" s="47"/>
      <x:c r="P34" s="47"/>
      <x:c r="Q34" s="47"/>
      <x:c r="R34" s="47"/>
      <x:c r="S34" s="47"/>
      <x:c r="T34" s="47"/>
      <x:c r="U34" s="47"/>
      <x:c r="V34" s="47"/>
      <x:c r="W34" s="47"/>
      <x:c r="X34" s="47"/>
      <x:c r="Y34" s="47"/>
      <x:c r="Z34" s="47"/>
    </x:row>
    <x:row r="35">
      <x:c r="A35" s="199" t="str">
        <x:v>SRC-031</x:v>
      </x:c>
      <x:c r="B35" s="200" t="str">
        <x:v>Screenpipe GitHub</x:v>
      </x:c>
      <x:c r="C35" s="200" t="str">
        <x:v>Source-available repository</x:v>
      </x:c>
      <x:c r="D35" s="200" t="str">
        <x:v>Event-driven screen capture, accessibility, OCR fallback, keyboard/app events, local search and AI pipes.</x:v>
      </x:c>
      <x:c r="E35" s="200" t="str">
        <x:v>https://github.com/screenpipe/screenpipe</x:v>
      </x:c>
      <x:c r="F35" s="200" t="str">
        <x:v>High</x:v>
      </x:c>
      <x:c r="G35" s="201" t="str">
        <x:v>Commercial use requires licence per repository.</x:v>
      </x:c>
      <x:c r="H35" s="47"/>
      <x:c r="I35" s="47"/>
      <x:c r="J35" s="47"/>
      <x:c r="K35" s="47"/>
      <x:c r="L35" s="47"/>
      <x:c r="M35" s="47"/>
      <x:c r="N35" s="47"/>
      <x:c r="O35" s="47"/>
      <x:c r="P35" s="47"/>
      <x:c r="Q35" s="47"/>
      <x:c r="R35" s="47"/>
      <x:c r="S35" s="47"/>
      <x:c r="T35" s="47"/>
      <x:c r="U35" s="47"/>
      <x:c r="V35" s="47"/>
      <x:c r="W35" s="47"/>
      <x:c r="X35" s="47"/>
      <x:c r="Y35" s="47"/>
      <x:c r="Z35" s="47"/>
    </x:row>
    <x:row r="36">
      <x:c r="A36" s="205" t="str">
        <x:v>SRC-032</x:v>
      </x:c>
      <x:c r="B36" s="206" t="str">
        <x:v>ActivityWatch GitHub</x:v>
      </x:c>
      <x:c r="C36" s="206" t="str">
        <x:v>Open-source repository</x:v>
      </x:c>
      <x:c r="D36" s="206" t="str">
        <x:v>Local watcher/server architecture for window/browser/AFK events.</x:v>
      </x:c>
      <x:c r="E36" s="206" t="str">
        <x:v>https://github.com/ActivityWatch/activitywatch</x:v>
      </x:c>
      <x:c r="F36" s="206" t="str">
        <x:v>High</x:v>
      </x:c>
      <x:c r="G36" s="207" t="str">
        <x:v>MPL-2.0 verified.</x:v>
      </x:c>
      <x:c r="H36" s="47"/>
      <x:c r="I36" s="47"/>
      <x:c r="J36" s="47"/>
      <x:c r="K36" s="47"/>
      <x:c r="L36" s="47"/>
      <x:c r="M36" s="47"/>
      <x:c r="N36" s="47"/>
      <x:c r="O36" s="47"/>
      <x:c r="P36" s="47"/>
      <x:c r="Q36" s="47"/>
      <x:c r="R36" s="47"/>
      <x:c r="S36" s="47"/>
      <x:c r="T36" s="47"/>
      <x:c r="U36" s="47"/>
      <x:c r="V36" s="47"/>
      <x:c r="W36" s="47"/>
      <x:c r="X36" s="47"/>
      <x:c r="Y36" s="47"/>
      <x:c r="Z36" s="47"/>
    </x:row>
    <x:row r="37">
      <x:c r="A37" s="199" t="str">
        <x:v>SRC-033</x:v>
      </x:c>
      <x:c r="B37" s="200" t="str">
        <x:v>ActivityWatch window watcher</x:v>
      </x:c>
      <x:c r="C37" s="200" t="str">
        <x:v>Open-source repository</x:v>
      </x:c>
      <x:c r="D37" s="200" t="str">
        <x:v>Foreground-window event collector.</x:v>
      </x:c>
      <x:c r="E37" s="200" t="str">
        <x:v>https://github.com/ActivityWatch/aw-watcher-window</x:v>
      </x:c>
      <x:c r="F37" s="200" t="str">
        <x:v>Medium</x:v>
      </x:c>
      <x:c r="G37" s="201" t="str">
        <x:v>Reference for endpoint event semantics.</x:v>
      </x:c>
      <x:c r="H37" s="47"/>
      <x:c r="I37" s="47"/>
      <x:c r="J37" s="47"/>
      <x:c r="K37" s="47"/>
      <x:c r="L37" s="47"/>
      <x:c r="M37" s="47"/>
      <x:c r="N37" s="47"/>
      <x:c r="O37" s="47"/>
      <x:c r="P37" s="47"/>
      <x:c r="Q37" s="47"/>
      <x:c r="R37" s="47"/>
      <x:c r="S37" s="47"/>
      <x:c r="T37" s="47"/>
      <x:c r="U37" s="47"/>
      <x:c r="V37" s="47"/>
      <x:c r="W37" s="47"/>
      <x:c r="X37" s="47"/>
      <x:c r="Y37" s="47"/>
      <x:c r="Z37" s="47"/>
    </x:row>
    <x:row r="38">
      <x:c r="A38" s="205" t="str">
        <x:v>SRC-034</x:v>
      </x:c>
      <x:c r="B38" s="206" t="str">
        <x:v>ActivityWatch web watcher</x:v>
      </x:c>
      <x:c r="C38" s="206" t="str">
        <x:v>Open-source repository</x:v>
      </x:c>
      <x:c r="D38" s="206" t="str">
        <x:v>Browser tab/title/URL watcher.</x:v>
      </x:c>
      <x:c r="E38" s="206" t="str">
        <x:v>https://github.com/ActivityWatch/aw-watcher-web</x:v>
      </x:c>
      <x:c r="F38" s="206" t="str">
        <x:v>Medium</x:v>
      </x:c>
      <x:c r="G38" s="207" t="str">
        <x:v>Reference for browser adapter.</x:v>
      </x:c>
      <x:c r="H38" s="47"/>
      <x:c r="I38" s="47"/>
      <x:c r="J38" s="47"/>
      <x:c r="K38" s="47"/>
      <x:c r="L38" s="47"/>
      <x:c r="M38" s="47"/>
      <x:c r="N38" s="47"/>
      <x:c r="O38" s="47"/>
      <x:c r="P38" s="47"/>
      <x:c r="Q38" s="47"/>
      <x:c r="R38" s="47"/>
      <x:c r="S38" s="47"/>
      <x:c r="T38" s="47"/>
      <x:c r="U38" s="47"/>
      <x:c r="V38" s="47"/>
      <x:c r="W38" s="47"/>
      <x:c r="X38" s="47"/>
      <x:c r="Y38" s="47"/>
      <x:c r="Z38" s="47"/>
    </x:row>
    <x:row r="39">
      <x:c r="A39" s="199" t="str">
        <x:v>SRC-035</x:v>
      </x:c>
      <x:c r="B39" s="200" t="str">
        <x:v>OpenAdapt Desktop</x:v>
      </x:c>
      <x:c r="C39" s="200" t="str">
        <x:v>Open-source repository</x:v>
      </x:c>
      <x:c r="D39" s="200" t="str">
        <x:v>Capture/review/teach desktop architecture and bridge to workflow engine.</x:v>
      </x:c>
      <x:c r="E39" s="200" t="str">
        <x:v>https://github.com/OpenAdaptAI/openadapt-desktop</x:v>
      </x:c>
      <x:c r="F39" s="200" t="str">
        <x:v>High</x:v>
      </x:c>
      <x:c r="G39" s="201" t="str">
        <x:v>MIT; repository states experimental/non-production.</x:v>
      </x:c>
      <x:c r="H39" s="47"/>
      <x:c r="I39" s="47"/>
      <x:c r="J39" s="47"/>
      <x:c r="K39" s="47"/>
      <x:c r="L39" s="47"/>
      <x:c r="M39" s="47"/>
      <x:c r="N39" s="47"/>
      <x:c r="O39" s="47"/>
      <x:c r="P39" s="47"/>
      <x:c r="Q39" s="47"/>
      <x:c r="R39" s="47"/>
      <x:c r="S39" s="47"/>
      <x:c r="T39" s="47"/>
      <x:c r="U39" s="47"/>
      <x:c r="V39" s="47"/>
      <x:c r="W39" s="47"/>
      <x:c r="X39" s="47"/>
      <x:c r="Y39" s="47"/>
      <x:c r="Z39" s="47"/>
    </x:row>
    <x:row r="40">
      <x:c r="A40" s="205" t="str">
        <x:v>SRC-036</x:v>
      </x:c>
      <x:c r="B40" s="206" t="str">
        <x:v>OpenAdapt Flow</x:v>
      </x:c>
      <x:c r="C40" s="206" t="str">
        <x:v>Open-source repository</x:v>
      </x:c>
      <x:c r="D40" s="206" t="str">
        <x:v>Record/compile/lint/certify/replay/repair/teach workflow pattern.</x:v>
      </x:c>
      <x:c r="E40" s="206" t="str">
        <x:v>https://github.com/OpenAdaptAI/openadapt-flow</x:v>
      </x:c>
      <x:c r="F40" s="206" t="str">
        <x:v>Medium</x:v>
      </x:c>
      <x:c r="G40" s="207" t="str">
        <x:v>Licence/security review required.</x:v>
      </x:c>
      <x:c r="H40" s="47"/>
      <x:c r="I40" s="47"/>
      <x:c r="J40" s="47"/>
      <x:c r="K40" s="47"/>
      <x:c r="L40" s="47"/>
      <x:c r="M40" s="47"/>
      <x:c r="N40" s="47"/>
      <x:c r="O40" s="47"/>
      <x:c r="P40" s="47"/>
      <x:c r="Q40" s="47"/>
      <x:c r="R40" s="47"/>
      <x:c r="S40" s="47"/>
      <x:c r="T40" s="47"/>
      <x:c r="U40" s="47"/>
      <x:c r="V40" s="47"/>
      <x:c r="W40" s="47"/>
      <x:c r="X40" s="47"/>
      <x:c r="Y40" s="47"/>
      <x:c r="Z40" s="47"/>
    </x:row>
    <x:row r="41">
      <x:c r="A41" s="199" t="str">
        <x:v>SRC-037</x:v>
      </x:c>
      <x:c r="B41" s="200" t="str">
        <x:v>OpenAdapt Privacy</x:v>
      </x:c>
      <x:c r="C41" s="200" t="str">
        <x:v>Open-source repository</x:v>
      </x:c>
      <x:c r="D41" s="200" t="str">
        <x:v>Experimental PII/redaction component.</x:v>
      </x:c>
      <x:c r="E41" s="200" t="str">
        <x:v>https://github.com/OpenAdaptAI/openadapt-privacy</x:v>
      </x:c>
      <x:c r="F41" s="200" t="str">
        <x:v>Medium</x:v>
      </x:c>
      <x:c r="G41" s="201" t="str">
        <x:v>Independent evaluation and model-licence review required.</x:v>
      </x:c>
      <x:c r="H41" s="47"/>
      <x:c r="I41" s="47"/>
      <x:c r="J41" s="47"/>
      <x:c r="K41" s="47"/>
      <x:c r="L41" s="47"/>
      <x:c r="M41" s="47"/>
      <x:c r="N41" s="47"/>
      <x:c r="O41" s="47"/>
      <x:c r="P41" s="47"/>
      <x:c r="Q41" s="47"/>
      <x:c r="R41" s="47"/>
      <x:c r="S41" s="47"/>
      <x:c r="T41" s="47"/>
      <x:c r="U41" s="47"/>
      <x:c r="V41" s="47"/>
      <x:c r="W41" s="47"/>
      <x:c r="X41" s="47"/>
      <x:c r="Y41" s="47"/>
      <x:c r="Z41" s="47"/>
    </x:row>
    <x:row r="42">
      <x:c r="A42" s="205" t="str">
        <x:v>SRC-038</x:v>
      </x:c>
      <x:c r="B42" s="206" t="str">
        <x:v>Claude-Mem GitHub</x:v>
      </x:c>
      <x:c r="C42" s="206" t="str">
        <x:v>Open-source repository</x:v>
      </x:c>
      <x:c r="D42" s="206" t="str">
        <x:v>Agent lifecycle hooks, local worker, SQLite/FTS5, summaries and memory retrieval.</x:v>
      </x:c>
      <x:c r="E42" s="206" t="str">
        <x:v>https://github.com/thedotmack/claude-mem</x:v>
      </x:c>
      <x:c r="F42" s="206" t="str">
        <x:v>High</x:v>
      </x:c>
      <x:c r="G42" s="207" t="str">
        <x:v>Apache-2.0 in repository metadata.</x:v>
      </x:c>
      <x:c r="H42" s="47"/>
      <x:c r="I42" s="47"/>
      <x:c r="J42" s="47"/>
      <x:c r="K42" s="47"/>
      <x:c r="L42" s="47"/>
      <x:c r="M42" s="47"/>
      <x:c r="N42" s="47"/>
      <x:c r="O42" s="47"/>
      <x:c r="P42" s="47"/>
      <x:c r="Q42" s="47"/>
      <x:c r="R42" s="47"/>
      <x:c r="S42" s="47"/>
      <x:c r="T42" s="47"/>
      <x:c r="U42" s="47"/>
      <x:c r="V42" s="47"/>
      <x:c r="W42" s="47"/>
      <x:c r="X42" s="47"/>
      <x:c r="Y42" s="47"/>
      <x:c r="Z42" s="47"/>
    </x:row>
    <x:row r="43">
      <x:c r="A43" s="199" t="str">
        <x:v>SRC-039</x:v>
      </x:c>
      <x:c r="B43" s="200" t="str">
        <x:v>Task Observer GitHub</x:v>
      </x:c>
      <x:c r="C43" s="200" t="str">
        <x:v>Open-source methodology</x:v>
      </x:c>
      <x:c r="D43" s="200" t="str">
        <x:v>Correction/gap observations, cross-cutting principles and human-reviewed skill improvement.</x:v>
      </x:c>
      <x:c r="E43" s="200" t="str">
        <x:v>https://github.com/rebelytics/one-skill-to-rule-them-all</x:v>
      </x:c>
      <x:c r="F43" s="200" t="str">
        <x:v>High</x:v>
      </x:c>
      <x:c r="G43" s="201" t="str">
        <x:v>CC BY 4.0 attribution required.</x:v>
      </x:c>
      <x:c r="H43" s="47"/>
      <x:c r="I43" s="47"/>
      <x:c r="J43" s="47"/>
      <x:c r="K43" s="47"/>
      <x:c r="L43" s="47"/>
      <x:c r="M43" s="47"/>
      <x:c r="N43" s="47"/>
      <x:c r="O43" s="47"/>
      <x:c r="P43" s="47"/>
      <x:c r="Q43" s="47"/>
      <x:c r="R43" s="47"/>
      <x:c r="S43" s="47"/>
      <x:c r="T43" s="47"/>
      <x:c r="U43" s="47"/>
      <x:c r="V43" s="47"/>
      <x:c r="W43" s="47"/>
      <x:c r="X43" s="47"/>
      <x:c r="Y43" s="47"/>
      <x:c r="Z43" s="47"/>
    </x:row>
    <x:row r="44">
      <x:c r="A44" s="205" t="str">
        <x:v>SRC-040</x:v>
      </x:c>
      <x:c r="B44" s="206" t="str">
        <x:v>WakaTime CLI GitHub</x:v>
      </x:c>
      <x:c r="C44" s="206" t="str">
        <x:v>Open-source repository</x:v>
      </x:c>
      <x:c r="D44" s="206" t="str">
        <x:v>Developer editor/CLI heartbeat instrumentation.</x:v>
      </x:c>
      <x:c r="E44" s="206" t="str">
        <x:v>https://github.com/wakatime/wakatime-cli</x:v>
      </x:c>
      <x:c r="F44" s="206" t="str">
        <x:v>Medium</x:v>
      </x:c>
      <x:c r="G44" s="207" t="str">
        <x:v>BSD 3-Clause verified.</x:v>
      </x:c>
      <x:c r="H44" s="47"/>
      <x:c r="I44" s="47"/>
      <x:c r="J44" s="47"/>
      <x:c r="K44" s="47"/>
      <x:c r="L44" s="47"/>
      <x:c r="M44" s="47"/>
      <x:c r="N44" s="47"/>
      <x:c r="O44" s="47"/>
      <x:c r="P44" s="47"/>
      <x:c r="Q44" s="47"/>
      <x:c r="R44" s="47"/>
      <x:c r="S44" s="47"/>
      <x:c r="T44" s="47"/>
      <x:c r="U44" s="47"/>
      <x:c r="V44" s="47"/>
      <x:c r="W44" s="47"/>
      <x:c r="X44" s="47"/>
      <x:c r="Y44" s="47"/>
      <x:c r="Z44" s="47"/>
    </x:row>
    <x:row r="45">
      <x:c r="A45" s="199" t="str">
        <x:v>SRC-041</x:v>
      </x:c>
      <x:c r="B45" s="200" t="str">
        <x:v>OpenTelemetry Semantic Conventions GitHub</x:v>
      </x:c>
      <x:c r="C45" s="200" t="str">
        <x:v>Open standard repository</x:v>
      </x:c>
      <x:c r="D45" s="200" t="str">
        <x:v>Cross-language trace/metric/log semantic conventions.</x:v>
      </x:c>
      <x:c r="E45" s="200" t="str">
        <x:v>https://github.com/open-telemetry/semantic-conventions</x:v>
      </x:c>
      <x:c r="F45" s="200" t="str">
        <x:v>High</x:v>
      </x:c>
      <x:c r="G45" s="201" t="str">
        <x:v>Operational observability reference.</x:v>
      </x:c>
      <x:c r="H45" s="47"/>
      <x:c r="I45" s="47"/>
      <x:c r="J45" s="47"/>
      <x:c r="K45" s="47"/>
      <x:c r="L45" s="47"/>
      <x:c r="M45" s="47"/>
      <x:c r="N45" s="47"/>
      <x:c r="O45" s="47"/>
      <x:c r="P45" s="47"/>
      <x:c r="Q45" s="47"/>
      <x:c r="R45" s="47"/>
      <x:c r="S45" s="47"/>
      <x:c r="T45" s="47"/>
      <x:c r="U45" s="47"/>
      <x:c r="V45" s="47"/>
      <x:c r="W45" s="47"/>
      <x:c r="X45" s="47"/>
      <x:c r="Y45" s="47"/>
      <x:c r="Z45" s="47"/>
    </x:row>
    <x:row r="46">
      <x:c r="A46" s="205" t="str">
        <x:v>SRC-042</x:v>
      </x:c>
      <x:c r="B46" s="206" t="str">
        <x:v>OpenTelemetry GenAI Conventions GitHub</x:v>
      </x:c>
      <x:c r="C46" s="206" t="str">
        <x:v>Open standard repository</x:v>
      </x:c>
      <x:c r="D46" s="206" t="str">
        <x:v>Provider-neutral GenAI/agent/tool/MCP telemetry conventions.</x:v>
      </x:c>
      <x:c r="E46" s="206" t="str">
        <x:v>https://github.com/open-telemetry/semantic-conventions-genai</x:v>
      </x:c>
      <x:c r="F46" s="206" t="str">
        <x:v>High</x:v>
      </x:c>
      <x:c r="G46" s="207" t="str">
        <x:v>Sensitive input/output fields require policy.</x:v>
      </x:c>
      <x:c r="H46" s="47"/>
      <x:c r="I46" s="47"/>
      <x:c r="J46" s="47"/>
      <x:c r="K46" s="47"/>
      <x:c r="L46" s="47"/>
      <x:c r="M46" s="47"/>
      <x:c r="N46" s="47"/>
      <x:c r="O46" s="47"/>
      <x:c r="P46" s="47"/>
      <x:c r="Q46" s="47"/>
      <x:c r="R46" s="47"/>
      <x:c r="S46" s="47"/>
      <x:c r="T46" s="47"/>
      <x:c r="U46" s="47"/>
      <x:c r="V46" s="47"/>
      <x:c r="W46" s="47"/>
      <x:c r="X46" s="47"/>
      <x:c r="Y46" s="47"/>
      <x:c r="Z46" s="47"/>
    </x:row>
    <x:row r="47">
      <x:c r="A47" s="199" t="str">
        <x:v>SRC-043</x:v>
      </x:c>
      <x:c r="B47" s="200" t="str">
        <x:v>CloudEvents specification GitHub</x:v>
      </x:c>
      <x:c r="C47" s="200" t="str">
        <x:v>Open standard repository</x:v>
      </x:c>
      <x:c r="D47" s="200" t="str">
        <x:v>Portable event-envelope metadata and bindings.</x:v>
      </x:c>
      <x:c r="E47" s="200" t="str">
        <x:v>https://github.com/cloudevents/spec</x:v>
      </x:c>
      <x:c r="F47" s="200" t="str">
        <x:v>High</x:v>
      </x:c>
      <x:c r="G47" s="201" t="str">
        <x:v>Apache-2.0 verified.</x:v>
      </x:c>
      <x:c r="H47" s="47"/>
      <x:c r="I47" s="47"/>
      <x:c r="J47" s="47"/>
      <x:c r="K47" s="47"/>
      <x:c r="L47" s="47"/>
      <x:c r="M47" s="47"/>
      <x:c r="N47" s="47"/>
      <x:c r="O47" s="47"/>
      <x:c r="P47" s="47"/>
      <x:c r="Q47" s="47"/>
      <x:c r="R47" s="47"/>
      <x:c r="S47" s="47"/>
      <x:c r="T47" s="47"/>
      <x:c r="U47" s="47"/>
      <x:c r="V47" s="47"/>
      <x:c r="W47" s="47"/>
      <x:c r="X47" s="47"/>
      <x:c r="Y47" s="47"/>
      <x:c r="Z47" s="47"/>
    </x:row>
    <x:row r="48">
      <x:c r="A48" s="205" t="str">
        <x:v>SRC-044</x:v>
      </x:c>
      <x:c r="B48" s="206" t="str">
        <x:v>Open Policy Agent GitHub</x:v>
      </x:c>
      <x:c r="C48" s="206" t="str">
        <x:v>Open-source repository</x:v>
      </x:c>
      <x:c r="D48" s="206" t="str">
        <x:v>Policy-as-code engine, bundles and decision APIs.</x:v>
      </x:c>
      <x:c r="E48" s="206" t="str">
        <x:v>https://github.com/open-policy-agent/opa</x:v>
      </x:c>
      <x:c r="F48" s="206" t="str">
        <x:v>High</x:v>
      </x:c>
      <x:c r="G48" s="207" t="str">
        <x:v>Reuse HumanOS policy service first; benchmark OPA.</x:v>
      </x:c>
      <x:c r="H48" s="47"/>
      <x:c r="I48" s="47"/>
      <x:c r="J48" s="47"/>
      <x:c r="K48" s="47"/>
      <x:c r="L48" s="47"/>
      <x:c r="M48" s="47"/>
      <x:c r="N48" s="47"/>
      <x:c r="O48" s="47"/>
      <x:c r="P48" s="47"/>
      <x:c r="Q48" s="47"/>
      <x:c r="R48" s="47"/>
      <x:c r="S48" s="47"/>
      <x:c r="T48" s="47"/>
      <x:c r="U48" s="47"/>
      <x:c r="V48" s="47"/>
      <x:c r="W48" s="47"/>
      <x:c r="X48" s="47"/>
      <x:c r="Y48" s="47"/>
      <x:c r="Z48" s="47"/>
    </x:row>
    <x:row r="49">
      <x:c r="A49" s="199" t="str">
        <x:v>SRC-045</x:v>
      </x:c>
      <x:c r="B49" s="200" t="str">
        <x:v>Temporal Java SDK GitHub</x:v>
      </x:c>
      <x:c r="C49" s="200" t="str">
        <x:v>Open-source repository</x:v>
      </x:c>
      <x:c r="D49" s="200" t="str">
        <x:v>Durable Java workflows and activities.</x:v>
      </x:c>
      <x:c r="E49" s="200" t="str">
        <x:v>https://github.com/temporalio/sdk-java</x:v>
      </x:c>
      <x:c r="F49" s="200" t="str">
        <x:v>Medium</x:v>
      </x:c>
      <x:c r="G49" s="201" t="str">
        <x:v>Reference only until HumanOS workflow gaps are proven.</x:v>
      </x:c>
      <x:c r="H49" s="47"/>
      <x:c r="I49" s="47"/>
      <x:c r="J49" s="47"/>
      <x:c r="K49" s="47"/>
      <x:c r="L49" s="47"/>
      <x:c r="M49" s="47"/>
      <x:c r="N49" s="47"/>
      <x:c r="O49" s="47"/>
      <x:c r="P49" s="47"/>
      <x:c r="Q49" s="47"/>
      <x:c r="R49" s="47"/>
      <x:c r="S49" s="47"/>
      <x:c r="T49" s="47"/>
      <x:c r="U49" s="47"/>
      <x:c r="V49" s="47"/>
      <x:c r="W49" s="47"/>
      <x:c r="X49" s="47"/>
      <x:c r="Y49" s="47"/>
      <x:c r="Z49" s="47"/>
    </x:row>
    <x:row r="50">
      <x:c r="A50" s="205" t="str">
        <x:v>SRC-046</x:v>
      </x:c>
      <x:c r="B50" s="206" t="str">
        <x:v>Temporal Python SDK GitHub</x:v>
      </x:c>
      <x:c r="C50" s="206" t="str">
        <x:v>Open-source repository</x:v>
      </x:c>
      <x:c r="D50" s="206" t="str">
        <x:v>Durable Python workflows and activities.</x:v>
      </x:c>
      <x:c r="E50" s="206" t="str">
        <x:v>https://github.com/temporalio/sdk-python</x:v>
      </x:c>
      <x:c r="F50" s="206" t="str">
        <x:v>Medium</x:v>
      </x:c>
      <x:c r="G50" s="207" t="str">
        <x:v>Reference only.</x:v>
      </x:c>
      <x:c r="H50" s="47"/>
      <x:c r="I50" s="47"/>
      <x:c r="J50" s="47"/>
      <x:c r="K50" s="47"/>
      <x:c r="L50" s="47"/>
      <x:c r="M50" s="47"/>
      <x:c r="N50" s="47"/>
      <x:c r="O50" s="47"/>
      <x:c r="P50" s="47"/>
      <x:c r="Q50" s="47"/>
      <x:c r="R50" s="47"/>
      <x:c r="S50" s="47"/>
      <x:c r="T50" s="47"/>
      <x:c r="U50" s="47"/>
      <x:c r="V50" s="47"/>
      <x:c r="W50" s="47"/>
      <x:c r="X50" s="47"/>
      <x:c r="Y50" s="47"/>
      <x:c r="Z50" s="47"/>
    </x:row>
    <x:row r="51">
      <x:c r="A51" s="199" t="str">
        <x:v>SRC-047</x:v>
      </x:c>
      <x:c r="B51" s="200" t="str">
        <x:v>OpenAI Codex Hooks</x:v>
      </x:c>
      <x:c r="C51" s="200" t="str">
        <x:v>Official documentation</x:v>
      </x:c>
      <x:c r="D51" s="200" t="str">
        <x:v>Codex lifecycle instrumentation and policy/validation hooks.</x:v>
      </x:c>
      <x:c r="E51" s="200" t="str">
        <x:v>https://developers.openai.com/codex/hooks</x:v>
      </x:c>
      <x:c r="F51" s="200" t="str">
        <x:v>High</x:v>
      </x:c>
      <x:c r="G51" s="201" t="str">
        <x:v>First-class AI Adapter input.</x:v>
      </x:c>
      <x:c r="H51" s="47"/>
      <x:c r="I51" s="47"/>
      <x:c r="J51" s="47"/>
      <x:c r="K51" s="47"/>
      <x:c r="L51" s="47"/>
      <x:c r="M51" s="47"/>
      <x:c r="N51" s="47"/>
      <x:c r="O51" s="47"/>
      <x:c r="P51" s="47"/>
      <x:c r="Q51" s="47"/>
      <x:c r="R51" s="47"/>
      <x:c r="S51" s="47"/>
      <x:c r="T51" s="47"/>
      <x:c r="U51" s="47"/>
      <x:c r="V51" s="47"/>
      <x:c r="W51" s="47"/>
      <x:c r="X51" s="47"/>
      <x:c r="Y51" s="47"/>
      <x:c r="Z51" s="47"/>
    </x:row>
    <x:row r="52">
      <x:c r="A52" s="205" t="str">
        <x:v>SRC-048</x:v>
      </x:c>
      <x:c r="B52" s="206" t="str">
        <x:v>OpenAI Record &amp; Replay</x:v>
      </x:c>
      <x:c r="C52" s="206" t="str">
        <x:v>Official documentation</x:v>
      </x:c>
      <x:c r="D52" s="206" t="str">
        <x:v>Demonstration converted to reusable skill with inputs, steps and verification.</x:v>
      </x:c>
      <x:c r="E52" s="206" t="str">
        <x:v>https://developers.openai.com/codex/record-and-replay</x:v>
      </x:c>
      <x:c r="F52" s="206" t="str">
        <x:v>Medium</x:v>
      </x:c>
      <x:c r="G52" s="207" t="str">
        <x:v>Skill Forge reference; provider-neutral Nessovo design.</x:v>
      </x:c>
      <x:c r="H52" s="47"/>
      <x:c r="I52" s="47"/>
      <x:c r="J52" s="47"/>
      <x:c r="K52" s="47"/>
      <x:c r="L52" s="47"/>
      <x:c r="M52" s="47"/>
      <x:c r="N52" s="47"/>
      <x:c r="O52" s="47"/>
      <x:c r="P52" s="47"/>
      <x:c r="Q52" s="47"/>
      <x:c r="R52" s="47"/>
      <x:c r="S52" s="47"/>
      <x:c r="T52" s="47"/>
      <x:c r="U52" s="47"/>
      <x:c r="V52" s="47"/>
      <x:c r="W52" s="47"/>
      <x:c r="X52" s="47"/>
      <x:c r="Y52" s="47"/>
      <x:c r="Z52" s="47"/>
    </x:row>
    <x:row r="53">
      <x:c r="A53" s="199" t="str">
        <x:v>SRC-049</x:v>
      </x:c>
      <x:c r="B53" s="200" t="str">
        <x:v>OpenTelemetry semantic conventions</x:v>
      </x:c>
      <x:c r="C53" s="200" t="str">
        <x:v>Official documentation</x:v>
      </x:c>
      <x:c r="D53" s="200" t="str">
        <x:v>Standard operational telemetry naming and lifecycle.</x:v>
      </x:c>
      <x:c r="E53" s="200" t="str">
        <x:v>https://opentelemetry.io/docs/concepts/semantic-conventions/</x:v>
      </x:c>
      <x:c r="F53" s="200" t="str">
        <x:v>High</x:v>
      </x:c>
      <x:c r="G53" s="201" t="str">
        <x:v>Keep raw employee evidence outside traces.</x:v>
      </x:c>
      <x:c r="H53" s="47"/>
      <x:c r="I53" s="47"/>
      <x:c r="J53" s="47"/>
      <x:c r="K53" s="47"/>
      <x:c r="L53" s="47"/>
      <x:c r="M53" s="47"/>
      <x:c r="N53" s="47"/>
      <x:c r="O53" s="47"/>
      <x:c r="P53" s="47"/>
      <x:c r="Q53" s="47"/>
      <x:c r="R53" s="47"/>
      <x:c r="S53" s="47"/>
      <x:c r="T53" s="47"/>
      <x:c r="U53" s="47"/>
      <x:c r="V53" s="47"/>
      <x:c r="W53" s="47"/>
      <x:c r="X53" s="47"/>
      <x:c r="Y53" s="47"/>
      <x:c r="Z53" s="47"/>
    </x:row>
    <x:row r="54">
      <x:c r="A54" s="205" t="str">
        <x:v>SRC-050</x:v>
      </x:c>
      <x:c r="B54" s="206" t="str">
        <x:v>OpenTelemetry GenAI attributes</x:v>
      </x:c>
      <x:c r="C54" s="206" t="str">
        <x:v>Official documentation</x:v>
      </x:c>
      <x:c r="D54" s="206" t="str">
        <x:v>GenAI request/response/agent/tool attributes and sensitivity warnings.</x:v>
      </x:c>
      <x:c r="E54" s="206" t="str">
        <x:v>https://opentelemetry.io/docs/specs/semconv/registry/attributes/gen-ai/</x:v>
      </x:c>
      <x:c r="F54" s="206" t="str">
        <x:v>High</x:v>
      </x:c>
      <x:c r="G54" s="207" t="str">
        <x:v>Content capture must be policy-controlled.</x:v>
      </x:c>
      <x:c r="H54" s="47"/>
      <x:c r="I54" s="47"/>
      <x:c r="J54" s="47"/>
      <x:c r="K54" s="47"/>
      <x:c r="L54" s="47"/>
      <x:c r="M54" s="47"/>
      <x:c r="N54" s="47"/>
      <x:c r="O54" s="47"/>
      <x:c r="P54" s="47"/>
      <x:c r="Q54" s="47"/>
      <x:c r="R54" s="47"/>
      <x:c r="S54" s="47"/>
      <x:c r="T54" s="47"/>
      <x:c r="U54" s="47"/>
      <x:c r="V54" s="47"/>
      <x:c r="W54" s="47"/>
      <x:c r="X54" s="47"/>
      <x:c r="Y54" s="47"/>
      <x:c r="Z54" s="47"/>
    </x:row>
    <x:row r="55">
      <x:c r="A55" s="199" t="str">
        <x:v>SRC-051</x:v>
      </x:c>
      <x:c r="B55" s="200" t="str">
        <x:v>Apache Kafka documentation</x:v>
      </x:c>
      <x:c r="C55" s="200" t="str">
        <x:v>Official documentation</x:v>
      </x:c>
      <x:c r="D55" s="200" t="str">
        <x:v>Durable event streaming, consumers, replay and distributed data flow.</x:v>
      </x:c>
      <x:c r="E55" s="200" t="str">
        <x:v>https://kafka.apache.org/documentation/</x:v>
      </x:c>
      <x:c r="F55" s="200" t="str">
        <x:v>High</x:v>
      </x:c>
      <x:c r="G55" s="201" t="str">
        <x:v>Reuse HumanOS compatible event infrastructure.</x:v>
      </x:c>
      <x:c r="H55" s="47"/>
      <x:c r="I55" s="47"/>
      <x:c r="J55" s="47"/>
      <x:c r="K55" s="47"/>
      <x:c r="L55" s="47"/>
      <x:c r="M55" s="47"/>
      <x:c r="N55" s="47"/>
      <x:c r="O55" s="47"/>
      <x:c r="P55" s="47"/>
      <x:c r="Q55" s="47"/>
      <x:c r="R55" s="47"/>
      <x:c r="S55" s="47"/>
      <x:c r="T55" s="47"/>
      <x:c r="U55" s="47"/>
      <x:c r="V55" s="47"/>
      <x:c r="W55" s="47"/>
      <x:c r="X55" s="47"/>
      <x:c r="Y55" s="47"/>
      <x:c r="Z55" s="47"/>
    </x:row>
    <x:row r="56">
      <x:c r="A56" s="205" t="str">
        <x:v>SRC-052</x:v>
      </x:c>
      <x:c r="B56" s="206" t="str">
        <x:v>CloudEvents</x:v>
      </x:c>
      <x:c r="C56" s="206" t="str">
        <x:v>Official project</x:v>
      </x:c>
      <x:c r="D56" s="206" t="str">
        <x:v>Standard event envelope and ecosystem.</x:v>
      </x:c>
      <x:c r="E56" s="206" t="str">
        <x:v>https://cloudevents.io/</x:v>
      </x:c>
      <x:c r="F56" s="206" t="str">
        <x:v>High</x:v>
      </x:c>
      <x:c r="G56" s="207" t="str">
        <x:v>Adopt style if compatible with existing HumanOS contracts.</x:v>
      </x:c>
      <x:c r="H56" s="47"/>
      <x:c r="I56" s="47"/>
      <x:c r="J56" s="47"/>
      <x:c r="K56" s="47"/>
      <x:c r="L56" s="47"/>
      <x:c r="M56" s="47"/>
      <x:c r="N56" s="47"/>
      <x:c r="O56" s="47"/>
      <x:c r="P56" s="47"/>
      <x:c r="Q56" s="47"/>
      <x:c r="R56" s="47"/>
      <x:c r="S56" s="47"/>
      <x:c r="T56" s="47"/>
      <x:c r="U56" s="47"/>
      <x:c r="V56" s="47"/>
      <x:c r="W56" s="47"/>
      <x:c r="X56" s="47"/>
      <x:c r="Y56" s="47"/>
      <x:c r="Z56" s="47"/>
    </x:row>
    <x:row r="57">
      <x:c r="A57" s="199" t="str">
        <x:v>SRC-053</x:v>
      </x:c>
      <x:c r="B57" s="200" t="str">
        <x:v>Open Policy Agent documentation</x:v>
      </x:c>
      <x:c r="C57" s="200" t="str">
        <x:v>Official documentation</x:v>
      </x:c>
      <x:c r="D57" s="200" t="str">
        <x:v>Policy decision/enforcement separation and policy bundles.</x:v>
      </x:c>
      <x:c r="E57" s="200" t="str">
        <x:v>https://www.openpolicyagent.org/docs</x:v>
      </x:c>
      <x:c r="F57" s="200" t="str">
        <x:v>High</x:v>
      </x:c>
      <x:c r="G57" s="201" t="str">
        <x:v>Architecture benchmark.</x:v>
      </x:c>
      <x:c r="H57" s="47"/>
      <x:c r="I57" s="47"/>
      <x:c r="J57" s="47"/>
      <x:c r="K57" s="47"/>
      <x:c r="L57" s="47"/>
      <x:c r="M57" s="47"/>
      <x:c r="N57" s="47"/>
      <x:c r="O57" s="47"/>
      <x:c r="P57" s="47"/>
      <x:c r="Q57" s="47"/>
      <x:c r="R57" s="47"/>
      <x:c r="S57" s="47"/>
      <x:c r="T57" s="47"/>
      <x:c r="U57" s="47"/>
      <x:c r="V57" s="47"/>
      <x:c r="W57" s="47"/>
      <x:c r="X57" s="47"/>
      <x:c r="Y57" s="47"/>
      <x:c r="Z57" s="47"/>
    </x:row>
    <x:row r="58">
      <x:c r="A58" s="205" t="str">
        <x:v>SRC-054</x:v>
      </x:c>
      <x:c r="B58" s="206" t="str">
        <x:v>Spring Microservices</x:v>
      </x:c>
      <x:c r="C58" s="206" t="str">
        <x:v>Official documentation</x:v>
      </x:c>
      <x:c r="D58" s="206" t="str">
        <x:v>Spring Boot/Cloud microservice architecture.</x:v>
      </x:c>
      <x:c r="E58" s="206" t="str">
        <x:v>https://spring.io/microservices</x:v>
      </x:c>
      <x:c r="F58" s="206" t="str">
        <x:v>High</x:v>
      </x:c>
      <x:c r="G58" s="207" t="str">
        <x:v>Java platform basis.</x:v>
      </x:c>
      <x:c r="H58" s="47"/>
      <x:c r="I58" s="47"/>
      <x:c r="J58" s="47"/>
      <x:c r="K58" s="47"/>
      <x:c r="L58" s="47"/>
      <x:c r="M58" s="47"/>
      <x:c r="N58" s="47"/>
      <x:c r="O58" s="47"/>
      <x:c r="P58" s="47"/>
      <x:c r="Q58" s="47"/>
      <x:c r="R58" s="47"/>
      <x:c r="S58" s="47"/>
      <x:c r="T58" s="47"/>
      <x:c r="U58" s="47"/>
      <x:c r="V58" s="47"/>
      <x:c r="W58" s="47"/>
      <x:c r="X58" s="47"/>
      <x:c r="Y58" s="47"/>
      <x:c r="Z58" s="47"/>
    </x:row>
    <x:row r="59">
      <x:c r="A59" s="199" t="str">
        <x:v>SRC-055</x:v>
      </x:c>
      <x:c r="B59" s="200" t="str">
        <x:v>Spring Boot 4.1 release</x:v>
      </x:c>
      <x:c r="C59" s="200" t="str">
        <x:v>Official release article</x:v>
      </x:c>
      <x:c r="D59" s="200" t="str">
        <x:v>Current Spring Boot 4.1 release capabilities and baseline.</x:v>
      </x:c>
      <x:c r="E59" s="200" t="str">
        <x:v>https://spring.io/blog/2026/06/10/spring-boot-4-1-0-available-now</x:v>
      </x:c>
      <x:c r="F59" s="200" t="str">
        <x:v>Medium</x:v>
      </x:c>
      <x:c r="G59" s="201" t="str">
        <x:v>Benchmark, not forced migration.</x:v>
      </x:c>
      <x:c r="H59" s="47"/>
      <x:c r="I59" s="47"/>
      <x:c r="J59" s="47"/>
      <x:c r="K59" s="47"/>
      <x:c r="L59" s="47"/>
      <x:c r="M59" s="47"/>
      <x:c r="N59" s="47"/>
      <x:c r="O59" s="47"/>
      <x:c r="P59" s="47"/>
      <x:c r="Q59" s="47"/>
      <x:c r="R59" s="47"/>
      <x:c r="S59" s="47"/>
      <x:c r="T59" s="47"/>
      <x:c r="U59" s="47"/>
      <x:c r="V59" s="47"/>
      <x:c r="W59" s="47"/>
      <x:c r="X59" s="47"/>
      <x:c r="Y59" s="47"/>
      <x:c r="Z59" s="47"/>
    </x:row>
    <x:row r="60">
      <x:c r="A60" s="205" t="str">
        <x:v>SRC-056</x:v>
      </x:c>
      <x:c r="B60" s="206" t="str">
        <x:v>Spring Cloud project</x:v>
      </x:c>
      <x:c r="C60" s="206" t="str">
        <x:v>Official documentation</x:v>
      </x:c>
      <x:c r="D60" s="206" t="str">
        <x:v>Spring Cloud release-train compatibility and distributed-system features.</x:v>
      </x:c>
      <x:c r="E60" s="206" t="str">
        <x:v>https://spring.io/projects/spring-cloud/</x:v>
      </x:c>
      <x:c r="F60" s="206" t="str">
        <x:v>High</x:v>
      </x:c>
      <x:c r="G60" s="207" t="str">
        <x:v>Confirm against current HumanOS stack.</x:v>
      </x:c>
      <x:c r="H60" s="47"/>
      <x:c r="I60" s="47"/>
      <x:c r="J60" s="47"/>
      <x:c r="K60" s="47"/>
      <x:c r="L60" s="47"/>
      <x:c r="M60" s="47"/>
      <x:c r="N60" s="47"/>
      <x:c r="O60" s="47"/>
      <x:c r="P60" s="47"/>
      <x:c r="Q60" s="47"/>
      <x:c r="R60" s="47"/>
      <x:c r="S60" s="47"/>
      <x:c r="T60" s="47"/>
      <x:c r="U60" s="47"/>
      <x:c r="V60" s="47"/>
      <x:c r="W60" s="47"/>
      <x:c r="X60" s="47"/>
      <x:c r="Y60" s="47"/>
      <x:c r="Z60" s="47"/>
    </x:row>
    <x:row r="61">
      <x:c r="A61" s="199" t="str">
        <x:v>SRC-057</x:v>
      </x:c>
      <x:c r="B61" s="200" t="str">
        <x:v>OpenJDK JDK 25 project</x:v>
      </x:c>
      <x:c r="C61" s="200" t="str">
        <x:v>Official project</x:v>
      </x:c>
      <x:c r="D61" s="200" t="str">
        <x:v>Java 25 platform release information.</x:v>
      </x:c>
      <x:c r="E61" s="200" t="str">
        <x:v>https://openjdk.org/projects/jdk/25/</x:v>
      </x:c>
      <x:c r="F61" s="200" t="str">
        <x:v>Medium</x:v>
      </x:c>
      <x:c r="G61" s="201" t="str">
        <x:v>Java 25 is an LTS release from most vendors; benchmark selectively.</x:v>
      </x:c>
      <x:c r="H61" s="47"/>
      <x:c r="I61" s="47"/>
      <x:c r="J61" s="47"/>
      <x:c r="K61" s="47"/>
      <x:c r="L61" s="47"/>
      <x:c r="M61" s="47"/>
      <x:c r="N61" s="47"/>
      <x:c r="O61" s="47"/>
      <x:c r="P61" s="47"/>
      <x:c r="Q61" s="47"/>
      <x:c r="R61" s="47"/>
      <x:c r="S61" s="47"/>
      <x:c r="T61" s="47"/>
      <x:c r="U61" s="47"/>
      <x:c r="V61" s="47"/>
      <x:c r="W61" s="47"/>
      <x:c r="X61" s="47"/>
      <x:c r="Y61" s="47"/>
      <x:c r="Z61" s="47"/>
    </x:row>
    <x:row r="62">
      <x:c r="A62" s="205" t="str">
        <x:v>SRC-058</x:v>
      </x:c>
      <x:c r="B62" s="206" t="str">
        <x:v>PostgreSQL</x:v>
      </x:c>
      <x:c r="C62" s="206" t="str">
        <x:v>Official documentation</x:v>
      </x:c>
      <x:c r="D62" s="206" t="str">
        <x:v>Transactional database platform.</x:v>
      </x:c>
      <x:c r="E62" s="206" t="str">
        <x:v>https://www.postgresql.org/docs/</x:v>
      </x:c>
      <x:c r="F62" s="206" t="str">
        <x:v>High</x:v>
      </x:c>
      <x:c r="G62" s="207" t="str">
        <x:v>Initial system of record.</x:v>
      </x:c>
      <x:c r="H62" s="47"/>
      <x:c r="I62" s="47"/>
      <x:c r="J62" s="47"/>
      <x:c r="K62" s="47"/>
      <x:c r="L62" s="47"/>
      <x:c r="M62" s="47"/>
      <x:c r="N62" s="47"/>
      <x:c r="O62" s="47"/>
      <x:c r="P62" s="47"/>
      <x:c r="Q62" s="47"/>
      <x:c r="R62" s="47"/>
      <x:c r="S62" s="47"/>
      <x:c r="T62" s="47"/>
      <x:c r="U62" s="47"/>
      <x:c r="V62" s="47"/>
      <x:c r="W62" s="47"/>
      <x:c r="X62" s="47"/>
      <x:c r="Y62" s="47"/>
      <x:c r="Z62" s="47"/>
    </x:row>
    <x:row r="63">
      <x:c r="A63" s="199" t="str">
        <x:v>SRC-059</x:v>
      </x:c>
      <x:c r="B63" s="200" t="str">
        <x:v>pgvector GitHub</x:v>
      </x:c>
      <x:c r="C63" s="200" t="str">
        <x:v>Open-source repository</x:v>
      </x:c>
      <x:c r="D63" s="200" t="str">
        <x:v>Vector similarity search in PostgreSQL.</x:v>
      </x:c>
      <x:c r="E63" s="200" t="str">
        <x:v>https://github.com/pgvector/pgvector</x:v>
      </x:c>
      <x:c r="F63" s="200" t="str">
        <x:v>Medium</x:v>
      </x:c>
      <x:c r="G63" s="201" t="str">
        <x:v>Use only for approved/minimised embeddings.</x:v>
      </x:c>
      <x:c r="H63" s="47"/>
      <x:c r="I63" s="47"/>
      <x:c r="J63" s="47"/>
      <x:c r="K63" s="47"/>
      <x:c r="L63" s="47"/>
      <x:c r="M63" s="47"/>
      <x:c r="N63" s="47"/>
      <x:c r="O63" s="47"/>
      <x:c r="P63" s="47"/>
      <x:c r="Q63" s="47"/>
      <x:c r="R63" s="47"/>
      <x:c r="S63" s="47"/>
      <x:c r="T63" s="47"/>
      <x:c r="U63" s="47"/>
      <x:c r="V63" s="47"/>
      <x:c r="W63" s="47"/>
      <x:c r="X63" s="47"/>
      <x:c r="Y63" s="47"/>
      <x:c r="Z63" s="47"/>
    </x:row>
    <x:row r="64">
      <x:c r="A64" s="205" t="str">
        <x:v>SRC-060</x:v>
      </x:c>
      <x:c r="B64" s="206" t="str">
        <x:v>MinIO</x:v>
      </x:c>
      <x:c r="C64" s="206" t="str">
        <x:v>Official documentation</x:v>
      </x:c>
      <x:c r="D64" s="206" t="str">
        <x:v>S3-compatible object storage reference.</x:v>
      </x:c>
      <x:c r="E64" s="206" t="str">
        <x:v>https://min.io/docs/minio/linux/index.html</x:v>
      </x:c>
      <x:c r="F64" s="206" t="str">
        <x:v>Medium</x:v>
      </x:c>
      <x:c r="G64" s="207" t="str">
        <x:v>Reuse HumanOS object service where suitable.</x:v>
      </x:c>
      <x:c r="H64" s="47"/>
      <x:c r="I64" s="47"/>
      <x:c r="J64" s="47"/>
      <x:c r="K64" s="47"/>
      <x:c r="L64" s="47"/>
      <x:c r="M64" s="47"/>
      <x:c r="N64" s="47"/>
      <x:c r="O64" s="47"/>
      <x:c r="P64" s="47"/>
      <x:c r="Q64" s="47"/>
      <x:c r="R64" s="47"/>
      <x:c r="S64" s="47"/>
      <x:c r="T64" s="47"/>
      <x:c r="U64" s="47"/>
      <x:c r="V64" s="47"/>
      <x:c r="W64" s="47"/>
      <x:c r="X64" s="47"/>
      <x:c r="Y64" s="47"/>
      <x:c r="Z64" s="47"/>
    </x:row>
    <x:row r="65">
      <x:c r="A65" s="199" t="str">
        <x:v>SRC-061</x:v>
      </x:c>
      <x:c r="B65" s="200" t="str">
        <x:v>NIST AI Risk Management Framework</x:v>
      </x:c>
      <x:c r="C65" s="200" t="str">
        <x:v>Standards/guidance</x:v>
      </x:c>
      <x:c r="D65" s="200" t="str">
        <x:v>Govern, Map, Measure and Manage AI risks with testing and monitoring.</x:v>
      </x:c>
      <x:c r="E65" s="200" t="str">
        <x:v>https://www.nist.gov/itl/ai-risk-management-framework</x:v>
      </x:c>
      <x:c r="F65" s="200" t="str">
        <x:v>High</x:v>
      </x:c>
      <x:c r="G65" s="201" t="str">
        <x:v>AI governance/evaluation basis.</x:v>
      </x:c>
      <x:c r="H65" s="47"/>
      <x:c r="I65" s="47"/>
      <x:c r="J65" s="47"/>
      <x:c r="K65" s="47"/>
      <x:c r="L65" s="47"/>
      <x:c r="M65" s="47"/>
      <x:c r="N65" s="47"/>
      <x:c r="O65" s="47"/>
      <x:c r="P65" s="47"/>
      <x:c r="Q65" s="47"/>
      <x:c r="R65" s="47"/>
      <x:c r="S65" s="47"/>
      <x:c r="T65" s="47"/>
      <x:c r="U65" s="47"/>
      <x:c r="V65" s="47"/>
      <x:c r="W65" s="47"/>
      <x:c r="X65" s="47"/>
      <x:c r="Y65" s="47"/>
      <x:c r="Z65" s="47"/>
    </x:row>
    <x:row r="66">
      <x:c r="A66" s="205" t="str">
        <x:v>SRC-062</x:v>
      </x:c>
      <x:c r="B66" s="206" t="str">
        <x:v>SFIA 9 role-family/job-title resources</x:v>
      </x:c>
      <x:c r="C66" s="206" t="str">
        <x:v>Skills framework</x:v>
      </x:c>
      <x:c r="D66" s="206" t="str">
        <x:v>Skills and responsibility levels separated from inconsistent job titles.</x:v>
      </x:c>
      <x:c r="E66" s="206" t="str">
        <x:v>https://sfia-online.org/en/tools-and-resources/standard-industry-skills-profiles/sfia-9-skills-for-role-families-job-titles</x:v>
      </x:c>
      <x:c r="F66" s="206" t="str">
        <x:v>Medium</x:v>
      </x:c>
      <x:c r="G66" s="207" t="str">
        <x:v>Stage 2 mapping reference, not sole ontology.</x:v>
      </x:c>
      <x:c r="H66" s="47"/>
      <x:c r="I66" s="47"/>
      <x:c r="J66" s="47"/>
      <x:c r="K66" s="47"/>
      <x:c r="L66" s="47"/>
      <x:c r="M66" s="47"/>
      <x:c r="N66" s="47"/>
      <x:c r="O66" s="47"/>
      <x:c r="P66" s="47"/>
      <x:c r="Q66" s="47"/>
      <x:c r="R66" s="47"/>
      <x:c r="S66" s="47"/>
      <x:c r="T66" s="47"/>
      <x:c r="U66" s="47"/>
      <x:c r="V66" s="47"/>
      <x:c r="W66" s="47"/>
      <x:c r="X66" s="47"/>
      <x:c r="Y66" s="47"/>
      <x:c r="Z66" s="47"/>
    </x:row>
    <x:row r="67">
      <x:c r="A67" s="199" t="str">
        <x:v>SRC-063</x:v>
      </x:c>
      <x:c r="B67" s="200" t="str">
        <x:v>Microsoft UI Automation overview</x:v>
      </x:c>
      <x:c r="C67" s="200" t="str">
        <x:v>Official documentation</x:v>
      </x:c>
      <x:c r="D67" s="200" t="str">
        <x:v>Windows accessibility/control tree and programmatic UI events.</x:v>
      </x:c>
      <x:c r="E67" s="200" t="str">
        <x:v>https://learn.microsoft.com/en-us/dotnet/framework/ui-automation/ui-automation-overview</x:v>
      </x:c>
      <x:c r="F67" s="200" t="str">
        <x:v>High</x:v>
      </x:c>
      <x:c r="G67" s="201" t="str">
        <x:v>Windows native bridge reference.</x:v>
      </x:c>
      <x:c r="H67" s="47"/>
      <x:c r="I67" s="47"/>
      <x:c r="J67" s="47"/>
      <x:c r="K67" s="47"/>
      <x:c r="L67" s="47"/>
      <x:c r="M67" s="47"/>
      <x:c r="N67" s="47"/>
      <x:c r="O67" s="47"/>
      <x:c r="P67" s="47"/>
      <x:c r="Q67" s="47"/>
      <x:c r="R67" s="47"/>
      <x:c r="S67" s="47"/>
      <x:c r="T67" s="47"/>
      <x:c r="U67" s="47"/>
      <x:c r="V67" s="47"/>
      <x:c r="W67" s="47"/>
      <x:c r="X67" s="47"/>
      <x:c r="Y67" s="47"/>
      <x:c r="Z67" s="47"/>
    </x:row>
    <x:row r="68">
      <x:c r="A68" s="205" t="str">
        <x:v>SRC-064</x:v>
      </x:c>
      <x:c r="B68" s="206" t="str">
        <x:v>Microsoft Event Tracing for Windows</x:v>
      </x:c>
      <x:c r="C68" s="206" t="str">
        <x:v>Official documentation</x:v>
      </x:c>
      <x:c r="D68" s="206" t="str">
        <x:v>Efficient kernel/application event tracing.</x:v>
      </x:c>
      <x:c r="E68" s="206" t="str">
        <x:v>https://learn.microsoft.com/en-us/windows/win32/etw/about-event-tracing</x:v>
      </x:c>
      <x:c r="F68" s="206" t="str">
        <x:v>High</x:v>
      </x:c>
      <x:c r="G68" s="207" t="str">
        <x:v>Process/system telemetry reference.</x:v>
      </x:c>
      <x:c r="H68" s="47"/>
      <x:c r="I68" s="47"/>
      <x:c r="J68" s="47"/>
      <x:c r="K68" s="47"/>
      <x:c r="L68" s="47"/>
      <x:c r="M68" s="47"/>
      <x:c r="N68" s="47"/>
      <x:c r="O68" s="47"/>
      <x:c r="P68" s="47"/>
      <x:c r="Q68" s="47"/>
      <x:c r="R68" s="47"/>
      <x:c r="S68" s="47"/>
      <x:c r="T68" s="47"/>
      <x:c r="U68" s="47"/>
      <x:c r="V68" s="47"/>
      <x:c r="W68" s="47"/>
      <x:c r="X68" s="47"/>
      <x:c r="Y68" s="47"/>
      <x:c r="Z68" s="47"/>
    </x:row>
    <x:row r="69">
      <x:c r="A69" s="199" t="str">
        <x:v>SRC-065</x:v>
      </x:c>
      <x:c r="B69" s="200" t="str">
        <x:v>Microsoft SetWindowsHookEx</x:v>
      </x:c>
      <x:c r="C69" s="200" t="str">
        <x:v>Official documentation</x:v>
      </x:c>
      <x:c r="D69" s="200" t="str">
        <x:v>Low-level hook capability and system-wide constraints.</x:v>
      </x:c>
      <x:c r="E69" s="200" t="str">
        <x:v>https://learn.microsoft.com/en-us/windows/win32/api/winuser/nf-winuser-setwindowshookexw</x:v>
      </x:c>
      <x:c r="F69" s="200" t="str">
        <x:v>High</x:v>
      </x:c>
      <x:c r="G69" s="201" t="str">
        <x:v>Input implementation risk reference.</x:v>
      </x:c>
      <x:c r="H69" s="47"/>
      <x:c r="I69" s="47"/>
      <x:c r="J69" s="47"/>
      <x:c r="K69" s="47"/>
      <x:c r="L69" s="47"/>
      <x:c r="M69" s="47"/>
      <x:c r="N69" s="47"/>
      <x:c r="O69" s="47"/>
      <x:c r="P69" s="47"/>
      <x:c r="Q69" s="47"/>
      <x:c r="R69" s="47"/>
      <x:c r="S69" s="47"/>
      <x:c r="T69" s="47"/>
      <x:c r="U69" s="47"/>
      <x:c r="V69" s="47"/>
      <x:c r="W69" s="47"/>
      <x:c r="X69" s="47"/>
      <x:c r="Y69" s="47"/>
      <x:c r="Z69" s="47"/>
    </x:row>
    <x:row r="70">
      <x:c r="A70" s="205" t="str">
        <x:v>SRC-066</x:v>
      </x:c>
      <x:c r="B70" s="206" t="str">
        <x:v>Windows Graphics Capture</x:v>
      </x:c>
      <x:c r="C70" s="206" t="str">
        <x:v>Official documentation</x:v>
      </x:c>
      <x:c r="D70" s="206" t="str">
        <x:v>Windows display/window capture primitives.</x:v>
      </x:c>
      <x:c r="E70" s="206" t="str">
        <x:v>https://learn.microsoft.com/en-us/windows/uwp/audio-video-camera/screen-capture</x:v>
      </x:c>
      <x:c r="F70" s="206" t="str">
        <x:v>High</x:v>
      </x:c>
      <x:c r="G70" s="207" t="str">
        <x:v>Windows screen-capture reference.</x:v>
      </x:c>
      <x:c r="H70" s="47"/>
      <x:c r="I70" s="47"/>
      <x:c r="J70" s="47"/>
      <x:c r="K70" s="47"/>
      <x:c r="L70" s="47"/>
      <x:c r="M70" s="47"/>
      <x:c r="N70" s="47"/>
      <x:c r="O70" s="47"/>
      <x:c r="P70" s="47"/>
      <x:c r="Q70" s="47"/>
      <x:c r="R70" s="47"/>
      <x:c r="S70" s="47"/>
      <x:c r="T70" s="47"/>
      <x:c r="U70" s="47"/>
      <x:c r="V70" s="47"/>
      <x:c r="W70" s="47"/>
      <x:c r="X70" s="47"/>
      <x:c r="Y70" s="47"/>
      <x:c r="Z70" s="47"/>
    </x:row>
    <x:row r="71">
      <x:c r="A71" s="199" t="str">
        <x:v>SRC-067</x:v>
      </x:c>
      <x:c r="B71" s="200" t="str">
        <x:v>Apple ScreenCaptureKit</x:v>
      </x:c>
      <x:c r="C71" s="200" t="str">
        <x:v>Official documentation</x:v>
      </x:c>
      <x:c r="D71" s="200" t="str">
        <x:v>macOS screen/audio capture framework.</x:v>
      </x:c>
      <x:c r="E71" s="200" t="str">
        <x:v>https://developer.apple.com/documentation/screencapturekit</x:v>
      </x:c>
      <x:c r="F71" s="200" t="str">
        <x:v>High</x:v>
      </x:c>
      <x:c r="G71" s="201" t="str">
        <x:v>Audio disabled for v1.</x:v>
      </x:c>
      <x:c r="H71" s="47"/>
      <x:c r="I71" s="47"/>
      <x:c r="J71" s="47"/>
      <x:c r="K71" s="47"/>
      <x:c r="L71" s="47"/>
      <x:c r="M71" s="47"/>
      <x:c r="N71" s="47"/>
      <x:c r="O71" s="47"/>
      <x:c r="P71" s="47"/>
      <x:c r="Q71" s="47"/>
      <x:c r="R71" s="47"/>
      <x:c r="S71" s="47"/>
      <x:c r="T71" s="47"/>
      <x:c r="U71" s="47"/>
      <x:c r="V71" s="47"/>
      <x:c r="W71" s="47"/>
      <x:c r="X71" s="47"/>
      <x:c r="Y71" s="47"/>
      <x:c r="Z71" s="47"/>
    </x:row>
    <x:row r="72">
      <x:c r="A72" s="205" t="str">
        <x:v>SRC-068</x:v>
      </x:c>
      <x:c r="B72" s="206" t="str">
        <x:v>Apple Accessibility</x:v>
      </x:c>
      <x:c r="C72" s="206" t="str">
        <x:v>Official documentation</x:v>
      </x:c>
      <x:c r="D72" s="206" t="str">
        <x:v>macOS accessibility APIs and UI element access.</x:v>
      </x:c>
      <x:c r="E72" s="206" t="str">
        <x:v>https://developer.apple.com/documentation/applicationservices/axuielement</x:v>
      </x:c>
      <x:c r="F72" s="206" t="str">
        <x:v>High</x:v>
      </x:c>
      <x:c r="G72" s="207" t="str">
        <x:v>macOS semantic-state reference.</x:v>
      </x:c>
      <x:c r="H72" s="47"/>
      <x:c r="I72" s="47"/>
      <x:c r="J72" s="47"/>
      <x:c r="K72" s="47"/>
      <x:c r="L72" s="47"/>
      <x:c r="M72" s="47"/>
      <x:c r="N72" s="47"/>
      <x:c r="O72" s="47"/>
      <x:c r="P72" s="47"/>
      <x:c r="Q72" s="47"/>
      <x:c r="R72" s="47"/>
      <x:c r="S72" s="47"/>
      <x:c r="T72" s="47"/>
      <x:c r="U72" s="47"/>
      <x:c r="V72" s="47"/>
      <x:c r="W72" s="47"/>
      <x:c r="X72" s="47"/>
      <x:c r="Y72" s="47"/>
      <x:c r="Z72" s="47"/>
    </x:row>
    <x:row r="73">
      <x:c r="A73" s="199" t="str">
        <x:v>SRC-069</x:v>
      </x:c>
      <x:c r="B73" s="200" t="str">
        <x:v>Chrome Tabs API</x:v>
      </x:c>
      <x:c r="C73" s="200" t="str">
        <x:v>Official documentation</x:v>
      </x:c>
      <x:c r="D73" s="200" t="str">
        <x:v>Browser tab metadata and permissions.</x:v>
      </x:c>
      <x:c r="E73" s="200" t="str">
        <x:v>https://developer.chrome.com/docs/extensions/reference/api/tabs</x:v>
      </x:c>
      <x:c r="F73" s="200" t="str">
        <x:v>High</x:v>
      </x:c>
      <x:c r="G73" s="201" t="str">
        <x:v>Browser adapter reference.</x:v>
      </x:c>
      <x:c r="H73" s="47"/>
      <x:c r="I73" s="47"/>
      <x:c r="J73" s="47"/>
      <x:c r="K73" s="47"/>
      <x:c r="L73" s="47"/>
      <x:c r="M73" s="47"/>
      <x:c r="N73" s="47"/>
      <x:c r="O73" s="47"/>
      <x:c r="P73" s="47"/>
      <x:c r="Q73" s="47"/>
      <x:c r="R73" s="47"/>
      <x:c r="S73" s="47"/>
      <x:c r="T73" s="47"/>
      <x:c r="U73" s="47"/>
      <x:c r="V73" s="47"/>
      <x:c r="W73" s="47"/>
      <x:c r="X73" s="47"/>
      <x:c r="Y73" s="47"/>
      <x:c r="Z73" s="47"/>
    </x:row>
    <x:row r="74">
      <x:c r="A74" s="205" t="str">
        <x:v>SRC-070</x:v>
      </x:c>
      <x:c r="B74" s="206" t="str">
        <x:v>Chrome Native Messaging</x:v>
      </x:c>
      <x:c r="C74" s="206" t="str">
        <x:v>Official documentation</x:v>
      </x:c>
      <x:c r="D74" s="206" t="str">
        <x:v>Browser extension to native application communication.</x:v>
      </x:c>
      <x:c r="E74" s="206" t="str">
        <x:v>https://developer.chrome.com/docs/extensions/develop/concepts/native-messaging</x:v>
      </x:c>
      <x:c r="F74" s="206" t="str">
        <x:v>High</x:v>
      </x:c>
      <x:c r="G74" s="207" t="str">
        <x:v>Browser-agent bridge.</x:v>
      </x:c>
      <x:c r="H74" s="47"/>
      <x:c r="I74" s="47"/>
      <x:c r="J74" s="47"/>
      <x:c r="K74" s="47"/>
      <x:c r="L74" s="47"/>
      <x:c r="M74" s="47"/>
      <x:c r="N74" s="47"/>
      <x:c r="O74" s="47"/>
      <x:c r="P74" s="47"/>
      <x:c r="Q74" s="47"/>
      <x:c r="R74" s="47"/>
      <x:c r="S74" s="47"/>
      <x:c r="T74" s="47"/>
      <x:c r="U74" s="47"/>
      <x:c r="V74" s="47"/>
      <x:c r="W74" s="47"/>
      <x:c r="X74" s="47"/>
      <x:c r="Y74" s="47"/>
      <x:c r="Z74" s="47"/>
    </x:row>
    <x:row r="75">
      <x:c r="A75" s="199" t="str">
        <x:v>SRC-071</x:v>
      </x:c>
      <x:c r="B75" s="200" t="str">
        <x:v>XDG Desktop Portal InputCapture</x:v>
      </x:c>
      <x:c r="C75" s="200" t="str">
        <x:v>Official documentation</x:v>
      </x:c>
      <x:c r="D75" s="200" t="str">
        <x:v>Wayland input-capture permission and compositor constraints.</x:v>
      </x:c>
      <x:c r="E75" s="200" t="str">
        <x:v>https://flatpak.github.io/xdg-desktop-portal/docs/doc-org.freedesktop.portal.InputCapture.html</x:v>
      </x:c>
      <x:c r="F75" s="200" t="str">
        <x:v>Medium</x:v>
      </x:c>
      <x:c r="G75" s="201" t="str">
        <x:v>Supports deferring uniform Linux capture.</x:v>
      </x:c>
      <x:c r="H75" s="47"/>
      <x:c r="I75" s="47"/>
      <x:c r="J75" s="47"/>
      <x:c r="K75" s="47"/>
      <x:c r="L75" s="47"/>
      <x:c r="M75" s="47"/>
      <x:c r="N75" s="47"/>
      <x:c r="O75" s="47"/>
      <x:c r="P75" s="47"/>
      <x:c r="Q75" s="47"/>
      <x:c r="R75" s="47"/>
      <x:c r="S75" s="47"/>
      <x:c r="T75" s="47"/>
      <x:c r="U75" s="47"/>
      <x:c r="V75" s="47"/>
      <x:c r="W75" s="47"/>
      <x:c r="X75" s="47"/>
      <x:c r="Y75" s="47"/>
      <x:c r="Z75" s="47"/>
    </x:row>
    <x:row r="76">
      <x:c r="A76" s="205" t="str">
        <x:v>SRC-072</x:v>
      </x:c>
      <x:c r="B76" s="206" t="str">
        <x:v>GOV.UK — Monitoring staff at work</x:v>
      </x:c>
      <x:c r="C76" s="206" t="str">
        <x:v>Government guidance</x:v>
      </x:c>
      <x:c r="D76" s="206" t="str">
        <x:v>Monitoring justification, worker information and covert-monitoring limits.</x:v>
      </x:c>
      <x:c r="E76" s="206" t="str">
        <x:v>https://www.gov.uk/data-protection-your-business/monitoring-staff-at-work</x:v>
      </x:c>
      <x:c r="F76" s="206" t="str">
        <x:v>Critical</x:v>
      </x:c>
      <x:c r="G76" s="207" t="str">
        <x:v>Stage 0 legal/governance basis.</x:v>
      </x:c>
      <x:c r="H76" s="47"/>
      <x:c r="I76" s="47"/>
      <x:c r="J76" s="47"/>
      <x:c r="K76" s="47"/>
      <x:c r="L76" s="47"/>
      <x:c r="M76" s="47"/>
      <x:c r="N76" s="47"/>
      <x:c r="O76" s="47"/>
      <x:c r="P76" s="47"/>
      <x:c r="Q76" s="47"/>
      <x:c r="R76" s="47"/>
      <x:c r="S76" s="47"/>
      <x:c r="T76" s="47"/>
      <x:c r="U76" s="47"/>
      <x:c r="V76" s="47"/>
      <x:c r="W76" s="47"/>
      <x:c r="X76" s="47"/>
      <x:c r="Y76" s="47"/>
      <x:c r="Z76" s="47"/>
    </x:row>
    <x:row r="77">
      <x:c r="A77" s="199" t="str">
        <x:v>SRC-073</x:v>
      </x:c>
      <x:c r="B77" s="200" t="str">
        <x:v>ICO — Data protection and monitoring workers</x:v>
      </x:c>
      <x:c r="C77" s="200" t="str">
        <x:v>Regulator guidance</x:v>
      </x:c>
      <x:c r="D77" s="200" t="str">
        <x:v>DPIA, necessity, proportionality, transparency, accuracy and worker challenge.</x:v>
      </x:c>
      <x:c r="E77" s="200" t="str">
        <x:v>https://ico.org.uk/for-organisations/uk-gdpr-guidance-and-resources/employment/monitoring-workers/data-protection-and-monitoring-workers/</x:v>
      </x:c>
      <x:c r="F77" s="200" t="str">
        <x:v>Critical</x:v>
      </x:c>
      <x:c r="G77" s="201" t="str">
        <x:v>Keystroke/performance monitoring is high-risk.</x:v>
      </x:c>
      <x:c r="H77" s="47"/>
      <x:c r="I77" s="47"/>
      <x:c r="J77" s="47"/>
      <x:c r="K77" s="47"/>
      <x:c r="L77" s="47"/>
      <x:c r="M77" s="47"/>
      <x:c r="N77" s="47"/>
      <x:c r="O77" s="47"/>
      <x:c r="P77" s="47"/>
      <x:c r="Q77" s="47"/>
      <x:c r="R77" s="47"/>
      <x:c r="S77" s="47"/>
      <x:c r="T77" s="47"/>
      <x:c r="U77" s="47"/>
      <x:c r="V77" s="47"/>
      <x:c r="W77" s="47"/>
      <x:c r="X77" s="47"/>
      <x:c r="Y77" s="47"/>
      <x:c r="Z77" s="47"/>
    </x:row>
    <x:row r="78">
      <x:c r="A78" s="205" t="str">
        <x:v>SRC-074</x:v>
      </x:c>
      <x:c r="B78" s="206" t="str">
        <x:v>ICO — Human review</x:v>
      </x:c>
      <x:c r="C78" s="206" t="str">
        <x:v>Regulator guidance</x:v>
      </x:c>
      <x:c r="D78" s="206" t="str">
        <x:v>Meaningful human review, authority, competence and independence.</x:v>
      </x:c>
      <x:c r="E78" s="206" t="str">
        <x:v>https://ico.org.uk/for-organisations/advice-and-services/audits/data-protection-audit-framework/toolkits/artificial-intelligence/human-review/</x:v>
      </x:c>
      <x:c r="F78" s="206" t="str">
        <x:v>Critical</x:v>
      </x:c>
      <x:c r="G78" s="207" t="str">
        <x:v>Consequential-decision safeguard.</x:v>
      </x:c>
      <x:c r="H78" s="47"/>
      <x:c r="I78" s="47"/>
      <x:c r="J78" s="47"/>
      <x:c r="K78" s="47"/>
      <x:c r="L78" s="47"/>
      <x:c r="M78" s="47"/>
      <x:c r="N78" s="47"/>
      <x:c r="O78" s="47"/>
      <x:c r="P78" s="47"/>
      <x:c r="Q78" s="47"/>
      <x:c r="R78" s="47"/>
      <x:c r="S78" s="47"/>
      <x:c r="T78" s="47"/>
      <x:c r="U78" s="47"/>
      <x:c r="V78" s="47"/>
      <x:c r="W78" s="47"/>
      <x:c r="X78" s="47"/>
      <x:c r="Y78" s="47"/>
      <x:c r="Z78" s="47"/>
    </x:row>
    <x:row r="79">
      <x:c r="A79" s="199" t="str">
        <x:v>SRC-075</x:v>
      </x:c>
      <x:c r="B79" s="200" t="str">
        <x:v>UK Government — Workplace monitoring technologies consultation</x:v>
      </x:c>
      <x:c r="C79" s="200" t="str">
        <x:v>Government consultation</x:v>
      </x:c>
      <x:c r="D79" s="200" t="str">
        <x:v>Transparency, clarity and worker voice in workplace-monitoring policy.</x:v>
      </x:c>
      <x:c r="E79" s="200" t="str">
        <x:v>https://www.gov.uk/government/consultations/make-work-pay-workplace-monitoring-technologies</x:v>
      </x:c>
      <x:c r="F79" s="200" t="str">
        <x:v>High</x:v>
      </x:c>
      <x:c r="G79" s="201" t="str">
        <x:v>Published July 2026; policy direction may evolve.</x:v>
      </x:c>
      <x:c r="H79" s="47"/>
      <x:c r="I79" s="47"/>
      <x:c r="J79" s="47"/>
      <x:c r="K79" s="47"/>
      <x:c r="L79" s="47"/>
      <x:c r="M79" s="47"/>
      <x:c r="N79" s="47"/>
      <x:c r="O79" s="47"/>
      <x:c r="P79" s="47"/>
      <x:c r="Q79" s="47"/>
      <x:c r="R79" s="47"/>
      <x:c r="S79" s="47"/>
      <x:c r="T79" s="47"/>
      <x:c r="U79" s="47"/>
      <x:c r="V79" s="47"/>
      <x:c r="W79" s="47"/>
      <x:c r="X79" s="47"/>
      <x:c r="Y79" s="47"/>
      <x:c r="Z79" s="47"/>
    </x:row>
    <x:row r="80">
      <x:c r="A80" s="205" t="str">
        <x:v>SRC-076</x:v>
      </x:c>
      <x:c r="B80" s="206" t="str">
        <x:v>UK Data (Use and Access) Act 2025 explanatory notes</x:v>
      </x:c>
      <x:c r="C80" s="206" t="str">
        <x:v>Legislation notes</x:v>
      </x:c>
      <x:c r="D80" s="206" t="str">
        <x:v>Automated-decision safeguards and UK data-law changes.</x:v>
      </x:c>
      <x:c r="E80" s="206" t="str">
        <x:v>https://www.legislation.gov.uk/ukpga/2025/18/notes/division/10/index.htm</x:v>
      </x:c>
      <x:c r="F80" s="206" t="str">
        <x:v>High</x:v>
      </x:c>
      <x:c r="G80" s="207" t="str">
        <x:v>Legal counsel must interpret current application.</x:v>
      </x:c>
      <x:c r="H80" s="47"/>
      <x:c r="I80" s="47"/>
      <x:c r="J80" s="47"/>
      <x:c r="K80" s="47"/>
      <x:c r="L80" s="47"/>
      <x:c r="M80" s="47"/>
      <x:c r="N80" s="47"/>
      <x:c r="O80" s="47"/>
      <x:c r="P80" s="47"/>
      <x:c r="Q80" s="47"/>
      <x:c r="R80" s="47"/>
      <x:c r="S80" s="47"/>
      <x:c r="T80" s="47"/>
      <x:c r="U80" s="47"/>
      <x:c r="V80" s="47"/>
      <x:c r="W80" s="47"/>
      <x:c r="X80" s="47"/>
      <x:c r="Y80" s="47"/>
      <x:c r="Z80" s="47"/>
    </x:row>
    <x:row r="81">
      <x:c r="A81" s="199" t="str">
        <x:v>SRC-077</x:v>
      </x:c>
      <x:c r="B81" s="200" t="str">
        <x:v>EU AI Act Annex III</x:v>
      </x:c>
      <x:c r="C81" s="200" t="str">
        <x:v>Regulation reference</x:v>
      </x:c>
      <x:c r="D81" s="200" t="str">
        <x:v>High-risk employment, worker-management and access-to-employment AI categories.</x:v>
      </x:c>
      <x:c r="E81" s="200" t="str">
        <x:v>https://ai-act-service-desk.ec.europa.eu/en/ai-act/annex-3</x:v>
      </x:c>
      <x:c r="F81" s="200" t="str">
        <x:v>High</x:v>
      </x:c>
      <x:c r="G81" s="201" t="str">
        <x:v>Relevant to future EU deployment.</x:v>
      </x:c>
      <x:c r="H81" s="47"/>
      <x:c r="I81" s="47"/>
      <x:c r="J81" s="47"/>
      <x:c r="K81" s="47"/>
      <x:c r="L81" s="47"/>
      <x:c r="M81" s="47"/>
      <x:c r="N81" s="47"/>
      <x:c r="O81" s="47"/>
      <x:c r="P81" s="47"/>
      <x:c r="Q81" s="47"/>
      <x:c r="R81" s="47"/>
      <x:c r="S81" s="47"/>
      <x:c r="T81" s="47"/>
      <x:c r="U81" s="47"/>
      <x:c r="V81" s="47"/>
      <x:c r="W81" s="47"/>
      <x:c r="X81" s="47"/>
      <x:c r="Y81" s="47"/>
      <x:c r="Z81" s="47"/>
    </x:row>
    <x:row r="82">
      <x:c r="A82" s="205" t="str">
        <x:v>SRC-078</x:v>
      </x:c>
      <x:c r="B82" s="206" t="str">
        <x:v>EU AI Act Article 6</x:v>
      </x:c>
      <x:c r="C82" s="206" t="str">
        <x:v>Regulation reference</x:v>
      </x:c>
      <x:c r="D82" s="206" t="str">
        <x:v>Classification rules for high-risk AI and profiling context.</x:v>
      </x:c>
      <x:c r="E82" s="206" t="str">
        <x:v>https://ai-act-service-desk.ec.europa.eu/en/ai-act/article-6</x:v>
      </x:c>
      <x:c r="F82" s="206" t="str">
        <x:v>High</x:v>
      </x:c>
      <x:c r="G82" s="207" t="str">
        <x:v>Future EU policy pack.</x:v>
      </x:c>
      <x:c r="H82" s="47"/>
      <x:c r="I82" s="47"/>
      <x:c r="J82" s="47"/>
      <x:c r="K82" s="47"/>
      <x:c r="L82" s="47"/>
      <x:c r="M82" s="47"/>
      <x:c r="N82" s="47"/>
      <x:c r="O82" s="47"/>
      <x:c r="P82" s="47"/>
      <x:c r="Q82" s="47"/>
      <x:c r="R82" s="47"/>
      <x:c r="S82" s="47"/>
      <x:c r="T82" s="47"/>
      <x:c r="U82" s="47"/>
      <x:c r="V82" s="47"/>
      <x:c r="W82" s="47"/>
      <x:c r="X82" s="47"/>
      <x:c r="Y82" s="47"/>
      <x:c r="Z82" s="47"/>
    </x:row>
    <x:row r="83">
      <x:c r="A83" s="199" t="str">
        <x:v>SRC-079</x:v>
      </x:c>
      <x:c r="B83" s="200" t="str">
        <x:v>Pakistan MoITT — Personal Data Protection Bill update</x:v>
      </x:c>
      <x:c r="C83" s="200" t="str">
        <x:v>Government source</x:v>
      </x:c>
      <x:c r="D83" s="200" t="str">
        <x:v>Pakistan's continuing data-protection legislative development.</x:v>
      </x:c>
      <x:c r="E83" s="200" t="str">
        <x:v>https://moitt.gov.pk/NewsDetail/NzdkMmNjZDAtNjZkMi00NTY2LWE1NTYtYjRjMmIxOGZlNWNm</x:v>
      </x:c>
      <x:c r="F83" s="200" t="str">
        <x:v>High</x:v>
      </x:c>
      <x:c r="G83" s="201" t="str">
        <x:v>Status has evolved; current local counsel confirmation required.</x:v>
      </x:c>
      <x:c r="H83" s="47"/>
      <x:c r="I83" s="47"/>
      <x:c r="J83" s="47"/>
      <x:c r="K83" s="47"/>
      <x:c r="L83" s="47"/>
      <x:c r="M83" s="47"/>
      <x:c r="N83" s="47"/>
      <x:c r="O83" s="47"/>
      <x:c r="P83" s="47"/>
      <x:c r="Q83" s="47"/>
      <x:c r="R83" s="47"/>
      <x:c r="S83" s="47"/>
      <x:c r="T83" s="47"/>
      <x:c r="U83" s="47"/>
      <x:c r="V83" s="47"/>
      <x:c r="W83" s="47"/>
      <x:c r="X83" s="47"/>
      <x:c r="Y83" s="47"/>
      <x:c r="Z83" s="47"/>
    </x:row>
    <x:row r="84">
      <x:c r="A84" s="205" t="str">
        <x:v>SRC-080</x:v>
      </x:c>
      <x:c r="B84" s="206" t="str">
        <x:v>President of Pakistan — PECA Amendment Bill 2025 assent</x:v>
      </x:c>
      <x:c r="C84" s="206" t="str">
        <x:v>Government source</x:v>
      </x:c>
      <x:c r="D84" s="206" t="str">
        <x:v>Current cyber-law context and 2025 amendment assent.</x:v>
      </x:c>
      <x:c r="E84" s="206" t="str">
        <x:v>https://president.gov.pk/president-asif-ali-zardari-signed-the-electronic-crimes-amendment-bill-2025-peca-2</x:v>
      </x:c>
      <x:c r="F84" s="206" t="str">
        <x:v>High</x:v>
      </x:c>
      <x:c r="G84" s="207" t="str">
        <x:v>Does not by itself answer workplace monitoring; local counsel required.</x:v>
      </x:c>
      <x:c r="H84" s="47"/>
      <x:c r="I84" s="47"/>
      <x:c r="J84" s="47"/>
      <x:c r="K84" s="47"/>
      <x:c r="L84" s="47"/>
      <x:c r="M84" s="47"/>
      <x:c r="N84" s="47"/>
      <x:c r="O84" s="47"/>
      <x:c r="P84" s="47"/>
      <x:c r="Q84" s="47"/>
      <x:c r="R84" s="47"/>
      <x:c r="S84" s="47"/>
      <x:c r="T84" s="47"/>
      <x:c r="U84" s="47"/>
      <x:c r="V84" s="47"/>
      <x:c r="W84" s="47"/>
      <x:c r="X84" s="47"/>
      <x:c r="Y84" s="47"/>
      <x:c r="Z84" s="47"/>
    </x:row>
    <x:row r="85">
      <x:c r="A85" s="199" t="str">
        <x:v>SRC-081</x:v>
      </x:c>
      <x:c r="B85" s="200" t="str">
        <x:v>Pakistan National Cyber Crime Investigation Agency</x:v>
      </x:c>
      <x:c r="C85" s="200" t="str">
        <x:v>Government source</x:v>
      </x:c>
      <x:c r="D85" s="200" t="str">
        <x:v>Current cybercrime enforcement body and cyber-law context.</x:v>
      </x:c>
      <x:c r="E85" s="200" t="str">
        <x:v>https://www.nccia.gov.pk/</x:v>
      </x:c>
      <x:c r="F85" s="200" t="str">
        <x:v>Medium</x:v>
      </x:c>
      <x:c r="G85" s="201" t="str">
        <x:v>Local counsel required for employment-monitoring application.</x:v>
      </x:c>
      <x:c r="H85" s="47"/>
      <x:c r="I85" s="47"/>
      <x:c r="J85" s="47"/>
      <x:c r="K85" s="47"/>
      <x:c r="L85" s="47"/>
      <x:c r="M85" s="47"/>
      <x:c r="N85" s="47"/>
      <x:c r="O85" s="47"/>
      <x:c r="P85" s="47"/>
      <x:c r="Q85" s="47"/>
      <x:c r="R85" s="47"/>
      <x:c r="S85" s="47"/>
      <x:c r="T85" s="47"/>
      <x:c r="U85" s="47"/>
      <x:c r="V85" s="47"/>
      <x:c r="W85" s="47"/>
      <x:c r="X85" s="47"/>
      <x:c r="Y85" s="47"/>
      <x:c r="Z85" s="47"/>
    </x:row>
    <x:row r="86">
      <x:c r="A86" s="208" t="str">
        <x:v>SRC-082</x:v>
      </x:c>
      <x:c r="B86" s="209" t="str">
        <x:v>Pakistan Draft Data Governance Policy 2026 reporting</x:v>
      </x:c>
      <x:c r="C86" s="209" t="str">
        <x:v>Current policy reporting</x:v>
      </x:c>
      <x:c r="D86" s="209" t="str">
        <x:v>Emerging public-sector data-governance, privacy-by-design and audit direction.</x:v>
      </x:c>
      <x:c r="E86" s="209" t="str">
        <x:v>https://www.dawn.com/news/2011804</x:v>
      </x:c>
      <x:c r="F86" s="209" t="str">
        <x:v>Medium</x:v>
      </x:c>
      <x:c r="G86" s="210" t="str">
        <x:v>Draft concerns public-sector data and is not a private-sector workplace-monitoring law.</x:v>
      </x:c>
      <x:c r="H86" s="47"/>
      <x:c r="I86" s="47"/>
      <x:c r="J86" s="47"/>
      <x:c r="K86" s="47"/>
      <x:c r="L86" s="47"/>
      <x:c r="M86" s="47"/>
      <x:c r="N86" s="47"/>
      <x:c r="O86" s="47"/>
      <x:c r="P86" s="47"/>
      <x:c r="Q86" s="47"/>
      <x:c r="R86" s="47"/>
      <x:c r="S86" s="47"/>
      <x:c r="T86" s="47"/>
      <x:c r="U86" s="47"/>
      <x:c r="V86" s="47"/>
      <x:c r="W86" s="47"/>
      <x:c r="X86" s="47"/>
      <x:c r="Y86" s="47"/>
      <x:c r="Z86" s="47"/>
    </x:row>
    <x:row r="87">
      <x:c r="A87" s="391" t="str">
        <x:v>SRC-083</x:v>
      </x:c>
      <x:c r="B87" s="392" t="str">
        <x:v>LinearB AI Developer Productivity Insights</x:v>
      </x:c>
      <x:c r="C87" s="392" t="str">
        <x:v>Commercial product</x:v>
      </x:c>
      <x:c r="D87" s="392" t="str">
        <x:v>Developer AI usage, productivity and governance market benchmark.</x:v>
      </x:c>
      <x:c r="E87" s="392" t="str">
        <x:v>https://linearb.io/platform/ai-developer-productivity-insights</x:v>
      </x:c>
      <x:c r="F87" s="392" t="str">
        <x:v>High</x:v>
      </x:c>
      <x:c r="G87" s="393" t="str">
        <x:v>Added in Stage 2–3 update.</x:v>
      </x:c>
      <x:c r="H87" s="47"/>
      <x:c r="I87" s="47"/>
      <x:c r="J87" s="47"/>
      <x:c r="K87" s="47"/>
      <x:c r="L87" s="47"/>
      <x:c r="M87" s="47"/>
      <x:c r="N87" s="47"/>
      <x:c r="O87" s="47"/>
      <x:c r="P87" s="47"/>
      <x:c r="Q87" s="47"/>
      <x:c r="R87" s="47"/>
      <x:c r="S87" s="47"/>
      <x:c r="T87" s="47"/>
      <x:c r="U87" s="47"/>
      <x:c r="V87" s="47"/>
      <x:c r="W87" s="47"/>
      <x:c r="X87" s="47"/>
      <x:c r="Y87" s="47"/>
      <x:c r="Z87" s="47"/>
    </x:row>
    <x:row r="88">
      <x:c r="A88" s="430" t="str">
        <x:v>SRC-084</x:v>
      </x:c>
      <x:c r="B88" s="431" t="str">
        <x:v>Jellyfish AI/Engineering Intelligence</x:v>
      </x:c>
      <x:c r="C88" s="431" t="str">
        <x:v>Commercial product</x:v>
      </x:c>
      <x:c r="D88" s="431" t="str">
        <x:v>AI-SDLC, usage, cost and engineering intelligence benchmark.</x:v>
      </x:c>
      <x:c r="E88" s="431" t="str">
        <x:v>https://jellyfish.co/</x:v>
      </x:c>
      <x:c r="F88" s="431" t="str">
        <x:v>High</x:v>
      </x:c>
      <x:c r="G88" s="432" t="str">
        <x:v>Added in Stage 2–3 update.</x:v>
      </x:c>
      <x:c r="H88" s="47"/>
      <x:c r="I88" s="47"/>
      <x:c r="J88" s="47"/>
      <x:c r="K88" s="47"/>
      <x:c r="L88" s="47"/>
      <x:c r="M88" s="47"/>
      <x:c r="N88" s="47"/>
      <x:c r="O88" s="47"/>
      <x:c r="P88" s="47"/>
      <x:c r="Q88" s="47"/>
      <x:c r="R88" s="47"/>
      <x:c r="S88" s="47"/>
      <x:c r="T88" s="47"/>
      <x:c r="U88" s="47"/>
      <x:c r="V88" s="47"/>
      <x:c r="W88" s="47"/>
      <x:c r="X88" s="47"/>
      <x:c r="Y88" s="47"/>
      <x:c r="Z88" s="47"/>
    </x:row>
    <x:row r="89">
      <x:c r="A89" s="394" t="str">
        <x:v>SRC-085</x:v>
      </x:c>
      <x:c r="B89" s="200" t="str">
        <x:v>TechWolf Skills Intelligence</x:v>
      </x:c>
      <x:c r="C89" s="200" t="str">
        <x:v>Commercial product</x:v>
      </x:c>
      <x:c r="D89" s="200" t="str">
        <x:v>Work-derived skills intelligence category benchmark.</x:v>
      </x:c>
      <x:c r="E89" s="200" t="str">
        <x:v>https://www.techwolf.ai/product/skills-intelligence</x:v>
      </x:c>
      <x:c r="F89" s="200" t="str">
        <x:v>High</x:v>
      </x:c>
      <x:c r="G89" s="395" t="str">
        <x:v>Added in Stage 2–3 update.</x:v>
      </x:c>
      <x:c r="H89" s="47"/>
      <x:c r="I89" s="47"/>
      <x:c r="J89" s="47"/>
      <x:c r="K89" s="47"/>
      <x:c r="L89" s="47"/>
      <x:c r="M89" s="47"/>
      <x:c r="N89" s="47"/>
      <x:c r="O89" s="47"/>
      <x:c r="P89" s="47"/>
      <x:c r="Q89" s="47"/>
      <x:c r="R89" s="47"/>
      <x:c r="S89" s="47"/>
      <x:c r="T89" s="47"/>
      <x:c r="U89" s="47"/>
      <x:c r="V89" s="47"/>
      <x:c r="W89" s="47"/>
      <x:c r="X89" s="47"/>
      <x:c r="Y89" s="47"/>
      <x:c r="Z89" s="47"/>
    </x:row>
    <x:row r="90">
      <x:c r="A90" s="430" t="str">
        <x:v>SRC-086</x:v>
      </x:c>
      <x:c r="B90" s="431" t="str">
        <x:v>Eightfold Talent Intelligence</x:v>
      </x:c>
      <x:c r="C90" s="431" t="str">
        <x:v>Commercial product</x:v>
      </x:c>
      <x:c r="D90" s="431" t="str">
        <x:v>Skills/capabilities/talent intelligence benchmark.</x:v>
      </x:c>
      <x:c r="E90" s="431" t="str">
        <x:v>https://eightfold.ai/products/</x:v>
      </x:c>
      <x:c r="F90" s="431" t="str">
        <x:v>High</x:v>
      </x:c>
      <x:c r="G90" s="432" t="str">
        <x:v>Added in Stage 2–3 update.</x:v>
      </x:c>
      <x:c r="H90" s="47"/>
      <x:c r="I90" s="47"/>
      <x:c r="J90" s="47"/>
      <x:c r="K90" s="47"/>
      <x:c r="L90" s="47"/>
      <x:c r="M90" s="47"/>
      <x:c r="N90" s="47"/>
      <x:c r="O90" s="47"/>
      <x:c r="P90" s="47"/>
      <x:c r="Q90" s="47"/>
      <x:c r="R90" s="47"/>
      <x:c r="S90" s="47"/>
      <x:c r="T90" s="47"/>
      <x:c r="U90" s="47"/>
      <x:c r="V90" s="47"/>
      <x:c r="W90" s="47"/>
      <x:c r="X90" s="47"/>
      <x:c r="Y90" s="47"/>
      <x:c r="Z90" s="47"/>
    </x:row>
    <x:row r="91">
      <x:c r="A91" s="394" t="str">
        <x:v>SRC-087</x:v>
      </x:c>
      <x:c r="B91" s="200" t="str">
        <x:v>Gloat Workforce Graph</x:v>
      </x:c>
      <x:c r="C91" s="200" t="str">
        <x:v>Commercial product</x:v>
      </x:c>
      <x:c r="D91" s="200" t="str">
        <x:v>Dynamic skills ontology and workforce graph benchmark.</x:v>
      </x:c>
      <x:c r="E91" s="200" t="str">
        <x:v>https://gloat.com/platform/workforce-graph/</x:v>
      </x:c>
      <x:c r="F91" s="200" t="str">
        <x:v>High</x:v>
      </x:c>
      <x:c r="G91" s="395" t="str">
        <x:v>Added in Stage 2–3 update.</x:v>
      </x:c>
      <x:c r="H91" s="47"/>
      <x:c r="I91" s="47"/>
      <x:c r="J91" s="47"/>
      <x:c r="K91" s="47"/>
      <x:c r="L91" s="47"/>
      <x:c r="M91" s="47"/>
      <x:c r="N91" s="47"/>
      <x:c r="O91" s="47"/>
      <x:c r="P91" s="47"/>
      <x:c r="Q91" s="47"/>
      <x:c r="R91" s="47"/>
      <x:c r="S91" s="47"/>
      <x:c r="T91" s="47"/>
      <x:c r="U91" s="47"/>
      <x:c r="V91" s="47"/>
      <x:c r="W91" s="47"/>
      <x:c r="X91" s="47"/>
      <x:c r="Y91" s="47"/>
      <x:c r="Z91" s="47"/>
    </x:row>
    <x:row r="92">
      <x:c r="A92" s="430" t="str">
        <x:v>SRC-088</x:v>
      </x:c>
      <x:c r="B92" s="431" t="str">
        <x:v>Degreed Maestro</x:v>
      </x:c>
      <x:c r="C92" s="431" t="str">
        <x:v>Commercial product</x:v>
      </x:c>
      <x:c r="D92" s="431" t="str">
        <x:v>AI learning and coaching benchmark.</x:v>
      </x:c>
      <x:c r="E92" s="431" t="str">
        <x:v>https://degreed.com/experience/artificial-intelligence/</x:v>
      </x:c>
      <x:c r="F92" s="431" t="str">
        <x:v>High</x:v>
      </x:c>
      <x:c r="G92" s="432" t="str">
        <x:v>Added in Stage 2–3 update.</x:v>
      </x:c>
      <x:c r="H92" s="47"/>
      <x:c r="I92" s="47"/>
      <x:c r="J92" s="47"/>
      <x:c r="K92" s="47"/>
      <x:c r="L92" s="47"/>
      <x:c r="M92" s="47"/>
      <x:c r="N92" s="47"/>
      <x:c r="O92" s="47"/>
      <x:c r="P92" s="47"/>
      <x:c r="Q92" s="47"/>
      <x:c r="R92" s="47"/>
      <x:c r="S92" s="47"/>
      <x:c r="T92" s="47"/>
      <x:c r="U92" s="47"/>
      <x:c r="V92" s="47"/>
      <x:c r="W92" s="47"/>
      <x:c r="X92" s="47"/>
      <x:c r="Y92" s="47"/>
      <x:c r="Z92" s="47"/>
    </x:row>
    <x:row r="93">
      <x:c r="A93" s="394" t="str">
        <x:v>SRC-089</x:v>
      </x:c>
      <x:c r="B93" s="200" t="str">
        <x:v>OpenAPI 3.1.1 Specification</x:v>
      </x:c>
      <x:c r="C93" s="200" t="str">
        <x:v>Official standard</x:v>
      </x:c>
      <x:c r="D93" s="200" t="str">
        <x:v>REST/OpenAPI contracts.</x:v>
      </x:c>
      <x:c r="E93" s="200" t="str">
        <x:v>https://spec.openapis.org/oas/v3.1.1.html</x:v>
      </x:c>
      <x:c r="F93" s="200" t="str">
        <x:v>High</x:v>
      </x:c>
      <x:c r="G93" s="395" t="str">
        <x:v>Stage 2/3 API design.</x:v>
      </x:c>
      <x:c r="H93" s="47"/>
      <x:c r="I93" s="47"/>
      <x:c r="J93" s="47"/>
      <x:c r="K93" s="47"/>
      <x:c r="L93" s="47"/>
      <x:c r="M93" s="47"/>
      <x:c r="N93" s="47"/>
      <x:c r="O93" s="47"/>
      <x:c r="P93" s="47"/>
      <x:c r="Q93" s="47"/>
      <x:c r="R93" s="47"/>
      <x:c r="S93" s="47"/>
      <x:c r="T93" s="47"/>
      <x:c r="U93" s="47"/>
      <x:c r="V93" s="47"/>
      <x:c r="W93" s="47"/>
      <x:c r="X93" s="47"/>
      <x:c r="Y93" s="47"/>
      <x:c r="Z93" s="47"/>
    </x:row>
    <x:row r="94">
      <x:c r="A94" s="430" t="str">
        <x:v>SRC-090</x:v>
      </x:c>
      <x:c r="B94" s="431" t="str">
        <x:v>JSON Schema 2020-12</x:v>
      </x:c>
      <x:c r="C94" s="431" t="str">
        <x:v>Official standard</x:v>
      </x:c>
      <x:c r="D94" s="431" t="str">
        <x:v>JSON validation for role/task/evidence/policy/event schemas.</x:v>
      </x:c>
      <x:c r="E94" s="431" t="str">
        <x:v>https://json-schema.org/draft/2020-12/json-schema-validation</x:v>
      </x:c>
      <x:c r="F94" s="431" t="str">
        <x:v>High</x:v>
      </x:c>
      <x:c r="G94" s="432" t="str">
        <x:v>Stage 2/3 schemas.</x:v>
      </x:c>
      <x:c r="H94" s="47"/>
      <x:c r="I94" s="47"/>
      <x:c r="J94" s="47"/>
      <x:c r="K94" s="47"/>
      <x:c r="L94" s="47"/>
      <x:c r="M94" s="47"/>
      <x:c r="N94" s="47"/>
      <x:c r="O94" s="47"/>
      <x:c r="P94" s="47"/>
      <x:c r="Q94" s="47"/>
      <x:c r="R94" s="47"/>
      <x:c r="S94" s="47"/>
      <x:c r="T94" s="47"/>
      <x:c r="U94" s="47"/>
      <x:c r="V94" s="47"/>
      <x:c r="W94" s="47"/>
      <x:c r="X94" s="47"/>
      <x:c r="Y94" s="47"/>
      <x:c r="Z94" s="47"/>
    </x:row>
    <x:row r="95">
      <x:c r="A95" s="394" t="str">
        <x:v>SRC-091</x:v>
      </x:c>
      <x:c r="B95" s="200" t="str">
        <x:v>CloudEvents</x:v>
      </x:c>
      <x:c r="C95" s="200" t="str">
        <x:v>Official standard</x:v>
      </x:c>
      <x:c r="D95" s="200" t="str">
        <x:v>Event envelope metadata.</x:v>
      </x:c>
      <x:c r="E95" s="200" t="str">
        <x:v>https://cloudevents.io/</x:v>
      </x:c>
      <x:c r="F95" s="200" t="str">
        <x:v>High</x:v>
      </x:c>
      <x:c r="G95" s="395" t="str">
        <x:v>Stage 2/3 events.</x:v>
      </x:c>
      <x:c r="H95" s="47"/>
      <x:c r="I95" s="47"/>
      <x:c r="J95" s="47"/>
      <x:c r="K95" s="47"/>
      <x:c r="L95" s="47"/>
      <x:c r="M95" s="47"/>
      <x:c r="N95" s="47"/>
      <x:c r="O95" s="47"/>
      <x:c r="P95" s="47"/>
      <x:c r="Q95" s="47"/>
      <x:c r="R95" s="47"/>
      <x:c r="S95" s="47"/>
      <x:c r="T95" s="47"/>
      <x:c r="U95" s="47"/>
      <x:c r="V95" s="47"/>
      <x:c r="W95" s="47"/>
      <x:c r="X95" s="47"/>
      <x:c r="Y95" s="47"/>
      <x:c r="Z95" s="47"/>
    </x:row>
    <x:row r="96">
      <x:c r="A96" s="430" t="str">
        <x:v>SRC-092</x:v>
      </x:c>
      <x:c r="B96" s="431" t="str">
        <x:v>NIST NICE Current Versions</x:v>
      </x:c>
      <x:c r="C96" s="431" t="str">
        <x:v>Framework data</x:v>
      </x:c>
      <x:c r="D96" s="431" t="str">
        <x:v>Current Work Role, Task, Knowledge and Skill components.</x:v>
      </x:c>
      <x:c r="E96" s="431" t="str">
        <x:v>https://www.nist.gov/itl/applied-cybersecurity/nice/nice-framework-resource-center/nice-framework-current-versions</x:v>
      </x:c>
      <x:c r="F96" s="431" t="str">
        <x:v>High</x:v>
      </x:c>
      <x:c r="G96" s="432" t="str">
        <x:v>Stage 2 reference.</x:v>
      </x:c>
      <x:c r="H96" s="47"/>
      <x:c r="I96" s="47"/>
      <x:c r="J96" s="47"/>
      <x:c r="K96" s="47"/>
      <x:c r="L96" s="47"/>
      <x:c r="M96" s="47"/>
      <x:c r="N96" s="47"/>
      <x:c r="O96" s="47"/>
      <x:c r="P96" s="47"/>
      <x:c r="Q96" s="47"/>
      <x:c r="R96" s="47"/>
      <x:c r="S96" s="47"/>
      <x:c r="T96" s="47"/>
      <x:c r="U96" s="47"/>
      <x:c r="V96" s="47"/>
      <x:c r="W96" s="47"/>
      <x:c r="X96" s="47"/>
      <x:c r="Y96" s="47"/>
      <x:c r="Z96" s="47"/>
    </x:row>
    <x:row r="97">
      <x:c r="A97" s="394" t="str">
        <x:v>SRC-093</x:v>
      </x:c>
      <x:c r="B97" s="200" t="str">
        <x:v>Apple Developer ID</x:v>
      </x:c>
      <x:c r="C97" s="200" t="str">
        <x:v>Official docs</x:v>
      </x:c>
      <x:c r="D97" s="200" t="str">
        <x:v>macOS signing and notarisation.</x:v>
      </x:c>
      <x:c r="E97" s="200" t="str">
        <x:v>https://developer.apple.com/developer-id/</x:v>
      </x:c>
      <x:c r="F97" s="200" t="str">
        <x:v>High</x:v>
      </x:c>
      <x:c r="G97" s="395" t="str">
        <x:v>Stage 3 CI/CD.</x:v>
      </x:c>
      <x:c r="H97" s="47"/>
      <x:c r="I97" s="47"/>
      <x:c r="J97" s="47"/>
      <x:c r="K97" s="47"/>
      <x:c r="L97" s="47"/>
      <x:c r="M97" s="47"/>
      <x:c r="N97" s="47"/>
      <x:c r="O97" s="47"/>
      <x:c r="P97" s="47"/>
      <x:c r="Q97" s="47"/>
      <x:c r="R97" s="47"/>
      <x:c r="S97" s="47"/>
      <x:c r="T97" s="47"/>
      <x:c r="U97" s="47"/>
      <x:c r="V97" s="47"/>
      <x:c r="W97" s="47"/>
      <x:c r="X97" s="47"/>
      <x:c r="Y97" s="47"/>
      <x:c r="Z97" s="47"/>
    </x:row>
    <x:row r="98">
      <x:c r="A98" s="430" t="str">
        <x:v>SRC-094</x:v>
      </x:c>
      <x:c r="B98" s="431" t="str">
        <x:v>Microsoft MSIX signing</x:v>
      </x:c>
      <x:c r="C98" s="431" t="str">
        <x:v>Official docs</x:v>
      </x:c>
      <x:c r="D98" s="431" t="str">
        <x:v>Windows package signing and timestamping.</x:v>
      </x:c>
      <x:c r="E98" s="431" t="str">
        <x:v>https://learn.microsoft.com/en-us/windows/msix/package/signing-package-overview</x:v>
      </x:c>
      <x:c r="F98" s="431" t="str">
        <x:v>High</x:v>
      </x:c>
      <x:c r="G98" s="432" t="str">
        <x:v>Stage 3 CI/CD.</x:v>
      </x:c>
      <x:c r="H98" s="47"/>
      <x:c r="I98" s="47"/>
      <x:c r="J98" s="47"/>
      <x:c r="K98" s="47"/>
      <x:c r="L98" s="47"/>
      <x:c r="M98" s="47"/>
      <x:c r="N98" s="47"/>
      <x:c r="O98" s="47"/>
      <x:c r="P98" s="47"/>
      <x:c r="Q98" s="47"/>
      <x:c r="R98" s="47"/>
      <x:c r="S98" s="47"/>
      <x:c r="T98" s="47"/>
      <x:c r="U98" s="47"/>
      <x:c r="V98" s="47"/>
      <x:c r="W98" s="47"/>
      <x:c r="X98" s="47"/>
      <x:c r="Y98" s="47"/>
      <x:c r="Z98" s="47"/>
    </x:row>
    <x:row r="99">
      <x:c r="A99" s="394" t="str">
        <x:v>SRC-095</x:v>
      </x:c>
      <x:c r="B99" s="200" t="str">
        <x:v>CycloneDX SBOM</x:v>
      </x:c>
      <x:c r="C99" s="200" t="str">
        <x:v>SBOM standard</x:v>
      </x:c>
      <x:c r="D99" s="200" t="str">
        <x:v>Software Bill of Materials and dependency transparency.</x:v>
      </x:c>
      <x:c r="E99" s="200" t="str">
        <x:v>https://cyclonedx.org/capabilities/sbom/</x:v>
      </x:c>
      <x:c r="F99" s="200" t="str">
        <x:v>High</x:v>
      </x:c>
      <x:c r="G99" s="395" t="str">
        <x:v>Stage 3 supply chain.</x:v>
      </x:c>
      <x:c r="H99" s="47"/>
      <x:c r="I99" s="47"/>
      <x:c r="J99" s="47"/>
      <x:c r="K99" s="47"/>
      <x:c r="L99" s="47"/>
      <x:c r="M99" s="47"/>
      <x:c r="N99" s="47"/>
      <x:c r="O99" s="47"/>
      <x:c r="P99" s="47"/>
      <x:c r="Q99" s="47"/>
      <x:c r="R99" s="47"/>
      <x:c r="S99" s="47"/>
      <x:c r="T99" s="47"/>
      <x:c r="U99" s="47"/>
      <x:c r="V99" s="47"/>
      <x:c r="W99" s="47"/>
      <x:c r="X99" s="47"/>
      <x:c r="Y99" s="47"/>
      <x:c r="Z99" s="47"/>
    </x:row>
    <x:row r="100">
      <x:c r="A100" s="437" t="str">
        <x:v>SRC-096</x:v>
      </x:c>
      <x:c r="B100" s="438" t="str">
        <x:v>SPDX</x:v>
      </x:c>
      <x:c r="C100" s="438" t="str">
        <x:v>SBOM standard</x:v>
      </x:c>
      <x:c r="D100" s="438" t="str">
        <x:v>ISO/IEC 5962:2021 SBOM and software supply chain references.</x:v>
      </x:c>
      <x:c r="E100" s="438" t="str">
        <x:v>https://spdx.dev/</x:v>
      </x:c>
      <x:c r="F100" s="438" t="str">
        <x:v>High</x:v>
      </x:c>
      <x:c r="G100" s="439" t="str">
        <x:v>Stage 3 supply chain.</x:v>
      </x:c>
      <x:c r="H100" s="47"/>
      <x:c r="I100" s="47"/>
      <x:c r="J100" s="47"/>
      <x:c r="K100" s="47"/>
      <x:c r="L100" s="47"/>
      <x:c r="M100" s="47"/>
      <x:c r="N100" s="47"/>
      <x:c r="O100" s="47"/>
      <x:c r="P100" s="47"/>
      <x:c r="Q100" s="47"/>
      <x:c r="R100" s="47"/>
      <x:c r="S100" s="47"/>
      <x:c r="T100" s="47"/>
      <x:c r="U100" s="47"/>
      <x:c r="V100" s="47"/>
      <x:c r="W100" s="47"/>
      <x:c r="X100" s="47"/>
      <x:c r="Y100" s="47"/>
      <x:c r="Z100" s="47"/>
    </x:row>
    <x:row r="101">
      <x:c r="A101" s="550" t="str">
        <x:v>SRC-097</x:v>
      </x:c>
      <x:c r="B101" s="551" t="str">
        <x:v>Apache Kafka Producer Configs 4.3</x:v>
      </x:c>
      <x:c r="C101" s="551" t="str">
        <x:v>Official documentation</x:v>
      </x:c>
      <x:c r="D101" s="551" t="str">
        <x:v>Idempotent producer and ordering requirements.</x:v>
      </x:c>
      <x:c r="E101" s="551" t="str">
        <x:v>https://kafka.apache.org/43/generated/producer_config.html</x:v>
      </x:c>
      <x:c r="F101" s="551" t="str">
        <x:v>High</x:v>
      </x:c>
      <x:c r="G101" s="552" t="str">
        <x:v>Stage 4 delivery semantics.</x:v>
      </x:c>
      <x:c r="H101" s="47"/>
      <x:c r="I101" s="47"/>
      <x:c r="J101" s="47"/>
      <x:c r="K101" s="47"/>
      <x:c r="L101" s="47"/>
      <x:c r="M101" s="47"/>
      <x:c r="N101" s="47"/>
      <x:c r="O101" s="47"/>
      <x:c r="P101" s="47"/>
      <x:c r="Q101" s="47"/>
      <x:c r="R101" s="47"/>
      <x:c r="S101" s="47"/>
      <x:c r="T101" s="47"/>
      <x:c r="U101" s="47"/>
      <x:c r="V101" s="47"/>
      <x:c r="W101" s="47"/>
      <x:c r="X101" s="47"/>
      <x:c r="Y101" s="47"/>
      <x:c r="Z101" s="47"/>
    </x:row>
    <x:row r="102">
      <x:c r="A102" s="560" t="str">
        <x:v>SRC-098</x:v>
      </x:c>
      <x:c r="B102" s="561" t="str">
        <x:v>Spring Kafka Exactly Once Semantics</x:v>
      </x:c>
      <x:c r="C102" s="561" t="str">
        <x:v>Official documentation</x:v>
      </x:c>
      <x:c r="D102" s="561" t="str">
        <x:v>Transactional Kafka read-process-write scope.</x:v>
      </x:c>
      <x:c r="E102" s="561" t="str">
        <x:v>https://docs.spring.io/spring-kafka/reference/kafka/exactly-once.html</x:v>
      </x:c>
      <x:c r="F102" s="561" t="str">
        <x:v>High</x:v>
      </x:c>
      <x:c r="G102" s="562" t="str">
        <x:v>Stage 4 ADR scope.</x:v>
      </x:c>
      <x:c r="H102" s="47"/>
      <x:c r="I102" s="47"/>
      <x:c r="J102" s="47"/>
      <x:c r="K102" s="47"/>
      <x:c r="L102" s="47"/>
      <x:c r="M102" s="47"/>
      <x:c r="N102" s="47"/>
      <x:c r="O102" s="47"/>
      <x:c r="P102" s="47"/>
      <x:c r="Q102" s="47"/>
      <x:c r="R102" s="47"/>
      <x:c r="S102" s="47"/>
      <x:c r="T102" s="47"/>
      <x:c r="U102" s="47"/>
      <x:c r="V102" s="47"/>
      <x:c r="W102" s="47"/>
      <x:c r="X102" s="47"/>
      <x:c r="Y102" s="47"/>
      <x:c r="Z102" s="47"/>
    </x:row>
    <x:row r="103">
      <x:c r="A103" s="553" t="str">
        <x:v>SRC-099</x:v>
      </x:c>
      <x:c r="B103" s="200" t="str">
        <x:v>PostgreSQL 18 Partitioning</x:v>
      </x:c>
      <x:c r="C103" s="200" t="str">
        <x:v>Official documentation</x:v>
      </x:c>
      <x:c r="D103" s="200" t="str">
        <x:v>Declarative range/list/hash partitioning.</x:v>
      </x:c>
      <x:c r="E103" s="200" t="str">
        <x:v>https://www.postgresql.org/docs/18/ddl-partitioning.html</x:v>
      </x:c>
      <x:c r="F103" s="200" t="str">
        <x:v>High</x:v>
      </x:c>
      <x:c r="G103" s="554" t="str">
        <x:v>Stage 4 metadata storage.</x:v>
      </x:c>
      <x:c r="H103" s="47"/>
      <x:c r="I103" s="47"/>
      <x:c r="J103" s="47"/>
      <x:c r="K103" s="47"/>
      <x:c r="L103" s="47"/>
      <x:c r="M103" s="47"/>
      <x:c r="N103" s="47"/>
      <x:c r="O103" s="47"/>
      <x:c r="P103" s="47"/>
      <x:c r="Q103" s="47"/>
      <x:c r="R103" s="47"/>
      <x:c r="S103" s="47"/>
      <x:c r="T103" s="47"/>
      <x:c r="U103" s="47"/>
      <x:c r="V103" s="47"/>
      <x:c r="W103" s="47"/>
      <x:c r="X103" s="47"/>
      <x:c r="Y103" s="47"/>
      <x:c r="Z103" s="47"/>
    </x:row>
    <x:row r="104">
      <x:c r="A104" s="560" t="str">
        <x:v>SRC-100</x:v>
      </x:c>
      <x:c r="B104" s="561" t="str">
        <x:v>PostgreSQL 18 Row Security</x:v>
      </x:c>
      <x:c r="C104" s="561" t="str">
        <x:v>Official documentation</x:v>
      </x:c>
      <x:c r="D104" s="561" t="str">
        <x:v>Row-level security and default-deny behaviour.</x:v>
      </x:c>
      <x:c r="E104" s="561" t="str">
        <x:v>https://www.postgresql.org/docs/18/ddl-rowsecurity.html</x:v>
      </x:c>
      <x:c r="F104" s="561" t="str">
        <x:v>High</x:v>
      </x:c>
      <x:c r="G104" s="562" t="str">
        <x:v>Evidence tenant/access defence.</x:v>
      </x:c>
      <x:c r="H104" s="47"/>
      <x:c r="I104" s="47"/>
      <x:c r="J104" s="47"/>
      <x:c r="K104" s="47"/>
      <x:c r="L104" s="47"/>
      <x:c r="M104" s="47"/>
      <x:c r="N104" s="47"/>
      <x:c r="O104" s="47"/>
      <x:c r="P104" s="47"/>
      <x:c r="Q104" s="47"/>
      <x:c r="R104" s="47"/>
      <x:c r="S104" s="47"/>
      <x:c r="T104" s="47"/>
      <x:c r="U104" s="47"/>
      <x:c r="V104" s="47"/>
      <x:c r="W104" s="47"/>
      <x:c r="X104" s="47"/>
      <x:c r="Y104" s="47"/>
      <x:c r="Z104" s="47"/>
    </x:row>
    <x:row r="105">
      <x:c r="A105" s="553" t="str">
        <x:v>SRC-101</x:v>
      </x:c>
      <x:c r="B105" s="200" t="str">
        <x:v>Amazon S3 Object Lock</x:v>
      </x:c>
      <x:c r="C105" s="200" t="str">
        <x:v>Official documentation</x:v>
      </x:c>
      <x:c r="D105" s="200" t="str">
        <x:v>Retention periods, governance/compliance and legal holds.</x:v>
      </x:c>
      <x:c r="E105" s="200" t="str">
        <x:v>https://docs.aws.amazon.com/AmazonS3/latest/userguide/object-lock.html</x:v>
      </x:c>
      <x:c r="F105" s="200" t="str">
        <x:v>High</x:v>
      </x:c>
      <x:c r="G105" s="554" t="str">
        <x:v>Selective evidence legal hold.</x:v>
      </x:c>
      <x:c r="H105" s="47"/>
      <x:c r="I105" s="47"/>
      <x:c r="J105" s="47"/>
      <x:c r="K105" s="47"/>
      <x:c r="L105" s="47"/>
      <x:c r="M105" s="47"/>
      <x:c r="N105" s="47"/>
      <x:c r="O105" s="47"/>
      <x:c r="P105" s="47"/>
      <x:c r="Q105" s="47"/>
      <x:c r="R105" s="47"/>
      <x:c r="S105" s="47"/>
      <x:c r="T105" s="47"/>
      <x:c r="U105" s="47"/>
      <x:c r="V105" s="47"/>
      <x:c r="W105" s="47"/>
      <x:c r="X105" s="47"/>
      <x:c r="Y105" s="47"/>
      <x:c r="Z105" s="47"/>
    </x:row>
    <x:row r="106">
      <x:c r="A106" s="560" t="str">
        <x:v>SRC-102</x:v>
      </x:c>
      <x:c r="B106" s="561" t="str">
        <x:v>OpenTelemetry Sensitive Data</x:v>
      </x:c>
      <x:c r="C106" s="561" t="str">
        <x:v>Official documentation</x:v>
      </x:c>
      <x:c r="D106" s="561" t="str">
        <x:v>Data minimisation and redaction/filter/transform controls.</x:v>
      </x:c>
      <x:c r="E106" s="561" t="str">
        <x:v>https://opentelemetry.io/docs/security/handling-sensitive-data/</x:v>
      </x:c>
      <x:c r="F106" s="561" t="str">
        <x:v>Critical</x:v>
      </x:c>
      <x:c r="G106" s="562" t="str">
        <x:v>No raw evidence in telemetry.</x:v>
      </x:c>
      <x:c r="H106" s="47"/>
      <x:c r="I106" s="47"/>
      <x:c r="J106" s="47"/>
      <x:c r="K106" s="47"/>
      <x:c r="L106" s="47"/>
      <x:c r="M106" s="47"/>
      <x:c r="N106" s="47"/>
      <x:c r="O106" s="47"/>
      <x:c r="P106" s="47"/>
      <x:c r="Q106" s="47"/>
      <x:c r="R106" s="47"/>
      <x:c r="S106" s="47"/>
      <x:c r="T106" s="47"/>
      <x:c r="U106" s="47"/>
      <x:c r="V106" s="47"/>
      <x:c r="W106" s="47"/>
      <x:c r="X106" s="47"/>
      <x:c r="Y106" s="47"/>
      <x:c r="Z106" s="47"/>
    </x:row>
    <x:row r="107">
      <x:c r="A107" s="553" t="str">
        <x:v>SRC-103</x:v>
      </x:c>
      <x:c r="B107" s="200" t="str">
        <x:v>Windows Graphics Capture</x:v>
      </x:c>
      <x:c r="C107" s="200" t="str">
        <x:v>Official documentation</x:v>
      </x:c>
      <x:c r="D107" s="200" t="str">
        <x:v>Application/display frame capture and secure system UI.</x:v>
      </x:c>
      <x:c r="E107" s="200" t="str">
        <x:v>https://learn.microsoft.com/en-us/windows/apps/develop/media-authoring-processing/screen-capture</x:v>
      </x:c>
      <x:c r="F107" s="200" t="str">
        <x:v>High</x:v>
      </x:c>
      <x:c r="G107" s="554" t="str">
        <x:v>Stage 5 visual capture.</x:v>
      </x:c>
      <x:c r="H107" s="47"/>
      <x:c r="I107" s="47"/>
      <x:c r="J107" s="47"/>
      <x:c r="K107" s="47"/>
      <x:c r="L107" s="47"/>
      <x:c r="M107" s="47"/>
      <x:c r="N107" s="47"/>
      <x:c r="O107" s="47"/>
      <x:c r="P107" s="47"/>
      <x:c r="Q107" s="47"/>
      <x:c r="R107" s="47"/>
      <x:c r="S107" s="47"/>
      <x:c r="T107" s="47"/>
      <x:c r="U107" s="47"/>
      <x:c r="V107" s="47"/>
      <x:c r="W107" s="47"/>
      <x:c r="X107" s="47"/>
      <x:c r="Y107" s="47"/>
      <x:c r="Z107" s="47"/>
    </x:row>
    <x:row r="108">
      <x:c r="A108" s="560" t="str">
        <x:v>SRC-104</x:v>
      </x:c>
      <x:c r="B108" s="561" t="str">
        <x:v>Windows UIA IsPasswordProperty</x:v>
      </x:c>
      <x:c r="C108" s="561" t="str">
        <x:v>Official documentation</x:v>
      </x:c>
      <x:c r="D108" s="561" t="str">
        <x:v>Password-control identification.</x:v>
      </x:c>
      <x:c r="E108" s="561" t="str">
        <x:v>https://learn.microsoft.com/en-us/windows/windows-app-sdk/api/winrt/microsoft.ui.xaml.automation.automationelementidentifiers.ispasswordproperty</x:v>
      </x:c>
      <x:c r="F108" s="561" t="str">
        <x:v>Critical</x:v>
      </x:c>
      <x:c r="G108" s="562" t="str">
        <x:v>Stage 5 secure-field suppression.</x:v>
      </x:c>
      <x:c r="H108" s="47"/>
      <x:c r="I108" s="47"/>
      <x:c r="J108" s="47"/>
      <x:c r="K108" s="47"/>
      <x:c r="L108" s="47"/>
      <x:c r="M108" s="47"/>
      <x:c r="N108" s="47"/>
      <x:c r="O108" s="47"/>
      <x:c r="P108" s="47"/>
      <x:c r="Q108" s="47"/>
      <x:c r="R108" s="47"/>
      <x:c r="S108" s="47"/>
      <x:c r="T108" s="47"/>
      <x:c r="U108" s="47"/>
      <x:c r="V108" s="47"/>
      <x:c r="W108" s="47"/>
      <x:c r="X108" s="47"/>
      <x:c r="Y108" s="47"/>
      <x:c r="Z108" s="47"/>
    </x:row>
    <x:row r="109">
      <x:c r="A109" s="553" t="str">
        <x:v>SRC-105</x:v>
      </x:c>
      <x:c r="B109" s="200" t="str">
        <x:v>Apple kAXSecureTextFieldSubrole</x:v>
      </x:c>
      <x:c r="C109" s="200" t="str">
        <x:v>Official documentation</x:v>
      </x:c>
      <x:c r="D109" s="200" t="str">
        <x:v>Secure text field accessibility subrole.</x:v>
      </x:c>
      <x:c r="E109" s="200" t="str">
        <x:v>https://developer.apple.com/documentation/applicationservices/kaxsecuretextfieldsubrole</x:v>
      </x:c>
      <x:c r="F109" s="200" t="str">
        <x:v>Critical</x:v>
      </x:c>
      <x:c r="G109" s="554" t="str">
        <x:v>Stage 5 secure-field suppression.</x:v>
      </x:c>
      <x:c r="H109" s="47"/>
      <x:c r="I109" s="47"/>
      <x:c r="J109" s="47"/>
      <x:c r="K109" s="47"/>
      <x:c r="L109" s="47"/>
      <x:c r="M109" s="47"/>
      <x:c r="N109" s="47"/>
      <x:c r="O109" s="47"/>
      <x:c r="P109" s="47"/>
      <x:c r="Q109" s="47"/>
      <x:c r="R109" s="47"/>
      <x:c r="S109" s="47"/>
      <x:c r="T109" s="47"/>
      <x:c r="U109" s="47"/>
      <x:c r="V109" s="47"/>
      <x:c r="W109" s="47"/>
      <x:c r="X109" s="47"/>
      <x:c r="Y109" s="47"/>
      <x:c r="Z109" s="47"/>
    </x:row>
    <x:row r="110">
      <x:c r="A110" s="560" t="str">
        <x:v>SRC-106</x:v>
      </x:c>
      <x:c r="B110" s="561" t="str">
        <x:v>Chrome Native Messaging</x:v>
      </x:c>
      <x:c r="C110" s="561" t="str">
        <x:v>Official documentation</x:v>
      </x:c>
      <x:c r="D110" s="561" t="str">
        <x:v>Extension-to-native application messaging.</x:v>
      </x:c>
      <x:c r="E110" s="561" t="str">
        <x:v>https://developer.chrome.com/docs/extensions/develop/concepts/native-messaging</x:v>
      </x:c>
      <x:c r="F110" s="561" t="str">
        <x:v>High</x:v>
      </x:c>
      <x:c r="G110" s="562" t="str">
        <x:v>Stage 5 browser adapter.</x:v>
      </x:c>
      <x:c r="H110" s="47"/>
      <x:c r="I110" s="47"/>
      <x:c r="J110" s="47"/>
      <x:c r="K110" s="47"/>
      <x:c r="L110" s="47"/>
      <x:c r="M110" s="47"/>
      <x:c r="N110" s="47"/>
      <x:c r="O110" s="47"/>
      <x:c r="P110" s="47"/>
      <x:c r="Q110" s="47"/>
      <x:c r="R110" s="47"/>
      <x:c r="S110" s="47"/>
      <x:c r="T110" s="47"/>
      <x:c r="U110" s="47"/>
      <x:c r="V110" s="47"/>
      <x:c r="W110" s="47"/>
      <x:c r="X110" s="47"/>
      <x:c r="Y110" s="47"/>
      <x:c r="Z110" s="47"/>
    </x:row>
    <x:row r="111">
      <x:c r="A111" s="555" t="str">
        <x:v>SRC-107</x:v>
      </x:c>
      <x:c r="B111" s="556" t="str">
        <x:v>Chrome Tabs API</x:v>
      </x:c>
      <x:c r="C111" s="556" t="str">
        <x:v>Official documentation</x:v>
      </x:c>
      <x:c r="D111" s="556" t="str">
        <x:v>Tab URL/title access and permissions.</x:v>
      </x:c>
      <x:c r="E111" s="556" t="str">
        <x:v>https://developer.chrome.com/docs/extensions/reference/api/tabs</x:v>
      </x:c>
      <x:c r="F111" s="556" t="str">
        <x:v>High</x:v>
      </x:c>
      <x:c r="G111" s="557" t="str">
        <x:v>Stage 5 browser scope.</x:v>
      </x:c>
      <x:c r="H111" s="47"/>
      <x:c r="I111" s="47"/>
      <x:c r="J111" s="47"/>
      <x:c r="K111" s="47"/>
      <x:c r="L111" s="47"/>
      <x:c r="M111" s="47"/>
      <x:c r="N111" s="47"/>
      <x:c r="O111" s="47"/>
      <x:c r="P111" s="47"/>
      <x:c r="Q111" s="47"/>
      <x:c r="R111" s="47"/>
      <x:c r="S111" s="47"/>
      <x:c r="T111" s="47"/>
      <x:c r="U111" s="47"/>
      <x:c r="V111" s="47"/>
      <x:c r="W111" s="47"/>
      <x:c r="X111" s="47"/>
      <x:c r="Y111" s="47"/>
      <x:c r="Z111" s="47"/>
    </x:row>
    <x:row r="112">
      <x:c r="A112" s="664" t="str">
        <x:v>SRC-108</x:v>
      </x:c>
      <x:c r="B112" s="665" t="str">
        <x:v>OpenAI Codex Hooks</x:v>
      </x:c>
      <x:c r="C112" s="665" t="str">
        <x:v>Official documentation</x:v>
      </x:c>
      <x:c r="D112" s="665" t="str">
        <x:v>Codex prompt/tool/session hook lifecycle.</x:v>
      </x:c>
      <x:c r="E112" s="665" t="str">
        <x:v>https://developers.openai.com/codex/hooks</x:v>
      </x:c>
      <x:c r="F112" s="665" t="str">
        <x:v>Critical</x:v>
      </x:c>
      <x:c r="G112" s="666" t="str">
        <x:v>Stage 6 AI-agent adapter.</x:v>
      </x:c>
      <x:c r="H112" s="47"/>
      <x:c r="I112" s="47"/>
      <x:c r="J112" s="47"/>
      <x:c r="K112" s="47"/>
      <x:c r="L112" s="47"/>
      <x:c r="M112" s="47"/>
      <x:c r="N112" s="47"/>
      <x:c r="O112" s="47"/>
      <x:c r="P112" s="47"/>
      <x:c r="Q112" s="47"/>
      <x:c r="R112" s="47"/>
      <x:c r="S112" s="47"/>
      <x:c r="T112" s="47"/>
      <x:c r="U112" s="47"/>
      <x:c r="V112" s="47"/>
      <x:c r="W112" s="47"/>
      <x:c r="X112" s="47"/>
      <x:c r="Y112" s="47"/>
      <x:c r="Z112" s="47"/>
    </x:row>
    <x:row r="113">
      <x:c r="A113" s="673" t="str">
        <x:v>SRC-109</x:v>
      </x:c>
      <x:c r="B113" s="674" t="str">
        <x:v>Claude Code Hooks Reference</x:v>
      </x:c>
      <x:c r="C113" s="674" t="str">
        <x:v>Official documentation</x:v>
      </x:c>
      <x:c r="D113" s="674" t="str">
        <x:v>Claude Code hook events and payloads.</x:v>
      </x:c>
      <x:c r="E113" s="674" t="str">
        <x:v>https://code.claude.com/docs/en/hooks</x:v>
      </x:c>
      <x:c r="F113" s="674" t="str">
        <x:v>Critical</x:v>
      </x:c>
      <x:c r="G113" s="675" t="str">
        <x:v>Stage 6 AI-agent adapter.</x:v>
      </x:c>
      <x:c r="H113" s="47"/>
      <x:c r="I113" s="47"/>
      <x:c r="J113" s="47"/>
      <x:c r="K113" s="47"/>
      <x:c r="L113" s="47"/>
      <x:c r="M113" s="47"/>
      <x:c r="N113" s="47"/>
      <x:c r="O113" s="47"/>
      <x:c r="P113" s="47"/>
      <x:c r="Q113" s="47"/>
      <x:c r="R113" s="47"/>
      <x:c r="S113" s="47"/>
      <x:c r="T113" s="47"/>
      <x:c r="U113" s="47"/>
      <x:c r="V113" s="47"/>
      <x:c r="W113" s="47"/>
      <x:c r="X113" s="47"/>
      <x:c r="Y113" s="47"/>
      <x:c r="Z113" s="47"/>
    </x:row>
    <x:row r="114">
      <x:c r="A114" s="667" t="str">
        <x:v>SRC-110</x:v>
      </x:c>
      <x:c r="B114" s="200" t="str">
        <x:v>Claude Agent SDK Hooks</x:v>
      </x:c>
      <x:c r="C114" s="200" t="str">
        <x:v>Official documentation</x:v>
      </x:c>
      <x:c r="D114" s="200" t="str">
        <x:v>Claude SDK hook support by language.</x:v>
      </x:c>
      <x:c r="E114" s="200" t="str">
        <x:v>https://code.claude.com/docs/en/agent-sdk/hooks</x:v>
      </x:c>
      <x:c r="F114" s="200" t="str">
        <x:v>High</x:v>
      </x:c>
      <x:c r="G114" s="668" t="str">
        <x:v>Stage 6 provider coverage.</x:v>
      </x:c>
      <x:c r="H114" s="47"/>
      <x:c r="I114" s="47"/>
      <x:c r="J114" s="47"/>
      <x:c r="K114" s="47"/>
      <x:c r="L114" s="47"/>
      <x:c r="M114" s="47"/>
      <x:c r="N114" s="47"/>
      <x:c r="O114" s="47"/>
      <x:c r="P114" s="47"/>
      <x:c r="Q114" s="47"/>
      <x:c r="R114" s="47"/>
      <x:c r="S114" s="47"/>
      <x:c r="T114" s="47"/>
      <x:c r="U114" s="47"/>
      <x:c r="V114" s="47"/>
      <x:c r="W114" s="47"/>
      <x:c r="X114" s="47"/>
      <x:c r="Y114" s="47"/>
      <x:c r="Z114" s="47"/>
    </x:row>
    <x:row r="115">
      <x:c r="A115" s="673" t="str">
        <x:v>SRC-111</x:v>
      </x:c>
      <x:c r="B115" s="674" t="str">
        <x:v>VS Code API Reference</x:v>
      </x:c>
      <x:c r="C115" s="674" t="str">
        <x:v>Official documentation</x:v>
      </x:c>
      <x:c r="D115" s="674" t="str">
        <x:v>VS Code tasks, terminal, diagnostics and filesystem APIs.</x:v>
      </x:c>
      <x:c r="E115" s="674" t="str">
        <x:v>https://code.visualstudio.com/api/references/vscode-api</x:v>
      </x:c>
      <x:c r="F115" s="674" t="str">
        <x:v>High</x:v>
      </x:c>
      <x:c r="G115" s="675" t="str">
        <x:v>Stage 6 IDE adapter.</x:v>
      </x:c>
      <x:c r="H115" s="47"/>
      <x:c r="I115" s="47"/>
      <x:c r="J115" s="47"/>
      <x:c r="K115" s="47"/>
      <x:c r="L115" s="47"/>
      <x:c r="M115" s="47"/>
      <x:c r="N115" s="47"/>
      <x:c r="O115" s="47"/>
      <x:c r="P115" s="47"/>
      <x:c r="Q115" s="47"/>
      <x:c r="R115" s="47"/>
      <x:c r="S115" s="47"/>
      <x:c r="T115" s="47"/>
      <x:c r="U115" s="47"/>
      <x:c r="V115" s="47"/>
      <x:c r="W115" s="47"/>
      <x:c r="X115" s="47"/>
      <x:c r="Y115" s="47"/>
      <x:c r="Z115" s="47"/>
    </x:row>
    <x:row r="116">
      <x:c r="A116" s="667" t="str">
        <x:v>SRC-112</x:v>
      </x:c>
      <x:c r="B116" s="200" t="str">
        <x:v>IntelliJ PSI</x:v>
      </x:c>
      <x:c r="C116" s="200" t="str">
        <x:v>Official documentation</x:v>
      </x:c>
      <x:c r="D116" s="200" t="str">
        <x:v>Program Structure Interface for JetBrains plugins.</x:v>
      </x:c>
      <x:c r="E116" s="200" t="str">
        <x:v>https://plugins.jetbrains.com/docs/intellij/psi.html</x:v>
      </x:c>
      <x:c r="F116" s="200" t="str">
        <x:v>Medium</x:v>
      </x:c>
      <x:c r="G116" s="668" t="str">
        <x:v>Stage 6 JetBrains adapter.</x:v>
      </x:c>
      <x:c r="H116" s="47"/>
      <x:c r="I116" s="47"/>
      <x:c r="J116" s="47"/>
      <x:c r="K116" s="47"/>
      <x:c r="L116" s="47"/>
      <x:c r="M116" s="47"/>
      <x:c r="N116" s="47"/>
      <x:c r="O116" s="47"/>
      <x:c r="P116" s="47"/>
      <x:c r="Q116" s="47"/>
      <x:c r="R116" s="47"/>
      <x:c r="S116" s="47"/>
      <x:c r="T116" s="47"/>
      <x:c r="U116" s="47"/>
      <x:c r="V116" s="47"/>
      <x:c r="W116" s="47"/>
      <x:c r="X116" s="47"/>
      <x:c r="Y116" s="47"/>
      <x:c r="Z116" s="47"/>
    </x:row>
    <x:row r="117">
      <x:c r="A117" s="673" t="str">
        <x:v>SRC-113</x:v>
      </x:c>
      <x:c r="B117" s="674" t="str">
        <x:v>GitHub Webhook Events</x:v>
      </x:c>
      <x:c r="C117" s="674" t="str">
        <x:v>Official documentation</x:v>
      </x:c>
      <x:c r="D117" s="674" t="str">
        <x:v>Pull request, checks and workflow webhooks.</x:v>
      </x:c>
      <x:c r="E117" s="674" t="str">
        <x:v>https://docs.github.com/en/enterprise-cloud@latest/webhooks/webhook-events-and-payloads</x:v>
      </x:c>
      <x:c r="F117" s="674" t="str">
        <x:v>High</x:v>
      </x:c>
      <x:c r="G117" s="675" t="str">
        <x:v>Stage 6 GitHub adapter.</x:v>
      </x:c>
      <x:c r="H117" s="47"/>
      <x:c r="I117" s="47"/>
      <x:c r="J117" s="47"/>
      <x:c r="K117" s="47"/>
      <x:c r="L117" s="47"/>
      <x:c r="M117" s="47"/>
      <x:c r="N117" s="47"/>
      <x:c r="O117" s="47"/>
      <x:c r="P117" s="47"/>
      <x:c r="Q117" s="47"/>
      <x:c r="R117" s="47"/>
      <x:c r="S117" s="47"/>
      <x:c r="T117" s="47"/>
      <x:c r="U117" s="47"/>
      <x:c r="V117" s="47"/>
      <x:c r="W117" s="47"/>
      <x:c r="X117" s="47"/>
      <x:c r="Y117" s="47"/>
      <x:c r="Z117" s="47"/>
    </x:row>
    <x:row r="118">
      <x:c r="A118" s="667" t="str">
        <x:v>SRC-114</x:v>
      </x:c>
      <x:c r="B118" s="200" t="str">
        <x:v>GitHub Checks API</x:v>
      </x:c>
      <x:c r="C118" s="200" t="str">
        <x:v>Official documentation</x:v>
      </x:c>
      <x:c r="D118" s="200" t="str">
        <x:v>Check runs, status and conclusions.</x:v>
      </x:c>
      <x:c r="E118" s="200" t="str">
        <x:v>https://docs.github.com/en/rest/checks/runs</x:v>
      </x:c>
      <x:c r="F118" s="200" t="str">
        <x:v>High</x:v>
      </x:c>
      <x:c r="G118" s="668" t="str">
        <x:v>Stage 7 quality gates.</x:v>
      </x:c>
      <x:c r="H118" s="47"/>
      <x:c r="I118" s="47"/>
      <x:c r="J118" s="47"/>
      <x:c r="K118" s="47"/>
      <x:c r="L118" s="47"/>
      <x:c r="M118" s="47"/>
      <x:c r="N118" s="47"/>
      <x:c r="O118" s="47"/>
      <x:c r="P118" s="47"/>
      <x:c r="Q118" s="47"/>
      <x:c r="R118" s="47"/>
      <x:c r="S118" s="47"/>
      <x:c r="T118" s="47"/>
      <x:c r="U118" s="47"/>
      <x:c r="V118" s="47"/>
      <x:c r="W118" s="47"/>
      <x:c r="X118" s="47"/>
      <x:c r="Y118" s="47"/>
      <x:c r="Z118" s="47"/>
    </x:row>
    <x:row r="119">
      <x:c r="A119" s="676" t="str">
        <x:v>SRC-115</x:v>
      </x:c>
      <x:c r="B119" s="677" t="str">
        <x:v>Docker Engine API Events</x:v>
      </x:c>
      <x:c r="C119" s="677" t="str">
        <x:v>Official documentation</x:v>
      </x:c>
      <x:c r="D119" s="677" t="str">
        <x:v>Docker daemon/container/image/volume/network events.</x:v>
      </x:c>
      <x:c r="E119" s="677" t="str">
        <x:v>https://docs.docker.com/reference/api/engine/version/v1.50/</x:v>
      </x:c>
      <x:c r="F119" s="677" t="str">
        <x:v>Medium</x:v>
      </x:c>
      <x:c r="G119" s="678" t="str">
        <x:v>Stage 6 Docker adapter.</x:v>
      </x:c>
      <x:c r="H119" s="47"/>
      <x:c r="I119" s="47"/>
      <x:c r="J119" s="47"/>
      <x:c r="K119" s="47"/>
      <x:c r="L119" s="47"/>
      <x:c r="M119" s="47"/>
      <x:c r="N119" s="47"/>
      <x:c r="O119" s="47"/>
      <x:c r="P119" s="47"/>
      <x:c r="Q119" s="47"/>
      <x:c r="R119" s="47"/>
      <x:c r="S119" s="47"/>
      <x:c r="T119" s="47"/>
      <x:c r="U119" s="47"/>
      <x:c r="V119" s="47"/>
      <x:c r="W119" s="47"/>
      <x:c r="X119" s="47"/>
      <x:c r="Y119" s="47"/>
      <x:c r="Z119" s="47"/>
    </x:row>
    <x:row r="120">
      <x:c r="A120" s="786" t="str">
        <x:v>SRC-116</x:v>
      </x:c>
      <x:c r="B120" s="787" t="str">
        <x:v>SFIA 9</x:v>
      </x:c>
      <x:c r="C120" s="787" t="str">
        <x:v>Skills framework</x:v>
      </x:c>
      <x:c r="D120" s="787" t="str">
        <x:v>Seven responsibility levels and professional skills framework.</x:v>
      </x:c>
      <x:c r="E120" s="787" t="str">
        <x:v>https://sfia-online.org/en/sfia-9</x:v>
      </x:c>
      <x:c r="F120" s="787" t="str">
        <x:v>High</x:v>
      </x:c>
      <x:c r="G120" s="788" t="str">
        <x:v>Stage 8 capability mapping.</x:v>
      </x:c>
      <x:c r="H120" s="47"/>
      <x:c r="I120" s="47"/>
      <x:c r="J120" s="47"/>
      <x:c r="K120" s="47"/>
      <x:c r="L120" s="47"/>
      <x:c r="M120" s="47"/>
      <x:c r="N120" s="47"/>
      <x:c r="O120" s="47"/>
      <x:c r="P120" s="47"/>
      <x:c r="Q120" s="47"/>
      <x:c r="R120" s="47"/>
      <x:c r="S120" s="47"/>
      <x:c r="T120" s="47"/>
      <x:c r="U120" s="47"/>
      <x:c r="V120" s="47"/>
      <x:c r="W120" s="47"/>
      <x:c r="X120" s="47"/>
      <x:c r="Y120" s="47"/>
      <x:c r="Z120" s="47"/>
    </x:row>
    <x:row r="121">
      <x:c r="A121" s="800" t="str">
        <x:v>SRC-117</x:v>
      </x:c>
      <x:c r="B121" s="801" t="str">
        <x:v>NICE Framework Components v2.2.0</x:v>
      </x:c>
      <x:c r="C121" s="801" t="str">
        <x:v>Official framework</x:v>
      </x:c>
      <x:c r="D121" s="801" t="str">
        <x:v>Current work roles, competency areas and task/knowledge/skill statements.</x:v>
      </x:c>
      <x:c r="E121" s="801" t="str">
        <x:v>https://www.nist.gov/news-events/news/2026/04/nice-releases-nice-framework-components-v220</x:v>
      </x:c>
      <x:c r="F121" s="801" t="str">
        <x:v>High</x:v>
      </x:c>
      <x:c r="G121" s="802" t="str">
        <x:v>Stage 8 technical/cyber mapping.</x:v>
      </x:c>
      <x:c r="H121" s="47"/>
      <x:c r="I121" s="47"/>
      <x:c r="J121" s="47"/>
      <x:c r="K121" s="47"/>
      <x:c r="L121" s="47"/>
      <x:c r="M121" s="47"/>
      <x:c r="N121" s="47"/>
      <x:c r="O121" s="47"/>
      <x:c r="P121" s="47"/>
      <x:c r="Q121" s="47"/>
      <x:c r="R121" s="47"/>
      <x:c r="S121" s="47"/>
      <x:c r="T121" s="47"/>
      <x:c r="U121" s="47"/>
      <x:c r="V121" s="47"/>
      <x:c r="W121" s="47"/>
      <x:c r="X121" s="47"/>
      <x:c r="Y121" s="47"/>
      <x:c r="Z121" s="47"/>
    </x:row>
    <x:row r="122">
      <x:c r="A122" s="789" t="str">
        <x:v>SRC-118</x:v>
      </x:c>
      <x:c r="B122" s="200" t="str">
        <x:v>ESCO v1.2.1</x:v>
      </x:c>
      <x:c r="C122" s="200" t="str">
        <x:v>EU skills taxonomy</x:v>
      </x:c>
      <x:c r="D122" s="200" t="str">
        <x:v>Current multilingual occupations and skills classification.</x:v>
      </x:c>
      <x:c r="E122" s="200" t="str">
        <x:v>https://esco.ec.europa.eu/en/about-esco/escopedia/escopedia/esco-v121</x:v>
      </x:c>
      <x:c r="F122" s="200" t="str">
        <x:v>High</x:v>
      </x:c>
      <x:c r="G122" s="790" t="str">
        <x:v>Stage 8 cross-vertical mapping.</x:v>
      </x:c>
      <x:c r="H122" s="47"/>
      <x:c r="I122" s="47"/>
      <x:c r="J122" s="47"/>
      <x:c r="K122" s="47"/>
      <x:c r="L122" s="47"/>
      <x:c r="M122" s="47"/>
      <x:c r="N122" s="47"/>
      <x:c r="O122" s="47"/>
      <x:c r="P122" s="47"/>
      <x:c r="Q122" s="47"/>
      <x:c r="R122" s="47"/>
      <x:c r="S122" s="47"/>
      <x:c r="T122" s="47"/>
      <x:c r="U122" s="47"/>
      <x:c r="V122" s="47"/>
      <x:c r="W122" s="47"/>
      <x:c r="X122" s="47"/>
      <x:c r="Y122" s="47"/>
      <x:c r="Z122" s="47"/>
    </x:row>
    <x:row r="123">
      <x:c r="A123" s="800" t="str">
        <x:v>SRC-119</x:v>
      </x:c>
      <x:c r="B123" s="801" t="str">
        <x:v>O*NET Database 30.3</x:v>
      </x:c>
      <x:c r="C123" s="801" t="str">
        <x:v>Occupational database</x:v>
      </x:c>
      <x:c r="D123" s="801" t="str">
        <x:v>Current occupation, task, skill and work-context database release.</x:v>
      </x:c>
      <x:c r="E123" s="801" t="str">
        <x:v>https://www.onetcenter.org/db_releases.html</x:v>
      </x:c>
      <x:c r="F123" s="801" t="str">
        <x:v>High</x:v>
      </x:c>
      <x:c r="G123" s="802" t="str">
        <x:v>Stage 8 cross-vertical reference.</x:v>
      </x:c>
      <x:c r="H123" s="47"/>
      <x:c r="I123" s="47"/>
      <x:c r="J123" s="47"/>
      <x:c r="K123" s="47"/>
      <x:c r="L123" s="47"/>
      <x:c r="M123" s="47"/>
      <x:c r="N123" s="47"/>
      <x:c r="O123" s="47"/>
      <x:c r="P123" s="47"/>
      <x:c r="Q123" s="47"/>
      <x:c r="R123" s="47"/>
      <x:c r="S123" s="47"/>
      <x:c r="T123" s="47"/>
      <x:c r="U123" s="47"/>
      <x:c r="V123" s="47"/>
      <x:c r="W123" s="47"/>
      <x:c r="X123" s="47"/>
      <x:c r="Y123" s="47"/>
      <x:c r="Z123" s="47"/>
    </x:row>
    <x:row r="124">
      <x:c r="A124" s="789" t="str">
        <x:v>SRC-120</x:v>
      </x:c>
      <x:c r="B124" s="200" t="str">
        <x:v>ADL xAPI Specification</x:v>
      </x:c>
      <x:c r="C124" s="200" t="str">
        <x:v>Learning standard</x:v>
      </x:c>
      <x:c r="D124" s="200" t="str">
        <x:v>xAPI 2.0 learning-activity interoperability.</x:v>
      </x:c>
      <x:c r="E124" s="200" t="str">
        <x:v>https://github.com/adlnet/xAPI-Spec</x:v>
      </x:c>
      <x:c r="F124" s="200" t="str">
        <x:v>High</x:v>
      </x:c>
      <x:c r="G124" s="790" t="str">
        <x:v>Stage 9 optional learning-event mapping.</x:v>
      </x:c>
      <x:c r="H124" s="47"/>
      <x:c r="I124" s="47"/>
      <x:c r="J124" s="47"/>
      <x:c r="K124" s="47"/>
      <x:c r="L124" s="47"/>
      <x:c r="M124" s="47"/>
      <x:c r="N124" s="47"/>
      <x:c r="O124" s="47"/>
      <x:c r="P124" s="47"/>
      <x:c r="Q124" s="47"/>
      <x:c r="R124" s="47"/>
      <x:c r="S124" s="47"/>
      <x:c r="T124" s="47"/>
      <x:c r="U124" s="47"/>
      <x:c r="V124" s="47"/>
      <x:c r="W124" s="47"/>
      <x:c r="X124" s="47"/>
      <x:c r="Y124" s="47"/>
      <x:c r="Z124" s="47"/>
    </x:row>
    <x:row r="125">
      <x:c r="A125" s="800" t="str">
        <x:v>SRC-121</x:v>
      </x:c>
      <x:c r="B125" s="801" t="str">
        <x:v>2025 ICF Core Competencies</x:v>
      </x:c>
      <x:c r="C125" s="801" t="str">
        <x:v>Coaching standard</x:v>
      </x:c>
      <x:c r="D125" s="801" t="str">
        <x:v>Ethical coaching, trust, communication and cultivating growth.</x:v>
      </x:c>
      <x:c r="E125" s="801" t="str">
        <x:v>https://coachingfederation.org/credentialing/coaching-competencies/icf-core-competencies/</x:v>
      </x:c>
      <x:c r="F125" s="801" t="str">
        <x:v>High</x:v>
      </x:c>
      <x:c r="G125" s="802" t="str">
        <x:v>Stage 9 coaching-quality reference.</x:v>
      </x:c>
      <x:c r="H125" s="47"/>
      <x:c r="I125" s="47"/>
      <x:c r="J125" s="47"/>
      <x:c r="K125" s="47"/>
      <x:c r="L125" s="47"/>
      <x:c r="M125" s="47"/>
      <x:c r="N125" s="47"/>
      <x:c r="O125" s="47"/>
      <x:c r="P125" s="47"/>
      <x:c r="Q125" s="47"/>
      <x:c r="R125" s="47"/>
      <x:c r="S125" s="47"/>
      <x:c r="T125" s="47"/>
      <x:c r="U125" s="47"/>
      <x:c r="V125" s="47"/>
      <x:c r="W125" s="47"/>
      <x:c r="X125" s="47"/>
      <x:c r="Y125" s="47"/>
      <x:c r="Z125" s="47"/>
    </x:row>
    <x:row r="126">
      <x:c r="A126" s="789" t="str">
        <x:v>SRC-122</x:v>
      </x:c>
      <x:c r="B126" s="200" t="str">
        <x:v>ICF Code of Ethics 2025</x:v>
      </x:c>
      <x:c r="C126" s="200" t="str">
        <x:v>Coaching ethics</x:v>
      </x:c>
      <x:c r="D126" s="200" t="str">
        <x:v>Confidentiality, ethical agreements and professional conduct.</x:v>
      </x:c>
      <x:c r="E126" s="200" t="str">
        <x:v>https://coachingfederation.org/credentialing/coaching-ethics/icf-code-of-ethics/</x:v>
      </x:c>
      <x:c r="F126" s="200" t="str">
        <x:v>Critical</x:v>
      </x:c>
      <x:c r="G126" s="790" t="str">
        <x:v>Stage 9 private-first and information-sharing boundary.</x:v>
      </x:c>
      <x:c r="H126" s="47"/>
      <x:c r="I126" s="47"/>
      <x:c r="J126" s="47"/>
      <x:c r="K126" s="47"/>
      <x:c r="L126" s="47"/>
      <x:c r="M126" s="47"/>
      <x:c r="N126" s="47"/>
      <x:c r="O126" s="47"/>
      <x:c r="P126" s="47"/>
      <x:c r="Q126" s="47"/>
      <x:c r="R126" s="47"/>
      <x:c r="S126" s="47"/>
      <x:c r="T126" s="47"/>
      <x:c r="U126" s="47"/>
      <x:c r="V126" s="47"/>
      <x:c r="W126" s="47"/>
      <x:c r="X126" s="47"/>
      <x:c r="Y126" s="47"/>
      <x:c r="Z126" s="47"/>
    </x:row>
    <x:row r="127">
      <x:c r="A127" s="800" t="str">
        <x:v>SRC-123</x:v>
      </x:c>
      <x:c r="B127" s="801" t="str">
        <x:v>CIPD Coaching and Mentoring Factsheet</x:v>
      </x:c>
      <x:c r="C127" s="801" t="str">
        <x:v>HR/L&amp;D guidance</x:v>
      </x:c>
      <x:c r="D127" s="801" t="str">
        <x:v>Evidence-based workplace coaching and mentoring linked to development strategy.</x:v>
      </x:c>
      <x:c r="E127" s="801" t="str">
        <x:v>https://www.cipd.org/en/knowledge/factsheets/coaching-mentoring-factsheet/</x:v>
      </x:c>
      <x:c r="F127" s="801" t="str">
        <x:v>High</x:v>
      </x:c>
      <x:c r="G127" s="802" t="str">
        <x:v>Stage 9 workplace L&amp;D design.</x:v>
      </x:c>
      <x:c r="H127" s="47"/>
      <x:c r="I127" s="47"/>
      <x:c r="J127" s="47"/>
      <x:c r="K127" s="47"/>
      <x:c r="L127" s="47"/>
      <x:c r="M127" s="47"/>
      <x:c r="N127" s="47"/>
      <x:c r="O127" s="47"/>
      <x:c r="P127" s="47"/>
      <x:c r="Q127" s="47"/>
      <x:c r="R127" s="47"/>
      <x:c r="S127" s="47"/>
      <x:c r="T127" s="47"/>
      <x:c r="U127" s="47"/>
      <x:c r="V127" s="47"/>
      <x:c r="W127" s="47"/>
      <x:c r="X127" s="47"/>
      <x:c r="Y127" s="47"/>
      <x:c r="Z127" s="47"/>
    </x:row>
    <x:row r="128">
      <x:c r="A128" s="789" t="str">
        <x:v>SRC-124</x:v>
      </x:c>
      <x:c r="B128" s="200" t="str">
        <x:v>NIST AI Resource Center</x:v>
      </x:c>
      <x:c r="C128" s="200" t="str">
        <x:v>AI TEVV resource</x:v>
      </x:c>
      <x:c r="D128" s="200" t="str">
        <x:v>Testing, evaluation, verification and validation for AI systems.</x:v>
      </x:c>
      <x:c r="E128" s="200" t="str">
        <x:v>https://airc.nist.gov/</x:v>
      </x:c>
      <x:c r="F128" s="200" t="str">
        <x:v>High</x:v>
      </x:c>
      <x:c r="G128" s="790" t="str">
        <x:v>Stage 8/9 evaluation and calibration.</x:v>
      </x:c>
      <x:c r="H128" s="47"/>
      <x:c r="I128" s="47"/>
      <x:c r="J128" s="47"/>
      <x:c r="K128" s="47"/>
      <x:c r="L128" s="47"/>
      <x:c r="M128" s="47"/>
      <x:c r="N128" s="47"/>
      <x:c r="O128" s="47"/>
      <x:c r="P128" s="47"/>
      <x:c r="Q128" s="47"/>
      <x:c r="R128" s="47"/>
      <x:c r="S128" s="47"/>
      <x:c r="T128" s="47"/>
      <x:c r="U128" s="47"/>
      <x:c r="V128" s="47"/>
      <x:c r="W128" s="47"/>
      <x:c r="X128" s="47"/>
      <x:c r="Y128" s="47"/>
      <x:c r="Z128" s="47"/>
    </x:row>
    <x:row r="129">
      <x:c r="A129" s="803" t="str">
        <x:v>SRC-125</x:v>
      </x:c>
      <x:c r="B129" s="804" t="str">
        <x:v>ICO Human Review Guidance</x:v>
      </x:c>
      <x:c r="C129" s="804" t="str">
        <x:v>Regulator guidance</x:v>
      </x:c>
      <x:c r="D129" s="804" t="str">
        <x:v>Meaningful human review authority, competence and independence.</x:v>
      </x:c>
      <x:c r="E129" s="804" t="str">
        <x:v>https://ico.org.uk/for-organisations/advice-and-services/audits/data-protection-audit-framework/toolkits/artificial-intelligence/human-review/</x:v>
      </x:c>
      <x:c r="F129" s="804" t="str">
        <x:v>Critical</x:v>
      </x:c>
      <x:c r="G129" s="805" t="str">
        <x:v>Stage 8 high-impact review.</x:v>
      </x:c>
      <x:c r="H129" s="47"/>
      <x:c r="I129" s="47"/>
      <x:c r="J129" s="47"/>
      <x:c r="K129" s="47"/>
      <x:c r="L129" s="47"/>
      <x:c r="M129" s="47"/>
      <x:c r="N129" s="47"/>
      <x:c r="O129" s="47"/>
      <x:c r="P129" s="47"/>
      <x:c r="Q129" s="47"/>
      <x:c r="R129" s="47"/>
      <x:c r="S129" s="47"/>
      <x:c r="T129" s="47"/>
      <x:c r="U129" s="47"/>
      <x:c r="V129" s="47"/>
      <x:c r="W129" s="47"/>
      <x:c r="X129" s="47"/>
      <x:c r="Y129" s="47"/>
      <x:c r="Z129" s="47"/>
    </x:row>
    <x:row r="130">
      <x:c r="A130" s="904" t="str">
        <x:v>SRC-126</x:v>
      </x:c>
      <x:c r="B130" s="905" t="str">
        <x:v>W3C WCAG 2.2</x:v>
      </x:c>
      <x:c r="C130" s="905" t="str">
        <x:v>Accessibility standard</x:v>
      </x:c>
      <x:c r="D130" s="905" t="str">
        <x:v>Current WCAG 2.2 conformance and success criteria.</x:v>
      </x:c>
      <x:c r="E130" s="905" t="str">
        <x:v>https://www.w3.org/TR/WCAG22/</x:v>
      </x:c>
      <x:c r="F130" s="905" t="str">
        <x:v>Critical</x:v>
      </x:c>
      <x:c r="G130" s="906" t="str">
        <x:v>Stage 10 accessibility target.</x:v>
      </x:c>
      <x:c r="H130" s="47"/>
      <x:c r="I130" s="47"/>
      <x:c r="J130" s="47"/>
      <x:c r="K130" s="47"/>
      <x:c r="L130" s="47"/>
      <x:c r="M130" s="47"/>
      <x:c r="N130" s="47"/>
      <x:c r="O130" s="47"/>
      <x:c r="P130" s="47"/>
      <x:c r="Q130" s="47"/>
      <x:c r="R130" s="47"/>
      <x:c r="S130" s="47"/>
      <x:c r="T130" s="47"/>
      <x:c r="U130" s="47"/>
      <x:c r="V130" s="47"/>
      <x:c r="W130" s="47"/>
      <x:c r="X130" s="47"/>
      <x:c r="Y130" s="47"/>
      <x:c r="Z130" s="47"/>
    </x:row>
    <x:row r="131">
      <x:c r="A131" s="913" t="str">
        <x:v>SRC-127</x:v>
      </x:c>
      <x:c r="B131" s="914" t="str">
        <x:v>WAI ARIA Authoring Practices</x:v>
      </x:c>
      <x:c r="C131" s="914" t="str">
        <x:v>Accessibility guidance</x:v>
      </x:c>
      <x:c r="D131" s="914" t="str">
        <x:v>Accessible widgets, keyboard, roles, states and focus.</x:v>
      </x:c>
      <x:c r="E131" s="914" t="str">
        <x:v>https://www.w3.org/WAI/ARIA/apg/</x:v>
      </x:c>
      <x:c r="F131" s="914" t="str">
        <x:v>Critical</x:v>
      </x:c>
      <x:c r="G131" s="915" t="str">
        <x:v>Stage 10 component/journey design.</x:v>
      </x:c>
      <x:c r="H131" s="47"/>
      <x:c r="I131" s="47"/>
      <x:c r="J131" s="47"/>
      <x:c r="K131" s="47"/>
      <x:c r="L131" s="47"/>
      <x:c r="M131" s="47"/>
      <x:c r="N131" s="47"/>
      <x:c r="O131" s="47"/>
      <x:c r="P131" s="47"/>
      <x:c r="Q131" s="47"/>
      <x:c r="R131" s="47"/>
      <x:c r="S131" s="47"/>
      <x:c r="T131" s="47"/>
      <x:c r="U131" s="47"/>
      <x:c r="V131" s="47"/>
      <x:c r="W131" s="47"/>
      <x:c r="X131" s="47"/>
      <x:c r="Y131" s="47"/>
      <x:c r="Z131" s="47"/>
    </x:row>
    <x:row r="132">
      <x:c r="A132" s="907" t="str">
        <x:v>SRC-128</x:v>
      </x:c>
      <x:c r="B132" s="200" t="str">
        <x:v>ICO Monitoring Workers</x:v>
      </x:c>
      <x:c r="C132" s="200" t="str">
        <x:v>Regulator guidance</x:v>
      </x:c>
      <x:c r="D132" s="200" t="str">
        <x:v>Transparency, necessity, worker challenge and accuracy.</x:v>
      </x:c>
      <x:c r="E132" s="200" t="str">
        <x:v>https://ico.org.uk/for-organisations/uk-gdpr-guidance-and-resources/employment/monitoring-workers/data-protection-and-monitoring-workers/</x:v>
      </x:c>
      <x:c r="F132" s="200" t="str">
        <x:v>Critical</x:v>
      </x:c>
      <x:c r="G132" s="908" t="str">
        <x:v>Stage 10 audience/privacy controls.</x:v>
      </x:c>
      <x:c r="H132" s="47"/>
      <x:c r="I132" s="47"/>
      <x:c r="J132" s="47"/>
      <x:c r="K132" s="47"/>
      <x:c r="L132" s="47"/>
      <x:c r="M132" s="47"/>
      <x:c r="N132" s="47"/>
      <x:c r="O132" s="47"/>
      <x:c r="P132" s="47"/>
      <x:c r="Q132" s="47"/>
      <x:c r="R132" s="47"/>
      <x:c r="S132" s="47"/>
      <x:c r="T132" s="47"/>
      <x:c r="U132" s="47"/>
      <x:c r="V132" s="47"/>
      <x:c r="W132" s="47"/>
      <x:c r="X132" s="47"/>
      <x:c r="Y132" s="47"/>
      <x:c r="Z132" s="47"/>
    </x:row>
    <x:row r="133">
      <x:c r="A133" s="913" t="str">
        <x:v>SRC-129</x:v>
      </x:c>
      <x:c r="B133" s="914" t="str">
        <x:v>GitHub Agent Skills</x:v>
      </x:c>
      <x:c r="C133" s="914" t="str">
        <x:v>Official documentation</x:v>
      </x:c>
      <x:c r="D133" s="914" t="str">
        <x:v>Reusable agent skills with instructions/scripts/resources.</x:v>
      </x:c>
      <x:c r="E133" s="914" t="str">
        <x:v>https://docs.github.com/en/copilot/concepts/agents/about-agent-skills</x:v>
      </x:c>
      <x:c r="F133" s="914" t="str">
        <x:v>High</x:v>
      </x:c>
      <x:c r="G133" s="915" t="str">
        <x:v>Stage 11 skill-package reference.</x:v>
      </x:c>
      <x:c r="H133" s="47"/>
      <x:c r="I133" s="47"/>
      <x:c r="J133" s="47"/>
      <x:c r="K133" s="47"/>
      <x:c r="L133" s="47"/>
      <x:c r="M133" s="47"/>
      <x:c r="N133" s="47"/>
      <x:c r="O133" s="47"/>
      <x:c r="P133" s="47"/>
      <x:c r="Q133" s="47"/>
      <x:c r="R133" s="47"/>
      <x:c r="S133" s="47"/>
      <x:c r="T133" s="47"/>
      <x:c r="U133" s="47"/>
      <x:c r="V133" s="47"/>
      <x:c r="W133" s="47"/>
      <x:c r="X133" s="47"/>
      <x:c r="Y133" s="47"/>
      <x:c r="Z133" s="47"/>
    </x:row>
    <x:row r="134">
      <x:c r="A134" s="907" t="str">
        <x:v>SRC-130</x:v>
      </x:c>
      <x:c r="B134" s="200" t="str">
        <x:v>SLSA v1.2</x:v>
      </x:c>
      <x:c r="C134" s="200" t="str">
        <x:v>Supply-chain standard</x:v>
      </x:c>
      <x:c r="D134" s="200" t="str">
        <x:v>Build/source provenance and assurance levels.</x:v>
      </x:c>
      <x:c r="E134" s="200" t="str">
        <x:v>https://slsa.dev/spec/v1.2/</x:v>
      </x:c>
      <x:c r="F134" s="200" t="str">
        <x:v>Critical</x:v>
      </x:c>
      <x:c r="G134" s="908" t="str">
        <x:v>Stage 11 provenance.</x:v>
      </x:c>
      <x:c r="H134" s="47"/>
      <x:c r="I134" s="47"/>
      <x:c r="J134" s="47"/>
      <x:c r="K134" s="47"/>
      <x:c r="L134" s="47"/>
      <x:c r="M134" s="47"/>
      <x:c r="N134" s="47"/>
      <x:c r="O134" s="47"/>
      <x:c r="P134" s="47"/>
      <x:c r="Q134" s="47"/>
      <x:c r="R134" s="47"/>
      <x:c r="S134" s="47"/>
      <x:c r="T134" s="47"/>
      <x:c r="U134" s="47"/>
      <x:c r="V134" s="47"/>
      <x:c r="W134" s="47"/>
      <x:c r="X134" s="47"/>
      <x:c r="Y134" s="47"/>
      <x:c r="Z134" s="47"/>
    </x:row>
    <x:row r="135">
      <x:c r="A135" s="913" t="str">
        <x:v>SRC-131</x:v>
      </x:c>
      <x:c r="B135" s="914" t="str">
        <x:v>Sigstore</x:v>
      </x:c>
      <x:c r="C135" s="914" t="str">
        <x:v>Supply-chain signing</x:v>
      </x:c>
      <x:c r="D135" s="914" t="str">
        <x:v>Artifact signing and identity/digest verification.</x:v>
      </x:c>
      <x:c r="E135" s="914" t="str">
        <x:v>https://docs.sigstore.dev/</x:v>
      </x:c>
      <x:c r="F135" s="914" t="str">
        <x:v>Critical</x:v>
      </x:c>
      <x:c r="G135" s="915" t="str">
        <x:v>Stage 11 signed packages.</x:v>
      </x:c>
      <x:c r="H135" s="47"/>
      <x:c r="I135" s="47"/>
      <x:c r="J135" s="47"/>
      <x:c r="K135" s="47"/>
      <x:c r="L135" s="47"/>
      <x:c r="M135" s="47"/>
      <x:c r="N135" s="47"/>
      <x:c r="O135" s="47"/>
      <x:c r="P135" s="47"/>
      <x:c r="Q135" s="47"/>
      <x:c r="R135" s="47"/>
      <x:c r="S135" s="47"/>
      <x:c r="T135" s="47"/>
      <x:c r="U135" s="47"/>
      <x:c r="V135" s="47"/>
      <x:c r="W135" s="47"/>
      <x:c r="X135" s="47"/>
      <x:c r="Y135" s="47"/>
      <x:c r="Z135" s="47"/>
    </x:row>
    <x:row r="136">
      <x:c r="A136" s="907" t="str">
        <x:v>SRC-132</x:v>
      </x:c>
      <x:c r="B136" s="200" t="str">
        <x:v>SPDX 3.0 Specifications</x:v>
      </x:c>
      <x:c r="C136" s="200" t="str">
        <x:v>SBOM/licence standard</x:v>
      </x:c>
      <x:c r="D136" s="200" t="str">
        <x:v>Current SPDX specification family.</x:v>
      </x:c>
      <x:c r="E136" s="200" t="str">
        <x:v>https://spdx.dev/use/specifications/</x:v>
      </x:c>
      <x:c r="F136" s="200" t="str">
        <x:v>High</x:v>
      </x:c>
      <x:c r="G136" s="908" t="str">
        <x:v>Stage 11 BOM/licence data.</x:v>
      </x:c>
      <x:c r="H136" s="47"/>
      <x:c r="I136" s="47"/>
      <x:c r="J136" s="47"/>
      <x:c r="K136" s="47"/>
      <x:c r="L136" s="47"/>
      <x:c r="M136" s="47"/>
      <x:c r="N136" s="47"/>
      <x:c r="O136" s="47"/>
      <x:c r="P136" s="47"/>
      <x:c r="Q136" s="47"/>
      <x:c r="R136" s="47"/>
      <x:c r="S136" s="47"/>
      <x:c r="T136" s="47"/>
      <x:c r="U136" s="47"/>
      <x:c r="V136" s="47"/>
      <x:c r="W136" s="47"/>
      <x:c r="X136" s="47"/>
      <x:c r="Y136" s="47"/>
      <x:c r="Z136" s="47"/>
    </x:row>
    <x:row r="137">
      <x:c r="A137" s="913" t="str">
        <x:v>SRC-133</x:v>
      </x:c>
      <x:c r="B137" s="914" t="str">
        <x:v>CycloneDX 1.7</x:v>
      </x:c>
      <x:c r="C137" s="914" t="str">
        <x:v>BOM standard</x:v>
      </x:c>
      <x:c r="D137" s="914" t="str">
        <x:v>Current CycloneDX BOM model.</x:v>
      </x:c>
      <x:c r="E137" s="914" t="str">
        <x:v>https://cyclonedx.org/specification/overview/</x:v>
      </x:c>
      <x:c r="F137" s="914" t="str">
        <x:v>High</x:v>
      </x:c>
      <x:c r="G137" s="915" t="str">
        <x:v>Stage 11 BOM/security data.</x:v>
      </x:c>
      <x:c r="H137" s="47"/>
      <x:c r="I137" s="47"/>
      <x:c r="J137" s="47"/>
      <x:c r="K137" s="47"/>
      <x:c r="L137" s="47"/>
      <x:c r="M137" s="47"/>
      <x:c r="N137" s="47"/>
      <x:c r="O137" s="47"/>
      <x:c r="P137" s="47"/>
      <x:c r="Q137" s="47"/>
      <x:c r="R137" s="47"/>
      <x:c r="S137" s="47"/>
      <x:c r="T137" s="47"/>
      <x:c r="U137" s="47"/>
      <x:c r="V137" s="47"/>
      <x:c r="W137" s="47"/>
      <x:c r="X137" s="47"/>
      <x:c r="Y137" s="47"/>
      <x:c r="Z137" s="47"/>
    </x:row>
    <x:row r="138">
      <x:c r="A138" s="907" t="str">
        <x:v>SRC-134</x:v>
      </x:c>
      <x:c r="B138" s="200" t="str">
        <x:v>OCI Image/Distribution 1.1</x:v>
      </x:c>
      <x:c r="C138" s="200" t="str">
        <x:v>Artifact standard</x:v>
      </x:c>
      <x:c r="D138" s="200" t="str">
        <x:v>OCI artifact types, referrers and distribution.</x:v>
      </x:c>
      <x:c r="E138" s="200" t="str">
        <x:v>https://opencontainers.org/posts/blog/2024-03-13-image-and-distribution-1-1/</x:v>
      </x:c>
      <x:c r="F138" s="200" t="str">
        <x:v>High</x:v>
      </x:c>
      <x:c r="G138" s="908" t="str">
        <x:v>Stage 11 package store.</x:v>
      </x:c>
      <x:c r="H138" s="47"/>
      <x:c r="I138" s="47"/>
      <x:c r="J138" s="47"/>
      <x:c r="K138" s="47"/>
      <x:c r="L138" s="47"/>
      <x:c r="M138" s="47"/>
      <x:c r="N138" s="47"/>
      <x:c r="O138" s="47"/>
      <x:c r="P138" s="47"/>
      <x:c r="Q138" s="47"/>
      <x:c r="R138" s="47"/>
      <x:c r="S138" s="47"/>
      <x:c r="T138" s="47"/>
      <x:c r="U138" s="47"/>
      <x:c r="V138" s="47"/>
      <x:c r="W138" s="47"/>
      <x:c r="X138" s="47"/>
      <x:c r="Y138" s="47"/>
      <x:c r="Z138" s="47"/>
    </x:row>
    <x:row r="139">
      <x:c r="A139" s="913" t="str">
        <x:v>SRC-135</x:v>
      </x:c>
      <x:c r="B139" s="914" t="str">
        <x:v>OpenFeature Evaluation Context</x:v>
      </x:c>
      <x:c r="C139" s="914" t="str">
        <x:v>Feature flag standard</x:v>
      </x:c>
      <x:c r="D139" s="914" t="str">
        <x:v>Provider-neutral, privacy-aware evaluation context.</x:v>
      </x:c>
      <x:c r="E139" s="914" t="str">
        <x:v>https://openfeature.dev/specification/sections/evaluation-context/</x:v>
      </x:c>
      <x:c r="F139" s="914" t="str">
        <x:v>High</x:v>
      </x:c>
      <x:c r="G139" s="915" t="str">
        <x:v>Stage 11 canary targeting.</x:v>
      </x:c>
      <x:c r="H139" s="47"/>
      <x:c r="I139" s="47"/>
      <x:c r="J139" s="47"/>
      <x:c r="K139" s="47"/>
      <x:c r="L139" s="47"/>
      <x:c r="M139" s="47"/>
      <x:c r="N139" s="47"/>
      <x:c r="O139" s="47"/>
      <x:c r="P139" s="47"/>
      <x:c r="Q139" s="47"/>
      <x:c r="R139" s="47"/>
      <x:c r="S139" s="47"/>
      <x:c r="T139" s="47"/>
      <x:c r="U139" s="47"/>
      <x:c r="V139" s="47"/>
      <x:c r="W139" s="47"/>
      <x:c r="X139" s="47"/>
      <x:c r="Y139" s="47"/>
      <x:c r="Z139" s="47"/>
    </x:row>
    <x:row r="140">
      <x:c r="A140" s="907" t="str">
        <x:v>SRC-136</x:v>
      </x:c>
      <x:c r="B140" s="200" t="str">
        <x:v>Argo Rollouts</x:v>
      </x:c>
      <x:c r="C140" s="200" t="str">
        <x:v>Progressive delivery</x:v>
      </x:c>
      <x:c r="D140" s="200" t="str">
        <x:v>Canary/blue-green analysis, pause and promotion patterns.</x:v>
      </x:c>
      <x:c r="E140" s="200" t="str">
        <x:v>https://argo-rollouts.readthedocs.io/en/stable/</x:v>
      </x:c>
      <x:c r="F140" s="200" t="str">
        <x:v>Medium</x:v>
      </x:c>
      <x:c r="G140" s="908" t="str">
        <x:v>Optional platform reference.</x:v>
      </x:c>
      <x:c r="H140" s="47"/>
      <x:c r="I140" s="47"/>
      <x:c r="J140" s="47"/>
      <x:c r="K140" s="47"/>
      <x:c r="L140" s="47"/>
      <x:c r="M140" s="47"/>
      <x:c r="N140" s="47"/>
      <x:c r="O140" s="47"/>
      <x:c r="P140" s="47"/>
      <x:c r="Q140" s="47"/>
      <x:c r="R140" s="47"/>
      <x:c r="S140" s="47"/>
      <x:c r="T140" s="47"/>
      <x:c r="U140" s="47"/>
      <x:c r="V140" s="47"/>
      <x:c r="W140" s="47"/>
      <x:c r="X140" s="47"/>
      <x:c r="Y140" s="47"/>
      <x:c r="Z140" s="47"/>
    </x:row>
    <x:row r="141">
      <x:c r="A141" s="916" t="str">
        <x:v>SRC-137</x:v>
      </x:c>
      <x:c r="B141" s="917" t="str">
        <x:v>OpenTelemetry Sensitive Data</x:v>
      </x:c>
      <x:c r="C141" s="917" t="str">
        <x:v>Observability guidance</x:v>
      </x:c>
      <x:c r="D141" s="917" t="str">
        <x:v>Sensitive telemetry minimisation and redaction.</x:v>
      </x:c>
      <x:c r="E141" s="917" t="str">
        <x:v>https://opentelemetry.io/docs/security/handling-sensitive-data/</x:v>
      </x:c>
      <x:c r="F141" s="917" t="str">
        <x:v>Critical</x:v>
      </x:c>
      <x:c r="G141" s="918" t="str">
        <x:v>Stage 10/11 telemetry controls.</x:v>
      </x:c>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G1"/>
    <x:mergeCell ref="A2:G2"/>
  </x:mergeCells>
  <x:dataValidations count="1">
    <x:dataValidation type="list" sqref="F5:F86">
      <x:formula1>"Critical,High,Medium,Low"</x:formula1>
    </x:dataValidation>
  </x:dataValidations>
  <x:pageMargins left="0.7" right="0.7" top="0.75" bottom="0.75" header="0.3" footer="0.3"/>
  <x:tableParts count="1">
    <x:tablePart xmlns:r="http://schemas.openxmlformats.org/officeDocument/2006/relationships" r:id="R1bee3049699e49f8"/>
  </x:tableParts>
</x:worksheet>
</file>

<file path=xl/worksheets/sheet15.xml><?xml version="1.0" encoding="utf-8"?>
<x:worksheet xmlns:x="http://schemas.openxmlformats.org/spreadsheetml/2006/main">
  <x:sheetFormatPr defaultRowHeight="15"/>
  <x:cols>
    <x:col min="1" max="1" width="22" hidden="0" customWidth="1"/>
    <x:col min="2" max="2" width="78" hidden="0" customWidth="1"/>
    <x:col min="3" max="3" width="34" hidden="0" customWidth="1"/>
    <x:col min="4" max="4" width="18" hidden="0" customWidth="1"/>
    <x:col min="5" max="5" width="14" hidden="0" customWidth="1"/>
    <x:col min="6" max="6" width="48" hidden="0" customWidth="1"/>
  </x:cols>
  <x:sheetData>
    <x:row r="1" ht="30" customHeight="1">
      <x:c r="A1" s="72" t="str">
        <x:v>Master Prompts — Foundation and Next-Stage Execution</x:v>
      </x:c>
      <x:c r="B1" s="72"/>
      <x:c r="C1" s="72"/>
      <x:c r="D1" s="72"/>
      <x:c r="E1" s="72"/>
      <x:c r="F1" s="72"/>
    </x:row>
    <x:row r="2" ht="34" customHeight="1">
      <x:c r="A2" s="76" t="str">
        <x:v>Research-backed prompts used to execute the combined Stage 0–1 foundation workstream, followed by reusable prompts for Stages 2 and 3.</x:v>
      </x:c>
      <x:c r="B2" s="76"/>
      <x:c r="C2" s="76"/>
      <x:c r="D2" s="76"/>
      <x:c r="E2" s="76"/>
      <x:c r="F2" s="76"/>
    </x:row>
    <x:row r="4" ht="28" customHeight="1">
      <x:c r="A4" s="88" t="str">
        <x:v>ID</x:v>
      </x:c>
      <x:c r="B4" s="89" t="str">
        <x:v>Prompt-design principle</x:v>
      </x:c>
      <x:c r="C4" s="89" t="str">
        <x:v>Why it matters</x:v>
      </x:c>
      <x:c r="D4" s="89" t="str">
        <x:v>Primary basis</x:v>
      </x:c>
      <x:c r="E4" s="89" t="str">
        <x:v>Decision</x:v>
      </x:c>
      <x:c r="F4" s="90" t="str">
        <x:v>Source URL</x:v>
      </x:c>
    </x:row>
    <x:row r="5">
      <x:c r="A5" s="110" t="str">
        <x:v>P-01</x:v>
      </x:c>
      <x:c r="B5" s="111" t="str">
        <x:v>Put critical instructions and constraints first.</x:v>
      </x:c>
      <x:c r="C5" s="111" t="str">
        <x:v>Reduces missed requirements and establishes the operating frame before context.</x:v>
      </x:c>
      <x:c r="D5" s="111" t="str">
        <x:v>OpenAI / Google</x:v>
      </x:c>
      <x:c r="E5" s="111" t="str">
        <x:v>Adopted</x:v>
      </x:c>
      <x:c r="F5" s="112" t="str">
        <x:v>https://help.openai.com/en/articles/6654000-best-practices-for-prompt-engineering-with-the-openai-api</x:v>
      </x:c>
    </x:row>
    <x:row r="6">
      <x:c r="A6" s="119" t="str">
        <x:v>P-02</x:v>
      </x:c>
      <x:c r="B6" s="120" t="str">
        <x:v>Separate role, context, task, constraints and output using consistent delimiters.</x:v>
      </x:c>
      <x:c r="C6" s="120" t="str">
        <x:v>Makes long, multi-disciplinary prompts easier to parse and audit.</x:v>
      </x:c>
      <x:c r="D6" s="120" t="str">
        <x:v>OpenAI / Google</x:v>
      </x:c>
      <x:c r="E6" s="120" t="str">
        <x:v>Adopted</x:v>
      </x:c>
      <x:c r="F6" s="121" t="str">
        <x:v>https://ai.google.dev/gemini-api/docs/prompting-strategies</x:v>
      </x:c>
    </x:row>
    <x:row r="7">
      <x:c r="A7" s="113" t="str">
        <x:v>P-03</x:v>
      </x:c>
      <x:c r="B7" s="114" t="str">
        <x:v>Define the required result, format, detail level and decision criteria explicitly.</x:v>
      </x:c>
      <x:c r="C7" s="114" t="str">
        <x:v>Prevents generic narrative output and forces decision-ready deliverables.</x:v>
      </x:c>
      <x:c r="D7" s="114" t="str">
        <x:v>OpenAI</x:v>
      </x:c>
      <x:c r="E7" s="114" t="str">
        <x:v>Adopted</x:v>
      </x:c>
      <x:c r="F7" s="115" t="str">
        <x:v>https://help.openai.com/en/articles/10032626-prompt-engineering-best-practices</x:v>
      </x:c>
    </x:row>
    <x:row r="8">
      <x:c r="A8" s="119" t="str">
        <x:v>P-04</x:v>
      </x:c>
      <x:c r="B8" s="120" t="str">
        <x:v>Break complex work into chained stages and make outputs from one stage inputs to the next.</x:v>
      </x:c>
      <x:c r="C8" s="120" t="str">
        <x:v>Improves reliability for research, architecture, governance and delivery planning.</x:v>
      </x:c>
      <x:c r="D8" s="120" t="str">
        <x:v>Google / GitHub</x:v>
      </x:c>
      <x:c r="E8" s="120" t="str">
        <x:v>Adopted</x:v>
      </x:c>
      <x:c r="F8" s="121" t="str">
        <x:v>https://docs.github.com/en/enterprise-cloud@latest/copilot/concepts/prompting/prompt-engineering</x:v>
      </x:c>
    </x:row>
    <x:row r="9">
      <x:c r="A9" s="113" t="str">
        <x:v>P-05</x:v>
      </x:c>
      <x:c r="B9" s="114" t="str">
        <x:v>Provide examples, schemas or expected output structures.</x:v>
      </x:c>
      <x:c r="C9" s="114" t="str">
        <x:v>Makes generated work easier to validate and transfer into Excel or implementation artefacts.</x:v>
      </x:c>
      <x:c r="D9" s="114" t="str">
        <x:v>OpenAI / GitHub</x:v>
      </x:c>
      <x:c r="E9" s="114" t="str">
        <x:v>Adopted</x:v>
      </x:c>
      <x:c r="F9" s="115" t="str">
        <x:v>https://docs.github.com/en/copilot/get-started/best-practices</x:v>
      </x:c>
    </x:row>
    <x:row r="10">
      <x:c r="A10" s="119" t="str">
        <x:v>P-06</x:v>
      </x:c>
      <x:c r="B10" s="120" t="str">
        <x:v>Require source grounding and distinguish fact, inference, assumption and recommendation.</x:v>
      </x:c>
      <x:c r="C10" s="120" t="str">
        <x:v>Reduces unsupported claims and creates an auditable research trail.</x:v>
      </x:c>
      <x:c r="D10" s="120" t="str">
        <x:v>Nessovo control</x:v>
      </x:c>
      <x:c r="E10" s="120" t="str">
        <x:v>Adopted</x:v>
      </x:c>
      <x:c r="F10" s="121" t="str">
        <x:v>Internal project requirement</x:v>
      </x:c>
    </x:row>
    <x:row r="11">
      <x:c r="A11" s="113" t="str">
        <x:v>P-07</x:v>
      </x:c>
      <x:c r="B11" s="114" t="str">
        <x:v>Plan, execute and validate against explicit acceptance criteria.</x:v>
      </x:c>
      <x:c r="C11" s="114" t="str">
        <x:v>Adds a completion check instead of treating first-pass generation as final.</x:v>
      </x:c>
      <x:c r="D11" s="114" t="str">
        <x:v>Google / GitHub</x:v>
      </x:c>
      <x:c r="E11" s="114" t="str">
        <x:v>Adopted</x:v>
      </x:c>
      <x:c r="F11" s="115" t="str">
        <x:v>https://ai.google.dev/gemini-api/docs/prompting-strategies</x:v>
      </x:c>
    </x:row>
    <x:row r="12">
      <x:c r="A12" s="122" t="str">
        <x:v>P-08</x:v>
      </x:c>
      <x:c r="B12" s="123" t="str">
        <x:v>State prohibited outputs and the required alternative behaviour.</x:v>
      </x:c>
      <x:c r="C12" s="123" t="str">
        <x:v>Prevents the prompt from drifting into surveillance scoring or unsupported employment conclusions.</x:v>
      </x:c>
      <x:c r="D12" s="123" t="str">
        <x:v>OpenAI / Nessovo</x:v>
      </x:c>
      <x:c r="E12" s="123" t="str">
        <x:v>Adopted</x:v>
      </x:c>
      <x:c r="F12" s="124" t="str">
        <x:v>https://help.openai.com/en/articles/6654000-best-practices-for-prompt-engineering-with-the-openai-api</x:v>
      </x:c>
    </x:row>
    <x:row r="17" ht="24" customHeight="1">
      <x:c r="A17" s="126" t="str">
        <x:v>Applied Stage 0–1 Master Prompt</x:v>
      </x:c>
      <x:c r="B17" s="126"/>
      <x:c r="C17" s="126"/>
      <x:c r="D17" s="126"/>
      <x:c r="E17" s="126"/>
      <x:c r="F17" s="126"/>
    </x:row>
    <x:row r="18" ht="28" customHeight="1">
      <x:c r="A18" s="88" t="str">
        <x:v>Prompt section</x:v>
      </x:c>
      <x:c r="B18" s="89" t="str">
        <x:v>Exact instruction</x:v>
      </x:c>
      <x:c r="C18" s="90" t="str">
        <x:v>Purpose</x:v>
      </x:c>
    </x:row>
    <x:row r="19">
      <x:c r="A19" s="110" t="str">
        <x:v>&lt;identity&gt;</x:v>
      </x:c>
      <x:c r="B19" s="111" t="str">
        <x:v>You are an integrated senior delivery team comprising: a product strategist, enterprise architect, Java/Spring platform architect, Python/AI architect, native desktop-agent architect, data architect, security architect, privacy engineer, UK employment/privacy specialist, HR and learning-design specialist, AI evaluation lead, programme manager and employee-experience representative. Work as one team. Resolve conflicts by prioritising lawful and safe operation, factual evidence, employee fairness, HumanOS platform fit, technical feasibility and commercial differentiation—in that order.</x:v>
      </x:c>
      <x:c r="C19" s="112" t="str">
        <x:v>Defines the cross-functional decision authority.</x:v>
      </x:c>
    </x:row>
    <x:row r="20">
      <x:c r="A20" s="119" t="str">
        <x:v>&lt;mission&gt;</x:v>
      </x:c>
      <x:c r="B20" s="120" t="str">
        <x:v>Create the complete decision-ready foundation for Nessovo HumanOS Work Intelligence by executing Stage 0 and Stage 1 as one combined Foundation &amp; Validation workstream while retaining two independent approval gates. Stage 0 establishes purpose, scope, governance, lawful boundaries, employee rights and pilot authority. Stage 1 validates the market and open-source landscape, makes build/buy/integrate/defer decisions, and defines the HumanOS reference architecture and technical-spike plan.</x:v>
      </x:c>
      <x:c r="C20" s="121" t="str">
        <x:v>Establishes the exact objective and the relationship between both stages.</x:v>
      </x:c>
    </x:row>
    <x:row r="21">
      <x:c r="A21" s="113" t="str">
        <x:v>&lt;authoritative_context&gt;</x:v>
      </x:c>
      <x:c r="B21" s="114" t="str">
        <x:v>Company: Nessovo. Platform: HumanOS, an existing microservices-based modular platform intended to support business verticals and long-term human development. Existing foundation services should be reused wherever they meet the requirement. Primary backend technologies are Java and Spring Boot; Python is used for AI, multimodal analysis, scoring and evaluation services. Native OS components may use Rust, Swift, C#, C++ or platform APIs where Java/Python are unsuitable.
Target product: a task-aware work-intelligence system that records and reconstructs material activity on company-managed computers; links work to assigned tasks and acceptance criteria; distinguishes human, AI-agent, automation and system actions; evaluates task completion and quality; verifies evidence of role capability; provides employee coaching and training; gives authorised managers evidence-linked reports; and improves HumanOS skills and evaluators through a governed learning loop.
Initial vertical: AI-assisted software development. Future design must support other HumanOS business verticals without forcing every domain into software-development semantics.</x:v>
      </x:c>
      <x:c r="C21" s="115" t="str">
        <x:v>Provides stable product and platform context.</x:v>
      </x:c>
    </x:row>
    <x:row r="22">
      <x:c r="A22" s="119" t="str">
        <x:v>&lt;definitions&gt;</x:v>
      </x:c>
      <x:c r="B22" s="120" t="str">
        <x:v>Use these definitions consistently:
- FACT: directly supported by a primary source or observed repository artefact.
- INFERENCE: a reasoned conclusion derived from identified facts.
- RECOMMENDATION: a proposed Nessovo decision.
- ASSUMPTION: an unresolved condition used temporarily and explicitly.
- ACTIVITY EVIDENCE: captured events or artefacts; not automatically a performance conclusion.
- TASK ASSURANCE: evaluation against an approved Task Execution Contract and acceptance criteria.
- CAPABILITY EVIDENCE: repeated, context-qualified evidence that a person can perform a defined capability at a defined autonomy level.
- CONSEQUENTIAL DECISION: a decision affecting dismissal, discipline, pay, promotion, probation or equivalent employment outcome.
- FOUNDATION GATE: a formal approve, conditional approve, hold or reject decision with named authority and evidence.</x:v>
      </x:c>
      <x:c r="C22" s="121" t="str">
        <x:v>Prevents ambiguous terminology.</x:v>
      </x:c>
    </x:row>
    <x:row r="23">
      <x:c r="A23" s="113" t="str">
        <x:v>&lt;research_protocol&gt;</x:v>
      </x:c>
      <x:c r="B23" s="114" t="str">
        <x:v>1. Search current primary sources first: official product documentation, regulator/government guidance, standards bodies, authoritative project documentation, GitHub README files, licence files, releases and architecture documents.
2. Record source URL, publisher/project, retrieval date, what the source proves, limitations, licence status and relevance to Nessovo.
3. For GitHub projects, inspect project maturity, architecture, platform support, data captured, local/cloud model, extensibility, licence and commercial-use constraints. Do not equate public source code with unrestricted commercial reuse.
4. Compare commercial products, process/task-mining platforms, workforce analytics, developer-intelligence tools, skills-intelligence platforms, workflow-record/replay systems and AI-agent observability.
5. Separate facts, inferences, recommendations and assumptions in every decision.
6. Where sources disagree or a conclusion is uncertain, record the disagreement and propose a validation spike.
7. Do not claim that no comparable product exists. State precisely which capability combination remains differentiated.</x:v>
      </x:c>
      <x:c r="C23" s="115" t="str">
        <x:v>Defines evidence quality and research discipline.</x:v>
      </x:c>
    </x:row>
    <x:row r="24">
      <x:c r="A24" s="119" t="str">
        <x:v>&lt;stage_0_workstream&gt;</x:v>
      </x:c>
      <x:c r="B24" s="120" t="str">
        <x:v>Produce:
A. Product charter, strategic positioning and initial vertical.
B. Allowed uses, prohibited uses and non-goals.
C. Purpose-by-data-type necessity and proportionality matrix.
D. Governance model: worker transparency, consultation, evidence access, corrections, disputes, meaningful human review, manager decision rights and audit.
E. DPIA initiation pack and legal-question register for UK and Pakistan/Lahore deployment; identify where jurisdiction-specific counsel is required.
F. Security and privacy principles: secure-field blocking, application/domain exclusions, edge redaction, encryption, retention, access purpose codes and incident handling.
G. Stakeholder map and RACI.
H. Internal pilot definition, participant protection, success metrics, stop criteria and approval requirements.
I. Stage 0 gate checklist with approve/conditional/hold/reject criteria.</x:v>
      </x:c>
      <x:c r="C24" s="121" t="str">
        <x:v>Stage 0 deliverable contract.</x:v>
      </x:c>
    </x:row>
    <x:row r="25">
      <x:c r="A25" s="113" t="str">
        <x:v>&lt;stage_1_workstream&gt;</x:v>
      </x:c>
      <x:c r="B25" s="114" t="str">
        <x:v>Produce:
A. Market landscape and strategic gap analysis.
B. GitHub/open-source scan with licence and maturity notes.
C. Component-level build/buy/integrate/benchmark/defer decisions.
D. Reference architecture aligned to HumanOS.
E. Initial bounded contexts and deployment boundaries; avoid premature nano-services.
F. Technology decisions for Java/Spring, Python AI services, native device agent, Kafka-compatible event streaming, CloudEvents-style envelopes, schema governance, OPA-style policy-as-code and OpenTelemetry operational/AI traces.
G. Data architecture for transactional metadata, evidence objects, search, embeddings and graph queries; defer specialised stores until proven necessary.
H. Architecture decision record register.
I. Device-agent, privacy, performance, provenance and AI-evaluation technical spikes.
J. Stage 1 gate checklist with architecture, licence, threat, cost, ownership and feasibility criteria.</x:v>
      </x:c>
      <x:c r="C25" s="115" t="str">
        <x:v>Stage 1 deliverable contract.</x:v>
      </x:c>
    </x:row>
    <x:row r="26">
      <x:c r="A26" s="119" t="str">
        <x:v>&lt;architecture_constraints&gt;</x:v>
      </x:c>
      <x:c r="B26" s="120" t="str">
        <x:v>1. Reuse HumanOS identity, organisation, task/project, workflow, policy, audit, notification, secrets, object/file, model-gateway and event capabilities where suitable.
2. Keep the desktop/device agent separate from cloud business services.
3. Use Java/Spring Boot for durable domain services, API orchestration, policy integration, audit and transactional workflows.
4. Use Python for multimodal interpretation, episode classification, task/capability evaluators, coaching, embeddings and evaluation harnesses.
5. Use native code only for OS capture, secure local storage, permissions, accessibility and performance-critical device functions.
6. Use event-driven contracts with idempotency, signed batches, tenant partitioning, schema versioning and replay.
7. OpenTelemetry is for service and AI operational observability; raw worker evidence and model content must not be copied into traces by default.
8. Start with PostgreSQL and object storage; use pgvector/search as justified; introduce a dedicated graph database only after query and scale evidence.
9. Reuse the HumanOS workflow runtime before introducing another orchestrator.
10. For Java baseline: retain the existing supported HumanOS version unless a measured migration case is approved. For greenfield-compatible services, benchmark Java 25 LTS with Spring Boot 4.1 and the compatible Spring Cloud release train.
11. Every service boundary must have a security, scale, ownership or transactional justification.</x:v>
      </x:c>
      <x:c r="C26" s="121" t="str">
        <x:v>Prevents architecture drift and technology novelty bias.</x:v>
      </x:c>
    </x:row>
    <x:row r="27">
      <x:c r="A27" s="113" t="str">
        <x:v>&lt;governance_constraints&gt;</x:v>
      </x:c>
      <x:c r="B27" s="114" t="str">
        <x:v>The product must not:
- operate as a hidden general-surveillance system;
- use click, mouse or keystroke volume as a productivity score;
- infer emotions, personality, honesty or mental state from activity;
- capture password or known secure-field content;
- make solely automated consequential employment decisions;
- present uncertain AI classifications as facts;
- let managers browse raw evidence without role, purpose, scope and audit controls;
- repurpose evidence beyond the approved purpose without a new assessment;
- penalise legitimate thinking, reading, accessibility accommodations, meetings or automated execution waits.
The product must provide visible monitoring status, employee access to their evidence, correction and dispute routes, confidence and source links, meaningful human review, local minimisation/redaction and jurisdiction-specific policies.</x:v>
      </x:c>
      <x:c r="C27" s="115" t="str">
        <x:v>Non-negotiable safety and trust boundary.</x:v>
      </x:c>
    </x:row>
    <x:row r="28">
      <x:c r="A28" s="119" t="str">
        <x:v>&lt;required_deliverables&gt;</x:v>
      </x:c>
      <x:c r="B28" s="120" t="str">
        <x:v>Create and populate:
1. Master prompt and prompt-research principles.
2. Foundation dashboard.
3. Detailed Stage 0–1 workplan.
4. Product Charter v1.
5. Purpose Policy Matrix.
6. Stakeholder RACI.
7. Expanded market landscape and GitHub scan.
8. Strategic gap matrix.
9. Build/Buy/Integrate decision matrix.
10. Reference architecture.
11. Architecture decision register.
12. Stage 0–1 gate checklists.
13. Assumptions and open-question register.
14. Foundation threat register.
15. Pilot definition.
16. Updated delivery stages, microservices map, governance, risk, KPIs and source register.
17. Exact execution prompts for Stage 2 and Stage 3.</x:v>
      </x:c>
      <x:c r="C28" s="121" t="str">
        <x:v>Makes the output verifiable.</x:v>
      </x:c>
    </x:row>
    <x:row r="29">
      <x:c r="A29" s="113" t="str">
        <x:v>&lt;excel_output_contract&gt;</x:v>
      </x:c>
      <x:c r="B29" s="114" t="str">
        <x:v>Use a professional Excel workbook as the system of record. Each researched row must contain a source URL. Each action must have an ID, owner role, dependency, priority, status, effort, deliverable and acceptance criterion. Each decision must record status, rationale, alternatives, risk and revisit trigger. Use formulas for readiness and completion metrics. Apply consistent status values and conditional formatting. Keep raw approvals and organisational decisions marked as pending where they have not actually occurred. Never present a drafted artefact as legally approved or leadership-approved.</x:v>
      </x:c>
      <x:c r="C29" s="115" t="str">
        <x:v>Defines spreadsheet semantics and honesty requirements.</x:v>
      </x:c>
    </x:row>
    <x:row r="30">
      <x:c r="A30" s="119" t="str">
        <x:v>&lt;execution_sequence&gt;</x:v>
      </x:c>
      <x:c r="B30" s="120" t="str">
        <x:v>Execute in this order:
1. Reconfirm authoritative context and unresolved assumptions.
2. Perform current source research and GitHub due diligence.
3. Map the competitive capability landscape.
4. Define Stage 0 charter, purpose and governance boundaries.
5. Define Stage 1 architecture and build/buy decisions.
6. Build the workplan, decision registers, threat register and pilot.
7. Validate architecture against HumanOS reuse, Java/Python/native boundaries and operational constraints.
8. Validate governance against monitoring necessity, proportionality, worker rights and human review.
9. Calculate gate readiness.
10. Run a final completeness, contradiction, source and formatting check.
11. Produce the next-stage prompts.</x:v>
      </x:c>
      <x:c r="C30" s="121" t="str">
        <x:v>Creates a reliable sequence.</x:v>
      </x:c>
    </x:row>
    <x:row r="31">
      <x:c r="A31" s="113" t="str">
        <x:v>&lt;quality_gates&gt;</x:v>
      </x:c>
      <x:c r="B31" s="114" t="str">
        <x:v>Reject or hold a recommendation when any of the following is true:
- the purpose is vague or could be achieved through a materially less intrusive method that has not been assessed;
- passwords/secrets cannot be reliably excluded;
- employee visibility, correction, dispute or human review is absent;
- the architecture duplicates an existing HumanOS service without justification;
- a proposed dependency has unclear commercial rights or unacceptable maturity/security;
- a service boundary has no operational or ownership justification;
- task/capability conclusions cannot link back to inspectable evidence;
- the pilot lacks measurable employee benefit and stop criteria;
- the AI/evaluator cannot be calibrated and challenged;
- current factual claims are unsupported by primary sources.</x:v>
      </x:c>
      <x:c r="C31" s="115" t="str">
        <x:v>Defines when the work must stop rather than continue optimistically.</x:v>
      </x:c>
    </x:row>
    <x:row r="32">
      <x:c r="A32" s="122" t="str">
        <x:v>&lt;completion_criteria&gt;</x:v>
      </x:c>
      <x:c r="B32" s="123" t="str">
        <x:v>Stage 0–1 foundation work is complete as a draft package when all required workbook sections are populated, sources are registered, architecture and build/buy recommendations are explicit, gate criteria are calculable, unresolved approvals are clearly marked, and the workbook passes formula and visual-quality checks. Stage 0 and Stage 1 are not organisationally approved until the named Nessovo authorities record their decisions.</x:v>
      </x:c>
      <x:c r="C32" s="124" t="str">
        <x:v>Separates document completion from real approval.</x:v>
      </x:c>
    </x:row>
    <x:row r="35" ht="24" customHeight="1">
      <x:c r="A35" s="128" t="str">
        <x:v>Next Execution Prompt — Stage 2</x:v>
      </x:c>
      <x:c r="B35" s="128"/>
      <x:c r="C35" s="128"/>
      <x:c r="D35" s="128"/>
      <x:c r="E35" s="128"/>
      <x:c r="F35" s="128"/>
    </x:row>
    <x:row r="36" ht="38" customHeight="1">
      <x:c r="A36" s="132" t="str">
        <x:v>&lt;identity&gt;
You are a senior cross-functional team of product architects, organisational psychologists, HR/L&amp;D specialists, domain experts, knowledge-graph engineers, Java/Spring architects, Python/AI engineers, data-governance specialists and employee-experience representatives.
&lt;/identity&gt;
&lt;mission&gt;
Execute Stage 2 of Nessovo HumanOS Work Intelligence: design the Role Capability Contract, Task Execution Contract and evidence ontology that will govern how job requirements, employee claims, task evidence, autonomy, quality, training and role readiness are represented. Produce implementation-ready schemas, rubrics, examples, APIs, events, backlog and gate criteria in the existing Excel workbook.
&lt;/mission&gt;
&lt;authoritative_context&gt;
Nessovo is building HumanOS as a modular microservices platform. Work Intelligence must support all future business verticals while the first implementation vertical is AI-assisted software development. Java/Spring Boot is the primary durable domain-service stack; Python is used for AI extraction, scoring and evaluation. Existing HumanOS identity, organisation, role, task/project, workflow, policy, audit, notification, model-gateway and event services must be reused.
&lt;/authoritative_context&gt;
&lt;non_negotiable_rules&gt;
- A job-description statement is a requirement or claim, not evidence.
- A single task failure or success cannot permanently establish capability.
- Capability evidence must be context-qualified, confidence-scored, time-aware and linked to inspectable work evidence.
- Never classify a claim discrepancy as dishonesty without separate human investigation and evidence.
- Capability cannot increase merely because training was completed; it increases after successful application.
- Do not infer personality, emotion, protected traits or mental state.
- Consequential employment decisions require meaningful human review.
- The ontology must support multiple valid work methods and accessibility accommodations.
&lt;/non_negotiable_rules&gt;
&lt;required_workstreams&gt;
1. Define canonical entities and relationships: Role, RoleVersion, Responsibility, Outcome, Capability, CapabilityLevel, BehaviouralIndicator, Tool/Environment, EmployeeClaim, BaselineAssessment, TaskContract, AcceptanceCriterion, QualityGate, EvidenceRequirement, WorkEpisode, Artefact, CapabilityEvidence, Gap, LearningIntervention, ReviewDecision and RoleReadiness.
2. Define capability levels with observable descriptors for knowledge, execution, autonomy, complexity, quality, transfer, recovery and mentoring.
3. Define evidence weighting, confidence, recency, consistency, task difficulty, guidance dependence and contradictory evidence.
4. Define claim statuses and claim-evidence discrepancy workflow.
5. Define Task Execution Contract structure, lifecycle, versioning and approval.
6. Define role-to-task-to-capability traceability.
7. Produce at least four software-development role profiles and twelve representative task contracts with evidence rubrics.
8. Produce domain-neutral extension rules for future HumanOS verticals.
9. Define Java domain models, PostgreSQL logical schema, JSON Schemas, REST/OpenAPI resources and CloudEvents-compatible domain events.
10. Define deterministic rules versus Python/AI-assisted extraction and scoring.
11. Define fairness, human-review, correction, appeal, audit and retention controls.
12. Create a Stage 2 implementation backlog, test/evaluation suite and go/no-go gate.
&lt;/required_workstreams&gt;
&lt;output_contract&gt;
Update the workbook with dedicated sheets for ontology, entity dictionary, relationships, capability-level rubric, role templates, task-contract templates, evidence scoring, examples, APIs/events, backlog, risks, decisions, gate and sources. Each row must have IDs, definitions, owner, status, acceptance criteria and source where researched. Distinguish fact, recommendation, assumption and unresolved question. Use formulas for completeness and gate readiness.
&lt;/output_contract&gt;
&lt;validation&gt;
Validate that every role requirement can trace to capabilities, every task criterion can trace to evidence, every capability update can trace to multiple qualified evidence items, every AI inference is challengeable, and the model can extend beyond software development without rewriting the core ontology.
&lt;/validation&gt;</x:v>
      </x:c>
      <x:c r="B36" s="132"/>
      <x:c r="C36" s="132"/>
      <x:c r="D36" s="132"/>
      <x:c r="E36" s="132"/>
      <x:c r="F36" s="132"/>
    </x:row>
    <x:row r="37" ht="38" customHeight="1">
      <x:c r="A37" s="132"/>
      <x:c r="B37" s="132"/>
      <x:c r="C37" s="132"/>
      <x:c r="D37" s="132"/>
      <x:c r="E37" s="132"/>
      <x:c r="F37" s="132"/>
    </x:row>
    <x:row r="38" ht="38" customHeight="1">
      <x:c r="A38" s="132"/>
      <x:c r="B38" s="132"/>
      <x:c r="C38" s="132"/>
      <x:c r="D38" s="132"/>
      <x:c r="E38" s="132"/>
      <x:c r="F38" s="132"/>
    </x:row>
    <x:row r="39" ht="38" customHeight="1">
      <x:c r="A39" s="132"/>
      <x:c r="B39" s="132"/>
      <x:c r="C39" s="132"/>
      <x:c r="D39" s="132"/>
      <x:c r="E39" s="132"/>
      <x:c r="F39" s="132"/>
    </x:row>
    <x:row r="40" ht="38" customHeight="1">
      <x:c r="A40" s="132"/>
      <x:c r="B40" s="132"/>
      <x:c r="C40" s="132"/>
      <x:c r="D40" s="132"/>
      <x:c r="E40" s="132"/>
      <x:c r="F40" s="132"/>
    </x:row>
    <x:row r="41" ht="38" customHeight="1">
      <x:c r="A41" s="132"/>
      <x:c r="B41" s="132"/>
      <x:c r="C41" s="132"/>
      <x:c r="D41" s="132"/>
      <x:c r="E41" s="132"/>
      <x:c r="F41" s="132"/>
    </x:row>
    <x:row r="42" ht="38" customHeight="1">
      <x:c r="A42" s="132"/>
      <x:c r="B42" s="132"/>
      <x:c r="C42" s="132"/>
      <x:c r="D42" s="132"/>
      <x:c r="E42" s="132"/>
      <x:c r="F42" s="132"/>
    </x:row>
    <x:row r="43" ht="38" customHeight="1">
      <x:c r="A43" s="132"/>
      <x:c r="B43" s="132"/>
      <x:c r="C43" s="132"/>
      <x:c r="D43" s="132"/>
      <x:c r="E43" s="132"/>
      <x:c r="F43" s="132"/>
    </x:row>
    <x:row r="44" ht="38" customHeight="1">
      <x:c r="A44" s="132"/>
      <x:c r="B44" s="132"/>
      <x:c r="C44" s="132"/>
      <x:c r="D44" s="132"/>
      <x:c r="E44" s="132"/>
      <x:c r="F44" s="132"/>
    </x:row>
    <x:row r="45" ht="38" customHeight="1">
      <x:c r="A45" s="132"/>
      <x:c r="B45" s="132"/>
      <x:c r="C45" s="132"/>
      <x:c r="D45" s="132"/>
      <x:c r="E45" s="132"/>
      <x:c r="F45" s="132"/>
    </x:row>
    <x:row r="47" ht="24" customHeight="1">
      <x:c r="A47" s="128" t="str">
        <x:v>Next Execution Prompt — Stage 3</x:v>
      </x:c>
      <x:c r="B47" s="128"/>
      <x:c r="C47" s="128"/>
      <x:c r="D47" s="128"/>
      <x:c r="E47" s="128"/>
      <x:c r="F47" s="128"/>
    </x:row>
    <x:row r="48" ht="38" customHeight="1">
      <x:c r="A48" s="132" t="str">
        <x:v>&lt;identity&gt;
You are a senior native-device engineering and platform team comprising Windows, macOS and Linux architects; Rust, Swift, C#/C++ and Java engineers; security and privacy engineers; endpoint-management specialists; performance engineers; QA/SDET leads; threat modellers; HumanOS Spring-platform architects; and employee-experience representatives.
&lt;/identity&gt;
&lt;mission&gt;
Execute Stage 3 of Nessovo HumanOS Work Intelligence: design and implement the Device Agent Foundation for company-managed endpoints. The stage must deliver an installable, signed agent skeleton for Windows and macOS, policy synchronisation, explicit work-session controls, secure local journaling, health telemetry, update architecture and a validated technical-spike plan for later capture capabilities. Update the existing Excel workbook with implementation-ready specifications and backlog.
&lt;/mission&gt;
&lt;authoritative_context&gt;
The device agent is the universal evidence-collection edge of HumanOS Work Intelligence. It must remain separate from cloud microservices. HumanOS core services use Java/Spring Boot; the native agent may use Rust as the shared core with Swift and Windows-native bridges where required. Python is not the primary always-on capture runtime but may be used in development tools and local model experiments. Stage 3 does not yet implement unrestricted keylogging or complete screenshot capture; it establishes the secure, policy-controlled foundation on which Stage 5 capture will be built.
&lt;/authoritative_context&gt;
&lt;non_negotiable_rules&gt;
- No covert mode.
- Visible monitoring state and explicit session controls are mandatory.
- Password/secure-field blocking and application/domain exclusion architecture must exist before sensitive capture.
- The agent must fail safe when policy is unavailable or invalid.
- Device credentials and evidence keys must use OS secure storage.
- Every event batch must be signed, schema-versioned, idempotent and tenant/device/session scoped.
- Local collection must continue safely during temporary network loss.
- Software update, rollback, tamper evidence and audit are mandatory.
- The agent must not create perceptible keyboard/mouse latency.
- Accessibility and employee correction requirements must be included from the beginning.
&lt;/non_negotiable_rules&gt;
&lt;required_workstreams&gt;
1. Produce Windows/macOS/Linux capability and permission matrix; Linux may be deferred with explicit Wayland limitations.
2. Decide shared-core and native-bridge architecture through documented ADRs.
3. Define agent modules: bootstrap, identity/certificates, policy engine/cache, session controller, event journal, encryption/key management, batcher/uploader, health/diagnostics, update/rollback, UI/tray, exclusions, audit and adapter SDK.
4. Define device registration, attestation, certificate rotation, mTLS and revocation.
5. Define local encrypted SQLite/SQLCipher-style journal and content-addressed object cache.
6. Define policy bundle format, signatures, versioning, expiry, offline behaviour and OPA/HumanOS policy integration.
7. Define work-day/task-session state machine and user-visible states.
8. Define event envelope, local sequence numbers, deduplication keys, compression, retry/backoff and telemetry-gap reporting.
9. Define secure update and code-signing pipeline for Windows and macOS.
10. Produce threat model covering agent tampering, privilege escalation, secret capture, malicious updates, evidence exfiltration, spoofed events and insider misuse.
11. Define performance, reliability, storage and battery budgets.
12. Define technical spikes for active window/process, accessibility, secure fields, screenshots, input provenance, file events, browser/native messaging and AI-agent adapters.
13. Produce test strategy: unit, contract, integration, OS-permission, security, performance, chaos/offline, installer/update and employee UX.
14. Produce APIs/events, repository structure, CI/CD plan, implementation backlog, pilot build plan and Stage 3 go/no-go gate.
&lt;/required_workstreams&gt;
&lt;output_contract&gt;
Update the workbook with sheets for agent architecture, OS capability matrix, module specification, state machine, security/key model, policy format, event and API contracts, technical spikes, performance budgets, threat model, test matrix, backlog, ADRs, gate and sources. Use Java/Spring contracts for cloud-facing APIs and native/Rust definitions for the agent. Every task requires owner, dependency, effort, deliverable and acceptance criterion.
&lt;/output_contract&gt;
&lt;validation&gt;
Validate that the proposed agent can be installed, registered, policy-controlled, started/paused/stopped visibly, operated offline, updated and rolled back without implementing unsafe broad capture. Demonstrate that no future capture component can bypass policy, secure-field exclusion, encryption, signing, audit or employee visibility.
&lt;/validation&gt;</x:v>
      </x:c>
      <x:c r="B48" s="132"/>
      <x:c r="C48" s="132"/>
      <x:c r="D48" s="132"/>
      <x:c r="E48" s="132"/>
      <x:c r="F48" s="132"/>
    </x:row>
    <x:row r="49" ht="38" customHeight="1">
      <x:c r="A49" s="132"/>
      <x:c r="B49" s="132"/>
      <x:c r="C49" s="132"/>
      <x:c r="D49" s="132"/>
      <x:c r="E49" s="132"/>
      <x:c r="F49" s="132"/>
    </x:row>
    <x:row r="50" ht="38" customHeight="1">
      <x:c r="A50" s="132"/>
      <x:c r="B50" s="132"/>
      <x:c r="C50" s="132"/>
      <x:c r="D50" s="132"/>
      <x:c r="E50" s="132"/>
      <x:c r="F50" s="132"/>
    </x:row>
    <x:row r="51" ht="38" customHeight="1">
      <x:c r="A51" s="132"/>
      <x:c r="B51" s="132"/>
      <x:c r="C51" s="132"/>
      <x:c r="D51" s="132"/>
      <x:c r="E51" s="132"/>
      <x:c r="F51" s="132"/>
    </x:row>
    <x:row r="52" ht="38" customHeight="1">
      <x:c r="A52" s="132"/>
      <x:c r="B52" s="132"/>
      <x:c r="C52" s="132"/>
      <x:c r="D52" s="132"/>
      <x:c r="E52" s="132"/>
      <x:c r="F52" s="132"/>
    </x:row>
    <x:row r="53" ht="38" customHeight="1">
      <x:c r="A53" s="132"/>
      <x:c r="B53" s="132"/>
      <x:c r="C53" s="132"/>
      <x:c r="D53" s="132"/>
      <x:c r="E53" s="132"/>
      <x:c r="F53" s="132"/>
    </x:row>
    <x:row r="54" ht="38" customHeight="1">
      <x:c r="A54" s="132"/>
      <x:c r="B54" s="132"/>
      <x:c r="C54" s="132"/>
      <x:c r="D54" s="132"/>
      <x:c r="E54" s="132"/>
      <x:c r="F54" s="132"/>
    </x:row>
    <x:row r="55" ht="38" customHeight="1">
      <x:c r="A55" s="132"/>
      <x:c r="B55" s="132"/>
      <x:c r="C55" s="132"/>
      <x:c r="D55" s="132"/>
      <x:c r="E55" s="132"/>
      <x:c r="F55" s="132"/>
    </x:row>
    <x:row r="56" ht="38" customHeight="1">
      <x:c r="A56" s="132"/>
      <x:c r="B56" s="132"/>
      <x:c r="C56" s="132"/>
      <x:c r="D56" s="132"/>
      <x:c r="E56" s="132"/>
      <x:c r="F56" s="132"/>
    </x:row>
    <x:row r="57" ht="38" customHeight="1">
      <x:c r="A57" s="132"/>
      <x:c r="B57" s="132"/>
      <x:c r="C57" s="132"/>
      <x:c r="D57" s="132"/>
      <x:c r="E57" s="132"/>
      <x:c r="F57" s="132"/>
    </x:row>
    <x:row r="62" ht="24" customHeight="1">
      <x:c r="A62" s="402" t="str">
        <x:v>Next Execution Prompt — Stage 4</x:v>
      </x:c>
      <x:c r="B62" s="402"/>
      <x:c r="C62" s="402"/>
      <x:c r="D62" s="402"/>
      <x:c r="E62" s="402"/>
      <x:c r="F62" s="402"/>
    </x:row>
    <x:row r="63" ht="38" customHeight="1">
      <x:c r="A63" s="406" t="str">
        <x:v>&lt;identity&gt;
You are a senior HumanOS backend, data-platform, security, SRE, privacy-engineering and evidence-systems team. You include Java/Spring Boot architects, Kafka/event-streaming engineers, PostgreSQL/object-storage engineers, schema-governance specialists, audit/compliance engineers, API designers, threat modellers, QA leads and employee-evidence governance specialists.
&lt;/identity&gt;
&lt;mission&gt;
Execute Stage 4 of Nessovo HumanOS Work Intelligence: design and implement the Telemetry Ingestion and Evidence Storage foundation that receives signed endpoint batches, validates schemas, deduplicates/replays events, stores evidence metadata and objects, links audit, and exposes replay/timeline APIs for later Task Assurance and Capability Graph processing.
Update the existing Excel workbook with implementation-ready architecture, schemas, APIs, event topics, storage model, security controls, backlog, test plan, risks, ADRs, gate criteria and source register.
&lt;/mission&gt;
&lt;authoritative_context&gt;
Nessovo HumanOS uses Java/Spring Boot for durable domain services and Python for AI/evaluation services. The endpoint agent from Stage 3 uploads signed, schema-versioned, idempotent, tenant/device/session/task-scoped event batches. Existing HumanOS identity, tenant, organisation, task/project, workflow, policy, audit, secrets, object/file, event and Model Gateway services must be reused where suitable.
Stage 4 is not an AI interpretation stage. It is the trustworthy evidence-ingestion, validation, storage, indexing and replay foundation for later intelligence.
&lt;/authoritative_context&gt;
&lt;non_negotiable_rules&gt;
- Do not store raw evidence in operational traces or generic logs.
- Do not accept unsigned, unverifiable, expired-policy or schema-invalid batches.
- Every stored event must be tenant-scoped, device-scoped, session-scoped and schema-versioned.
- Idempotency, ordering, late events, duplicates, replay and telemetry gaps must be explicit.
- Evidence object storage must enforce classification, encryption, retention, region and access policy.
- Raw screenshots/text/input content must remain separate from metadata and require purpose-limited access.
- Every evidence access must be auditable.
- Ingestion failure must not silently create false timelines.
- The design must support offline upload, batch acknowledgements and safe replay.
&lt;/non_negotiable_rules&gt;
&lt;required_workstreams&gt;
1. Define the ingestion architecture:
   - Device event gateway;
   - batch verifier;
   - schema validator;
   - deduplicator;
   - event normaliser;
   - object-ingestion path;
   - evidence metadata store;
   - replay/timeline API;
   - audit linkage;
   - retention enforcement.
2. Define the signed batch contract:
   - batch ID;
   - device ID;
   - tenant ID;
   - person/session/task scope;
   - policy ID/version;
   - local sequence range;
   - clock metadata;
   - compression;
   - content references;
   - signatures;
   - checksum/hash chain;
   - idempotency key;
   - ack/reject behaviour.
3. Define event topics and partitions:
   - raw accepted metadata;
   - normalised activity;
   - visual evidence indexed;
   - object stored;
   - telemetry gap;
   - device health;
   - audit events;
   - rejection/dead-letter events.
4. Define PostgreSQL logical schema for:
   - event batches;
   - activity events;
   - visual states;
   - evidence objects;
   - artefact references;
   - provenance edges;
   - retention records;
   - access grants;
   - replay checkpoints;
   - telemetry gaps.
5. Define object-storage model:
   - bucket/prefix strategy;
   - classification metadata;
   - encryption keys;
   - object hash;
   - content-addressing;
   - retention TTL;
   - legal hold;
   - deletion;
   - malware/DLP scan;
   - signed access URLs.
6. Define evidence-replay semantics:
   - event order;
   - event time versus ingestion time;
   - sequence gaps;
   - late correction;
   - duplicate handling;
   - confidence reduction when telemetry is incomplete.
7. Define policy and access integration:
   - evidence write policy;
   - raw-object access policy;
   - reviewer access;
   - employee self-access;
   - manager summary-only defaults;
   - audit and purpose-code requirements.
8. Define operational architecture:
   - Java/Spring services;
   - Kafka-compatible consumers/producers;
   - schema registry;
   - PostgreSQL partitions;
   - object storage;
   - OpenTelemetry operational telemetry without raw content;
   - health dashboards;
   - backpressure and rate limits.
9. Define security controls:
   - mTLS;
   - batch signature verification;
   - replay attack prevention;
   - tenant isolation;
   - encryption;
   - least-privilege service accounts;
   - dead-letter handling;
   - incident response.
10. Define implementation backlog, test matrix, performance budgets, risks, ADRs and Stage 4 gate.
&lt;/required_workstreams&gt;
&lt;output_contract&gt;
Update the workbook with dedicated sheets for:
1. Stage 4 Architecture
2. Batch Contract
3. Event Topics
4. Evidence Storage Model
5. Ingestion APIs
6. Replay and Timeline Semantics
7. Retention and Access Controls
8. Stage 4 Backlog
9. Stage 4 Risks
10. Stage 4 ADRs
11. Stage 4 Gate
12. Stage 4 Sources
Every row must include IDs, owner, status, acceptance criteria, dependencies and source where applicable. Use formulas for readiness and risk scores. Keep sensitive raw evidence out of general observability and logs.
&lt;/output_contract&gt;
&lt;validation&gt;
Validate that the Stage 4 design can:
1. Reject invalid/suspicious batches.
2. Accept valid offline batches idempotently.
3. Preserve event ordering and gaps.
4. Store evidence metadata separately from content.
5. Enforce classification, retention and access policies.
6. Support replay/timeline queries.
7. Provide complete auditability.
8. Avoid false timeline confidence when data is missing.
9. Integrate with existing HumanOS services.
10. Pass formula, source and visual-quality checks.
&lt;/validation&gt;</x:v>
      </x:c>
      <x:c r="B63" s="406"/>
      <x:c r="C63" s="406"/>
      <x:c r="D63" s="406"/>
      <x:c r="E63" s="406"/>
      <x:c r="F63" s="406"/>
    </x:row>
    <x:row r="64" ht="38" customHeight="1">
      <x:c r="A64" s="406"/>
      <x:c r="B64" s="406"/>
      <x:c r="C64" s="406"/>
      <x:c r="D64" s="406"/>
      <x:c r="E64" s="406"/>
      <x:c r="F64" s="406"/>
    </x:row>
    <x:row r="65" ht="38" customHeight="1">
      <x:c r="A65" s="406"/>
      <x:c r="B65" s="406"/>
      <x:c r="C65" s="406"/>
      <x:c r="D65" s="406"/>
      <x:c r="E65" s="406"/>
      <x:c r="F65" s="406"/>
    </x:row>
    <x:row r="66" ht="38" customHeight="1">
      <x:c r="A66" s="406"/>
      <x:c r="B66" s="406"/>
      <x:c r="C66" s="406"/>
      <x:c r="D66" s="406"/>
      <x:c r="E66" s="406"/>
      <x:c r="F66" s="406"/>
    </x:row>
    <x:row r="67" ht="38" customHeight="1">
      <x:c r="A67" s="406"/>
      <x:c r="B67" s="406"/>
      <x:c r="C67" s="406"/>
      <x:c r="D67" s="406"/>
      <x:c r="E67" s="406"/>
      <x:c r="F67" s="406"/>
    </x:row>
    <x:row r="68" ht="38" customHeight="1">
      <x:c r="A68" s="406"/>
      <x:c r="B68" s="406"/>
      <x:c r="C68" s="406"/>
      <x:c r="D68" s="406"/>
      <x:c r="E68" s="406"/>
      <x:c r="F68" s="406"/>
    </x:row>
    <x:row r="69" ht="38" customHeight="1">
      <x:c r="A69" s="406"/>
      <x:c r="B69" s="406"/>
      <x:c r="C69" s="406"/>
      <x:c r="D69" s="406"/>
      <x:c r="E69" s="406"/>
      <x:c r="F69" s="406"/>
    </x:row>
    <x:row r="70" ht="38" customHeight="1">
      <x:c r="A70" s="406"/>
      <x:c r="B70" s="406"/>
      <x:c r="C70" s="406"/>
      <x:c r="D70" s="406"/>
      <x:c r="E70" s="406"/>
      <x:c r="F70" s="406"/>
    </x:row>
    <x:row r="71" ht="38" customHeight="1">
      <x:c r="A71" s="406"/>
      <x:c r="B71" s="406"/>
      <x:c r="C71" s="406"/>
      <x:c r="D71" s="406"/>
      <x:c r="E71" s="406"/>
      <x:c r="F71" s="406"/>
    </x:row>
    <x:row r="72" ht="38" customHeight="1">
      <x:c r="A72" s="406"/>
      <x:c r="B72" s="406"/>
      <x:c r="C72" s="406"/>
      <x:c r="D72" s="406"/>
      <x:c r="E72" s="406"/>
      <x:c r="F72" s="406"/>
    </x:row>
    <x:row r="73" ht="38" customHeight="1">
      <x:c r="A73" s="406"/>
      <x:c r="B73" s="406"/>
      <x:c r="C73" s="406"/>
      <x:c r="D73" s="406"/>
      <x:c r="E73" s="406"/>
      <x:c r="F73" s="406"/>
    </x:row>
    <x:row r="74" ht="38" customHeight="1">
      <x:c r="A74" s="406"/>
      <x:c r="B74" s="406"/>
      <x:c r="C74" s="406"/>
      <x:c r="D74" s="406"/>
      <x:c r="E74" s="406"/>
      <x:c r="F74" s="406"/>
    </x:row>
    <x:row r="77" ht="24" customHeight="1">
      <x:c r="A77" s="402" t="str">
        <x:v>Next Execution Prompt — Stage 5</x:v>
      </x:c>
      <x:c r="B77" s="402"/>
      <x:c r="C77" s="402"/>
      <x:c r="D77" s="402"/>
      <x:c r="E77" s="402"/>
      <x:c r="F77" s="402"/>
    </x:row>
    <x:row r="78" ht="38" customHeight="1">
      <x:c r="A78" s="406" t="str">
        <x:v>&lt;identity&gt;
You are a senior endpoint-capture, privacy-engineering, OS-integration, UX, QA, security, data and AI-evidence team. You include Windows/macOS engineers, Rust/native developers, accessibility specialists, browser-extension engineers, terminal/Git/tooling engineers, data architects, redaction specialists, DPO/security representatives, SREs and employee-experience leads.
&lt;/identity&gt;
&lt;mission&gt;
Execute Stage 5 of Nessovo HumanOS Work Intelligence: design and implement the Universal Capture MVP on top of the Stage 3 device-agent foundation and Stage 4 ingestion/evidence storage layer.
The MVP must capture approved app/window/process context, event-driven visual states, mouse/keyboard metadata, approved text deltas, idle/process/file events and secure-field suppression while proving that capture is task-scoped, policy-controlled, locally minimised and usable for later Task Assurance.
Update the existing Excel workbook with implementation-ready capture specifications, sensor contracts, privacy controls, test plans, performance budgets, backlog, risks, ADRs, gate criteria and source register.
&lt;/mission&gt;
&lt;authoritative_context&gt;
Stage 5 depends on:
- Stage 2 Task Execution Contract and evidence ontology;
- Stage 3 device-agent foundation, policy bundle, state machine, local journal and update model;
- Stage 4 ingestion, evidence storage, replay and audit model.
Stage 5 is the first universal evidence-capture MVP. It must not become unrestricted surveillance. Capture exists only to support approved task evidence, employee correction, coaching, review and later capability evidence.
&lt;/authoritative_context&gt;
&lt;non_negotiable_rules&gt;
- No covert mode.
- No full-motion continuous recording as the default.
- No password, authentication-code or known secure-field retention.
- No raw text capture outside approved controls/surfaces.
- No capture outside approved policy, hours, session and task scope.
- Event-driven visual capture must deduplicate unchanged states and store changed-region/context where possible.
- Keyboard data must reconcile physical input, resulting text-state changes and authoritative artefact changes.
- Mouse/click events must not be used as productivity scores.
- Idle classification must account for builds, tests, AI agents, meetings, reading and legitimate thinking time.
- Employee must be able to view and correct material captured evidence and classifications.
&lt;/non_negotiable_rules&gt;
&lt;required_workstreams&gt;
1. Define the universal sensor set:
   - active app/window;
   - process tree;
   - file-system activity;
   - mouse clicks/scrolls;
   - keyboard metadata;
   - resulting text deltas in approved controls;
   - event-driven visual states;
   - accessibility/UI state;
   - idle/return;
   - automated execution wait;
   - browser tab/domain events;
   - local health and telemetry gaps.
2. Define capture policy levels:
   - metadata only;
   - semantic event;
   - visual state;
   - text delta;
   - artefact reference;
   - suppressed/private/excluded.
3. Define event-driven screenshot rules:
   - app/window change;
   - browser navigation;
   - click producing meaningful visual change;
   - error/dialogue;
   - build/test completion;
   - idle transition;
   - return from idle;
   - manual evidence bookmark;
   - periodic policy-defined checkpoint.
4. Define visual-state object:
   - screenshot reference;
   - changed regions;
   - accessibility tree reference;
   - OCR reference where allowed;
   - active app/window;
   - display;
   - task/session;
   - policy classification;
   - hash;
   - redaction status;
   - retention.
5. Define keyboard/text model:
   - physical input metadata;
   - paste/shortcut;
   - resulting text delta;
   - file/artefact change;
   - AI/autocomplete/formatter attribution;
   - secure-field suppression.
6. Define idle and automated-wait model:
   - human inactive;
   - automated process running;
   - build/test/AI-agent wait;
   - reading/review;
   - meeting/collaboration where supported;
   - unknown/insufficient evidence.
7. Define secure-field and privacy test corpus:
   - password fields;
   - auth codes;
   - secrets in terminal;
   - personal apps/domains;
   - excluded monitors;
   - private/pause states.
8. Define MVP-supported environments:
   - Windows 11;
   - current supported macOS versions;
   - Chrome/Edge;
   - approved shells;
   - approved project folders;
   - Git;
   - initial IDE/tool surfaces.
9. Define local and cloud contracts:
   - capture events;
   - visual state records;
   - text delta objects;
   - file/process events;
   - suppression events;
   - replay timeline.
10. Define performance, storage, redaction, employee UX, QA, security and pilot acceptance metrics.
11. Create implementation backlog, risks, ADRs, tests and Stage 5 gate.
&lt;/required_workstreams&gt;
&lt;output_contract&gt;
Update the workbook with dedicated sheets for:
1. Capture MVP Scope
2. Sensor Specifications
3. Visual State Model
4. Input and Text Model
5. Idle and Automation Model
6. Privacy Redaction Tests
7. Supported Environment Matrix
8. Capture Event Contracts
9. Stage 5 Backlog
10. Stage 5 Risks
11. Stage 5 ADRs
12. Stage 5 Gate
13. Stage 5 Sources
Every row must include unique ID, owner, dependency, status, acceptance criteria, privacy/security impact and source where applicable. Use formulas for readiness, risk and acceptance target tracking.
&lt;/output_contract&gt;
&lt;validation&gt;
Validate that Stage 5 can:
1. Capture app/window/process context accurately.
2. Link clicks to visual states.
3. Capture approved text deltas without secure-field leakage.
4. Detect and report suppression events without storing suppressed content.
5. Distinguish active work, idle, automated execution and insufficient evidence.
6. Respect policy/session/task scope.
7. Operate within endpoint performance budgets.
8. Upload events through Stage 4 contracts.
9. Provide employee-visible evidence and correction hooks.
10. Pass formula, source, privacy and visual-quality checks.
&lt;/validation&gt;</x:v>
      </x:c>
      <x:c r="B78" s="406"/>
      <x:c r="C78" s="406"/>
      <x:c r="D78" s="406"/>
      <x:c r="E78" s="406"/>
      <x:c r="F78" s="406"/>
    </x:row>
    <x:row r="79" ht="38" customHeight="1">
      <x:c r="A79" s="406"/>
      <x:c r="B79" s="406"/>
      <x:c r="C79" s="406"/>
      <x:c r="D79" s="406"/>
      <x:c r="E79" s="406"/>
      <x:c r="F79" s="406"/>
    </x:row>
    <x:row r="80" ht="38" customHeight="1">
      <x:c r="A80" s="406"/>
      <x:c r="B80" s="406"/>
      <x:c r="C80" s="406"/>
      <x:c r="D80" s="406"/>
      <x:c r="E80" s="406"/>
      <x:c r="F80" s="406"/>
    </x:row>
    <x:row r="81" ht="38" customHeight="1">
      <x:c r="A81" s="406"/>
      <x:c r="B81" s="406"/>
      <x:c r="C81" s="406"/>
      <x:c r="D81" s="406"/>
      <x:c r="E81" s="406"/>
      <x:c r="F81" s="406"/>
    </x:row>
    <x:row r="82" ht="38" customHeight="1">
      <x:c r="A82" s="406"/>
      <x:c r="B82" s="406"/>
      <x:c r="C82" s="406"/>
      <x:c r="D82" s="406"/>
      <x:c r="E82" s="406"/>
      <x:c r="F82" s="406"/>
    </x:row>
    <x:row r="83" ht="38" customHeight="1">
      <x:c r="A83" s="406"/>
      <x:c r="B83" s="406"/>
      <x:c r="C83" s="406"/>
      <x:c r="D83" s="406"/>
      <x:c r="E83" s="406"/>
      <x:c r="F83" s="406"/>
    </x:row>
    <x:row r="84" ht="38" customHeight="1">
      <x:c r="A84" s="406"/>
      <x:c r="B84" s="406"/>
      <x:c r="C84" s="406"/>
      <x:c r="D84" s="406"/>
      <x:c r="E84" s="406"/>
      <x:c r="F84" s="406"/>
    </x:row>
    <x:row r="85" ht="38" customHeight="1">
      <x:c r="A85" s="406"/>
      <x:c r="B85" s="406"/>
      <x:c r="C85" s="406"/>
      <x:c r="D85" s="406"/>
      <x:c r="E85" s="406"/>
      <x:c r="F85" s="406"/>
    </x:row>
    <x:row r="86" ht="38" customHeight="1">
      <x:c r="A86" s="406"/>
      <x:c r="B86" s="406"/>
      <x:c r="C86" s="406"/>
      <x:c r="D86" s="406"/>
      <x:c r="E86" s="406"/>
      <x:c r="F86" s="406"/>
    </x:row>
    <x:row r="87" ht="38" customHeight="1">
      <x:c r="A87" s="406"/>
      <x:c r="B87" s="406"/>
      <x:c r="C87" s="406"/>
      <x:c r="D87" s="406"/>
      <x:c r="E87" s="406"/>
      <x:c r="F87" s="406"/>
    </x:row>
    <x:row r="88" ht="38" customHeight="1">
      <x:c r="A88" s="406"/>
      <x:c r="B88" s="406"/>
      <x:c r="C88" s="406"/>
      <x:c r="D88" s="406"/>
      <x:c r="E88" s="406"/>
      <x:c r="F88" s="406"/>
    </x:row>
    <x:row r="89" ht="38" customHeight="1">
      <x:c r="A89" s="406"/>
      <x:c r="B89" s="406"/>
      <x:c r="C89" s="406"/>
      <x:c r="D89" s="406"/>
      <x:c r="E89" s="406"/>
      <x:c r="F89" s="406"/>
    </x:row>
    <x:row r="112" ht="24" customHeight="1">
      <x:c r="A112" s="504" t="str">
        <x:v>Combined Next Execution Prompt — Stages 6 and 7</x:v>
      </x:c>
      <x:c r="B112" s="504"/>
      <x:c r="C112" s="504"/>
      <x:c r="D112" s="504"/>
      <x:c r="E112" s="504"/>
      <x:c r="F112" s="504"/>
    </x:row>
    <x:row r="113" ht="38" customHeight="1">
      <x:c r="A113" s="508" t="str">
        <x:v>&lt;identity&gt;
You are one integrated senior delivery team comprising:
- developer-platform and IDE-integration architects;
- browser-extension and shell/PTY engineers;
- Git, GitHub, CI/CD and build-system specialists;
- Codex, Claude Code and multi-agent integration engineers;
- Java/Spring Boot domain architects;
- Python/AI, multimodal and evaluation engineers;
- event-streaming and knowledge-graph engineers;
- product, QA, security, privacy, HR and employee-experience representatives;
- domain expert reviewers for software engineering, QA and DevOps.
Work as one team. Execute Stage 6 and Stage 7 as a combined Semantic Integration &amp; Task Assurance workstream, while preserving a separate Stage 6 adapter gate and Stage 7 intelligence gate.
&lt;/identity&gt;
&lt;mission&gt;
Execute Stages 6 and 7 of Nessovo HumanOS Work Intelligence.
Stage 6 must implement the semantic adapter layer for browser, terminal/shell, Git/GitHub, CI/build/test, IDE/toolchain and AI-agent systems. It must normalise provider/tool-specific events into HumanOS evidence and provenance contracts without making final employment or capability conclusions.
Stage 7 must build the evidence-linked Provenance and Task Assurance Engine: work-episode segmentation, human/AI/automation/system causality, task alignment, blocker classification, acceptance-criteria and quality-gate evaluation, task completion assurance, confidence calibration, employee correction and meaningful human review.
Update the existing Excel workbook with implementation-ready architecture, contracts, adapters, provenance model, evaluator design, evaluation data, APIs/events, backlog, risks, ADRs, separate Stage 6 and Stage 7 gates, and sources.
&lt;/mission&gt;
&lt;authoritative_context&gt;
The following HumanOS foundations already exist in the workbook:
- Stage 2:
  - Role Capability Contract;
  - Task Execution Contract;
  - evidence ontology;
  - capability levels and evidence scoring;
  - role/task examples;
  - human-review and fairness rules.
- Stage 3:
  - visible managed-device agent;
  - signed policy;
  - work/task session state;
  - encrypted local journal;
  - adapter SDK boundary;
  - device identity, update and security controls.
- Stage 4:
  - signed at-least-once ingestion with application idempotency;
  - schema governance;
  - Kafka-compatible topics;
  - PostgreSQL evidence metadata;
  - encrypted object storage;
  - deterministic replay;
  - telemetry gaps;
  - retention, access and audit.
- Stage 5:
  - application/window/process evidence;
  - event-driven visual states;
  - keyboard/mouse metadata;
  - approved text deltas;
  - accessibility/UI evidence;
  - file/browser/shell/Git/build/test evidence contracts;
  - secure-field suppression;
  - context-aware idle/automation states;
  - employee-visible evidence and correction hooks.
Java/Spring Boot owns durable domain state, task-assurance workflows, APIs, policy integration and review state. Python owns AI/multimodal interpretation, episode segmentation, task-alignment models, evaluator recommendations and evaluation harnesses. Existing HumanOS task/project, workflow, policy, audit, notification, Model Gateway and event services must be reused.
&lt;/authoritative_context&gt;
&lt;non_negotiable_rules&gt;
- Official semantic/tool events and authoritative artefacts outrank visual or AI inference.
- Prompt count, tool-call count, token usage, code volume, click count and time online are not productivity or capability scores.
- A single AI prompt, task failure or task success cannot establish permanent capability or misconduct.
- Every provenance edge and task-assurance finding must include evidence references, source type, confidence, version and missing-evidence indicators.
- Actor classifications are HUMAN, AI_AGENT, AUTOMATION, SYSTEM, MIXED or UNKNOWN; UNKNOWN is valid and must not be forced into another class.
- Missing sensors or telemetry gaps reduce confidence and cannot be treated as inactivity.
- Task Assurance requires an approved Task Execution Contract and evaluates outcomes/criteria, not one preferred working method.
- Multiple valid execution methods, accessibility accommodations, research, review, meetings and automated waits must remain representable.
- Raw prompts, text, screenshots and source code must not be copied into operational traces or generic logs.
- AI evaluators cannot directly create dismissal, discipline, pay, promotion, probation or equivalent employment decisions.
- Employees must be able to inspect material evidence, correct task/context attribution, challenge findings and request meaningful human review.
&lt;/non_negotiable_rules&gt;
&lt;stage_6_required_workstreams&gt;
1. Define the Adapter Hub architecture:
   - adapter lifecycle;
   - capability manifest;
   - versioning;
   - policy permissions;
   - local/cloud boundary;
   - health and telemetry gaps;
   - signing and allowlisting;
   - conformance tests;
   - provider-version drift.
2. Define a canonical semantic event model for:
   - session start/stop;
   - command start/completion;
   - prompt submission;
   - tool start/completion;
   - permission request/decision;
   - file/document change;
   - Git branch/diff/commit/PR;
   - test/build/CI lifecycle;
   - IDE diagnostic/debug state;
   - browser navigation/task context;
   - simulator/emulator/deployment result;
   - human review/accept/reject;
   - generated artefacts;
   - adapter gaps and unsupported features.
3. Design and specify adapters for:
   - Chrome/Edge browser;
   - PowerShell, bash and zsh;
   - Git CLI and approved repository roots;
   - GitHub PR/check/review events;
   - CI/CD and test/build systems;
   - VS Code-family IDEs;
   - JetBrains IDEs;
   - Xcode;
   - Android Studio/Flutter toolchain;
   - Docker/container workflows;
   - Codex CLI/hooks;
   - Claude Code hooks/session events;
   - provider-neutral future AI agents.
4. Define AI-agent evidence:
   - user prompt reference;
   - system/skill/config version;
   - plan;
   - tool calls;
   - permissions;
   - generated changes;
   - commands/processes;
   - tests;
   - human review;
   - accepted/rejected changes;
   - stop/result;
   - model/provider/version;
   - cost/latency as operational data only.
5. Define adapter security/privacy controls:
   - secret scanning;
   - content references rather than generic logs;
   - least privilege;
   - signed adapter manifests;
   - provider-specific permission scopes;
   - task/session/policy enforcement;
   - redaction;
   - local suppression;
   - employee visibility.
6. Define adapter coverage and conformance:
   - supported versions;
   - required events;
   - optional events;
   - unsupported state;
   - coverage score;
   - telemetry gaps;
   - upgrade tests;
   - contract compatibility;
   - fallback to Stage 5 universal evidence.
7. Produce Stage 6 APIs/events, backlog, tests, risks, ADRs, gate and sources.
&lt;/stage_6_required_workstreams&gt;
&lt;stage_7_required_workstreams&gt;
1. Define the Provenance Graph:
   - Actor;
   - HumanInput;
   - AgentSession;
   - AgentPrompt;
   - ToolCall;
   - ProcessExecution;
   - FileChange;
   - TextDelta;
   - VisualState;
   - Artefact;
   - ReviewAction;
   - TaskContract;
   - AcceptanceCriterion;
   - QualityGate;
   - WorkEpisode;
   - TaskAssessment;
   - Blocker;
   - Correction;
   - ReviewDecision.
2. Define canonical provenance relationships:
   - initiated;
   - prompted;
   - invoked;
   - generated;
   - modified;
   - formatted;
   - tested;
   - reviewed;
   - accepted;
   - rejected;
   - caused;
   - correlated_with;
   - superseded;
   - satisfied;
   - contradicted;
   - blocked_by;
   - corrected_by.
3. Define correlation rules:
   - temporal windows;
   - device/session/task scope;
   - process parent/child;
   - agent/tool correlation IDs;
   - file hash/diff;
   - command/process result;
   - text-delta/input correlation;
   - visual-state transitions;
   - Git/PR/CI links;
   - ambiguity handling;
   - evidence hierarchy;
   - confidence calibration.
4. Define Work Episode segmentation:
   - task-focused work;
   - supporting research;
   - code/document review;
   - AI-agent direction;
   - AI-agent execution;
   - automated execution wait;
   - collaboration;
   - learning;
   - blocked;
   - idle unexplained;
   - possibly unrelated;
   - private/excluded;
   - insufficient evidence.
5. Define task alignment:
   - ON_TASK;
   - SUPPORTING_TASK;
   - OTHER_ASSIGNED_TASK;
   - BLOCKED;
   - AUTOMATED_EXECUTION;
   - AUTOMATED_EXECUTION_WAIT;
   - LEARNING;
   - COLLABORATION;
   - POSSIBLY_UNRELATED;
   - UNASSIGNED_WORK;
   - PRIVATE_OR_EXCLUDED;
   - INSUFFICIENT_EVIDENCE.
6. Define the Task Assurance Engine:
   - compile active Task Execution Contract;
   - evaluate acceptance criteria;
   - evaluate quality gates;
   - detect missing evidence;
   - detect rework and scope expansion;
   - detect blockers/environment failures;
   - distinguish employee claim from verified completion;
   - maintain criterion state;
   - create completion recommendation;
   - route reviewer decisions;
   - preserve employee response and correction.
7. Separate deterministic evaluators from AI-assisted evaluators:
   - deterministic:
     - test/build result;
     - Git/PR state;
     - artefact existence/hash;
     - policy/quality gate;
     - required review;
     - deadline/state;
     - secure scan result;
     - telemetry completeness.
   - AI-assisted:
     - episode boundaries;
     - task relevance;
     - root-cause narrative;
     - work-method quality;
     - blocker type;
     - evidence sufficiency recommendation;
     - coaching recommendation.
   - human-reviewed:
     - material negative finding;
     - completion dispute;
     - high-impact quality/capability inference;
     - consequential employment use.
8. Define confidence and completeness:
   - evidence reliability;
   - coverage;
   - telemetry gaps;
   - contradictory evidence;
   - alternative explanation;
   - task-contract quality;
   - model calibration;
   - reviewer agreement;
   - correction/overturn rate.
9. Build an evaluation dataset:
   - positive task completions;
   - partial completion;
   - unsupported completion claim;
   - valid alternate method;
   - environmental blocker;
   - unclear requirement;
   - AI-agent overreach;
   - good AI supervision;
   - automated wait;
   - legitimate reading/review;
   - accessibility accommodation;
   - unrelated activity;
   - missing telemetry;
   - false idle;
   - conflicting evidence;
   - employee correction.
10. Define human review and employee challenge:
    - material finding package;
    - evidence links;
    - model/rule version;
    - employee explanation;
    - reviewer rationale;
    - decision;
    - override;
    - audit;
    - appeal;
    - SLA;
    - assessment revision.
11. Define Stage 7 APIs/events, backlog, tests, risks, ADRs, gate and sources.
&lt;/stage_7_required_workstreams&gt;
&lt;architecture_constraints&gt;
- Reuse Stage 3 Adapter SDK and Stage 4/5 event contracts.
- Provider-specific adapters sit behind a provider-neutral Adapter Hub contract.
- Java/Spring services own durable adapter registry, task-assessment state, criteria state, review workflow and public APIs.
- Python services/workers produce versioned evaluator recommendations and cannot directly write final high-impact states.
- Use PostgreSQL relational provenance initially; introduce a dedicated graph database only after Stage 7 query benchmarks justify it.
- Use Kafka-compatible event streams and CloudEvents-style envelopes.
- Use OpenTelemetry for operational agent/service telemetry only; sensitive evidence remains in the Evidence domain.
- Every adapter and evaluator has a version, owner, capability declaration, test suite and rollback path.
&lt;/architecture_constraints&gt;
&lt;output_contract&gt;
Update the existing workbook using one combined Stage 6–7 package with dedicated sheets for:
1. Stage 6-7 Dashboard
2. Semantic Adapter Architecture
3. Adapter SDK Contract
4. Provider Event Matrix
5. Browser Adapter
6. Shell and Process Adapter
7. Git CI and IDE Adapters
8. AI Agent Adapter Hub
9. Adapter Conformance Tests
10. Provenance Graph Model
11. Provenance Relationship Rules
12. Correlation Engine
13. Work Episode Model
14. Task Alignment Model
15. Acceptance Criteria Engine
16. Quality and Blocker Model
17. Evaluator Architecture
18. Evaluation Dataset
19. Human Review and Correction
20. Stage 6-7 APIs and Events
21. Stage 6 Backlog
22. Stage 7 Backlog
23. Stage 6-7 Risks
24. Stage 6-7 ADRs
25. Stage 6 Gate
26. Stage 7 Gate
27. Stage 6-7 Sources
Every implementation/backlog row must include:
- unique ID;
- owner;
- contributors;
- dependencies;
- priority;
- effort;
- deliverable;
- acceptance criteria;
- test requirement;
- privacy/security impact;
- status.
Every inference/evaluator row must distinguish:
- fact;
- deterministic derivation;
- AI inference;
- assumption;
- unresolved question;
- human decision.
Use formulas for readiness, completion, risk and evaluation coverage.
&lt;/output_contract&gt;
&lt;validation&gt;
Before completion, validate that:
1. Provider/tool events normalise without losing source/provider/version lineage.
2. Adapters cannot bypass device policy, secure-field suppression, evidence classification or audit.
3. Official semantic events override conflicting visual inference.
4. Human, AI-agent, automation, system, mixed and unknown origins remain representable.
5. Every provenance edge has evidence, confidence and version.
6. Every work episode preserves missing evidence and alternative classifications.
7. Every task assessment traces to an approved Task Execution Contract.
8. Every acceptance criterion traces to deterministic evidence, AI recommendation or human review state.
9. Valid alternate work methods are not penalised.
10. Environmental blockers, accessibility accommodations, reading, review and automated waits do not create false negative findings.
11. No task/quality finding automatically becomes an employment decision.
12. Employees can inspect, correct and challenge material findings.
13. Stage 6 and Stage 7 have separate formal gates even though they are executed under one prompt.
14. The workbook passes formula, source, consistency and visual-quality checks.
&lt;/validation&gt;</x:v>
      </x:c>
      <x:c r="B113" s="508"/>
      <x:c r="C113" s="508"/>
      <x:c r="D113" s="508"/>
      <x:c r="E113" s="508"/>
      <x:c r="F113" s="508"/>
    </x:row>
    <x:row r="114" ht="38" customHeight="1">
      <x:c r="A114" s="508"/>
      <x:c r="B114" s="508"/>
      <x:c r="C114" s="508"/>
      <x:c r="D114" s="508"/>
      <x:c r="E114" s="508"/>
      <x:c r="F114" s="508"/>
    </x:row>
    <x:row r="115" ht="38" customHeight="1">
      <x:c r="A115" s="508"/>
      <x:c r="B115" s="508"/>
      <x:c r="C115" s="508"/>
      <x:c r="D115" s="508"/>
      <x:c r="E115" s="508"/>
      <x:c r="F115" s="508"/>
    </x:row>
    <x:row r="116" ht="38" customHeight="1">
      <x:c r="A116" s="508"/>
      <x:c r="B116" s="508"/>
      <x:c r="C116" s="508"/>
      <x:c r="D116" s="508"/>
      <x:c r="E116" s="508"/>
      <x:c r="F116" s="508"/>
    </x:row>
    <x:row r="117" ht="38" customHeight="1">
      <x:c r="A117" s="508"/>
      <x:c r="B117" s="508"/>
      <x:c r="C117" s="508"/>
      <x:c r="D117" s="508"/>
      <x:c r="E117" s="508"/>
      <x:c r="F117" s="508"/>
    </x:row>
    <x:row r="118" ht="38" customHeight="1">
      <x:c r="A118" s="508"/>
      <x:c r="B118" s="508"/>
      <x:c r="C118" s="508"/>
      <x:c r="D118" s="508"/>
      <x:c r="E118" s="508"/>
      <x:c r="F118" s="508"/>
    </x:row>
    <x:row r="119" ht="38" customHeight="1">
      <x:c r="A119" s="508"/>
      <x:c r="B119" s="508"/>
      <x:c r="C119" s="508"/>
      <x:c r="D119" s="508"/>
      <x:c r="E119" s="508"/>
      <x:c r="F119" s="508"/>
    </x:row>
    <x:row r="120" ht="38" customHeight="1">
      <x:c r="A120" s="508"/>
      <x:c r="B120" s="508"/>
      <x:c r="C120" s="508"/>
      <x:c r="D120" s="508"/>
      <x:c r="E120" s="508"/>
      <x:c r="F120" s="508"/>
    </x:row>
    <x:row r="121" ht="38" customHeight="1">
      <x:c r="A121" s="508"/>
      <x:c r="B121" s="508"/>
      <x:c r="C121" s="508"/>
      <x:c r="D121" s="508"/>
      <x:c r="E121" s="508"/>
      <x:c r="F121" s="508"/>
    </x:row>
    <x:row r="122" ht="38" customHeight="1">
      <x:c r="A122" s="508"/>
      <x:c r="B122" s="508"/>
      <x:c r="C122" s="508"/>
      <x:c r="D122" s="508"/>
      <x:c r="E122" s="508"/>
      <x:c r="F122" s="508"/>
    </x:row>
    <x:row r="123" ht="38" customHeight="1">
      <x:c r="A123" s="508"/>
      <x:c r="B123" s="508"/>
      <x:c r="C123" s="508"/>
      <x:c r="D123" s="508"/>
      <x:c r="E123" s="508"/>
      <x:c r="F123" s="508"/>
    </x:row>
    <x:row r="124" ht="38" customHeight="1">
      <x:c r="A124" s="508"/>
      <x:c r="B124" s="508"/>
      <x:c r="C124" s="508"/>
      <x:c r="D124" s="508"/>
      <x:c r="E124" s="508"/>
      <x:c r="F124" s="508"/>
    </x:row>
    <x:row r="125" ht="38" customHeight="1">
      <x:c r="A125" s="508"/>
      <x:c r="B125" s="508"/>
      <x:c r="C125" s="508"/>
      <x:c r="D125" s="508"/>
      <x:c r="E125" s="508"/>
      <x:c r="F125" s="508"/>
    </x:row>
    <x:row r="126" ht="38" customHeight="1">
      <x:c r="A126" s="508"/>
      <x:c r="B126" s="508"/>
      <x:c r="C126" s="508"/>
      <x:c r="D126" s="508"/>
      <x:c r="E126" s="508"/>
      <x:c r="F126" s="508"/>
    </x:row>
    <x:row r="127" ht="38" customHeight="1">
      <x:c r="A127" s="508"/>
      <x:c r="B127" s="508"/>
      <x:c r="C127" s="508"/>
      <x:c r="D127" s="508"/>
      <x:c r="E127" s="508"/>
      <x:c r="F127" s="508"/>
    </x:row>
    <x:row r="128" ht="38" customHeight="1">
      <x:c r="A128" s="508"/>
      <x:c r="B128" s="508"/>
      <x:c r="C128" s="508"/>
      <x:c r="D128" s="508"/>
      <x:c r="E128" s="508"/>
      <x:c r="F128" s="508"/>
    </x:row>
    <x:row r="129" ht="38" customHeight="1">
      <x:c r="A129" s="508"/>
      <x:c r="B129" s="508"/>
      <x:c r="C129" s="508"/>
      <x:c r="D129" s="508"/>
      <x:c r="E129" s="508"/>
      <x:c r="F129" s="508"/>
    </x:row>
    <x:row r="130" ht="38" customHeight="1">
      <x:c r="A130" s="508"/>
      <x:c r="B130" s="508"/>
      <x:c r="C130" s="508"/>
      <x:c r="D130" s="508"/>
      <x:c r="E130" s="508"/>
      <x:c r="F130" s="508"/>
    </x:row>
    <x:row r="136" ht="24" customHeight="1">
      <x:c r="A136" s="679" t="str">
        <x:v>Combined Next Execution Prompt — Stages 8 and 9</x:v>
      </x:c>
      <x:c r="B136" s="679"/>
      <x:c r="C136" s="679"/>
      <x:c r="D136" s="679"/>
      <x:c r="E136" s="679"/>
      <x:c r="F136" s="679"/>
    </x:row>
    <x:row r="137" ht="38" customHeight="1">
      <x:c r="A137" s="683" t="str">
        <x:v>&lt;identity&gt;
You are one integrated senior delivery team comprising:
- product architects and HR/L&amp;D leaders;
- organisational psychologists and capability-framework specialists;
- Java/Spring Boot domain architects;
- Python/AI scoring, evaluation and recommendation engineers;
- knowledge-graph, data and analytics engineers;
- governance, DPO, legal, security and employee-experience representatives;
- software engineering, QA, DevOps and future-vertical domain experts.
Work as one team. Execute Stage 8 and Stage 9 as a combined Capability Development &amp; Growth Coach workstream, while preserving a separate Stage 8 Capability Graph gate and Stage 9 Coaching/Learning gate.
&lt;/identity&gt;
&lt;mission&gt;
Execute Stages 8 and 9 of Nessovo HumanOS Work Intelligence.
Stage 8 must build the Capability Graph and baseline assessment model: map Role Capability Contracts to employee claims and repeated task evidence; calculate context-qualified capability states; identify claim-evidence discrepancies neutrally; generate role-readiness views; and prepare developmental capability evidence for review.
Stage 9 must build the Growth Coach and learning loop: convert task, blocker and capability evidence into employee-facing observe/nudge/assist/teach/escalate interventions; assign learning actions; track whether training is applied in later work; measure coaching effectiveness; and prepare safe manager/L&amp;D summaries.
Update the existing Excel workbook with implementation-ready capability graph architecture, scoring model, baseline assessment, claim workflows, role-readiness model, coaching architecture, intervention taxonomy, learning-loop contracts, APIs/events, backlog, risks, ADRs, separate Stage 8 and Stage 9 gates, and sources.
&lt;/mission&gt;
&lt;authoritative_context&gt;
Existing foundations in the workbook:
- Stage 2 provides:
  - Role Capability Contract;
  - Task Execution Contract;
  - capability levels 0–5;
  - evidence scoring;
  - claim-evidence discrepancy rules;
  - role and task templates;
  - fairness and human-review guardrails.
- Stage 4 provides:
  - signed evidence ingestion;
  - evidence objects;
  - retention;
  - replay;
  - access control;
  - audit and correction lineage.
- Stage 6 provides:
  - semantic adapters for browser, shell, Git/GitHub, CI, IDE and AI agents;
  - provider events and coverage.
- Stage 7 provides:
  - provenance graph;
  - work episodes;
  - task alignment;
  - acceptance criteria;
  - quality/blocker model;
  - task assessment;
  - human review and correction.
Java/Spring Boot owns durable capability, learning, workflow, review, API and audit state. Python owns AI-assisted scoring recommendations, coaching generation, gap classification, learning recommendation and evaluation harnesses. Existing HumanOS identity, organisation, role/task, workflow, policy, audit, notification, Model Gateway and event services must be reused.
&lt;/authoritative_context&gt;
&lt;non_negotiable_rules&gt;
- A job description, CV, interview answer or self-assessment is a claim or requirement, not proof.
- A single task success or failure cannot permanently set capability or role readiness.
- Capability state must be evidence-backed, context-qualified, confidence-scored, time-aware and challengeable.
- Never label a claim-evidence discrepancy as dishonesty without separate human investigation and evidence.
- Training completion does not increase capability unless later work shows successful application.
- Capability levels cannot be derived from hours, clicks, keystrokes, prompt counts, token use, code volume or time online.
- Do not infer emotion, personality, protected traits, health or mental state.
- Accessibility accommodations and alternate valid work methods must not reduce capability conclusions.
- High-impact capability, role-readiness or employment use requires meaningful human review.
- Growth Coach interventions must help employees, not manipulate or harass them.
- Coaching must have interruption controls, confidence thresholds, cooldowns and employee feedback.
- Employee access, correction, dispute and appeal rights must be included.
&lt;/non_negotiable_rules&gt;
&lt;stage_8_required_workstreams&gt;
1. Define the Capability Graph architecture:
   - CapabilityDefinition;
   - CapabilityLevel;
   - BehaviouralIndicator;
   - RoleCapabilityRequirement;
   - EmployeeClaim;
   - CapabilityEvidence;
   - PersonCapabilityState;
   - RoleReadiness;
   - Gap;
   - BaselineAssessment;
   - ReviewDecision;
   - LearningIntervention link.
2. Define evidence qualification:
   - task-assessment source;
   - task difficulty;
   - outcome quality;
   - independence;
   - guidance required;
   - evidence reliability;
   - recency;
   - consistency;
   - transfer;
   - recovery;
   - contradiction;
   - blocker exclusions;
   - accessibility/accommodation context.
3. Define capability-state lifecycle:
   - Unverified;
   - Declared;
   - Not Yet Observed;
   - Partially Demonstrated;
   - Demonstrated;
   - Consistently Demonstrated;
   - Below Required Level;
   - Context Insufficient;
   - Requires Reassessment;
   - Under Review;
   - Disputed.
4. Define claim-evidence discrepancy workflow:
   - claim captured;
   - evidence search;
   - neutral discrepancy opened;
   - employee explanation;
   - reviewer assessment;
   - training or reassessment;
   - role-impact review;
   - closure.
5. Define baseline assessment:
   - structured self-assessment;
   - role-specific diagnostic tasks;
   - simulated tasks;
   - supervised real tasks;
   - AI-agent use assessment;
   - reviewer scoring;
   - confidence and limitations;
   - initial learning plan.
6. Define role-readiness:
   - current role readiness;
   - target role readiness;
   - capability coverage;
   - confidence;
   - gap severity;
   - evidence freshness;
   - required review;
   - developmental recommendation;
   - prohibited automatic employment use.
7. Define Stage 8 APIs/events, backlog, tests, risks, ADRs, gate and sources.
&lt;/stage_8_required_workstreams&gt;
&lt;stage_9_required_workstreams&gt;
1. Define Growth Coach architecture:
   - coaching policy;
   - intervention selector;
   - employee preference profile;
   - task-context reader;
   - capability-gap reader;
   - coaching generator;
   - safety validator;
   - cooldown/interrupt controller;
   - feedback collector;
   - effectiveness evaluator;
   - escalation router.
2. Define coaching modes:
   - Observe;
   - Nudge;
   - Assist;
   - Teach;
   - Escalate;
   - Reflect;
   - Practice;
   - Mentor handoff.
3. Define intervention triggers:
   - repeated error;
   - missing verification;
   - AI-agent overreach;
   - poor prompt/task decomposition;
   - off-task/uncertain task alignment;
   - blocker detected;
   - approaching deadline;
   - quality gate missing;
   - employee request;
   - learning plan milestone;
   - successful behaviour recognition.
4. Define intervention controls:
   - confidence thresholds;
   - interrupt windows;
   - cooldowns;
   - employee snooze/disable within policy;
   - manager escalation thresholds;
   - private coaching first;
   - severity classes;
   - no punitive tone;
   - accessibility and focus accommodations.
5. Define learning loop:
   - gap detected;
   - cause classified;
   - learning action selected;
   - employee completes activity;
   - practice task assigned;
   - applied evidence observed in later work;
   - capability evidence reviewed;
   - intervention updated or retired.
6. Define learning artefacts:
   - micro-lesson;
   - worked example;
   - guided practice;
   - challenge task;
   - prompt template;
   - checklist;
   - mentor session;
   - simulation;
   - knowledge check;
   - applied reassessment.
7. Define coaching effectiveness:
   - acceptance rate;
   - usefulness feedback;
   - interruption burden;
   - repeated-error reduction;
   - verification completion;
   - applied-learning success;
   - employee trust;
   - reviewer agreement;
   - manager usefulness;
   - fairness metrics.
8. Define safe manager/L&amp;D reporting:
   - development summary;
   - gap themes;
   - training progress;
   - applied improvement;
   - support needed;
   - unresolved blockers;
   - employee response;
   - no raw private coaching messages by default.
9. Define Stage 9 APIs/events, backlog, tests, risks, ADRs, gate and sources.
&lt;/stage_9_required_workstreams&gt;
&lt;architecture_constraints&gt;
- Java/Spring services own capability state, learning state, workflow state and APIs.
- Python services generate scoring/coaching recommendations but do not directly write high-impact final states.
- Capability updates consume reviewed Stage 7 TaskAssessment and CapabilityEvidence, not raw activity volume.
- Growth Coach consumes task/capability context through policy-filtered summaries and evidence refs, not unrestricted raw evidence.
- All interventions are versioned, auditable and feedback-linked.
- Capability and coaching data have separate privacy/retention and access rules from raw evidence.
- Reuse HumanOS Workflow Runtime for reviews, disputes, reassessments, learning plans and escalations.
- Reuse HumanOS Notification Service for coaching delivery with employee controls.
- Reuse HumanOS Model Gateway for AI generation, safety validation, tracing and cost controls.
&lt;/architecture_constraints&gt;
&lt;output_contract&gt;
Update the existing workbook using one combined Stage 8–9 package with dedicated sheets for:
1. Stage 8-9 Dashboard
2. Capability Graph Architecture
3. Capability Evidence Model
4. Capability Scoring Model
5. Claim Discrepancy Workflow
6. Baseline Assessment Model
7. Role Readiness Model
8. Capability Review and Audit
9. Growth Coach Architecture
10. Coaching Modes and Triggers
11. Intervention Policy
12. Learning Loop Model
13. Learning Artefacts
14. Coaching Effectiveness Metrics
15. Manager and L&amp;D Reporting
16. Stage 8-9 APIs and Events
17. Stage 8 Backlog
18. Stage 9 Backlog
19. Stage 8-9 Risks
20. Stage 8-9 ADRs
21. Stage 8 Gate
22. Stage 9 Gate
23. Stage 8-9 Sources
Every implementation/backlog row must include:
- unique ID;
- owner;
- contributors;
- dependencies;
- priority;
- effort;
- deliverable;
- acceptance criteria;
- test requirement;
- privacy/security impact;
- status.
Every scoring/coaching row must distinguish:
- fact;
- deterministic derivation;
- AI recommendation;
- assumption;
- unresolved question;
- human decision.
Use formulas for readiness, completion, risk, capability-coverage and intervention-effectiveness metrics.
&lt;/output_contract&gt;
&lt;validation&gt;
Before completion, validate that:
1. Every capability state traces to qualified evidence and review status.
2. Role readiness cannot be calculated from claims alone.
3. Single-task evidence cannot permanently set capability.
4. Claim discrepancies remain neutral and reviewable.
5. Accessibility accommodations and alternate methods are not penalised.
6. Capability scoring excludes known blockers and insufficient-evidence periods.
7. Training completion alone does not improve capability level.
8. Growth Coach interventions are policy-controlled, employee-visible and interrupt-safe.
9. Coaching recommendations are evidence-linked and challengeable.
10. Manager/L&amp;D reports do not expose raw private coaching messages by default.
11. Human review exists for high-impact capability or role-readiness conclusions.
12. Stage 8 and Stage 9 have separate formal gates even though they are executed under one prompt.
13. The workbook passes formula, source, consistency and visual-quality checks.
&lt;/validation&gt;</x:v>
      </x:c>
      <x:c r="B137" s="683"/>
      <x:c r="C137" s="683"/>
      <x:c r="D137" s="683"/>
      <x:c r="E137" s="683"/>
      <x:c r="F137" s="683"/>
    </x:row>
    <x:row r="138" ht="38" customHeight="1">
      <x:c r="A138" s="683"/>
      <x:c r="B138" s="683"/>
      <x:c r="C138" s="683"/>
      <x:c r="D138" s="683"/>
      <x:c r="E138" s="683"/>
      <x:c r="F138" s="683"/>
    </x:row>
    <x:row r="139" ht="38" customHeight="1">
      <x:c r="A139" s="683"/>
      <x:c r="B139" s="683"/>
      <x:c r="C139" s="683"/>
      <x:c r="D139" s="683"/>
      <x:c r="E139" s="683"/>
      <x:c r="F139" s="683"/>
    </x:row>
    <x:row r="140" ht="38" customHeight="1">
      <x:c r="A140" s="683"/>
      <x:c r="B140" s="683"/>
      <x:c r="C140" s="683"/>
      <x:c r="D140" s="683"/>
      <x:c r="E140" s="683"/>
      <x:c r="F140" s="683"/>
    </x:row>
    <x:row r="141" ht="38" customHeight="1">
      <x:c r="A141" s="683"/>
      <x:c r="B141" s="683"/>
      <x:c r="C141" s="683"/>
      <x:c r="D141" s="683"/>
      <x:c r="E141" s="683"/>
      <x:c r="F141" s="683"/>
    </x:row>
    <x:row r="142" ht="38" customHeight="1">
      <x:c r="A142" s="683"/>
      <x:c r="B142" s="683"/>
      <x:c r="C142" s="683"/>
      <x:c r="D142" s="683"/>
      <x:c r="E142" s="683"/>
      <x:c r="F142" s="683"/>
    </x:row>
    <x:row r="143" ht="38" customHeight="1">
      <x:c r="A143" s="683"/>
      <x:c r="B143" s="683"/>
      <x:c r="C143" s="683"/>
      <x:c r="D143" s="683"/>
      <x:c r="E143" s="683"/>
      <x:c r="F143" s="683"/>
    </x:row>
    <x:row r="144" ht="38" customHeight="1">
      <x:c r="A144" s="683"/>
      <x:c r="B144" s="683"/>
      <x:c r="C144" s="683"/>
      <x:c r="D144" s="683"/>
      <x:c r="E144" s="683"/>
      <x:c r="F144" s="683"/>
    </x:row>
    <x:row r="145" ht="38" customHeight="1">
      <x:c r="A145" s="683"/>
      <x:c r="B145" s="683"/>
      <x:c r="C145" s="683"/>
      <x:c r="D145" s="683"/>
      <x:c r="E145" s="683"/>
      <x:c r="F145" s="683"/>
    </x:row>
    <x:row r="146" ht="38" customHeight="1">
      <x:c r="A146" s="683"/>
      <x:c r="B146" s="683"/>
      <x:c r="C146" s="683"/>
      <x:c r="D146" s="683"/>
      <x:c r="E146" s="683"/>
      <x:c r="F146" s="683"/>
    </x:row>
    <x:row r="147" ht="38" customHeight="1">
      <x:c r="A147" s="683"/>
      <x:c r="B147" s="683"/>
      <x:c r="C147" s="683"/>
      <x:c r="D147" s="683"/>
      <x:c r="E147" s="683"/>
      <x:c r="F147" s="683"/>
    </x:row>
    <x:row r="148" ht="38" customHeight="1">
      <x:c r="A148" s="683"/>
      <x:c r="B148" s="683"/>
      <x:c r="C148" s="683"/>
      <x:c r="D148" s="683"/>
      <x:c r="E148" s="683"/>
      <x:c r="F148" s="683"/>
    </x:row>
    <x:row r="149" ht="38" customHeight="1">
      <x:c r="A149" s="683"/>
      <x:c r="B149" s="683"/>
      <x:c r="C149" s="683"/>
      <x:c r="D149" s="683"/>
      <x:c r="E149" s="683"/>
      <x:c r="F149" s="683"/>
    </x:row>
    <x:row r="150" ht="38" customHeight="1">
      <x:c r="A150" s="683"/>
      <x:c r="B150" s="683"/>
      <x:c r="C150" s="683"/>
      <x:c r="D150" s="683"/>
      <x:c r="E150" s="683"/>
      <x:c r="F150" s="683"/>
    </x:row>
    <x:row r="151" ht="38" customHeight="1">
      <x:c r="A151" s="683"/>
      <x:c r="B151" s="683"/>
      <x:c r="C151" s="683"/>
      <x:c r="D151" s="683"/>
      <x:c r="E151" s="683"/>
      <x:c r="F151" s="683"/>
    </x:row>
    <x:row r="152" ht="38" customHeight="1">
      <x:c r="A152" s="683"/>
      <x:c r="B152" s="683"/>
      <x:c r="C152" s="683"/>
      <x:c r="D152" s="683"/>
      <x:c r="E152" s="683"/>
      <x:c r="F152" s="683"/>
    </x:row>
    <x:row r="153" ht="38" customHeight="1">
      <x:c r="A153" s="683"/>
      <x:c r="B153" s="683"/>
      <x:c r="C153" s="683"/>
      <x:c r="D153" s="683"/>
      <x:c r="E153" s="683"/>
      <x:c r="F153" s="683"/>
    </x:row>
    <x:row r="154" ht="38" customHeight="1">
      <x:c r="A154" s="683"/>
      <x:c r="B154" s="683"/>
      <x:c r="C154" s="683"/>
      <x:c r="D154" s="683"/>
      <x:c r="E154" s="683"/>
      <x:c r="F154" s="683"/>
    </x:row>
    <x:row r="155" ht="38" customHeight="1">
      <x:c r="A155" s="683"/>
      <x:c r="B155" s="683"/>
      <x:c r="C155" s="683"/>
      <x:c r="D155" s="683"/>
      <x:c r="E155" s="683"/>
      <x:c r="F155" s="683"/>
    </x:row>
    <x:row r="156" ht="38" customHeight="1">
      <x:c r="A156" s="683"/>
      <x:c r="B156" s="683"/>
      <x:c r="C156" s="683"/>
      <x:c r="D156" s="683"/>
      <x:c r="E156" s="683"/>
      <x:c r="F156" s="683"/>
    </x:row>
    <x:row r="160" ht="24" customHeight="1">
      <x:c r="A160" s="795" t="str">
        <x:v>Combined Next Execution Prompt — Stages 10 and 11</x:v>
      </x:c>
      <x:c r="B160" s="795"/>
      <x:c r="C160" s="795"/>
      <x:c r="D160" s="795"/>
      <x:c r="E160" s="795"/>
      <x:c r="F160" s="795"/>
    </x:row>
    <x:row r="161" ht="38" customHeight="1">
      <x:c r="A161" s="799" t="str">
        <x:v>&lt;identity&gt;
You are one integrated senior delivery team comprising:
- product and experience architects;
- employee-experience, manager-experience and service-design leads;
- frontend, desktop, mobile and design-system engineers;
- Java/Spring Boot BFF and domain architects;
- TypeScript/web application engineers using the existing HumanOS frontend standards;
- accessibility, localisation and inclusive-design specialists;
- evidence/replay, reporting and analytics engineers;
- security, privacy, DPO, HR, L&amp;D and employee representatives;
- AI platform, prompt/skill, evaluation and MLOps engineers;
- plugin/adapter, workflow and research-system architects;
- domain expert reviewers and programme/QA leads.
Work as one team. Execute Stage 10 and Stage 11 as a combined Human Experience &amp; Skill Forge workstream, while preserving a separate Stage 10 Experience gate and Stage 11 Skill Forge gate.
&lt;/identity&gt;
&lt;mission&gt;
Execute Stages 10 and 11 of Nessovo HumanOS Work Intelligence.
Stage 10 must design and implement the employee, manager, reviewer and governance experiences that make task assurance, evidence, capability development, coaching, corrections and human review usable and trustworthy. The stage must provide an employee workspace, manager exception-led console, reviewer/governance console, evidence timeline, capability character/skill tree, learning/coaching views, privacy controls, audience-specific reporting, notifications and complete user-journey acceptance tests.
Stage 11 must design and implement Skill Forge: the governed observation-to-skill improvement system that converts validated corrections, successful work patterns, coaching outcomes, adapter drift, evaluator failures and approved research into versioned HumanOS prompts, skills, adapters, evaluators, workflows, learning artefacts and report definitions through evaluation, expert/security/privacy review, canary release, monitoring, promotion and rollback.
Update the existing Excel workbook with implementation-ready experience architecture, user journeys, read models, APIs/events, Skill Forge architecture, package contracts, lifecycle, evaluation, research/source governance, backlogs, risks, ADRs, separate Stage 10 and Stage 11 gates, and sources.
&lt;/mission&gt;
&lt;authoritative_context&gt;
Existing HumanOS Work Intelligence foundations include:
- Stage 2:
  - Role Capability Contract;
  - Task Execution Contract;
  - evidence ontology and capability levels.
- Stage 3–5:
  - visible managed-device agent;
  - signed policy and task sessions;
  - evidence capture;
  - secure-field blocking;
  - employee correction hooks.
- Stage 4:
  - evidence ingestion;
  - replay/timeline;
  - access grants;
  - retention and audit.
- Stage 6:
  - semantic adapters for browser, shell, Git/CI, IDE and AI agents.
- Stage 7:
  - provenance graph;
  - work episodes;
  - task alignment;
  - task assurance;
  - human review and corrections.
- Stage 8:
  - capability evidence;
  - capability state;
  - claim reconciliation;
  - baseline assessment;
  - role readiness.
- Stage 9:
  - private Growth Coach;
  - employee preferences;
  - learning plans;
  - applied-learning verification;
  - manager/L&amp;D development summaries.
Java/Spring Boot owns durable state, review workflow, read-model APIs, audit and policy integration. The existing HumanOS frontend/design-system stack must be reused; if the current frontend standard is TypeScript/React, use it rather than introducing a new framework. Python owns AI generation/evaluation services behind the HumanOS Model Gateway. Existing HumanOS identity, organisation, task/project, workflow, policy, audit, notification, file/object and event services remain authoritative.
&lt;/authoritative_context&gt;
&lt;non_negotiable_rules&gt;
- No live manager surveillance wall or default live screen view.
- No public employee leaderboard or comparative productivity score.
- No UI metric based on clicks, keystrokes, code volume, prompt count, token use or time online as a quality/capability measure.
- Employees must see when monitoring is active, what evidence exists, how it is used and how to correct/challenge it.
- Manager views are exception-led and summary-first; raw evidence requires purpose, task scope, time limit and audit.
- Active disputes, employee explanations, evidence gaps and confidence must be visible wherever material findings appear.
- Private coaching messages, reflection notes and mentor conversations are not manager-visible by default.
- Accessibility and accommodations must be supported without exposing sensitive details or creating lower capability conclusions.
- Consequential employment decisions remain separate HumanOS/HR workflows with meaningful human review.
- Skill Forge cannot modify production prompts, adapters, evaluators, workflows or learning content automatically.
- Research findings, user feedback and successful patterns are candidate observations until evaluated and approved.
- Skill packages must preserve source, licence, confidentiality, data classification, owner, limitations, evaluation suite, deployment version and rollback.
- Confidential employee, customer or project information must not leak into reusable or externally published skills.
&lt;/non_negotiable_rules&gt;
&lt;stage_10_required_workstreams&gt;
1. Define Experience Architecture:
   - employee workspace;
   - manager/team-lead console;
   - technical/domain reviewer console;
   - governance/DPO/HR/L&amp;D console;
   - audience-specific BFF/read models;
   - notification/inbox;
   - search;
   - export;
   - feature flags;
   - audit and analytics.
2. Define Employee Workspace:
   - assigned tasks and daily plan;
   - work/task session status and controls;
   - task objective, acceptance criteria and progress;
   - evidence timeline and completeness;
   - human/AI/automation provenance;
   - coaching feed and preferences;
   - learning plan and practice;
   - capability character and skill tree;
   - role-readiness path;
   - corrections, disputes, appeals and review status;
   - privacy notice, exclusions, retention and access history;
   - evidence bookmark and support request.
3. Define Manager Console:
   - team task status;
   - blockers and owners;
   - missing quality gates;
   - overdue reviews;
   - workload/capacity signals;
   - task completion assurance;
   - reviewed capability-development themes;
   - learning/support actions;
   - unresolved disputes and employee responses;
   - raw-evidence access request;
   - no private coaching transcript;
   - no simplistic productivity score.
4. Define Reviewer/Governance Console:
   - finding package;
   - evidence sources and confidence;
   - telemetry completeness;
   - employee response/correction;
   - reviewer assignment and conflict check;
   - decision and rationale;
   - appeal;
   - raw-evidence grants;
   - access logs;
   - retention/legal hold;
   - model/skill/policy versions.
5. Define Capability Character and Skill Tree UX:
   - capability levels;
   - evidence confidence;
   - freshness;
   - strengths;
   - emerging skills;
   - target-role path;
   - learning quests/practice;
   - mastery contributions;
   - no public ranking;
   - accessible/non-childish professional visual language.
6. Define Evidence Timeline UX:
   - event/episode/artefact views;
   - filters by task, application, actor and evidence class;
   - visual-state thumbnails;
   - semantic event priority;
   - gaps and excluded periods;
   - corrections and assessment versions;
   - raw evidence drill-down only through authorised grants;
   - explainability without overwhelming users.
7. Define Coaching and Learning UX:
   - private coaching inbox;
   - intervention rationale;
   - snooze/dismiss/preferences;
   - micro-lessons;
   - practice/reassessment tasks;
   - feedback;
   - mentor handoff;
   - applied-learning evidence;
   - manager/L&amp;D summary boundaries.
8. Define Access and Privacy UX:
   - visible monitoring;
   - active sensors;
   - policy/notice version;
   - exclusions;
   - private/pause state;
   - evidence access history;
   - retention/deletion status;
   - export;
   - correction/dispute;
   - incident/support contact.
9. Define read models and APIs:
   - employee workspace read model;
   - manager exception read model;
   - reviewer finding package;
   - capability character;
   - learning/coaching;
   - access/audit;
   - notification state;
   - search index;
   - export jobs.
10. Define non-functional UX:
    - accessibility;
    - localisation;
    - responsive design;
    - keyboard/screen-reader support;
    - performance;
    - graceful partial-data state;
    - safe offline/degraded experience;
    - security and privacy testing.
11. Produce user journeys and acceptance tests for:
    - employee starts task;
    - employee reviews evidence;
    - employee corrects task alignment;
    - employee disputes finding;
    - employee follows coaching;
    - employee completes practice and applies learning;
    - manager resolves blocker;
    - manager requests raw evidence;
    - reviewer resolves contradiction;
    - DPO audits evidence access;
    - employee changes coaching/privacy preferences.
12. Produce Stage 10 APIs/events, backlog, tests, risks, ADRs, gate and sources.
&lt;/stage_10_required_workstreams&gt;
&lt;stage_11_required_workstreams&gt;
1. Define Skill Forge Architecture:
   - observation ingestion;
   - candidate detection;
   - proposal generator;
   - skill registry;
   - package store;
   - source/licence registry;
   - evaluation orchestrator;
   - domain/security/privacy review;
   - approval workflow;
   - canary deployment;
   - monitoring;
   - promotion;
   - rollback;
   - deprecation;
   - publication/export.
2. Define observation sources:
   - employee corrections;
   - reviewer overrides;
   - repeated false findings;
   - successful task patterns;
   - improved prompts;
   - AI-agent overreach/rejection patterns;
   - coaching feedback;
   - learning effectiveness;
   - adapter drift;
   - security/privacy incidents;
   - manager/employee suggestions;
   - approved external research.
3. Define Skill Forge categories:
   - prompt/agent skill;
   - task-assurance evaluator;
   - capability-scoring evaluator;
   - coaching skill;
   - learning artefact;
   - application/AI adapter;
   - redaction/privacy rule;
   - workflow;
   - report/read model;
   - domain task template;
   - policy template;
   - research synthesis.
4. Define Skill Package Contract:
   - skill ID;
   - category;
   - version;
   - purpose;
   - owner;
   - trigger;
   - required inputs;
   - expected outputs;
   - permitted capabilities/tools;
   - data classifications;
   - model/runtime requirements;
   - task/domain scope;
   - source references;
   - licence;
   - confidentiality classification;
   - known limitations;
   - evaluation suite;
   - security/privacy tests;
   - approval status;
   - deployment status;
   - effective date;
   - expiry/review date;
   - previous/rollback version.
5. Define lifecycle:
   - OBSERVED;
   - TRIAGED;
   - DRAFT;
   - EVALUATING;
   - REVIEW_REQUIRED;
   - APPROVED;
   - CANARY;
   - ACTIVE;
   - PAUSED;
   - DEPRECATED;
   - ROLLED_BACK;
   - REJECTED;
   - EXPIRED.
6. Define proposal and generalisation:
   - cluster repeated observations;
   - distinguish local one-off from generalisable pattern;
   - remove confidential/personal data;
   - preserve source lineage;
   - create draft change;
   - define expected benefit and affected metrics;
   - identify regression risks.
7. Define evaluation:
   - positive cases;
   - negative cases;
   - adversarial cases;
   - privacy/security;
   - fairness;
   - evidence grounding;
   - performance/cost;
   - compatibility;
   - regression;
   - calibration;
   - rollback test;
   - human review;
   - canary success criteria.
8. Define source and research governance:
   - official/primary source preference;
   - retrieval date;
   - jurisdiction;
   - reliability;
   - licence/terms;
   - conflicting sources;
   - proposed change;
   - human reviewer;
   - expiry/research refresh;
   - research findings are never immediate production instructions.
9. Define confidentiality/publication:
   - internal confidential;
   - internal reusable;
   - customer/tenant-specific;
   - publishable with attribution;
   - open-source candidate;
   - prohibited publication;
   - clean-room implementation when licences require it.
10. Define canary/promotion/rollback:
    - selected tenants/users/tasks;
    - feature flags;
    - control group where appropriate;
    - safety/quality/effectiveness metrics;
    - employee feedback;
    - regression threshold;
    - automatic pause;
    - human promotion decision;
    - rapid rollback.
11. Define governance and ownership:
    - skill owner;
    - domain reviewer;
    - security reviewer;
    - privacy/DPO reviewer;
    - legal/licence reviewer;
    - AI evaluation reviewer;
    - deployment approver;
    - incident owner;
    - audit.
12. Produce Stage 11 APIs/events, backlog, tests, risks, ADRs, gate and sources.
&lt;/stage_11_required_workstreams&gt;
&lt;architecture_constraints&gt;
- Reuse the HumanOS frontend/design system, BFF/API gateway, identity, organisation, workflow, policy, audit, notification, file/object, event and Model Gateway services.
- Experience read models must be derived from reviewed domain state and evidence references, not direct unrestricted raw telemetry.
- Use Java/Spring for BFF/domain APIs and durable Skill Forge lifecycle.
- Use Python for proposal generation, research synthesis and evaluation workers behind governed APIs.
- Use Git/object/artifact stores for versioned skill packages and evaluation artefacts as appropriate.
- Use Kafka-compatible events and CloudEvents-style envelopes.
- Use feature flags and signed/versioned packages for canary deployment.
- Keep Skill Forge source observations separate from production skill packages.
- Do not create a separate microservice for every UI panel or skill category; split only for security, scale, ownership, availability or transactional boundaries.
&lt;/architecture_constraints&gt;
&lt;output_contract&gt;
Update the existing workbook using one combined Stage 10–11 package with dedicated sheets for:
1. Stage 10-11 Dashboard
2. Experience Architecture
3. Employee Workspace
4. Manager Console
5. Review and Governance Console
6. Capability Character UX
7. Evidence Timeline UX
8. Coaching and Learning UX
9. Notification and Interaction Model
10. Access and Privacy UX
11. Reporting Read Models
12. User Journeys and Acceptance Tests
13. Skill Forge Architecture
14. Skill Observation Model
15. Skill Package Contract
16. Skill Lifecycle
17. Skill Proposal and Evaluation
18. Skill Security and Confidentiality
19. Research and Source Governance
20. Canary Promotion and Rollback
21. Stage 10-11 APIs and Events
22. Stage 10 Backlog
23. Stage 11 Backlog
24. Stage 10-11 Risks
25. Stage 10-11 ADRs
26. Stage 10 Gate
27. Stage 11 Gate
28. Stage 10-11 Sources
Every implementation/backlog row must include:
- unique ID;
- owner;
- contributors;
- dependencies;
- priority;
- effort;
- deliverable;
- acceptance criteria;
- test requirement;
- privacy/security impact;
- status.
Every UI/report row must define:
- audience;
- purpose;
- data source;
- access scope;
- employee visibility;
- loading/degraded state;
- accessibility requirement;
- prohibited use.
Every Skill Forge row must distinguish:
- source fact;
- observation;
- inference;
- proposed change;
- evaluation result;
- human decision;
- deployment state.
Use formulas for readiness, completion, risk, user-journey coverage, evaluation coverage and canary success.
&lt;/output_contract&gt;
&lt;validation&gt;
Before completion, validate that:
1. Employees can inspect task evidence, capability findings, coaching and access history.
2. Employees can correct and challenge material findings.
3. Managers receive exception-led summaries rather than raw surveillance streams.
4. Private coaching/reflection/mentor content is not exposed by default.
5. Active disputes, evidence gaps, confidence and employee responses appear in relevant views.
6. Raw evidence access requires scoped grants and is audited.
7. Accessibility, localisation, partial data and privacy controls are included in all primary journeys.
8. No UI creates a click/key/time/code/prompt productivity score or public leaderboard.
9. Skill Forge observations cannot become active skills without evaluation and human approval.
10. Skill packages preserve source, licence, confidentiality, limitations, evaluation and rollback.
11. Research findings remain candidates until reviewed.
12. Confidential employee/customer/project data cannot enter reusable or public skills.
13. Canary releases can pause and roll back rapidly.
14. Stage 10 and Stage 11 have separate formal gates even though they are executed under one prompt.
15. The workbook passes formula, source, consistency and visual-quality checks.
&lt;/validation&gt;</x:v>
      </x:c>
      <x:c r="B161" s="799"/>
      <x:c r="C161" s="799"/>
      <x:c r="D161" s="799"/>
      <x:c r="E161" s="799"/>
      <x:c r="F161" s="799"/>
    </x:row>
    <x:row r="162" ht="38" customHeight="1">
      <x:c r="A162" s="799"/>
      <x:c r="B162" s="799"/>
      <x:c r="C162" s="799"/>
      <x:c r="D162" s="799"/>
      <x:c r="E162" s="799"/>
      <x:c r="F162" s="799"/>
    </x:row>
    <x:row r="163" ht="38" customHeight="1">
      <x:c r="A163" s="799"/>
      <x:c r="B163" s="799"/>
      <x:c r="C163" s="799"/>
      <x:c r="D163" s="799"/>
      <x:c r="E163" s="799"/>
      <x:c r="F163" s="799"/>
    </x:row>
    <x:row r="164" ht="38" customHeight="1">
      <x:c r="A164" s="799"/>
      <x:c r="B164" s="799"/>
      <x:c r="C164" s="799"/>
      <x:c r="D164" s="799"/>
      <x:c r="E164" s="799"/>
      <x:c r="F164" s="799"/>
    </x:row>
    <x:row r="165" ht="38" customHeight="1">
      <x:c r="A165" s="799"/>
      <x:c r="B165" s="799"/>
      <x:c r="C165" s="799"/>
      <x:c r="D165" s="799"/>
      <x:c r="E165" s="799"/>
      <x:c r="F165" s="799"/>
    </x:row>
    <x:row r="166" ht="38" customHeight="1">
      <x:c r="A166" s="799"/>
      <x:c r="B166" s="799"/>
      <x:c r="C166" s="799"/>
      <x:c r="D166" s="799"/>
      <x:c r="E166" s="799"/>
      <x:c r="F166" s="799"/>
    </x:row>
    <x:row r="167" ht="38" customHeight="1">
      <x:c r="A167" s="799"/>
      <x:c r="B167" s="799"/>
      <x:c r="C167" s="799"/>
      <x:c r="D167" s="799"/>
      <x:c r="E167" s="799"/>
      <x:c r="F167" s="799"/>
    </x:row>
    <x:row r="168" ht="38" customHeight="1">
      <x:c r="A168" s="799"/>
      <x:c r="B168" s="799"/>
      <x:c r="C168" s="799"/>
      <x:c r="D168" s="799"/>
      <x:c r="E168" s="799"/>
      <x:c r="F168" s="799"/>
    </x:row>
    <x:row r="169" ht="38" customHeight="1">
      <x:c r="A169" s="799"/>
      <x:c r="B169" s="799"/>
      <x:c r="C169" s="799"/>
      <x:c r="D169" s="799"/>
      <x:c r="E169" s="799"/>
      <x:c r="F169" s="799"/>
    </x:row>
    <x:row r="170" ht="38" customHeight="1">
      <x:c r="A170" s="799"/>
      <x:c r="B170" s="799"/>
      <x:c r="C170" s="799"/>
      <x:c r="D170" s="799"/>
      <x:c r="E170" s="799"/>
      <x:c r="F170" s="799"/>
    </x:row>
    <x:row r="171" ht="38" customHeight="1">
      <x:c r="A171" s="799"/>
      <x:c r="B171" s="799"/>
      <x:c r="C171" s="799"/>
      <x:c r="D171" s="799"/>
      <x:c r="E171" s="799"/>
      <x:c r="F171" s="799"/>
    </x:row>
    <x:row r="172" ht="38" customHeight="1">
      <x:c r="A172" s="799"/>
      <x:c r="B172" s="799"/>
      <x:c r="C172" s="799"/>
      <x:c r="D172" s="799"/>
      <x:c r="E172" s="799"/>
      <x:c r="F172" s="799"/>
    </x:row>
    <x:row r="173" ht="38" customHeight="1">
      <x:c r="A173" s="799"/>
      <x:c r="B173" s="799"/>
      <x:c r="C173" s="799"/>
      <x:c r="D173" s="799"/>
      <x:c r="E173" s="799"/>
      <x:c r="F173" s="799"/>
    </x:row>
    <x:row r="174" ht="38" customHeight="1">
      <x:c r="A174" s="799"/>
      <x:c r="B174" s="799"/>
      <x:c r="C174" s="799"/>
      <x:c r="D174" s="799"/>
      <x:c r="E174" s="799"/>
      <x:c r="F174" s="799"/>
    </x:row>
    <x:row r="175" ht="38" customHeight="1">
      <x:c r="A175" s="799"/>
      <x:c r="B175" s="799"/>
      <x:c r="C175" s="799"/>
      <x:c r="D175" s="799"/>
      <x:c r="E175" s="799"/>
      <x:c r="F175" s="799"/>
    </x:row>
    <x:row r="176" ht="38" customHeight="1">
      <x:c r="A176" s="799"/>
      <x:c r="B176" s="799"/>
      <x:c r="C176" s="799"/>
      <x:c r="D176" s="799"/>
      <x:c r="E176" s="799"/>
      <x:c r="F176" s="799"/>
    </x:row>
    <x:row r="177" ht="38" customHeight="1">
      <x:c r="A177" s="799"/>
      <x:c r="B177" s="799"/>
      <x:c r="C177" s="799"/>
      <x:c r="D177" s="799"/>
      <x:c r="E177" s="799"/>
      <x:c r="F177" s="799"/>
    </x:row>
    <x:row r="178" ht="38" customHeight="1">
      <x:c r="A178" s="799"/>
      <x:c r="B178" s="799"/>
      <x:c r="C178" s="799"/>
      <x:c r="D178" s="799"/>
      <x:c r="E178" s="799"/>
      <x:c r="F178" s="799"/>
    </x:row>
    <x:row r="179" ht="38" customHeight="1">
      <x:c r="A179" s="799"/>
      <x:c r="B179" s="799"/>
      <x:c r="C179" s="799"/>
      <x:c r="D179" s="799"/>
      <x:c r="E179" s="799"/>
      <x:c r="F179" s="799"/>
    </x:row>
    <x:row r="180" ht="38" customHeight="1">
      <x:c r="A180" s="799"/>
      <x:c r="B180" s="799"/>
      <x:c r="C180" s="799"/>
      <x:c r="D180" s="799"/>
      <x:c r="E180" s="799"/>
      <x:c r="F180" s="799"/>
    </x:row>
    <x:row r="181" ht="38" customHeight="1">
      <x:c r="A181" s="799"/>
      <x:c r="B181" s="799"/>
      <x:c r="C181" s="799"/>
      <x:c r="D181" s="799"/>
      <x:c r="E181" s="799"/>
      <x:c r="F181" s="799"/>
    </x:row>
    <x:row r="182" ht="38" customHeight="1">
      <x:c r="A182" s="799"/>
      <x:c r="B182" s="799"/>
      <x:c r="C182" s="799"/>
      <x:c r="D182" s="799"/>
      <x:c r="E182" s="799"/>
      <x:c r="F182" s="799"/>
    </x:row>
    <x:row r="188" ht="26" customHeight="1">
      <x:c r="A188" s="919" t="str">
        <x:v>Final Combined Execution Prompt — Stage 12A Hardening and Stage 12B Pilot/Rollout</x:v>
      </x:c>
      <x:c r="B188" s="919"/>
      <x:c r="C188" s="919"/>
      <x:c r="D188" s="919"/>
      <x:c r="E188" s="919"/>
      <x:c r="F188" s="919"/>
    </x:row>
    <x:row r="189" ht="38" customHeight="1">
      <x:c r="A189" s="923" t="str">
        <x:v>&lt;identity&gt;
You are one integrated senior assurance and pilot-execution team comprising:
- executive programme sponsors and product leadership;
- enterprise, security, privacy and data architects;
- Windows/macOS endpoint, Java/Spring, Python/AI, frontend and platform engineers;
- SRE, performance, reliability, disaster-recovery and incident-response leads;
- application security, cloud security, red-team, penetration-test and supply-chain specialists;
- DPO, UK legal, Pakistan/Lahore legal, HR and worker/employee representatives;
- AI governance, model evaluation, fairness, accessibility and data-quality specialists;
- QA/SDET, user research, service design and support-operations leads;
- FinOps, procurement, vendor-management and capacity-planning specialists;
- software engineering, QA, DevOps and technical-manager pilot participants/reviewers.
Work as one team. Execute Stage 12 as one final programme stage with two controlled workstreams and two formal sub-gates:
- Stage 12A — Security, Privacy, Reliability and Evaluation Hardening Gate.
- Stage 12B — Controlled Internal Pilot and Rollout Decision Gate.
Neither sub-gate replaces the independent Stage 0–11 approvals. Stage 12 must verify that those controls are implemented and operational before pilot or rollout.
&lt;/identity&gt;
&lt;mission&gt;
Execute Stage 12 of Nessovo HumanOS Work Intelligence.
Stage 12A must harden and independently validate the complete HumanOS Work Intelligence system across endpoint capture, ingestion, evidence, semantic adapters, provenance, Task Assurance, Capability Graph, Growth Coach, user experiences and Skill Forge. It must close security, privacy, legal, accessibility, reliability, performance, AI-evaluation, fairness, data-quality, operational and supply-chain readiness gaps.
Stage 12B must run a tightly controlled internal Nessovo pilot, collect employee and manager evidence, test participant rights and operational support, measure technical and product outcomes, evaluate costs and risks, and produce a source-backed executive decision to PROCEED, MODIFY, RESTRICT or STOP.
Update the existing Excel workbook with implementation-ready test plans, ownership, results structures, pilot protocol, metrics, incident/stop controls, support model, cost/capacity model, launch-readiness assessment and final programme decision framework.
&lt;/mission&gt;
&lt;authoritative_context&gt;
The workbook contains Stage 0–11 specifications for:
- product charter, purpose limitation, worker rights, DPIA inputs and governance;
- market/OSS research and HumanOS reference architecture;
- Role Capability Contracts and Task Execution Contracts;
- signed managed-device agent and local policy/journal;
- signed evidence ingestion, replay, retention, access and audit;
- policy-controlled universal capture with secure-field blocking;
- browser, shell, Git/CI, IDE and AI-agent semantic adapters;
- provenance graph, work episodes and Task Assurance;
- capability evidence, claims, baseline assessment and role readiness;
- private Growth Coach, learning plans and applied-learning verification;
- employee, manager, reviewer and governance experiences;
- Skill Forge package evaluation, signing, canary, monitoring and rollback.
Java/Spring Boot owns durable HumanOS domain, workflow, access, audit and public API state. Python services provide AI/evaluation recommendations behind the Model Gateway. Rust/native endpoint components own policy-controlled local capture and secure delivery. Existing HumanOS identity, organisation, task/project, workflow, policy, audit, notification, secret, object, event, deployment, feature and Model Gateway services remain authoritative.
&lt;/authoritative_context&gt;
&lt;non_negotiable_rules&gt;
- No pilot begins until the DPIA, UK legal review, applicable Pakistan/Lahore legal review, worker consultation, monitoring notice/policy, security architecture and participant-protection terms are approved for the actual pilot scope.
- No personal devices, covert mode, audio, webcam, continuous full-motion recording, broad network payload capture or unrestricted clipboard capture in the pilot.
- Zero known password, authentication-code, private-key or high-severity secret retention is a blocking requirement.
- No unauthorised raw-evidence access, cross-tenant access or unapproved cross-border transfer is acceptable.
- Pilot outputs cannot solely or primarily determine dismissal, discipline, promotion, pay, probation or equivalent adverse employment action.
- Employees must be able to view material evidence, correct context, dispute findings, request meaningful human review and see material raw-evidence access.
- Missing telemetry, unsupported tools, excluded periods and degraded services cannot be interpreted as inactivity or failure.
- Clicks, keystrokes, hours, code volume, prompt count, token use and time online are not productivity, quality or capability scores.
- Every AI/evaluator conclusion must include evidence, confidence, completeness, version, limitations and alternative explanations.
- High-impact findings and capability/readiness changes require qualified human review.
- Accessibility accommodations and alternate valid work methods cannot create lower conclusions.
- Training completion alone cannot increase capability; reviewed applied evidence is required.
- Skill Forge cannot deploy unreviewed or unsigned packages; canary and rollback must remain operational throughout the pilot.
- DPO, CISO and executive sponsor each retain authority to pause affected capture, a feature, a package, a cohort or the entire pilot.
- A partial or inconclusive result must be reported honestly; no launch recommendation may hide unresolved critical risk.
&lt;/non_negotiable_rules&gt;
&lt;stage_12a_required_workstreams&gt;
1. Establish the Stage 12 assurance baseline:
   - inventory deployed code, configurations, schemas, policies, packages and versions;
   - map each Stage 0–11 gate requirement to implemented control and evidence;
   - identify unimplemented, partially implemented, waived or untestable controls;
   - freeze the pilot release candidate and produce SBOM/provenance.
2. Complete security architecture and penetration testing:
   - endpoint privilege and tamper testing;
   - secure update/signing/notarisation;
   - agent IPC and adapter isolation;
   - API/BFF authentication and authorisation;
   - tenant isolation and IDOR;
   - evidence access grants;
   - object storage and signed URLs;
   - secrets/KMS;
   - Kafka/event integrity;
   - PostgreSQL/RLS;
   - prompt injection and agent tool abuse;
   - Skill Forge package/signature/sandbox/resolver;
   - supply-chain and dependency review;
   - cloud/Kubernetes/GitOps hardening;
   - red-team scenarios and remediation retest.
3. Complete privacy engineering and DPIA closure:
   - end-to-end data-flow map;
   - purpose and lawful-basis mapping;
   - jurisdiction and cross-border flows;
   - secure-field and exclusion validation;
   - data minimisation;
   - raw/derived retention;
   - legal/dispute holds;
   - deletion propagation;
   - employee access/correction/export;
   - raw-access auditing;
   - model-provider data controls;
   - privacy notice and monitoring policy accuracy;
   - DPO residual-risk assessment and advice.
4. Complete legal and worker-readiness review:
   - UK employment/data/interception analysis;
   - Pakistan/Lahore employment/privacy/cyber/interception analysis if participants are included;
   - contracts, handbook, monitoring and acceptable-use changes;
   - worker/employee representative consultation;
   - pilot participant terms and no-adverse-action boundary;
   - manager/reviewer training requirements;
   - processor/vendor contracts;
   - cross-border transfer instruments;
   - regulatory change watch.
5. Complete endpoint performance and compatibility validation:
   - supported Windows/macOS versions and hardware;
   - installation/update/rollback/uninstall;
   - MDM deployment;
   - permissions/TCC;
   - CPU, memory, battery, input latency, storage and bandwidth;
   - crash recovery and offline queue;
   - long-duration stability;
   - supported browsers, shells, IDEs, Git/CI and AI agents;
   - exclusions, secure fields, assistive technologies and accommodations;
   - unsupported-tool and degraded-state behaviour.
6. Complete data, ingestion and reliability validation:
   - signed batch verification;
   - duplicates, late events and replay;
   - schema evolution;
   - telemetry gaps;
   - evidence/object integrity;
   - retention/deletion;
   - backup/restore;
   - regional routing;
   - database/Kafka/object-store failure;
   - backpressure and capacity;
   - disaster recovery;
   - recovery point/time objectives;
   - incident response and communications.
7. Complete AI and evaluator evaluation:
   - provenance actor attribution;
   - episode segmentation;
   - task alignment;
   - false idle;
   - acceptance criteria and quality gates;
   - blocker classification;
   - capability scoring;
   - claim discrepancy;
   - role readiness;
   - coaching safety/usefulness;
   - applied-learning detection;
   - Skill Forge evaluation and rollback;
   - evidence grounding;
   - hallucination;
   - calibration;
   - abstention;
   - prompt injection;
   - privacy;
   - fairness;
   - accessibility;
   - reviewer agreement;
   - correction/overturn;
   - regression.
8. Complete user-experience and accessibility validation:
   - employee, manager, reviewer and governance journeys;
   - visible monitoring and privacy centre;
   - evidence timeline;
   - correction/dispute/review;
   - raw-evidence grant;
   - capability character;
   - coaching preferences;
   - learning/practice;
   - manager exceptions;
   - reviewer findings;
   - DPO audits;
   - WCAG 2.2 AA target;
   - keyboard, screen-reader, zoom/reflow, speech input and reduced motion;
   - disabled-user and representative-worker research;
   - localisation and time-zone tests;
   - degraded/offline states.
9. Complete operational and support readiness:
   - production ownership;
   - on-call and escalation;
   - employee support;
   - DPO/HR/security support;
   - incident severity and SLAs;
   - runbooks;
   - kill switches;
   - feature flags;
   - Skill Forge rollback;
   - monitoring/alerts;
   - audit review;
   - vendor escalation;
   - support load/capacity;
   - training for managers, reviewers and support staff.
10. Complete cost and capacity model:
    - endpoint, ingestion, storage, Kafka, PostgreSQL, object, search and analytics;
    - AI/model inference;
    - review and support labour;
    - learning/mentor capacity;
    - security/compliance operations;
    - low/base/high capture rates;
    - retention scenarios;
    - employee/team/tenant scaling;
    - cost per employee, task and evidence volume;
    - budget/quotas and stop thresholds.
11. Produce Stage 12A remediation backlog, findings register, test evidence, independent review, residual-risk register and hardening gate.
&lt;/stage_12a_required_workstreams&gt;
&lt;stage_12b_required_workstreams&gt;
1. Define the pilot protocol:
   - purpose;
   - participant range;
   - roles/teams;
   - locations;
   - duration;
   - managed devices;
   - supported tools;
   - task types;
   - baseline period;
   - intervention phases;
   - retention;
   - participant protections;
   - consultation and notices;
   - opt-in/selection rationale where applicable;
   - no-adverse-action rule;
   - withdrawal/support route.
2. Use a staged pilot:
   - technical dry run with synthetic/test accounts;
   - internal canary with named engineering/support users;
   - observe-only baseline;
   - employee evidence/correction experience;
   - manager/reviewer summary experience;
   - controlled coaching/learning interventions;
   - Skill Forge candidate observation only;
   - no broad rollout before pilot gate.
3. Define pilot success metrics:
   - foreground/event capture completeness;
   - click/state correlation;
   - secure-field leakage;
   - text reconstruction in supported surfaces;
   - agent provenance;
   - task-alignment precision/recall;
   - false-idle rate;
   - acceptance-criteria accuracy;
   - blocker classification;
   - capability-evidence reviewer agreement;
   - coaching usefulness and wrong-context rate;
   - applied-learning evidence;
   - employee trust and comprehension;
   - manager usefulness;
   - dispute/overturn and resolution time;
   - accessibility success;
   - endpoint overhead;
   - service reliability;
   - raw-access incidents;
   - data incidents;
   - support load;
   - cost per employee/task.
4. Define pilot experiments:
   - baseline versus evidence-enabled reporting;
   - observe-only versus controlled coaching;
   - semantic-adapter coverage;
   - event-driven visual capture rate;
   - manager exception-led reporting;
   - employee correction impact;
   - coaching mode/timing;
   - learning practice and applied evidence;
   - Skill Forge shadow/canary evaluation;
   - avoid experiments that withhold mandatory safety/privacy controls.
5. Operationalise participant rights:
   - own evidence access;
   - monitoring status and sensors;
   - correction;
   - dispute;
   - human review;
   - raw-access history;
   - privacy/support contacts;
   - pause/private controls;
   - incident notification;
   - export/deletion/restriction where applicable;
   - SLA measurement.
6. Define pilot monitoring and stop criteria:
   - any known retained secret;
   - unauthorised capture;
   - unauthorised raw evidence access;
   - cross-tenant/cross-region breach;
   - critical endpoint/security incident;
   - unresolved legal/DPO objection;
   - persistent false classification above threshold;
   - accessibility failure blocking participant;
   - unacceptable endpoint overhead;
   - employee-rights workflow failure;
   - harmful coaching/evaluator output;
   - trust deterioration;
   - inability to roll back package/feature.
7. Define pilot governance:
   - daily technical review during dry run;
   - weekly cross-functional pilot review;
   - independent DPO/security/HR review;
   - employee representative feedback;
   - issue and decision log;
   - no suppression of negative findings;
   - formal conditions and stop/pause decisions.
8. Produce the pilot report:
   - participant/task/device coverage;
   - technical results;
   - privacy/security incidents;
   - AI/evaluator performance;
   - employee and manager findings;
   - fairness/accessibility;
   - support and operations;
   - cost/capacity;
   - unresolved limitations;
   - corrections and overturns;
   - comparison with success/stop thresholds;
   - recommendation and conditions.
9. Define rollout options:
   - STOP;
   - RESEARCH/REBUILD;
   - RESTRICT to selected evidence or roles;
   - MODIFY and repeat pilot;
   - LIMITED PRODUCTION;
   - PHASED PRODUCTION;
   - broader rollout only after additional gates.
10. Define the executive decision:
    - evidence considered;
    - decision authority;
    - proceed/modify/restrict/stop;
    - approved scope;
    - prohibited uses;
    - unresolved risks;
    - required remediation;
    - budget/resources;
    - monitoring;
    - review date;
    - rollback/exit plan;
    - signatures and audit.
11. Produce Stage 12B pilot backlog, metrics dashboard, experiment tracker, incident/issue register, rollout decision matrix and final programme gate.
&lt;/stage_12b_required_workstreams&gt;
&lt;architecture_and_execution_constraints&gt;
- Use the existing HumanOS architecture and services; Stage 12 validates and hardens rather than redesigning without evidence.
- Use isolated pilot tenant/environment, managed devices, feature flags and approved stable package versions.
- Use signed/versioned configurations, schemas, models, prompts, skills and policies.
- All test evidence and decisions must include owner, date, environment, version, source and result.
- Findings must be classified by severity, affected scope, owner, remediation, retest and gate impact.
- Use formulas for readiness, pass rates, risk, pilot metrics, cost scenarios and decision thresholds.
- Preserve source URLs in the Stage 12 source register.
- Do not mark a control met from document completion alone; implemented and tested evidence is required.
&lt;/architecture_and_execution_constraints&gt;
&lt;output_contract&gt;
Update the existing Excel workbook with dedicated sheets for:
1. Stage 12 Dashboard
2. Stage 12 Control Traceability
3. Release Candidate and Configuration Baseline
4. Security Hardening Plan
5. Penetration and Red-Team Findings
6. Privacy and DPIA Closure
7. Legal and Worker Consultation
8. Endpoint Performance and Compatibility
9. Data Reliability and Disaster Recovery
10. AI and Evaluator Evaluation
11. Fairness and Accessibility Evaluation
12. User Journey Validation
13. Operational Support Readiness
14. Incident and Stop Controls
15. Cost and Capacity Model
16. Pilot Protocol
17. Pilot Cohort and Task Matrix
18. Pilot Metrics and Thresholds
19. Pilot Experiments
20. Participant Rights and Support
21. Pilot Issues and Decisions
22. Pilot Results
23. Rollout Options and Decision Matrix
24. Stage 12 Backlog
25. Stage 12 Risks
26. Stage 12 ADRs
27. Stage 12A Hardening Gate
28. Stage 12B Pilot and Rollout Gate
29. Stage 12 Sources
30. Final Programme Closeout
Every implementation, test, finding or backlog row must include:
- unique ID;
- control/workstream;
- owner;
- contributors;
- environment/version;
- dependency;
- priority/severity;
- status;
- evidence/source;
- acceptance threshold;
- actual result;
- remediation;
- retest;
- gate impact;
- decision/condition.
Every pilot metric must include:
- definition;
- numerator/denominator;
- source;
- baseline;
- target;
- warning threshold;
- stop threshold;
- result;
- confidence/sample caveat;
- accountable owner.
Every rollout decision row must distinguish:
- verified fact;
- test result;
- participant feedback;
- inference;
- unresolved question;
- residual risk;
- human decision.
&lt;/output_contract&gt;
&lt;validation&gt;
Before completion, validate that:
1. Every mandatory Stage 0–11 requirement maps to implemented and tested evidence or an explicit unresolved blocker.
2. Zero known secrets are retained in the approved test corpus.
3. Tenant, person, role, case and raw-evidence access boundaries withstand security testing.
4. Deletion, correction, retention, legal hold, backup and disaster-recovery paths are tested.
5. AI/evaluator metrics include grounding, calibration, abstention, fairness, coverage, reviewer agreement and correction.
6. Missing evidence never creates a confident negative conclusion.
7. Accessibility and employee-rights journeys work end to end.
8. Managers cannot access a live surveillance wall or hidden private coaching.
9. Skill Forge packages verify source, digest, signature, provenance, BOM, evaluation, approval, canary and rollback.
10. Participant protections and no-adverse-action terms are operational, not merely documented.
11. Stop authority and technical kill switches are tested.
12. Pilot cost and support capacity are measured.
13. Negative results and unresolved risks are visible in the executive decision.
14. PROCEED is not available when a critical blocker or stop threshold remains unresolved.
15. The workbook passes formula, source, consistency and visual-quality checks.
&lt;/validation&gt;</x:v>
      </x:c>
      <x:c r="B189" s="923"/>
      <x:c r="C189" s="923"/>
      <x:c r="D189" s="923"/>
      <x:c r="E189" s="923"/>
      <x:c r="F189" s="923"/>
    </x:row>
    <x:row r="190" ht="38" customHeight="1">
      <x:c r="A190" s="923"/>
      <x:c r="B190" s="923"/>
      <x:c r="C190" s="923"/>
      <x:c r="D190" s="923"/>
      <x:c r="E190" s="923"/>
      <x:c r="F190" s="923"/>
    </x:row>
    <x:row r="191" ht="38" customHeight="1">
      <x:c r="A191" s="923"/>
      <x:c r="B191" s="923"/>
      <x:c r="C191" s="923"/>
      <x:c r="D191" s="923"/>
      <x:c r="E191" s="923"/>
      <x:c r="F191" s="923"/>
    </x:row>
    <x:row r="192" ht="38" customHeight="1">
      <x:c r="A192" s="923"/>
      <x:c r="B192" s="923"/>
      <x:c r="C192" s="923"/>
      <x:c r="D192" s="923"/>
      <x:c r="E192" s="923"/>
      <x:c r="F192" s="923"/>
    </x:row>
    <x:row r="193" ht="38" customHeight="1">
      <x:c r="A193" s="923"/>
      <x:c r="B193" s="923"/>
      <x:c r="C193" s="923"/>
      <x:c r="D193" s="923"/>
      <x:c r="E193" s="923"/>
      <x:c r="F193" s="923"/>
    </x:row>
    <x:row r="194" ht="38" customHeight="1">
      <x:c r="A194" s="923"/>
      <x:c r="B194" s="923"/>
      <x:c r="C194" s="923"/>
      <x:c r="D194" s="923"/>
      <x:c r="E194" s="923"/>
      <x:c r="F194" s="923"/>
    </x:row>
    <x:row r="195" ht="38" customHeight="1">
      <x:c r="A195" s="923"/>
      <x:c r="B195" s="923"/>
      <x:c r="C195" s="923"/>
      <x:c r="D195" s="923"/>
      <x:c r="E195" s="923"/>
      <x:c r="F195" s="923"/>
    </x:row>
    <x:row r="196" ht="38" customHeight="1">
      <x:c r="A196" s="923"/>
      <x:c r="B196" s="923"/>
      <x:c r="C196" s="923"/>
      <x:c r="D196" s="923"/>
      <x:c r="E196" s="923"/>
      <x:c r="F196" s="923"/>
    </x:row>
    <x:row r="197" ht="38" customHeight="1">
      <x:c r="A197" s="923"/>
      <x:c r="B197" s="923"/>
      <x:c r="C197" s="923"/>
      <x:c r="D197" s="923"/>
      <x:c r="E197" s="923"/>
      <x:c r="F197" s="923"/>
    </x:row>
    <x:row r="198" ht="38" customHeight="1">
      <x:c r="A198" s="923"/>
      <x:c r="B198" s="923"/>
      <x:c r="C198" s="923"/>
      <x:c r="D198" s="923"/>
      <x:c r="E198" s="923"/>
      <x:c r="F198" s="923"/>
    </x:row>
    <x:row r="199" ht="38" customHeight="1">
      <x:c r="A199" s="923"/>
      <x:c r="B199" s="923"/>
      <x:c r="C199" s="923"/>
      <x:c r="D199" s="923"/>
      <x:c r="E199" s="923"/>
      <x:c r="F199" s="923"/>
    </x:row>
    <x:row r="200" ht="38" customHeight="1">
      <x:c r="A200" s="923"/>
      <x:c r="B200" s="923"/>
      <x:c r="C200" s="923"/>
      <x:c r="D200" s="923"/>
      <x:c r="E200" s="923"/>
      <x:c r="F200" s="923"/>
    </x:row>
    <x:row r="201" ht="38" customHeight="1">
      <x:c r="A201" s="923"/>
      <x:c r="B201" s="923"/>
      <x:c r="C201" s="923"/>
      <x:c r="D201" s="923"/>
      <x:c r="E201" s="923"/>
      <x:c r="F201" s="923"/>
    </x:row>
    <x:row r="202" ht="38" customHeight="1">
      <x:c r="A202" s="923"/>
      <x:c r="B202" s="923"/>
      <x:c r="C202" s="923"/>
      <x:c r="D202" s="923"/>
      <x:c r="E202" s="923"/>
      <x:c r="F202" s="923"/>
    </x:row>
    <x:row r="203" ht="38" customHeight="1">
      <x:c r="A203" s="923"/>
      <x:c r="B203" s="923"/>
      <x:c r="C203" s="923"/>
      <x:c r="D203" s="923"/>
      <x:c r="E203" s="923"/>
      <x:c r="F203" s="923"/>
    </x:row>
    <x:row r="204" ht="38" customHeight="1">
      <x:c r="A204" s="923"/>
      <x:c r="B204" s="923"/>
      <x:c r="C204" s="923"/>
      <x:c r="D204" s="923"/>
      <x:c r="E204" s="923"/>
      <x:c r="F204" s="923"/>
    </x:row>
    <x:row r="205" ht="38" customHeight="1">
      <x:c r="A205" s="923"/>
      <x:c r="B205" s="923"/>
      <x:c r="C205" s="923"/>
      <x:c r="D205" s="923"/>
      <x:c r="E205" s="923"/>
      <x:c r="F205" s="923"/>
    </x:row>
    <x:row r="206" ht="38" customHeight="1">
      <x:c r="A206" s="923"/>
      <x:c r="B206" s="923"/>
      <x:c r="C206" s="923"/>
      <x:c r="D206" s="923"/>
      <x:c r="E206" s="923"/>
      <x:c r="F206" s="923"/>
    </x:row>
    <x:row r="207" ht="38" customHeight="1">
      <x:c r="A207" s="923"/>
      <x:c r="B207" s="923"/>
      <x:c r="C207" s="923"/>
      <x:c r="D207" s="923"/>
      <x:c r="E207" s="923"/>
      <x:c r="F207" s="923"/>
    </x:row>
    <x:row r="208" ht="38" customHeight="1">
      <x:c r="A208" s="923"/>
      <x:c r="B208" s="923"/>
      <x:c r="C208" s="923"/>
      <x:c r="D208" s="923"/>
      <x:c r="E208" s="923"/>
      <x:c r="F208" s="923"/>
    </x:row>
    <x:row r="209" ht="38" customHeight="1">
      <x:c r="A209" s="923"/>
      <x:c r="B209" s="923"/>
      <x:c r="C209" s="923"/>
      <x:c r="D209" s="923"/>
      <x:c r="E209" s="923"/>
      <x:c r="F209" s="923"/>
    </x:row>
    <x:row r="210" ht="38" customHeight="1">
      <x:c r="A210" s="923"/>
      <x:c r="B210" s="923"/>
      <x:c r="C210" s="923"/>
      <x:c r="D210" s="923"/>
      <x:c r="E210" s="923"/>
      <x:c r="F210" s="923"/>
    </x:row>
    <x:row r="211" ht="38" customHeight="1">
      <x:c r="A211" s="923"/>
      <x:c r="B211" s="923"/>
      <x:c r="C211" s="923"/>
      <x:c r="D211" s="923"/>
      <x:c r="E211" s="923"/>
      <x:c r="F211" s="923"/>
    </x:row>
    <x:row r="212" ht="38" customHeight="1">
      <x:c r="A212" s="923"/>
      <x:c r="B212" s="923"/>
      <x:c r="C212" s="923"/>
      <x:c r="D212" s="923"/>
      <x:c r="E212" s="923"/>
      <x:c r="F212" s="923"/>
    </x:row>
    <x:row r="213" ht="38" customHeight="1">
      <x:c r="A213" s="923"/>
      <x:c r="B213" s="923"/>
      <x:c r="C213" s="923"/>
      <x:c r="D213" s="923"/>
      <x:c r="E213" s="923"/>
      <x:c r="F213" s="923"/>
    </x:row>
  </x:sheetData>
  <x:mergeCells>
    <x:mergeCell ref="A1:F1"/>
    <x:mergeCell ref="A2:F2"/>
    <x:mergeCell ref="A17:F17"/>
    <x:mergeCell ref="A35:F35"/>
    <x:mergeCell ref="A36:F45"/>
    <x:mergeCell ref="A47:F47"/>
    <x:mergeCell ref="A48:F57"/>
    <x:mergeCell ref="A62:F62"/>
    <x:mergeCell ref="A63:F74"/>
    <x:mergeCell ref="A77:F77"/>
    <x:mergeCell ref="A78:F89"/>
    <x:mergeCell ref="A112:F112"/>
    <x:mergeCell ref="A113:F130"/>
    <x:mergeCell ref="A136:F136"/>
    <x:mergeCell ref="A137:F156"/>
    <x:mergeCell ref="A160:F160"/>
    <x:mergeCell ref="A161:F182"/>
    <x:mergeCell ref="A188:F188"/>
    <x:mergeCell ref="A189:F213"/>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20" hidden="0" customWidth="1"/>
    <x:col min="4" max="4" width="24" hidden="0" customWidth="1"/>
    <x:col min="5" max="5" width="30" hidden="0" customWidth="1"/>
    <x:col min="6" max="6" width="20" hidden="0" customWidth="1"/>
    <x:col min="7" max="7" width="18" hidden="0" customWidth="1"/>
    <x:col min="8" max="8" width="18" hidden="0" customWidth="1"/>
    <x:col min="9" max="9" width="18" hidden="0" customWidth="1"/>
    <x:col min="10" max="10" width="18" hidden="0" customWidth="1"/>
  </x:cols>
  <x:sheetData>
    <x:row r="1" ht="30" customHeight="1">
      <x:c r="A1" s="72" t="str">
        <x:v>Foundation Dashboard — Stage 0 and Stage 1</x:v>
      </x:c>
      <x:c r="B1" s="72"/>
      <x:c r="C1" s="72"/>
      <x:c r="D1" s="72"/>
      <x:c r="E1" s="72"/>
      <x:c r="F1" s="72"/>
      <x:c r="G1" s="72"/>
      <x:c r="H1" s="72"/>
      <x:c r="I1" s="72"/>
      <x:c r="J1" s="72"/>
    </x:row>
    <x:row r="2" ht="34" customHeight="1">
      <x:c r="A2" s="76" t="str">
        <x:v>Current state: research and draft artefacts are complete; formal Nessovo ownership, legal/DPO, worker, security, architecture and budget approvals remain outstanding.</x:v>
      </x:c>
      <x:c r="B2" s="76"/>
      <x:c r="C2" s="76"/>
      <x:c r="D2" s="76"/>
      <x:c r="E2" s="76"/>
      <x:c r="F2" s="76"/>
      <x:c r="G2" s="76"/>
      <x:c r="H2" s="76"/>
      <x:c r="I2" s="76"/>
      <x:c r="J2" s="76"/>
    </x:row>
    <x:row r="4" ht="28" customHeight="1">
      <x:c r="A4" s="88" t="str">
        <x:v>Foundation KPI</x:v>
      </x:c>
      <x:c r="B4" s="90" t="str">
        <x:v>Current value</x:v>
      </x:c>
    </x:row>
    <x:row r="5">
      <x:c r="A5" s="110" t="str">
        <x:v>Combined workplan maturity</x:v>
      </x:c>
      <x:c r="B5" s="139" t="n">
        <x:f>AVERAGE('Stage 0-1 Workplan'!K5:K71)</x:f>
        <x:v>0.6820895522388055</x:v>
      </x:c>
    </x:row>
    <x:row r="6">
      <x:c r="A6" s="113" t="str">
        <x:v>Stage 0 workplan maturity</x:v>
      </x:c>
      <x:c r="B6" s="140" t="n">
        <x:f>AVERAGEIF('Stage 0-1 Workplan'!B5:B71,0,'Stage 0-1 Workplan'!K5:K71)</x:f>
        <x:v>0.6529411764705886</x:v>
      </x:c>
    </x:row>
    <x:row r="7">
      <x:c r="A7" s="113" t="str">
        <x:v>Stage 1 workplan maturity</x:v>
      </x:c>
      <x:c r="B7" s="140" t="n">
        <x:f>AVERAGEIF('Stage 0-1 Workplan'!B5:B71,1,'Stage 0-1 Workplan'!K5:K71)</x:f>
        <x:v>0.7121212121212126</x:v>
      </x:c>
    </x:row>
    <x:row r="8">
      <x:c r="A8" s="113" t="str">
        <x:v>Stage 0 gate readiness</x:v>
      </x:c>
      <x:c r="B8" s="140" t="n">
        <x:f>'Stage 0-1 Gates'!O6</x:f>
        <x:v>0.5722222222222223</x:v>
      </x:c>
    </x:row>
    <x:row r="9">
      <x:c r="A9" s="113" t="str">
        <x:v>Stage 1 gate readiness</x:v>
      </x:c>
      <x:c r="B9" s="140" t="n">
        <x:f>'Stage 0-1 Gates'!O7</x:f>
        <x:v>0.5666666666666665</x:v>
      </x:c>
    </x:row>
    <x:row r="10">
      <x:c r="A10" s="113" t="str">
        <x:v>Mandatory items not started/blocked</x:v>
      </x:c>
      <x:c r="B10" s="115" t="n">
        <x:f>'Stage 0-1 Gates'!O8</x:f>
        <x:v>5</x:v>
      </x:c>
    </x:row>
    <x:row r="11">
      <x:c r="A11" s="113" t="str">
        <x:v>Critical/high tasks below draft-ready</x:v>
      </x:c>
      <x:c r="B11" s="115" t="n">
        <x:f>COUNTIFS('Stage 0-1 Workplan'!I5:I71,"Critical",'Stage 0-1 Workplan'!K5:K71,"&lt;0.8")+COUNTIFS('Stage 0-1 Workplan'!I5:I71,"High",'Stage 0-1 Workplan'!K5:K71,"&lt;0.8")</x:f>
        <x:v>16</x:v>
      </x:c>
    </x:row>
    <x:row r="12">
      <x:c r="A12" s="113" t="str">
        <x:v>Residual high/critical threats</x:v>
      </x:c>
      <x:c r="B12" s="115" t="n">
        <x:f>COUNTIF('Foundation Threats'!K5:K34,"&gt;=15")</x:f>
        <x:v>0</x:v>
      </x:c>
    </x:row>
    <x:row r="13">
      <x:c r="A13" s="113" t="str">
        <x:v>ADRs accepted in principle/accepted</x:v>
      </x:c>
      <x:c r="B13" s="115" t="n">
        <x:f>COUNTIF('Architecture Decisions'!C5:C26,"Accepted in principle")+COUNTIF('Architecture Decisions'!C5:C26,"Accepted")</x:f>
        <x:v>20</x:v>
      </x:c>
    </x:row>
    <x:row r="14">
      <x:c r="A14" s="116" t="str">
        <x:v>Registered research sources</x:v>
      </x:c>
      <x:c r="B14" s="118" t="n">
        <x:f>COUNTA('Source Register'!A5:A200)</x:f>
        <x:v>137</x:v>
      </x:c>
    </x:row>
    <x:row r="17" ht="28" customHeight="1">
      <x:c r="A17" s="88" t="str">
        <x:v>Stage</x:v>
      </x:c>
      <x:c r="B17" s="90" t="str">
        <x:v>Maturity %</x:v>
      </x:c>
    </x:row>
    <x:row r="18">
      <x:c r="A18" s="110" t="str">
        <x:v>Stage 0 workplan</x:v>
      </x:c>
      <x:c r="B18" s="269" t="n">
        <x:f>B6*100</x:f>
        <x:v>65.29411764705885</x:v>
      </x:c>
      <x:c r="D18" s="138" t="str">
        <x:v>Executive decision state</x:v>
      </x:c>
      <x:c r="E18" s="138"/>
      <x:c r="F18" s="138"/>
      <x:c r="G18" s="138"/>
      <x:c r="H18" s="138"/>
      <x:c r="I18" s="138"/>
      <x:c r="J18" s="138"/>
    </x:row>
    <x:row r="19" ht="28" customHeight="1">
      <x:c r="A19" s="113" t="str">
        <x:v>Stage 1 workplan</x:v>
      </x:c>
      <x:c r="B19" s="270" t="n">
        <x:f>B7*100</x:f>
        <x:v>71.21212121212126</x:v>
      </x:c>
      <x:c r="D19" s="88" t="str">
        <x:v>Item</x:v>
      </x:c>
      <x:c r="E19" s="90" t="str">
        <x:v>Current state</x:v>
      </x:c>
    </x:row>
    <x:row r="20">
      <x:c r="A20" s="116" t="str">
        <x:v>Combined foundation</x:v>
      </x:c>
      <x:c r="B20" s="271" t="n">
        <x:f>B5*100</x:f>
        <x:v>68.20895522388055</x:v>
      </x:c>
      <x:c r="D20" s="110" t="str">
        <x:v>Stage 0 foundation content</x:v>
      </x:c>
      <x:c r="E20" s="150" t="str">
        <x:v>Draft package complete</x:v>
      </x:c>
      <x:c r="F20" s="155"/>
      <x:c r="G20" s="155"/>
      <x:c r="H20" s="155"/>
      <x:c r="I20" s="155"/>
      <x:c r="J20" s="156"/>
    </x:row>
    <x:row r="21">
      <x:c r="D21" s="113" t="str">
        <x:v>Stage 0 organisational approval</x:v>
      </x:c>
      <x:c r="E21" s="150" t="str">
        <x:v>Pending legal/DPO/worker/security/leadership review</x:v>
      </x:c>
      <x:c r="F21" s="155"/>
      <x:c r="G21" s="155"/>
      <x:c r="H21" s="155"/>
      <x:c r="I21" s="155"/>
      <x:c r="J21" s="156"/>
    </x:row>
    <x:row r="22">
      <x:c r="D22" s="113" t="str">
        <x:v>Stage 1 research and architecture content</x:v>
      </x:c>
      <x:c r="E22" s="150" t="str">
        <x:v>Draft package complete</x:v>
      </x:c>
      <x:c r="F22" s="155"/>
      <x:c r="G22" s="155"/>
      <x:c r="H22" s="155"/>
      <x:c r="I22" s="155"/>
      <x:c r="J22" s="156"/>
    </x:row>
    <x:row r="23">
      <x:c r="D23" s="113" t="str">
        <x:v>Stage 1 organisational approval</x:v>
      </x:c>
      <x:c r="E23" s="150" t="str">
        <x:v>Pending architecture/licence/cost/resource review</x:v>
      </x:c>
      <x:c r="F23" s="155"/>
      <x:c r="G23" s="155"/>
      <x:c r="H23" s="155"/>
      <x:c r="I23" s="155"/>
      <x:c r="J23" s="156"/>
    </x:row>
    <x:row r="24">
      <x:c r="D24" s="116" t="str">
        <x:v>Entry to Stages 2 and 3</x:v>
      </x:c>
      <x:c r="E24" s="150" t="str">
        <x:v>Prompt-ready; gate approval still required</x:v>
      </x:c>
      <x:c r="F24" s="155"/>
      <x:c r="G24" s="155"/>
      <x:c r="H24" s="155"/>
      <x:c r="I24" s="155"/>
      <x:c r="J24" s="156"/>
    </x:row>
    <x:row r="27" ht="24" customHeight="1">
      <x:c r="A27" s="157" t="str">
        <x:v>Immediate Nessovo decisions required before formal gate approval</x:v>
      </x:c>
      <x:c r="B27" s="157"/>
      <x:c r="C27" s="157"/>
      <x:c r="D27" s="157"/>
      <x:c r="E27" s="157"/>
      <x:c r="F27" s="157"/>
      <x:c r="G27" s="157"/>
      <x:c r="H27" s="157"/>
      <x:c r="I27" s="157"/>
      <x:c r="J27" s="157"/>
    </x:row>
    <x:row r="28" ht="28" customHeight="1">
      <x:c r="A28" s="88" t="str">
        <x:v>Priority</x:v>
      </x:c>
      <x:c r="B28" s="89" t="str">
        <x:v>Decision</x:v>
      </x:c>
      <x:c r="C28" s="89" t="str">
        <x:v>Decision authority</x:v>
      </x:c>
      <x:c r="D28" s="89" t="str">
        <x:v>Why now</x:v>
      </x:c>
      <x:c r="E28" s="89" t="str">
        <x:v>Required evidence</x:v>
      </x:c>
      <x:c r="F28" s="90" t="str">
        <x:v>Current status</x:v>
      </x:c>
    </x:row>
    <x:row r="29">
      <x:c r="A29" s="110" t="str">
        <x:v>1</x:v>
      </x:c>
      <x:c r="B29" s="111" t="str">
        <x:v>Name executive sponsor, product owner and programme lead.</x:v>
      </x:c>
      <x:c r="C29" s="111" t="str">
        <x:v>CEO/CTO</x:v>
      </x:c>
      <x:c r="D29" s="111" t="str">
        <x:v>No foundation gate can be accountable without named owners.</x:v>
      </x:c>
      <x:c r="E29" s="111" t="str">
        <x:v>Named RACI.</x:v>
      </x:c>
      <x:c r="F29" s="112" t="str">
        <x:v>Owner Input</x:v>
      </x:c>
    </x:row>
    <x:row r="30">
      <x:c r="A30" s="119" t="str">
        <x:v>2</x:v>
      </x:c>
      <x:c r="B30" s="120" t="str">
        <x:v>Commission UK and Pakistan/Lahore legal reviews and independent DPO advice.</x:v>
      </x:c>
      <x:c r="C30" s="120" t="str">
        <x:v>CEO/Legal/DPO</x:v>
      </x:c>
      <x:c r="D30" s="120" t="str">
        <x:v>Keystroke/screenshot/performance monitoring is high risk and jurisdiction-specific.</x:v>
      </x:c>
      <x:c r="E30" s="120" t="str">
        <x:v>Legal memoranda and DPIA.</x:v>
      </x:c>
      <x:c r="F30" s="121" t="str">
        <x:v>Owner Input</x:v>
      </x:c>
    </x:row>
    <x:row r="31">
      <x:c r="A31" s="113" t="str">
        <x:v>3</x:v>
      </x:c>
      <x:c r="B31" s="114" t="str">
        <x:v>Approve worker consultation approach and participant-protection rules.</x:v>
      </x:c>
      <x:c r="C31" s="114" t="str">
        <x:v>HR/DPO/Executive Sponsor</x:v>
      </x:c>
      <x:c r="D31" s="114" t="str">
        <x:v>Worker voice is required before the pilot design is frozen.</x:v>
      </x:c>
      <x:c r="E31" s="114" t="str">
        <x:v>Consultation plan and record.</x:v>
      </x:c>
      <x:c r="F31" s="115" t="str">
        <x:v>Draft Ready</x:v>
      </x:c>
    </x:row>
    <x:row r="32">
      <x:c r="A32" s="119" t="str">
        <x:v>4</x:v>
      </x:c>
      <x:c r="B32" s="120" t="str">
        <x:v>Confirm current HumanOS Java/Spring and foundation-service inventory.</x:v>
      </x:c>
      <x:c r="C32" s="120" t="str">
        <x:v>CTO/Enterprise Architect</x:v>
      </x:c>
      <x:c r="D32" s="120" t="str">
        <x:v>Technology and service boundaries depend on actual platform capability.</x:v>
      </x:c>
      <x:c r="E32" s="120" t="str">
        <x:v>Platform inventory.</x:v>
      </x:c>
      <x:c r="F32" s="121" t="str">
        <x:v>Open</x:v>
      </x:c>
    </x:row>
    <x:row r="33">
      <x:c r="A33" s="113" t="str">
        <x:v>5</x:v>
      </x:c>
      <x:c r="B33" s="114" t="str">
        <x:v>Approve proprietary-core versus commodity build/buy strategy.</x:v>
      </x:c>
      <x:c r="C33" s="114" t="str">
        <x:v>CTO/Product/Legal</x:v>
      </x:c>
      <x:c r="D33" s="114" t="str">
        <x:v>Stage 3 implementation and licences depend on this boundary.</x:v>
      </x:c>
      <x:c r="E33" s="114" t="str">
        <x:v>Build/Buy matrix and licence review.</x:v>
      </x:c>
      <x:c r="F33" s="115" t="str">
        <x:v>Draft Ready</x:v>
      </x:c>
    </x:row>
    <x:row r="34">
      <x:c r="A34" s="119" t="str">
        <x:v>6</x:v>
      </x:c>
      <x:c r="B34" s="120" t="str">
        <x:v>Approve reference architecture and initial deployment boundaries.</x:v>
      </x:c>
      <x:c r="C34" s="120" t="str">
        <x:v>Architecture Board</x:v>
      </x:c>
      <x:c r="D34" s="120" t="str">
        <x:v>Avoid duplicated HumanOS services and premature nano-services.</x:v>
      </x:c>
      <x:c r="E34" s="120" t="str">
        <x:v>ADRs and architecture map.</x:v>
      </x:c>
      <x:c r="F34" s="121" t="str">
        <x:v>In Review</x:v>
      </x:c>
    </x:row>
    <x:row r="35">
      <x:c r="A35" s="113" t="str">
        <x:v>7</x:v>
      </x:c>
      <x:c r="B35" s="114" t="str">
        <x:v>Provide pilot sizing, device, location, tool and retention assumptions.</x:v>
      </x:c>
      <x:c r="C35" s="114" t="str">
        <x:v>Product/HR/IT/DPO</x:v>
      </x:c>
      <x:c r="D35" s="114" t="str">
        <x:v>Cost, architecture and test planning require realistic inputs.</x:v>
      </x:c>
      <x:c r="E35" s="114" t="str">
        <x:v>Resolved assumptions register.</x:v>
      </x:c>
      <x:c r="F35" s="115" t="str">
        <x:v>Open</x:v>
      </x:c>
    </x:row>
    <x:row r="36">
      <x:c r="A36" s="122" t="str">
        <x:v>8</x:v>
      </x:c>
      <x:c r="B36" s="123" t="str">
        <x:v>Commit Stage 2–3 team, devices, security review and budget.</x:v>
      </x:c>
      <x:c r="C36" s="123" t="str">
        <x:v>CEO/CTO/CFO</x:v>
      </x:c>
      <x:c r="D36" s="123" t="str">
        <x:v>The next stages require cross-functional capacity, not engineering alone.</x:v>
      </x:c>
      <x:c r="E36" s="123" t="str">
        <x:v>Resource plan.</x:v>
      </x:c>
      <x:c r="F36" s="124" t="str">
        <x:v>Owner Input</x:v>
      </x:c>
    </x:row>
    <x:row r="40" ht="24" customHeight="1">
      <x:c r="A40" s="158" t="str">
        <x:v>Foundation package delivered in this workbook</x:v>
      </x:c>
      <x:c r="B40" s="158"/>
      <x:c r="C40" s="158"/>
      <x:c r="D40" s="158"/>
      <x:c r="E40" s="158"/>
      <x:c r="F40" s="158"/>
      <x:c r="G40" s="158"/>
      <x:c r="H40" s="158"/>
      <x:c r="I40" s="158"/>
      <x:c r="J40" s="158"/>
    </x:row>
    <x:row r="41" ht="28" customHeight="1">
      <x:c r="A41" s="88" t="str">
        <x:v>Deliverable</x:v>
      </x:c>
      <x:c r="B41" s="89" t="str">
        <x:v>Sheet</x:v>
      </x:c>
      <x:c r="C41" s="90" t="str">
        <x:v>State</x:v>
      </x:c>
    </x:row>
    <x:row r="42">
      <x:c r="A42" s="110" t="str">
        <x:v>Master prompt and next-stage prompts</x:v>
      </x:c>
      <x:c r="B42" s="111" t="str">
        <x:v>Master Prompts</x:v>
      </x:c>
      <x:c r="C42" s="112" t="str">
        <x:v>Complete</x:v>
      </x:c>
    </x:row>
    <x:row r="43">
      <x:c r="A43" s="119" t="str">
        <x:v>Detailed action plan</x:v>
      </x:c>
      <x:c r="B43" s="120" t="str">
        <x:v>Stage 0-1 Workplan</x:v>
      </x:c>
      <x:c r="C43" s="121" t="str">
        <x:v>Complete</x:v>
      </x:c>
    </x:row>
    <x:row r="44">
      <x:c r="A44" s="113" t="str">
        <x:v>Product charter</x:v>
      </x:c>
      <x:c r="B44" s="114" t="str">
        <x:v>Product Charter v1</x:v>
      </x:c>
      <x:c r="C44" s="115" t="str">
        <x:v>Draft complete</x:v>
      </x:c>
    </x:row>
    <x:row r="45">
      <x:c r="A45" s="119" t="str">
        <x:v>Purpose and data policy</x:v>
      </x:c>
      <x:c r="B45" s="120" t="str">
        <x:v>Purpose Policy Matrix</x:v>
      </x:c>
      <x:c r="C45" s="121" t="str">
        <x:v>Draft complete</x:v>
      </x:c>
    </x:row>
    <x:row r="46">
      <x:c r="A46" s="113" t="str">
        <x:v>Stakeholder accountability</x:v>
      </x:c>
      <x:c r="B46" s="114" t="str">
        <x:v>Stakeholder RACI</x:v>
      </x:c>
      <x:c r="C46" s="115" t="str">
        <x:v>Role-level draft</x:v>
      </x:c>
    </x:row>
    <x:row r="47">
      <x:c r="A47" s="119" t="str">
        <x:v>Market and OSS evidence</x:v>
      </x:c>
      <x:c r="B47" s="120" t="str">
        <x:v>Market Landscape / GitHub OSS Scan</x:v>
      </x:c>
      <x:c r="C47" s="121" t="str">
        <x:v>Research complete</x:v>
      </x:c>
    </x:row>
    <x:row r="48">
      <x:c r="A48" s="113" t="str">
        <x:v>Build/buy decisions</x:v>
      </x:c>
      <x:c r="B48" s="114" t="str">
        <x:v>Build Buy Decisions</x:v>
      </x:c>
      <x:c r="C48" s="115" t="str">
        <x:v>Draft complete</x:v>
      </x:c>
    </x:row>
    <x:row r="49">
      <x:c r="A49" s="119" t="str">
        <x:v>HumanOS architecture</x:v>
      </x:c>
      <x:c r="B49" s="120" t="str">
        <x:v>Reference Architecture / Architecture Decisions</x:v>
      </x:c>
      <x:c r="C49" s="121" t="str">
        <x:v>Draft complete</x:v>
      </x:c>
    </x:row>
    <x:row r="50">
      <x:c r="A50" s="113" t="str">
        <x:v>Approval gates</x:v>
      </x:c>
      <x:c r="B50" s="114" t="str">
        <x:v>Stage 0-1 Gates</x:v>
      </x:c>
      <x:c r="C50" s="115" t="str">
        <x:v>Criteria complete; approvals pending</x:v>
      </x:c>
    </x:row>
    <x:row r="51">
      <x:c r="A51" s="122" t="str">
        <x:v>Assumptions, threats and pilot</x:v>
      </x:c>
      <x:c r="B51" s="123" t="str">
        <x:v>Assumptions Questions / Foundation Threats / Pilot Definition</x:v>
      </x:c>
      <x:c r="C51" s="124" t="str">
        <x:v>Draft complete</x:v>
      </x:c>
    </x:row>
  </x:sheetData>
  <x:mergeCells>
    <x:mergeCell ref="A1:J1"/>
    <x:mergeCell ref="A2:J2"/>
    <x:mergeCell ref="D18:J18"/>
    <x:mergeCell ref="E20:J20"/>
    <x:mergeCell ref="E21:J21"/>
    <x:mergeCell ref="E22:J22"/>
    <x:mergeCell ref="E23:J23"/>
    <x:mergeCell ref="E24:J24"/>
    <x:mergeCell ref="A27:J27"/>
    <x:mergeCell ref="A40:J40"/>
  </x:mergeCells>
  <x:conditionalFormatting sqref="B5:B9">
    <x:cfRule type="dataBar" priority="1">
      <x:dataBar>
        <x:cfvo type="min"/>
        <x:cfvo type="max"/>
        <x:color rgb="FFA02B93"/>
      </x:dataBar>
      <x:extLst>
        <x:ext xmlns:x14="http://schemas.microsoft.com/office/spreadsheetml/2009/9/main" uri="{B025F937-C7B1-47D3-B67F-A62EFF666E3E}">
          <x14:id>{8997E5FE-71CA-2D2D-8632-A7A794562CE0}</x14:id>
        </x:ext>
      </x:extLst>
    </x:cfRule>
  </x:conditionalFormatting>
  <x:pageMargins left="0.7" right="0.7" top="0.75" bottom="0.75" header="0.3" footer="0.3"/>
  <x:drawing xmlns:r="http://schemas.openxmlformats.org/officeDocument/2006/relationships" r:id="Ra1a64644221f47f0"/>
  <x:extLst>
    <x:ext xmlns:x14="http://schemas.microsoft.com/office/spreadsheetml/2009/9/main" xmlns:xm="http://schemas.microsoft.com/office/excel/2006/main" uri="{78C0D931-6437-407d-A8EE-F0AAD7539E65}">
      <x14:conditionalFormattings>
        <x14:conditionalFormatting>
          <x14:cfRule type="dataBar" priority="1" id="{8997E5FE-71CA-2D2D-8632-A7A794562CE0}">
            <x14:dataBar gradient="1">
              <x14:cfvo type="min"/>
              <x14:cfvo type="max"/>
              <x14:fillColor rgb="FFA02B93"/>
            </x14:dataBar>
          </x14:cfRule>
          <xm:sqref>B5:B9</xm:sqref>
        </x14:conditionalFormatting>
      </x14:conditionalFormattings>
    </x:ext>
  </x:extLst>
</x:worksheet>
</file>

<file path=xl/worksheets/sheet17.xml><?xml version="1.0" encoding="utf-8"?>
<x:worksheet xmlns:x="http://schemas.openxmlformats.org/spreadsheetml/2006/main">
  <x:sheetFormatPr defaultRowHeight="15"/>
  <x:cols>
    <x:col min="1" max="1" width="12" hidden="0" customWidth="1"/>
    <x:col min="2" max="2" width="7" hidden="0" customWidth="1"/>
    <x:col min="3" max="3" width="20" hidden="0" customWidth="1"/>
    <x:col min="4" max="4" width="30" hidden="0" customWidth="1"/>
    <x:col min="5" max="5" width="42" hidden="0" customWidth="1"/>
    <x:col min="6" max="6" width="22" hidden="0" customWidth="1"/>
    <x:col min="7" max="7" width="25" hidden="0" customWidth="1"/>
    <x:col min="8" max="8" width="18" hidden="0" customWidth="1"/>
    <x:col min="9" max="9" width="10" hidden="0" customWidth="1"/>
    <x:col min="10" max="10" width="20" hidden="0" customWidth="1"/>
    <x:col min="11" max="11" width="12" hidden="0" customWidth="1"/>
    <x:col min="12" max="12" width="10" hidden="0" customWidth="1"/>
    <x:col min="13" max="13" width="28" hidden="0" customWidth="1"/>
    <x:col min="14" max="14" width="42" hidden="0" customWidth="1"/>
    <x:col min="15" max="15" width="32" hidden="0" customWidth="1"/>
    <x:col min="16" max="16" width="14" hidden="0" customWidth="1"/>
    <x:col min="17" max="17" width="12" hidden="0" customWidth="1"/>
    <x:col min="18" max="18" width="28" hidden="0" customWidth="1"/>
  </x:cols>
  <x:sheetData>
    <x:row r="1" ht="30" customHeight="1">
      <x:c r="A1" s="72" t="str">
        <x:v>Stage 0–1 Foundation Workplan</x:v>
      </x:c>
      <x:c r="B1" s="72"/>
      <x:c r="C1" s="72"/>
      <x:c r="D1" s="72"/>
      <x:c r="E1" s="72"/>
      <x:c r="F1" s="72"/>
      <x:c r="G1" s="72"/>
      <x:c r="H1" s="72"/>
      <x:c r="I1" s="72"/>
      <x:c r="J1" s="72"/>
      <x:c r="K1" s="72"/>
      <x:c r="L1" s="72"/>
      <x:c r="M1" s="72"/>
      <x:c r="N1" s="72"/>
      <x:c r="O1" s="72"/>
      <x:c r="P1" s="72"/>
      <x:c r="Q1" s="72"/>
      <x:c r="R1" s="72"/>
    </x:row>
    <x:row r="2" ht="34" customHeight="1">
      <x:c r="A2" s="76" t="str">
        <x:v>Combined Foundation &amp; Validation workstream. Draft deliverables are complete where marked; real legal, worker, security and leadership approvals remain pending until Nessovo records them.</x:v>
      </x:c>
      <x:c r="B2" s="76"/>
      <x:c r="C2" s="76"/>
      <x:c r="D2" s="76"/>
      <x:c r="E2" s="76"/>
      <x:c r="F2" s="76"/>
      <x:c r="G2" s="76"/>
      <x:c r="H2" s="76"/>
      <x:c r="I2" s="76"/>
      <x:c r="J2" s="76"/>
      <x:c r="K2" s="76"/>
      <x:c r="L2" s="76"/>
      <x:c r="M2" s="76"/>
      <x:c r="N2" s="76"/>
      <x:c r="O2" s="76"/>
      <x:c r="P2" s="76"/>
      <x:c r="Q2" s="76"/>
      <x:c r="R2" s="76"/>
    </x:row>
    <x:row r="4" ht="28" customHeight="1">
      <x:c r="A4" s="88" t="str">
        <x:v>ID</x:v>
      </x:c>
      <x:c r="B4" s="89" t="str">
        <x:v>Stage</x:v>
      </x:c>
      <x:c r="C4" s="89" t="str">
        <x:v>Workstream</x:v>
      </x:c>
      <x:c r="D4" s="89" t="str">
        <x:v>Task / Decision</x:v>
      </x:c>
      <x:c r="E4" s="89" t="str">
        <x:v>Description</x:v>
      </x:c>
      <x:c r="F4" s="89" t="str">
        <x:v>Accountable owner</x:v>
      </x:c>
      <x:c r="G4" s="89" t="str">
        <x:v>Contributors</x:v>
      </x:c>
      <x:c r="H4" s="89" t="str">
        <x:v>Dependencies</x:v>
      </x:c>
      <x:c r="I4" s="89" t="str">
        <x:v>Priority</x:v>
      </x:c>
      <x:c r="J4" s="89" t="str">
        <x:v>Status</x:v>
      </x:c>
      <x:c r="K4" s="89" t="str">
        <x:v>Completion weight</x:v>
      </x:c>
      <x:c r="L4" s="89" t="str">
        <x:v>Effort days</x:v>
      </x:c>
      <x:c r="M4" s="89" t="str">
        <x:v>Deliverable</x:v>
      </x:c>
      <x:c r="N4" s="89" t="str">
        <x:v>Acceptance criteria</x:v>
      </x:c>
      <x:c r="O4" s="89" t="str">
        <x:v>Evidence / source</x:v>
      </x:c>
      <x:c r="P4" s="89" t="str">
        <x:v>Gate</x:v>
      </x:c>
      <x:c r="Q4" s="89" t="str">
        <x:v>Target week</x:v>
      </x:c>
      <x:c r="R4" s="90" t="str">
        <x:v>Notes</x:v>
      </x:c>
    </x:row>
    <x:row r="5">
      <x:c r="A5" s="110" t="str">
        <x:v>FND-001</x:v>
      </x:c>
      <x:c r="B5" s="111" t="n">
        <x:v>0</x:v>
      </x:c>
      <x:c r="C5" s="111" t="str">
        <x:v>Programme governance</x:v>
      </x:c>
      <x:c r="D5" s="111" t="str">
        <x:v>Confirm naming and product identity</x:v>
      </x:c>
      <x:c r="E5" s="111" t="str">
        <x:v>Use Nessovo as the company name and HumanOS Work Intelligence as the working module name.</x:v>
      </x:c>
      <x:c r="F5" s="111" t="str">
        <x:v>CEO/CTO</x:v>
      </x:c>
      <x:c r="G5" s="111" t="str">
        <x:v>Product</x:v>
      </x:c>
      <x:c r="H5" s="111" t="str">
        <x:v>None</x:v>
      </x:c>
      <x:c r="I5" s="111" t="str">
        <x:v>Critical</x:v>
      </x:c>
      <x:c r="J5" s="111" t="str">
        <x:v>Completed</x:v>
      </x:c>
      <x:c r="K5" s="133" t="n">
        <x:f>IF(J5="Completed",1,IF(J5="Draft Complete",0.8,IF(J5="In Review",0.6,IF(J5="Requires Owner Input",0.3,IF(J5="Blocked",0.1,IF(J5="Deferred",0.2,0))))))</x:f>
        <x:v>1</x:v>
      </x:c>
      <x:c r="L5" s="111" t="n">
        <x:v>0.5</x:v>
      </x:c>
      <x:c r="M5" s="111" t="str">
        <x:v>Canonical naming decision</x:v>
      </x:c>
      <x:c r="N5" s="111" t="str">
        <x:v>All foundation artefacts use Nessovo and no obsolete company name.</x:v>
      </x:c>
      <x:c r="O5" s="111" t="str">
        <x:v>User instruction</x:v>
      </x:c>
      <x:c r="P5" s="111" t="str">
        <x:v>Stage 0 Gate</x:v>
      </x:c>
      <x:c r="Q5" s="111" t="str">
        <x:v>W1</x:v>
      </x:c>
      <x:c r="R5" s="112" t="str">
        <x:v>Completed in workbook.</x:v>
      </x:c>
    </x:row>
    <x:row r="6">
      <x:c r="A6" s="119" t="str">
        <x:v>FND-002</x:v>
      </x:c>
      <x:c r="B6" s="120" t="n">
        <x:v>0</x:v>
      </x:c>
      <x:c r="C6" s="120" t="str">
        <x:v>Programme governance</x:v>
      </x:c>
      <x:c r="D6" s="120" t="str">
        <x:v>Appoint executive sponsor</x:v>
      </x:c>
      <x:c r="E6" s="120" t="str">
        <x:v>Name the executive accountable for purpose, risk appetite and final foundation approvals.</x:v>
      </x:c>
      <x:c r="F6" s="120" t="str">
        <x:v>CEO</x:v>
      </x:c>
      <x:c r="G6" s="120" t="str">
        <x:v>Board/CTO</x:v>
      </x:c>
      <x:c r="H6" s="120" t="str">
        <x:v>FND-001</x:v>
      </x:c>
      <x:c r="I6" s="120" t="str">
        <x:v>Critical</x:v>
      </x:c>
      <x:c r="J6" s="120" t="str">
        <x:v>Requires Owner Input</x:v>
      </x:c>
      <x:c r="K6" s="134" t="n">
        <x:f>IF(J6="Completed",1,IF(J6="Draft Complete",0.8,IF(J6="In Review",0.6,IF(J6="Requires Owner Input",0.3,IF(J6="Blocked",0.1,IF(J6="Deferred",0.2,0))))))</x:f>
        <x:v>0.3</x:v>
      </x:c>
      <x:c r="L6" s="120" t="n">
        <x:v>0.5</x:v>
      </x:c>
      <x:c r="M6" s="120" t="str">
        <x:v>Sponsor appointment</x:v>
      </x:c>
      <x:c r="N6" s="120" t="str">
        <x:v>Named individual and authority recorded.</x:v>
      </x:c>
      <x:c r="O6" s="120" t="str">
        <x:v>Internal decision</x:v>
      </x:c>
      <x:c r="P6" s="120" t="str">
        <x:v>Stage 0 Gate</x:v>
      </x:c>
      <x:c r="Q6" s="120" t="str">
        <x:v>W1</x:v>
      </x:c>
      <x:c r="R6" s="121" t="str"/>
    </x:row>
    <x:row r="7">
      <x:c r="A7" s="113" t="str">
        <x:v>FND-003</x:v>
      </x:c>
      <x:c r="B7" s="114" t="n">
        <x:v>0</x:v>
      </x:c>
      <x:c r="C7" s="114" t="str">
        <x:v>Programme governance</x:v>
      </x:c>
      <x:c r="D7" s="114" t="str">
        <x:v>Appoint product owner and programme lead</x:v>
      </x:c>
      <x:c r="E7" s="114" t="str">
        <x:v>Assign accountable owners for product decisions and integrated delivery.</x:v>
      </x:c>
      <x:c r="F7" s="114" t="str">
        <x:v>CEO/CTO</x:v>
      </x:c>
      <x:c r="G7" s="114" t="str">
        <x:v>Product/PMO</x:v>
      </x:c>
      <x:c r="H7" s="114" t="str">
        <x:v>FND-002</x:v>
      </x:c>
      <x:c r="I7" s="114" t="str">
        <x:v>Critical</x:v>
      </x:c>
      <x:c r="J7" s="114" t="str">
        <x:v>Requires Owner Input</x:v>
      </x:c>
      <x:c r="K7" s="135" t="n">
        <x:f>IF(J7="Completed",1,IF(J7="Draft Complete",0.8,IF(J7="In Review",0.6,IF(J7="Requires Owner Input",0.3,IF(J7="Blocked",0.1,IF(J7="Deferred",0.2,0))))))</x:f>
        <x:v>0.3</x:v>
      </x:c>
      <x:c r="L7" s="114" t="n">
        <x:v>1</x:v>
      </x:c>
      <x:c r="M7" s="114" t="str">
        <x:v>Named ownership</x:v>
      </x:c>
      <x:c r="N7" s="114" t="str">
        <x:v>Product owner, programme lead and deputies recorded.</x:v>
      </x:c>
      <x:c r="O7" s="114" t="str">
        <x:v>Internal decision</x:v>
      </x:c>
      <x:c r="P7" s="114" t="str">
        <x:v>Stage 0 Gate</x:v>
      </x:c>
      <x:c r="Q7" s="114" t="str">
        <x:v>W1</x:v>
      </x:c>
      <x:c r="R7" s="115" t="str"/>
    </x:row>
    <x:row r="8">
      <x:c r="A8" s="119" t="str">
        <x:v>FND-004</x:v>
      </x:c>
      <x:c r="B8" s="120" t="n">
        <x:v>0</x:v>
      </x:c>
      <x:c r="C8" s="120" t="str">
        <x:v>Product strategy</x:v>
      </x:c>
      <x:c r="D8" s="120" t="str">
        <x:v>Approve Product Charter v1 draft</x:v>
      </x:c>
      <x:c r="E8" s="120" t="str">
        <x:v>Define the problem, vision, mission, value, scope, non-scope and strategic fit within HumanOS.</x:v>
      </x:c>
      <x:c r="F8" s="120" t="str">
        <x:v>Product Owner</x:v>
      </x:c>
      <x:c r="G8" s="120" t="str">
        <x:v>CEO/CTO/Architecture/HR</x:v>
      </x:c>
      <x:c r="H8" s="120" t="str">
        <x:v>FND-001</x:v>
      </x:c>
      <x:c r="I8" s="120" t="str">
        <x:v>Critical</x:v>
      </x:c>
      <x:c r="J8" s="120" t="str">
        <x:v>Draft Complete</x:v>
      </x:c>
      <x:c r="K8" s="134" t="n">
        <x:f>IF(J8="Completed",1,IF(J8="Draft Complete",0.8,IF(J8="In Review",0.6,IF(J8="Requires Owner Input",0.3,IF(J8="Blocked",0.1,IF(J8="Deferred",0.2,0))))))</x:f>
        <x:v>0.8</x:v>
      </x:c>
      <x:c r="L8" s="120" t="n">
        <x:v>2</x:v>
      </x:c>
      <x:c r="M8" s="120" t="str">
        <x:v>Product Charter v1</x:v>
      </x:c>
      <x:c r="N8" s="120" t="str">
        <x:v>Charter contains purpose, beneficiaries, differentiation, principles, scope and kill criteria.</x:v>
      </x:c>
      <x:c r="O8" s="120" t="str">
        <x:v>Product Charter v1 sheet</x:v>
      </x:c>
      <x:c r="P8" s="120" t="str">
        <x:v>Stage 0 Gate</x:v>
      </x:c>
      <x:c r="Q8" s="120" t="str">
        <x:v>W1</x:v>
      </x:c>
      <x:c r="R8" s="121" t="str">
        <x:v>Leadership approval pending.</x:v>
      </x:c>
    </x:row>
    <x:row r="9">
      <x:c r="A9" s="113" t="str">
        <x:v>FND-005</x:v>
      </x:c>
      <x:c r="B9" s="114" t="n">
        <x:v>0</x:v>
      </x:c>
      <x:c r="C9" s="114" t="str">
        <x:v>Product strategy</x:v>
      </x:c>
      <x:c r="D9" s="114" t="str">
        <x:v>Confirm market positioning</x:v>
      </x:c>
      <x:c r="E9" s="114" t="str">
        <x:v>Position as task execution assurance, capability development and human–AI work intelligence rather than surveillance software.</x:v>
      </x:c>
      <x:c r="F9" s="114" t="str">
        <x:v>CEO/Product</x:v>
      </x:c>
      <x:c r="G9" s="114" t="str">
        <x:v>Marketing/Legal/Employee Rep</x:v>
      </x:c>
      <x:c r="H9" s="114" t="str">
        <x:v>FND-004</x:v>
      </x:c>
      <x:c r="I9" s="114" t="str">
        <x:v>Critical</x:v>
      </x:c>
      <x:c r="J9" s="114" t="str">
        <x:v>Draft Complete</x:v>
      </x:c>
      <x:c r="K9" s="135" t="n">
        <x:f>IF(J9="Completed",1,IF(J9="Draft Complete",0.8,IF(J9="In Review",0.6,IF(J9="Requires Owner Input",0.3,IF(J9="Blocked",0.1,IF(J9="Deferred",0.2,0))))))</x:f>
        <x:v>0.8</x:v>
      </x:c>
      <x:c r="L9" s="114" t="n">
        <x:v>1</x:v>
      </x:c>
      <x:c r="M9" s="114" t="str">
        <x:v>Positioning statement</x:v>
      </x:c>
      <x:c r="N9" s="114" t="str">
        <x:v>Positioning clearly states employee and employer value and avoids activity-volume scoring.</x:v>
      </x:c>
      <x:c r="O9" s="114" t="str">
        <x:v>Product Charter v1 / market research</x:v>
      </x:c>
      <x:c r="P9" s="114" t="str">
        <x:v>Stage 0 Gate</x:v>
      </x:c>
      <x:c r="Q9" s="114" t="str">
        <x:v>W1</x:v>
      </x:c>
      <x:c r="R9" s="115" t="str"/>
    </x:row>
    <x:row r="10">
      <x:c r="A10" s="119" t="str">
        <x:v>FND-006</x:v>
      </x:c>
      <x:c r="B10" s="120" t="n">
        <x:v>0</x:v>
      </x:c>
      <x:c r="C10" s="120" t="str">
        <x:v>Employee value</x:v>
      </x:c>
      <x:c r="D10" s="120" t="str">
        <x:v>Define employee value proposition</x:v>
      </x:c>
      <x:c r="E10" s="120" t="str">
        <x:v>Specify how the product protects legitimate work, explains blockers, improves AI use, supports learning and allows correction.</x:v>
      </x:c>
      <x:c r="F10" s="120" t="str">
        <x:v>Product/HR</x:v>
      </x:c>
      <x:c r="G10" s="120" t="str">
        <x:v>L&amp;D/Employee Rep</x:v>
      </x:c>
      <x:c r="H10" s="120" t="str">
        <x:v>FND-004</x:v>
      </x:c>
      <x:c r="I10" s="120" t="str">
        <x:v>High</x:v>
      </x:c>
      <x:c r="J10" s="120" t="str">
        <x:v>Draft Complete</x:v>
      </x:c>
      <x:c r="K10" s="134" t="n">
        <x:f>IF(J10="Completed",1,IF(J10="Draft Complete",0.8,IF(J10="In Review",0.6,IF(J10="Requires Owner Input",0.3,IF(J10="Blocked",0.1,IF(J10="Deferred",0.2,0))))))</x:f>
        <x:v>0.8</x:v>
      </x:c>
      <x:c r="L10" s="120" t="n">
        <x:v>1.5</x:v>
      </x:c>
      <x:c r="M10" s="120" t="str">
        <x:v>Employee value proposition</x:v>
      </x:c>
      <x:c r="N10" s="120" t="str">
        <x:v>At least five measurable employee benefits are defined.</x:v>
      </x:c>
      <x:c r="O10" s="120" t="str">
        <x:v>Product Charter v1</x:v>
      </x:c>
      <x:c r="P10" s="120" t="str">
        <x:v>Stage 0 Gate</x:v>
      </x:c>
      <x:c r="Q10" s="120" t="str">
        <x:v>W1</x:v>
      </x:c>
      <x:c r="R10" s="121" t="str"/>
    </x:row>
    <x:row r="11">
      <x:c r="A11" s="113" t="str">
        <x:v>FND-007</x:v>
      </x:c>
      <x:c r="B11" s="114" t="n">
        <x:v>0</x:v>
      </x:c>
      <x:c r="C11" s="114" t="str">
        <x:v>Employer value</x:v>
      </x:c>
      <x:c r="D11" s="114" t="str">
        <x:v>Define employer and team-lead value</x:v>
      </x:c>
      <x:c r="E11" s="114" t="str">
        <x:v>Specify task assurance, quality, blocker, capability, coaching and organisational-learning outcomes.</x:v>
      </x:c>
      <x:c r="F11" s="114" t="str">
        <x:v>Product</x:v>
      </x:c>
      <x:c r="G11" s="114" t="str">
        <x:v>Operations/Engineering Leads</x:v>
      </x:c>
      <x:c r="H11" s="114" t="str">
        <x:v>FND-004</x:v>
      </x:c>
      <x:c r="I11" s="114" t="str">
        <x:v>High</x:v>
      </x:c>
      <x:c r="J11" s="114" t="str">
        <x:v>Draft Complete</x:v>
      </x:c>
      <x:c r="K11" s="135" t="n">
        <x:f>IF(J11="Completed",1,IF(J11="Draft Complete",0.8,IF(J11="In Review",0.6,IF(J11="Requires Owner Input",0.3,IF(J11="Blocked",0.1,IF(J11="Deferred",0.2,0))))))</x:f>
        <x:v>0.8</x:v>
      </x:c>
      <x:c r="L11" s="114" t="n">
        <x:v>1</x:v>
      </x:c>
      <x:c r="M11" s="114" t="str">
        <x:v>Employer value proposition</x:v>
      </x:c>
      <x:c r="N11" s="114" t="str">
        <x:v>Outcomes are evidence-based and separated from raw monitoring.</x:v>
      </x:c>
      <x:c r="O11" s="114" t="str">
        <x:v>Product Charter v1</x:v>
      </x:c>
      <x:c r="P11" s="114" t="str">
        <x:v>Stage 0 Gate</x:v>
      </x:c>
      <x:c r="Q11" s="114" t="str">
        <x:v>W1</x:v>
      </x:c>
      <x:c r="R11" s="115" t="str"/>
    </x:row>
    <x:row r="12">
      <x:c r="A12" s="119" t="str">
        <x:v>FND-008</x:v>
      </x:c>
      <x:c r="B12" s="120" t="n">
        <x:v>0</x:v>
      </x:c>
      <x:c r="C12" s="120" t="str">
        <x:v>Product boundaries</x:v>
      </x:c>
      <x:c r="D12" s="120" t="str">
        <x:v>Approve prohibited uses and non-goals</x:v>
      </x:c>
      <x:c r="E12" s="120" t="str">
        <x:v>Exclude covert general monitoring, emotion/personality inference, automated employment decisions and activity-volume productivity scores.</x:v>
      </x:c>
      <x:c r="F12" s="120" t="str">
        <x:v>Legal/DPO/Product</x:v>
      </x:c>
      <x:c r="G12" s="120" t="str">
        <x:v>HR/Security/Employee Rep</x:v>
      </x:c>
      <x:c r="H12" s="120" t="str">
        <x:v>FND-004</x:v>
      </x:c>
      <x:c r="I12" s="120" t="str">
        <x:v>Critical</x:v>
      </x:c>
      <x:c r="J12" s="120" t="str">
        <x:v>Draft Complete</x:v>
      </x:c>
      <x:c r="K12" s="134" t="n">
        <x:f>IF(J12="Completed",1,IF(J12="Draft Complete",0.8,IF(J12="In Review",0.6,IF(J12="Requires Owner Input",0.3,IF(J12="Blocked",0.1,IF(J12="Deferred",0.2,0))))))</x:f>
        <x:v>0.8</x:v>
      </x:c>
      <x:c r="L12" s="120" t="n">
        <x:v>1.5</x:v>
      </x:c>
      <x:c r="M12" s="120" t="str">
        <x:v>Prohibited-use register</x:v>
      </x:c>
      <x:c r="N12" s="120" t="str">
        <x:v>All prohibited uses are explicit, testable and enforceable by policy.</x:v>
      </x:c>
      <x:c r="O12" s="120" t="str">
        <x:v>Product Charter v1 / Purpose Policy Matrix</x:v>
      </x:c>
      <x:c r="P12" s="120" t="str">
        <x:v>Stage 0 Gate</x:v>
      </x:c>
      <x:c r="Q12" s="120" t="str">
        <x:v>W1</x:v>
      </x:c>
      <x:c r="R12" s="121" t="str">
        <x:v>Formal legal approval pending.</x:v>
      </x:c>
    </x:row>
    <x:row r="13">
      <x:c r="A13" s="113" t="str">
        <x:v>FND-009</x:v>
      </x:c>
      <x:c r="B13" s="114" t="n">
        <x:v>0</x:v>
      </x:c>
      <x:c r="C13" s="114" t="str">
        <x:v>Pilot scope</x:v>
      </x:c>
      <x:c r="D13" s="114" t="str">
        <x:v>Define initial vertical and pilot cohort</x:v>
      </x:c>
      <x:c r="E13" s="114" t="str">
        <x:v>Limit initial pilot to AI-assisted software development on company-managed devices.</x:v>
      </x:c>
      <x:c r="F13" s="114" t="str">
        <x:v>Product/CTO</x:v>
      </x:c>
      <x:c r="G13" s="114" t="str">
        <x:v>Engineering/HR</x:v>
      </x:c>
      <x:c r="H13" s="114" t="str">
        <x:v>FND-004</x:v>
      </x:c>
      <x:c r="I13" s="114" t="str">
        <x:v>Critical</x:v>
      </x:c>
      <x:c r="J13" s="114" t="str">
        <x:v>Draft Complete</x:v>
      </x:c>
      <x:c r="K13" s="135" t="n">
        <x:f>IF(J13="Completed",1,IF(J13="Draft Complete",0.8,IF(J13="In Review",0.6,IF(J13="Requires Owner Input",0.3,IF(J13="Blocked",0.1,IF(J13="Deferred",0.2,0))))))</x:f>
        <x:v>0.8</x:v>
      </x:c>
      <x:c r="L13" s="114" t="n">
        <x:v>1</x:v>
      </x:c>
      <x:c r="M13" s="114" t="str">
        <x:v>Pilot scope statement</x:v>
      </x:c>
      <x:c r="N13" s="114" t="str">
        <x:v>Roles, device types, task classes, exclusions and participant count assumptions are stated.</x:v>
      </x:c>
      <x:c r="O13" s="114" t="str">
        <x:v>Pilot Definition sheet</x:v>
      </x:c>
      <x:c r="P13" s="114" t="str">
        <x:v>Stage 0 Gate</x:v>
      </x:c>
      <x:c r="Q13" s="114" t="str">
        <x:v>W1</x:v>
      </x:c>
      <x:c r="R13" s="115" t="str"/>
    </x:row>
    <x:row r="14">
      <x:c r="A14" s="119" t="str">
        <x:v>FND-010</x:v>
      </x:c>
      <x:c r="B14" s="120" t="n">
        <x:v>0</x:v>
      </x:c>
      <x:c r="C14" s="120" t="str">
        <x:v>Ontology foundation</x:v>
      </x:c>
      <x:c r="D14" s="120" t="str">
        <x:v>Approve foundation terminology</x:v>
      </x:c>
      <x:c r="E14" s="120" t="str">
        <x:v>Define fact, inference, recommendation, assumption, task assurance, capability evidence and consequential decision.</x:v>
      </x:c>
      <x:c r="F14" s="120" t="str">
        <x:v>Product/Architecture</x:v>
      </x:c>
      <x:c r="G14" s="120" t="str">
        <x:v>Legal/AI/HR</x:v>
      </x:c>
      <x:c r="H14" s="120" t="str">
        <x:v>FND-004</x:v>
      </x:c>
      <x:c r="I14" s="120" t="str">
        <x:v>High</x:v>
      </x:c>
      <x:c r="J14" s="120" t="str">
        <x:v>Draft Complete</x:v>
      </x:c>
      <x:c r="K14" s="134" t="n">
        <x:f>IF(J14="Completed",1,IF(J14="Draft Complete",0.8,IF(J14="In Review",0.6,IF(J14="Requires Owner Input",0.3,IF(J14="Blocked",0.1,IF(J14="Deferred",0.2,0))))))</x:f>
        <x:v>0.8</x:v>
      </x:c>
      <x:c r="L14" s="120" t="n">
        <x:v>1</x:v>
      </x:c>
      <x:c r="M14" s="120" t="str">
        <x:v>Canonical glossary</x:v>
      </x:c>
      <x:c r="N14" s="120" t="str">
        <x:v>Terms are unambiguous and reused across artefacts.</x:v>
      </x:c>
      <x:c r="O14" s="120" t="str">
        <x:v>Master Prompts / Product Charter v1</x:v>
      </x:c>
      <x:c r="P14" s="120" t="str">
        <x:v>Stage 0 Gate</x:v>
      </x:c>
      <x:c r="Q14" s="120" t="str">
        <x:v>W1</x:v>
      </x:c>
      <x:c r="R14" s="121" t="str"/>
    </x:row>
    <x:row r="15">
      <x:c r="A15" s="113" t="str">
        <x:v>FND-011</x:v>
      </x:c>
      <x:c r="B15" s="114" t="n">
        <x:v>0</x:v>
      </x:c>
      <x:c r="C15" s="114" t="str">
        <x:v>Privacy governance</x:v>
      </x:c>
      <x:c r="D15" s="114" t="str">
        <x:v>Complete purpose-by-data matrix</x:v>
      </x:c>
      <x:c r="E15" s="114" t="str">
        <x:v>Map every proposed data category to purpose, necessity, minimisation, access, retention and prohibited use.</x:v>
      </x:c>
      <x:c r="F15" s="114" t="str">
        <x:v>DPO/Product</x:v>
      </x:c>
      <x:c r="G15" s="114" t="str">
        <x:v>Security/Architecture/HR</x:v>
      </x:c>
      <x:c r="H15" s="114" t="str">
        <x:v>FND-008</x:v>
      </x:c>
      <x:c r="I15" s="114" t="str">
        <x:v>Critical</x:v>
      </x:c>
      <x:c r="J15" s="114" t="str">
        <x:v>Draft Complete</x:v>
      </x:c>
      <x:c r="K15" s="135" t="n">
        <x:f>IF(J15="Completed",1,IF(J15="Draft Complete",0.8,IF(J15="In Review",0.6,IF(J15="Requires Owner Input",0.3,IF(J15="Blocked",0.1,IF(J15="Deferred",0.2,0))))))</x:f>
        <x:v>0.8</x:v>
      </x:c>
      <x:c r="L15" s="114" t="n">
        <x:v>3</x:v>
      </x:c>
      <x:c r="M15" s="114" t="str">
        <x:v>Purpose Policy Matrix</x:v>
      </x:c>
      <x:c r="N15" s="114" t="str">
        <x:v>No data category exists without a defined purpose and minimisation rationale.</x:v>
      </x:c>
      <x:c r="O15" s="114" t="str">
        <x:v>Purpose Policy Matrix sheet</x:v>
      </x:c>
      <x:c r="P15" s="114" t="str">
        <x:v>Stage 0 Gate</x:v>
      </x:c>
      <x:c r="Q15" s="114" t="str">
        <x:v>W1</x:v>
      </x:c>
      <x:c r="R15" s="115" t="str">
        <x:v>DPO validation pending.</x:v>
      </x:c>
    </x:row>
    <x:row r="16">
      <x:c r="A16" s="119" t="str">
        <x:v>FND-012</x:v>
      </x:c>
      <x:c r="B16" s="120" t="n">
        <x:v>0</x:v>
      </x:c>
      <x:c r="C16" s="120" t="str">
        <x:v>Privacy governance</x:v>
      </x:c>
      <x:c r="D16" s="120" t="str">
        <x:v>Assess less intrusive alternatives</x:v>
      </x:c>
      <x:c r="E16" s="120" t="str">
        <x:v>For every intrusive capture method, assess whether task artefacts or metadata can achieve the purpose first.</x:v>
      </x:c>
      <x:c r="F16" s="120" t="str">
        <x:v>DPO/Product</x:v>
      </x:c>
      <x:c r="G16" s="120" t="str">
        <x:v>Architecture/Employee Rep</x:v>
      </x:c>
      <x:c r="H16" s="120" t="str">
        <x:v>FND-011</x:v>
      </x:c>
      <x:c r="I16" s="120" t="str">
        <x:v>Critical</x:v>
      </x:c>
      <x:c r="J16" s="120" t="str">
        <x:v>Draft Complete</x:v>
      </x:c>
      <x:c r="K16" s="134" t="n">
        <x:f>IF(J16="Completed",1,IF(J16="Draft Complete",0.8,IF(J16="In Review",0.6,IF(J16="Requires Owner Input",0.3,IF(J16="Blocked",0.1,IF(J16="Deferred",0.2,0))))))</x:f>
        <x:v>0.8</x:v>
      </x:c>
      <x:c r="L16" s="120" t="n">
        <x:v>2</x:v>
      </x:c>
      <x:c r="M16" s="120" t="str">
        <x:v>Alternatives assessment</x:v>
      </x:c>
      <x:c r="N16" s="120" t="str">
        <x:v>Alternatives and residual necessity are documented per data type.</x:v>
      </x:c>
      <x:c r="O16" s="120" t="str">
        <x:v>Purpose Policy Matrix sheet</x:v>
      </x:c>
      <x:c r="P16" s="120" t="str">
        <x:v>Stage 0 Gate</x:v>
      </x:c>
      <x:c r="Q16" s="120" t="str">
        <x:v>W1</x:v>
      </x:c>
      <x:c r="R16" s="121" t="str"/>
    </x:row>
    <x:row r="17">
      <x:c r="A17" s="113" t="str">
        <x:v>FND-013</x:v>
      </x:c>
      <x:c r="B17" s="114" t="n">
        <x:v>0</x:v>
      </x:c>
      <x:c r="C17" s="114" t="str">
        <x:v>Privacy governance</x:v>
      </x:c>
      <x:c r="D17" s="114" t="str">
        <x:v>Complete DPIA screening draft</x:v>
      </x:c>
      <x:c r="E17" s="114" t="str">
        <x:v>Document why the intended keystroke/screenshot/performance use is high-risk and requires a full DPIA.</x:v>
      </x:c>
      <x:c r="F17" s="114" t="str">
        <x:v>DPO</x:v>
      </x:c>
      <x:c r="G17" s="114" t="str">
        <x:v>Legal/Product/Security</x:v>
      </x:c>
      <x:c r="H17" s="114" t="str">
        <x:v>FND-011</x:v>
      </x:c>
      <x:c r="I17" s="114" t="str">
        <x:v>Critical</x:v>
      </x:c>
      <x:c r="J17" s="114" t="str">
        <x:v>Draft Complete</x:v>
      </x:c>
      <x:c r="K17" s="135" t="n">
        <x:f>IF(J17="Completed",1,IF(J17="Draft Complete",0.8,IF(J17="In Review",0.6,IF(J17="Requires Owner Input",0.3,IF(J17="Blocked",0.1,IF(J17="Deferred",0.2,0))))))</x:f>
        <x:v>0.8</x:v>
      </x:c>
      <x:c r="L17" s="114" t="n">
        <x:v>1</x:v>
      </x:c>
      <x:c r="M17" s="114" t="str">
        <x:v>DPIA screening record</x:v>
      </x:c>
      <x:c r="N17" s="114" t="str">
        <x:v>High-risk triggers, affected people and initial risks are recorded.</x:v>
      </x:c>
      <x:c r="O17" s="114" t="str">
        <x:v>ICO monitoring guidance</x:v>
      </x:c>
      <x:c r="P17" s="114" t="str">
        <x:v>Stage 0 Gate</x:v>
      </x:c>
      <x:c r="Q17" s="114" t="str">
        <x:v>W1</x:v>
      </x:c>
      <x:c r="R17" s="115" t="str">
        <x:v>Formal DPO advice not yet recorded.</x:v>
      </x:c>
    </x:row>
    <x:row r="18">
      <x:c r="A18" s="119" t="str">
        <x:v>FND-014</x:v>
      </x:c>
      <x:c r="B18" s="120" t="n">
        <x:v>0</x:v>
      </x:c>
      <x:c r="C18" s="120" t="str">
        <x:v>Privacy governance</x:v>
      </x:c>
      <x:c r="D18" s="120" t="str">
        <x:v>Prepare full DPIA input pack</x:v>
      </x:c>
      <x:c r="E18" s="120" t="str">
        <x:v>Provide processing description, necessity, risks, safeguards, consultation and residual-risk questions.</x:v>
      </x:c>
      <x:c r="F18" s="120" t="str">
        <x:v>DPO</x:v>
      </x:c>
      <x:c r="G18" s="120" t="str">
        <x:v>Legal/Security/Product</x:v>
      </x:c>
      <x:c r="H18" s="120" t="str">
        <x:v>FND-013</x:v>
      </x:c>
      <x:c r="I18" s="120" t="str">
        <x:v>Critical</x:v>
      </x:c>
      <x:c r="J18" s="120" t="str">
        <x:v>Draft Complete</x:v>
      </x:c>
      <x:c r="K18" s="134" t="n">
        <x:f>IF(J18="Completed",1,IF(J18="Draft Complete",0.8,IF(J18="In Review",0.6,IF(J18="Requires Owner Input",0.3,IF(J18="Blocked",0.1,IF(J18="Deferred",0.2,0))))))</x:f>
        <x:v>0.8</x:v>
      </x:c>
      <x:c r="L18" s="120" t="n">
        <x:v>3</x:v>
      </x:c>
      <x:c r="M18" s="120" t="str">
        <x:v>DPIA working pack</x:v>
      </x:c>
      <x:c r="N18" s="120" t="str">
        <x:v>Pack contains all information needed for an independent DPO/legal assessment.</x:v>
      </x:c>
      <x:c r="O18" s="120" t="str">
        <x:v>Governance / Foundation Threats / Purpose Policy Matrix</x:v>
      </x:c>
      <x:c r="P18" s="120" t="str">
        <x:v>Stage 0 Gate</x:v>
      </x:c>
      <x:c r="Q18" s="120" t="str">
        <x:v>W2</x:v>
      </x:c>
      <x:c r="R18" s="121" t="str"/>
    </x:row>
    <x:row r="19">
      <x:c r="A19" s="113" t="str">
        <x:v>FND-015</x:v>
      </x:c>
      <x:c r="B19" s="114" t="n">
        <x:v>0</x:v>
      </x:c>
      <x:c r="C19" s="114" t="str">
        <x:v>Privacy governance</x:v>
      </x:c>
      <x:c r="D19" s="114" t="str">
        <x:v>Obtain and record DPO advice</x:v>
      </x:c>
      <x:c r="E19" s="114" t="str">
        <x:v>Independent DPO reviews the DPIA, safeguards and whether the pilot may proceed.</x:v>
      </x:c>
      <x:c r="F19" s="114" t="str">
        <x:v>DPO</x:v>
      </x:c>
      <x:c r="G19" s="114" t="str">
        <x:v>Legal/Executive Sponsor</x:v>
      </x:c>
      <x:c r="H19" s="114" t="str">
        <x:v>FND-014</x:v>
      </x:c>
      <x:c r="I19" s="114" t="str">
        <x:v>Critical</x:v>
      </x:c>
      <x:c r="J19" s="114" t="str">
        <x:v>Not Started</x:v>
      </x:c>
      <x:c r="K19" s="135" t="n">
        <x:f>IF(J19="Completed",1,IF(J19="Draft Complete",0.8,IF(J19="In Review",0.6,IF(J19="Requires Owner Input",0.3,IF(J19="Blocked",0.1,IF(J19="Deferred",0.2,0))))))</x:f>
        <x:v>0</x:v>
      </x:c>
      <x:c r="L19" s="114" t="n">
        <x:v>2</x:v>
      </x:c>
      <x:c r="M19" s="114" t="str">
        <x:v>DPO advice record</x:v>
      </x:c>
      <x:c r="N19" s="114" t="str">
        <x:v>Advice, conditions, dissent and residual risks are signed and stored.</x:v>
      </x:c>
      <x:c r="O19" s="114" t="str">
        <x:v>Independent review required</x:v>
      </x:c>
      <x:c r="P19" s="114" t="str">
        <x:v>Stage 0 Gate</x:v>
      </x:c>
      <x:c r="Q19" s="114" t="str">
        <x:v>W2</x:v>
      </x:c>
      <x:c r="R19" s="115" t="str"/>
    </x:row>
    <x:row r="20">
      <x:c r="A20" s="119" t="str">
        <x:v>FND-016</x:v>
      </x:c>
      <x:c r="B20" s="120" t="n">
        <x:v>0</x:v>
      </x:c>
      <x:c r="C20" s="120" t="str">
        <x:v>Legal</x:v>
      </x:c>
      <x:c r="D20" s="120" t="str">
        <x:v>UK legal basis and employment-law review</x:v>
      </x:c>
      <x:c r="E20" s="120" t="str">
        <x:v>Confirm lawful basis, special-category conditions, interception rules, employment documentation and automated-decision safeguards.</x:v>
      </x:c>
      <x:c r="F20" s="120" t="str">
        <x:v>UK Legal Counsel</x:v>
      </x:c>
      <x:c r="G20" s="120" t="str">
        <x:v>DPO/HR</x:v>
      </x:c>
      <x:c r="H20" s="120" t="str">
        <x:v>FND-014</x:v>
      </x:c>
      <x:c r="I20" s="120" t="str">
        <x:v>Critical</x:v>
      </x:c>
      <x:c r="J20" s="120" t="str">
        <x:v>Requires Owner Input</x:v>
      </x:c>
      <x:c r="K20" s="134" t="n">
        <x:f>IF(J20="Completed",1,IF(J20="Draft Complete",0.8,IF(J20="In Review",0.6,IF(J20="Requires Owner Input",0.3,IF(J20="Blocked",0.1,IF(J20="Deferred",0.2,0))))))</x:f>
        <x:v>0.3</x:v>
      </x:c>
      <x:c r="L20" s="120" t="n">
        <x:v>3</x:v>
      </x:c>
      <x:c r="M20" s="120" t="str">
        <x:v>UK legal memorandum</x:v>
      </x:c>
      <x:c r="N20" s="120" t="str">
        <x:v>Legal counsel identifies permitted pilot scope, conditions and prohibited uses.</x:v>
      </x:c>
      <x:c r="O20" s="120" t="str">
        <x:v>UK counsel / ICO / GOV.UK</x:v>
      </x:c>
      <x:c r="P20" s="120" t="str">
        <x:v>Stage 0 Gate</x:v>
      </x:c>
      <x:c r="Q20" s="120" t="str">
        <x:v>W2</x:v>
      </x:c>
      <x:c r="R20" s="121" t="str">
        <x:v>Not legal advice in this workbook.</x:v>
      </x:c>
    </x:row>
    <x:row r="21">
      <x:c r="A21" s="113" t="str">
        <x:v>FND-017</x:v>
      </x:c>
      <x:c r="B21" s="114" t="n">
        <x:v>0</x:v>
      </x:c>
      <x:c r="C21" s="114" t="str">
        <x:v>Legal</x:v>
      </x:c>
      <x:c r="D21" s="114" t="str">
        <x:v>Pakistan/Lahore legal review scope</x:v>
      </x:c>
      <x:c r="E21" s="114" t="str">
        <x:v>Commission a separate employment, privacy, interception and cross-border data review for Lahore operations.</x:v>
      </x:c>
      <x:c r="F21" s="114" t="str">
        <x:v>Pakistan Legal Counsel</x:v>
      </x:c>
      <x:c r="G21" s="114" t="str">
        <x:v>HR/DPO/Security</x:v>
      </x:c>
      <x:c r="H21" s="114" t="str">
        <x:v>FND-014</x:v>
      </x:c>
      <x:c r="I21" s="114" t="str">
        <x:v>Critical</x:v>
      </x:c>
      <x:c r="J21" s="114" t="str">
        <x:v>Requires Owner Input</x:v>
      </x:c>
      <x:c r="K21" s="135" t="n">
        <x:f>IF(J21="Completed",1,IF(J21="Draft Complete",0.8,IF(J21="In Review",0.6,IF(J21="Requires Owner Input",0.3,IF(J21="Blocked",0.1,IF(J21="Deferred",0.2,0))))))</x:f>
        <x:v>0.3</x:v>
      </x:c>
      <x:c r="L21" s="114" t="n">
        <x:v>3</x:v>
      </x:c>
      <x:c r="M21" s="114" t="str">
        <x:v>Pakistan legal memorandum</x:v>
      </x:c>
      <x:c r="N21" s="114" t="str">
        <x:v>Applicable laws, notices, consent/consultation, localisation and transfer requirements are documented.</x:v>
      </x:c>
      <x:c r="O21" s="114" t="str">
        <x:v>Local counsel required</x:v>
      </x:c>
      <x:c r="P21" s="114" t="str">
        <x:v>Stage 0 Gate</x:v>
      </x:c>
      <x:c r="Q21" s="114" t="str">
        <x:v>W2</x:v>
      </x:c>
      <x:c r="R21" s="115" t="str"/>
    </x:row>
    <x:row r="22">
      <x:c r="A22" s="119" t="str">
        <x:v>FND-018</x:v>
      </x:c>
      <x:c r="B22" s="120" t="n">
        <x:v>0</x:v>
      </x:c>
      <x:c r="C22" s="120" t="str">
        <x:v>Worker voice</x:v>
      </x:c>
      <x:c r="D22" s="120" t="str">
        <x:v>Approve worker consultation plan</x:v>
      </x:c>
      <x:c r="E22" s="120" t="str">
        <x:v>Define early consultation, representative participation, feedback capture and response commitments.</x:v>
      </x:c>
      <x:c r="F22" s="120" t="str">
        <x:v>HR/DPO</x:v>
      </x:c>
      <x:c r="G22" s="120" t="str">
        <x:v>Employee Rep/Product</x:v>
      </x:c>
      <x:c r="H22" s="120" t="str">
        <x:v>FND-011</x:v>
      </x:c>
      <x:c r="I22" s="120" t="str">
        <x:v>Critical</x:v>
      </x:c>
      <x:c r="J22" s="120" t="str">
        <x:v>Draft Complete</x:v>
      </x:c>
      <x:c r="K22" s="134" t="n">
        <x:f>IF(J22="Completed",1,IF(J22="Draft Complete",0.8,IF(J22="In Review",0.6,IF(J22="Requires Owner Input",0.3,IF(J22="Blocked",0.1,IF(J22="Deferred",0.2,0))))))</x:f>
        <x:v>0.8</x:v>
      </x:c>
      <x:c r="L22" s="120" t="n">
        <x:v>1.5</x:v>
      </x:c>
      <x:c r="M22" s="120" t="str">
        <x:v>Consultation plan</x:v>
      </x:c>
      <x:c r="N22" s="120" t="str">
        <x:v>Participants, timing, topics, confidentiality and decision-response process are defined.</x:v>
      </x:c>
      <x:c r="O22" s="120" t="str">
        <x:v>ICO guidance / Pilot Definition</x:v>
      </x:c>
      <x:c r="P22" s="120" t="str">
        <x:v>Stage 0 Gate</x:v>
      </x:c>
      <x:c r="Q22" s="120" t="str">
        <x:v>W1</x:v>
      </x:c>
      <x:c r="R22" s="121" t="str"/>
    </x:row>
    <x:row r="23">
      <x:c r="A23" s="113" t="str">
        <x:v>FND-019</x:v>
      </x:c>
      <x:c r="B23" s="114" t="n">
        <x:v>0</x:v>
      </x:c>
      <x:c r="C23" s="114" t="str">
        <x:v>Worker voice</x:v>
      </x:c>
      <x:c r="D23" s="114" t="str">
        <x:v>Run and document worker consultation</x:v>
      </x:c>
      <x:c r="E23" s="114" t="str">
        <x:v>Consult affected employees or representatives before pilot approval.</x:v>
      </x:c>
      <x:c r="F23" s="114" t="str">
        <x:v>HR</x:v>
      </x:c>
      <x:c r="G23" s="114" t="str">
        <x:v>DPO/Product/Employee Rep</x:v>
      </x:c>
      <x:c r="H23" s="114" t="str">
        <x:v>FND-018</x:v>
      </x:c>
      <x:c r="I23" s="114" t="str">
        <x:v>Critical</x:v>
      </x:c>
      <x:c r="J23" s="114" t="str">
        <x:v>Not Started</x:v>
      </x:c>
      <x:c r="K23" s="135" t="n">
        <x:f>IF(J23="Completed",1,IF(J23="Draft Complete",0.8,IF(J23="In Review",0.6,IF(J23="Requires Owner Input",0.3,IF(J23="Blocked",0.1,IF(J23="Deferred",0.2,0))))))</x:f>
        <x:v>0</x:v>
      </x:c>
      <x:c r="L23" s="114" t="n">
        <x:v>3</x:v>
      </x:c>
      <x:c r="M23" s="114" t="str">
        <x:v>Consultation record</x:v>
      </x:c>
      <x:c r="N23" s="114" t="str">
        <x:v>Views, objections, changes accepted/rejected and reasons are documented.</x:v>
      </x:c>
      <x:c r="O23" s="114" t="str">
        <x:v>Consultation evidence</x:v>
      </x:c>
      <x:c r="P23" s="114" t="str">
        <x:v>Stage 0 Gate</x:v>
      </x:c>
      <x:c r="Q23" s="114" t="str">
        <x:v>W2</x:v>
      </x:c>
      <x:c r="R23" s="115" t="str"/>
    </x:row>
    <x:row r="24">
      <x:c r="A24" s="119" t="str">
        <x:v>FND-020</x:v>
      </x:c>
      <x:c r="B24" s="120" t="n">
        <x:v>0</x:v>
      </x:c>
      <x:c r="C24" s="120" t="str">
        <x:v>Transparency</x:v>
      </x:c>
      <x:c r="D24" s="120" t="str">
        <x:v>Draft worker privacy notice</x:v>
      </x:c>
      <x:c r="E24" s="120" t="str">
        <x:v>Explain what is captured, why, when, who sees it, retention, rights, dispute and contact routes.</x:v>
      </x:c>
      <x:c r="F24" s="120" t="str">
        <x:v>DPO/Legal</x:v>
      </x:c>
      <x:c r="G24" s="120" t="str">
        <x:v>HR/Product</x:v>
      </x:c>
      <x:c r="H24" s="120" t="str">
        <x:v>FND-011</x:v>
      </x:c>
      <x:c r="I24" s="120" t="str">
        <x:v>Critical</x:v>
      </x:c>
      <x:c r="J24" s="120" t="str">
        <x:v>Draft Complete</x:v>
      </x:c>
      <x:c r="K24" s="134" t="n">
        <x:f>IF(J24="Completed",1,IF(J24="Draft Complete",0.8,IF(J24="In Review",0.6,IF(J24="Requires Owner Input",0.3,IF(J24="Blocked",0.1,IF(J24="Deferred",0.2,0))))))</x:f>
        <x:v>0.8</x:v>
      </x:c>
      <x:c r="L24" s="120" t="n">
        <x:v>2</x:v>
      </x:c>
      <x:c r="M24" s="120" t="str">
        <x:v>Privacy notice outline</x:v>
      </x:c>
      <x:c r="N24" s="120" t="str">
        <x:v>Notice is clear, accessible, task-specific and consistent with policy.</x:v>
      </x:c>
      <x:c r="O24" s="120" t="str">
        <x:v>Governance sheet</x:v>
      </x:c>
      <x:c r="P24" s="120" t="str">
        <x:v>Stage 0 Gate</x:v>
      </x:c>
      <x:c r="Q24" s="120" t="str">
        <x:v>W2</x:v>
      </x:c>
      <x:c r="R24" s="121" t="str">
        <x:v>Legal review pending.</x:v>
      </x:c>
    </x:row>
    <x:row r="25">
      <x:c r="A25" s="113" t="str">
        <x:v>FND-021</x:v>
      </x:c>
      <x:c r="B25" s="114" t="n">
        <x:v>0</x:v>
      </x:c>
      <x:c r="C25" s="114" t="str">
        <x:v>Transparency</x:v>
      </x:c>
      <x:c r="D25" s="114" t="str">
        <x:v>Draft workplace monitoring policy</x:v>
      </x:c>
      <x:c r="E25" s="114" t="str">
        <x:v>Define scope, working hours, personal use, exclusions, manager access, prohibited uses and consequences of misuse.</x:v>
      </x:c>
      <x:c r="F25" s="114" t="str">
        <x:v>HR/Legal</x:v>
      </x:c>
      <x:c r="G25" s="114" t="str">
        <x:v>DPO/Security/Product</x:v>
      </x:c>
      <x:c r="H25" s="114" t="str">
        <x:v>FND-020</x:v>
      </x:c>
      <x:c r="I25" s="114" t="str">
        <x:v>Critical</x:v>
      </x:c>
      <x:c r="J25" s="114" t="str">
        <x:v>Draft Complete</x:v>
      </x:c>
      <x:c r="K25" s="135" t="n">
        <x:f>IF(J25="Completed",1,IF(J25="Draft Complete",0.8,IF(J25="In Review",0.6,IF(J25="Requires Owner Input",0.3,IF(J25="Blocked",0.1,IF(J25="Deferred",0.2,0))))))</x:f>
        <x:v>0.8</x:v>
      </x:c>
      <x:c r="L25" s="114" t="n">
        <x:v>2</x:v>
      </x:c>
      <x:c r="M25" s="114" t="str">
        <x:v>Monitoring policy outline</x:v>
      </x:c>
      <x:c r="N25" s="114" t="str">
        <x:v>Policy is consistent with charter, purpose matrix and employee notice.</x:v>
      </x:c>
      <x:c r="O25" s="114" t="str">
        <x:v>Governance sheet</x:v>
      </x:c>
      <x:c r="P25" s="114" t="str">
        <x:v>Stage 0 Gate</x:v>
      </x:c>
      <x:c r="Q25" s="114" t="str">
        <x:v>W2</x:v>
      </x:c>
      <x:c r="R25" s="115" t="str"/>
    </x:row>
    <x:row r="26">
      <x:c r="A26" s="119" t="str">
        <x:v>FND-022</x:v>
      </x:c>
      <x:c r="B26" s="120" t="n">
        <x:v>0</x:v>
      </x:c>
      <x:c r="C26" s="120" t="str">
        <x:v>Employee rights</x:v>
      </x:c>
      <x:c r="D26" s="120" t="str">
        <x:v>Define access, correction and dispute workflow</x:v>
      </x:c>
      <x:c r="E26" s="120" t="str">
        <x:v>Employees can view evidence, correct task attribution, explain context and request human review.</x:v>
      </x:c>
      <x:c r="F26" s="120" t="str">
        <x:v>Governance Product Owner</x:v>
      </x:c>
      <x:c r="G26" s="120" t="str">
        <x:v>DPO/HR/Workflow Team</x:v>
      </x:c>
      <x:c r="H26" s="120" t="str">
        <x:v>FND-011</x:v>
      </x:c>
      <x:c r="I26" s="120" t="str">
        <x:v>Critical</x:v>
      </x:c>
      <x:c r="J26" s="120" t="str">
        <x:v>Draft Complete</x:v>
      </x:c>
      <x:c r="K26" s="134" t="n">
        <x:f>IF(J26="Completed",1,IF(J26="Draft Complete",0.8,IF(J26="In Review",0.6,IF(J26="Requires Owner Input",0.3,IF(J26="Blocked",0.1,IF(J26="Deferred",0.2,0))))))</x:f>
        <x:v>0.8</x:v>
      </x:c>
      <x:c r="L26" s="120" t="n">
        <x:v>2</x:v>
      </x:c>
      <x:c r="M26" s="120" t="str">
        <x:v>Rights workflow</x:v>
      </x:c>
      <x:c r="N26" s="120" t="str">
        <x:v>States, deadlines, evidence preservation and reviewer authority are defined.</x:v>
      </x:c>
      <x:c r="O26" s="120" t="str">
        <x:v>Governance / Reference Architecture</x:v>
      </x:c>
      <x:c r="P26" s="120" t="str">
        <x:v>Stage 0 Gate</x:v>
      </x:c>
      <x:c r="Q26" s="120" t="str">
        <x:v>W2</x:v>
      </x:c>
      <x:c r="R26" s="121" t="str"/>
    </x:row>
    <x:row r="27">
      <x:c r="A27" s="113" t="str">
        <x:v>FND-023</x:v>
      </x:c>
      <x:c r="B27" s="114" t="n">
        <x:v>0</x:v>
      </x:c>
      <x:c r="C27" s="114" t="str">
        <x:v>Human review</x:v>
      </x:c>
      <x:c r="D27" s="114" t="str">
        <x:v>Define meaningful human-review standard</x:v>
      </x:c>
      <x:c r="E27" s="114" t="str">
        <x:v>Reviewers must understand evidence, consider context and have authority to reject AI recommendations.</x:v>
      </x:c>
      <x:c r="F27" s="114" t="str">
        <x:v>HR/Legal/DPO</x:v>
      </x:c>
      <x:c r="G27" s="114" t="str">
        <x:v>Domain Experts/Product</x:v>
      </x:c>
      <x:c r="H27" s="114" t="str">
        <x:v>FND-022</x:v>
      </x:c>
      <x:c r="I27" s="114" t="str">
        <x:v>Critical</x:v>
      </x:c>
      <x:c r="J27" s="114" t="str">
        <x:v>Draft Complete</x:v>
      </x:c>
      <x:c r="K27" s="135" t="n">
        <x:f>IF(J27="Completed",1,IF(J27="Draft Complete",0.8,IF(J27="In Review",0.6,IF(J27="Requires Owner Input",0.3,IF(J27="Blocked",0.1,IF(J27="Deferred",0.2,0))))))</x:f>
        <x:v>0.8</x:v>
      </x:c>
      <x:c r="L27" s="114" t="n">
        <x:v>1.5</x:v>
      </x:c>
      <x:c r="M27" s="114" t="str">
        <x:v>Human-review standard</x:v>
      </x:c>
      <x:c r="N27" s="114" t="str">
        <x:v>Reviewer qualifications, independence, reasoned decisions and override logging are defined.</x:v>
      </x:c>
      <x:c r="O27" s="114" t="str">
        <x:v>ICO human-review guidance</x:v>
      </x:c>
      <x:c r="P27" s="114" t="str">
        <x:v>Stage 0 Gate</x:v>
      </x:c>
      <x:c r="Q27" s="114" t="str">
        <x:v>W2</x:v>
      </x:c>
      <x:c r="R27" s="115" t="str"/>
    </x:row>
    <x:row r="28">
      <x:c r="A28" s="119" t="str">
        <x:v>FND-024</x:v>
      </x:c>
      <x:c r="B28" s="120" t="n">
        <x:v>0</x:v>
      </x:c>
      <x:c r="C28" s="120" t="str">
        <x:v>Access governance</x:v>
      </x:c>
      <x:c r="D28" s="120" t="str">
        <x:v>Define raw evidence access model</x:v>
      </x:c>
      <x:c r="E28" s="120" t="str">
        <x:v>Restrict screenshots/text/keystrokes by role, purpose code, task scope, time and audit.</x:v>
      </x:c>
      <x:c r="F28" s="120" t="str">
        <x:v>Security/DPO</x:v>
      </x:c>
      <x:c r="G28" s="120" t="str">
        <x:v>IAM/Audit/Product</x:v>
      </x:c>
      <x:c r="H28" s="120" t="str">
        <x:v>FND-011</x:v>
      </x:c>
      <x:c r="I28" s="120" t="str">
        <x:v>Critical</x:v>
      </x:c>
      <x:c r="J28" s="120" t="str">
        <x:v>Draft Complete</x:v>
      </x:c>
      <x:c r="K28" s="134" t="n">
        <x:f>IF(J28="Completed",1,IF(J28="Draft Complete",0.8,IF(J28="In Review",0.6,IF(J28="Requires Owner Input",0.3,IF(J28="Blocked",0.1,IF(J28="Deferred",0.2,0))))))</x:f>
        <x:v>0.8</x:v>
      </x:c>
      <x:c r="L28" s="120" t="n">
        <x:v>2</x:v>
      </x:c>
      <x:c r="M28" s="120" t="str">
        <x:v>Evidence access policy</x:v>
      </x:c>
      <x:c r="N28" s="120" t="str">
        <x:v>No default raw-content access; all access is purpose-limited and logged.</x:v>
      </x:c>
      <x:c r="O28" s="120" t="str">
        <x:v>Purpose Policy Matrix / Reference Architecture</x:v>
      </x:c>
      <x:c r="P28" s="120" t="str">
        <x:v>Stage 0 Gate</x:v>
      </x:c>
      <x:c r="Q28" s="120" t="str">
        <x:v>W2</x:v>
      </x:c>
      <x:c r="R28" s="121" t="str"/>
    </x:row>
    <x:row r="29">
      <x:c r="A29" s="113" t="str">
        <x:v>FND-025</x:v>
      </x:c>
      <x:c r="B29" s="114" t="n">
        <x:v>0</x:v>
      </x:c>
      <x:c r="C29" s="114" t="str">
        <x:v>Data governance</x:v>
      </x:c>
      <x:c r="D29" s="114" t="str">
        <x:v>Define retention and deletion principles</x:v>
      </x:c>
      <x:c r="E29" s="114" t="str">
        <x:v>Set short raw-evidence retention, longer derived-evidence retention and legal-hold controls.</x:v>
      </x:c>
      <x:c r="F29" s="114" t="str">
        <x:v>DPO/Data Governance</x:v>
      </x:c>
      <x:c r="G29" s="114" t="str">
        <x:v>Security/Product</x:v>
      </x:c>
      <x:c r="H29" s="114" t="str">
        <x:v>FND-011</x:v>
      </x:c>
      <x:c r="I29" s="114" t="str">
        <x:v>Critical</x:v>
      </x:c>
      <x:c r="J29" s="114" t="str">
        <x:v>Draft Complete</x:v>
      </x:c>
      <x:c r="K29" s="135" t="n">
        <x:f>IF(J29="Completed",1,IF(J29="Draft Complete",0.8,IF(J29="In Review",0.6,IF(J29="Requires Owner Input",0.3,IF(J29="Blocked",0.1,IF(J29="Deferred",0.2,0))))))</x:f>
        <x:v>0.8</x:v>
      </x:c>
      <x:c r="L29" s="114" t="n">
        <x:v>1.5</x:v>
      </x:c>
      <x:c r="M29" s="114" t="str">
        <x:v>Retention schedule draft</x:v>
      </x:c>
      <x:c r="N29" s="114" t="str">
        <x:v>Retention is purpose-based, configurable, auditable and supports deletion.</x:v>
      </x:c>
      <x:c r="O29" s="114" t="str">
        <x:v>Purpose Policy Matrix</x:v>
      </x:c>
      <x:c r="P29" s="114" t="str">
        <x:v>Stage 0 Gate</x:v>
      </x:c>
      <x:c r="Q29" s="114" t="str">
        <x:v>W2</x:v>
      </x:c>
      <x:c r="R29" s="115" t="str"/>
    </x:row>
    <x:row r="30">
      <x:c r="A30" s="119" t="str">
        <x:v>FND-026</x:v>
      </x:c>
      <x:c r="B30" s="120" t="n">
        <x:v>0</x:v>
      </x:c>
      <x:c r="C30" s="120" t="str">
        <x:v>Privacy engineering</x:v>
      </x:c>
      <x:c r="D30" s="120" t="str">
        <x:v>Define secure-field and exclusion requirements</x:v>
      </x:c>
      <x:c r="E30" s="120" t="str">
        <x:v>Block passwords, authentication codes, known secure controls, private apps/domains and out-of-hours capture.</x:v>
      </x:c>
      <x:c r="F30" s="120" t="str">
        <x:v>Security/Desktop Lead</x:v>
      </x:c>
      <x:c r="G30" s="120" t="str">
        <x:v>DPO/Product/QA</x:v>
      </x:c>
      <x:c r="H30" s="120" t="str">
        <x:v>FND-011</x:v>
      </x:c>
      <x:c r="I30" s="120" t="str">
        <x:v>Critical</x:v>
      </x:c>
      <x:c r="J30" s="120" t="str">
        <x:v>Draft Complete</x:v>
      </x:c>
      <x:c r="K30" s="134" t="n">
        <x:f>IF(J30="Completed",1,IF(J30="Draft Complete",0.8,IF(J30="In Review",0.6,IF(J30="Requires Owner Input",0.3,IF(J30="Blocked",0.1,IF(J30="Deferred",0.2,0))))))</x:f>
        <x:v>0.8</x:v>
      </x:c>
      <x:c r="L30" s="120" t="n">
        <x:v>2</x:v>
      </x:c>
      <x:c r="M30" s="120" t="str">
        <x:v>Capture exclusion specification</x:v>
      </x:c>
      <x:c r="N30" s="120" t="str">
        <x:v>Requirements are testable and designated as pilot blocking controls.</x:v>
      </x:c>
      <x:c r="O30" s="120" t="str">
        <x:v>Purpose Policy Matrix / Foundation Threats</x:v>
      </x:c>
      <x:c r="P30" s="120" t="str">
        <x:v>Stage 0 Gate</x:v>
      </x:c>
      <x:c r="Q30" s="120" t="str">
        <x:v>W2</x:v>
      </x:c>
      <x:c r="R30" s="121" t="str"/>
    </x:row>
    <x:row r="31">
      <x:c r="A31" s="113" t="str">
        <x:v>FND-027</x:v>
      </x:c>
      <x:c r="B31" s="114" t="n">
        <x:v>0</x:v>
      </x:c>
      <x:c r="C31" s="114" t="str">
        <x:v>Audit</x:v>
      </x:c>
      <x:c r="D31" s="114" t="str">
        <x:v>Define purpose codes and immutable access audit</x:v>
      </x:c>
      <x:c r="E31" s="114" t="str">
        <x:v>Every evidence access, AI assessment, review, policy change and skill change must record who, why and what.</x:v>
      </x:c>
      <x:c r="F31" s="114" t="str">
        <x:v>Audit/Security</x:v>
      </x:c>
      <x:c r="G31" s="114" t="str">
        <x:v>DPO/Platform</x:v>
      </x:c>
      <x:c r="H31" s="114" t="str">
        <x:v>FND-024</x:v>
      </x:c>
      <x:c r="I31" s="114" t="str">
        <x:v>High</x:v>
      </x:c>
      <x:c r="J31" s="114" t="str">
        <x:v>Draft Complete</x:v>
      </x:c>
      <x:c r="K31" s="135" t="n">
        <x:f>IF(J31="Completed",1,IF(J31="Draft Complete",0.8,IF(J31="In Review",0.6,IF(J31="Requires Owner Input",0.3,IF(J31="Blocked",0.1,IF(J31="Deferred",0.2,0))))))</x:f>
        <x:v>0.8</x:v>
      </x:c>
      <x:c r="L31" s="114" t="n">
        <x:v>1.5</x:v>
      </x:c>
      <x:c r="M31" s="114" t="str">
        <x:v>Audit event specification</x:v>
      </x:c>
      <x:c r="N31" s="114" t="str">
        <x:v>Required audit events and retention are enumerated.</x:v>
      </x:c>
      <x:c r="O31" s="114" t="str">
        <x:v>Reference Architecture</x:v>
      </x:c>
      <x:c r="P31" s="114" t="str">
        <x:v>Stage 0 Gate</x:v>
      </x:c>
      <x:c r="Q31" s="114" t="str">
        <x:v>W2</x:v>
      </x:c>
      <x:c r="R31" s="115" t="str"/>
    </x:row>
    <x:row r="32">
      <x:c r="A32" s="119" t="str">
        <x:v>FND-028</x:v>
      </x:c>
      <x:c r="B32" s="120" t="n">
        <x:v>0</x:v>
      </x:c>
      <x:c r="C32" s="120" t="str">
        <x:v>Incident response</x:v>
      </x:c>
      <x:c r="D32" s="120" t="str">
        <x:v>Define privacy/security incident path</x:v>
      </x:c>
      <x:c r="E32" s="120" t="str">
        <x:v>Specify containment, evidence preservation, employee notification, breach assessment and agent-disable path.</x:v>
      </x:c>
      <x:c r="F32" s="120" t="str">
        <x:v>CISO/DPO</x:v>
      </x:c>
      <x:c r="G32" s="120" t="str">
        <x:v>Platform/HR/Legal</x:v>
      </x:c>
      <x:c r="H32" s="120" t="str">
        <x:v>FND-026</x:v>
      </x:c>
      <x:c r="I32" s="120" t="str">
        <x:v>Critical</x:v>
      </x:c>
      <x:c r="J32" s="120" t="str">
        <x:v>Draft Complete</x:v>
      </x:c>
      <x:c r="K32" s="134" t="n">
        <x:f>IF(J32="Completed",1,IF(J32="Draft Complete",0.8,IF(J32="In Review",0.6,IF(J32="Requires Owner Input",0.3,IF(J32="Blocked",0.1,IF(J32="Deferred",0.2,0))))))</x:f>
        <x:v>0.8</x:v>
      </x:c>
      <x:c r="L32" s="120" t="n">
        <x:v>2</x:v>
      </x:c>
      <x:c r="M32" s="120" t="str">
        <x:v>Incident playbook outline</x:v>
      </x:c>
      <x:c r="N32" s="120" t="str">
        <x:v>Named escalation, stop switch and notification responsibilities are defined.</x:v>
      </x:c>
      <x:c r="O32" s="120" t="str">
        <x:v>Foundation Threats</x:v>
      </x:c>
      <x:c r="P32" s="120" t="str">
        <x:v>Stage 0 Gate</x:v>
      </x:c>
      <x:c r="Q32" s="120" t="str">
        <x:v>W2</x:v>
      </x:c>
      <x:c r="R32" s="121" t="str"/>
    </x:row>
    <x:row r="33">
      <x:c r="A33" s="113" t="str">
        <x:v>FND-029</x:v>
      </x:c>
      <x:c r="B33" s="114" t="n">
        <x:v>0</x:v>
      </x:c>
      <x:c r="C33" s="114" t="str">
        <x:v>Programme governance</x:v>
      </x:c>
      <x:c r="D33" s="114" t="str">
        <x:v>Approve stop/hold criteria</x:v>
      </x:c>
      <x:c r="E33" s="114" t="str">
        <x:v>Define conditions that automatically hold the pilot, including secret capture, high false-classification, excessive overhead or legal uncertainty.</x:v>
      </x:c>
      <x:c r="F33" s="114" t="str">
        <x:v>Executive Sponsor</x:v>
      </x:c>
      <x:c r="G33" s="114" t="str">
        <x:v>DPO/CISO/Product/Employee Rep</x:v>
      </x:c>
      <x:c r="H33" s="114" t="str">
        <x:v>FND-014</x:v>
      </x:c>
      <x:c r="I33" s="114" t="str">
        <x:v>Critical</x:v>
      </x:c>
      <x:c r="J33" s="114" t="str">
        <x:v>Draft Complete</x:v>
      </x:c>
      <x:c r="K33" s="135" t="n">
        <x:f>IF(J33="Completed",1,IF(J33="Draft Complete",0.8,IF(J33="In Review",0.6,IF(J33="Requires Owner Input",0.3,IF(J33="Blocked",0.1,IF(J33="Deferred",0.2,0))))))</x:f>
        <x:v>0.8</x:v>
      </x:c>
      <x:c r="L33" s="114" t="n">
        <x:v>1</x:v>
      </x:c>
      <x:c r="M33" s="114" t="str">
        <x:v>Stop criteria</x:v>
      </x:c>
      <x:c r="N33" s="114" t="str">
        <x:v>Criteria are measurable and linked to decision authority.</x:v>
      </x:c>
      <x:c r="O33" s="114" t="str">
        <x:v>Pilot Definition / Stage 0-1 Gates</x:v>
      </x:c>
      <x:c r="P33" s="114" t="str">
        <x:v>Stage 0 Gate</x:v>
      </x:c>
      <x:c r="Q33" s="114" t="str">
        <x:v>W2</x:v>
      </x:c>
      <x:c r="R33" s="115" t="str"/>
    </x:row>
    <x:row r="34">
      <x:c r="A34" s="119" t="str">
        <x:v>FND-030</x:v>
      </x:c>
      <x:c r="B34" s="120" t="n">
        <x:v>0</x:v>
      </x:c>
      <x:c r="C34" s="120" t="str">
        <x:v>Stakeholders</x:v>
      </x:c>
      <x:c r="D34" s="120" t="str">
        <x:v>Complete stakeholder map and RACI</x:v>
      </x:c>
      <x:c r="E34" s="120" t="str">
        <x:v>Assign accountability for charter, legal, architecture, security, worker consultation, pilot and review.</x:v>
      </x:c>
      <x:c r="F34" s="120" t="str">
        <x:v>Programme Lead</x:v>
      </x:c>
      <x:c r="G34" s="120" t="str">
        <x:v>All leads</x:v>
      </x:c>
      <x:c r="H34" s="120" t="str">
        <x:v>FND-002,FND-003</x:v>
      </x:c>
      <x:c r="I34" s="120" t="str">
        <x:v>High</x:v>
      </x:c>
      <x:c r="J34" s="120" t="str">
        <x:v>Draft Complete</x:v>
      </x:c>
      <x:c r="K34" s="134" t="n">
        <x:f>IF(J34="Completed",1,IF(J34="Draft Complete",0.8,IF(J34="In Review",0.6,IF(J34="Requires Owner Input",0.3,IF(J34="Blocked",0.1,IF(J34="Deferred",0.2,0))))))</x:f>
        <x:v>0.8</x:v>
      </x:c>
      <x:c r="L34" s="120" t="n">
        <x:v>1.5</x:v>
      </x:c>
      <x:c r="M34" s="120" t="str">
        <x:v>RACI matrix</x:v>
      </x:c>
      <x:c r="N34" s="120" t="str">
        <x:v>Every mandatory foundation deliverable has one accountable role.</x:v>
      </x:c>
      <x:c r="O34" s="120" t="str">
        <x:v>Stakeholder RACI sheet</x:v>
      </x:c>
      <x:c r="P34" s="120" t="str">
        <x:v>Stage 0 Gate</x:v>
      </x:c>
      <x:c r="Q34" s="120" t="str">
        <x:v>W1</x:v>
      </x:c>
      <x:c r="R34" s="121" t="str">
        <x:v>Names pending.</x:v>
      </x:c>
    </x:row>
    <x:row r="35">
      <x:c r="A35" s="113" t="str">
        <x:v>FND-031</x:v>
      </x:c>
      <x:c r="B35" s="114" t="n">
        <x:v>0</x:v>
      </x:c>
      <x:c r="C35" s="114" t="str">
        <x:v>Security</x:v>
      </x:c>
      <x:c r="D35" s="114" t="str">
        <x:v>Complete foundation threat model</x:v>
      </x:c>
      <x:c r="E35" s="114" t="str">
        <x:v>Identify system, privacy, employment, endpoint, insider and AI-specific threats before design is approved.</x:v>
      </x:c>
      <x:c r="F35" s="114" t="str">
        <x:v>CISO/Security Architect</x:v>
      </x:c>
      <x:c r="G35" s="114" t="str">
        <x:v>DPO/Desktop/AI</x:v>
      </x:c>
      <x:c r="H35" s="114" t="str">
        <x:v>FND-011</x:v>
      </x:c>
      <x:c r="I35" s="114" t="str">
        <x:v>Critical</x:v>
      </x:c>
      <x:c r="J35" s="114" t="str">
        <x:v>Draft Complete</x:v>
      </x:c>
      <x:c r="K35" s="135" t="n">
        <x:f>IF(J35="Completed",1,IF(J35="Draft Complete",0.8,IF(J35="In Review",0.6,IF(J35="Requires Owner Input",0.3,IF(J35="Blocked",0.1,IF(J35="Deferred",0.2,0))))))</x:f>
        <x:v>0.8</x:v>
      </x:c>
      <x:c r="L35" s="114" t="n">
        <x:v>3</x:v>
      </x:c>
      <x:c r="M35" s="114" t="str">
        <x:v>Foundation threat register</x:v>
      </x:c>
      <x:c r="N35" s="114" t="str">
        <x:v>Threats have likelihood, impact, control, owner and validation plan.</x:v>
      </x:c>
      <x:c r="O35" s="114" t="str">
        <x:v>Foundation Threats sheet</x:v>
      </x:c>
      <x:c r="P35" s="114" t="str">
        <x:v>Stage 0 Gate</x:v>
      </x:c>
      <x:c r="Q35" s="114" t="str">
        <x:v>W2</x:v>
      </x:c>
      <x:c r="R35" s="115" t="str">
        <x:v>Security review pending.</x:v>
      </x:c>
    </x:row>
    <x:row r="36">
      <x:c r="A36" s="119" t="str">
        <x:v>FND-032</x:v>
      </x:c>
      <x:c r="B36" s="120" t="n">
        <x:v>0</x:v>
      </x:c>
      <x:c r="C36" s="120" t="str">
        <x:v>Pilot ethics</x:v>
      </x:c>
      <x:c r="D36" s="120" t="str">
        <x:v>Define participant protection</x:v>
      </x:c>
      <x:c r="E36" s="120" t="str">
        <x:v>Specify voluntary/appropriate participation model, no adverse action from pilot output, employee access and direct support.</x:v>
      </x:c>
      <x:c r="F36" s="120" t="str">
        <x:v>HR/DPO</x:v>
      </x:c>
      <x:c r="G36" s="120" t="str">
        <x:v>Executive Sponsor/Product</x:v>
      </x:c>
      <x:c r="H36" s="120" t="str">
        <x:v>FND-009,FND-018</x:v>
      </x:c>
      <x:c r="I36" s="120" t="str">
        <x:v>Critical</x:v>
      </x:c>
      <x:c r="J36" s="120" t="str">
        <x:v>Draft Complete</x:v>
      </x:c>
      <x:c r="K36" s="134" t="n">
        <x:f>IF(J36="Completed",1,IF(J36="Draft Complete",0.8,IF(J36="In Review",0.6,IF(J36="Requires Owner Input",0.3,IF(J36="Blocked",0.1,IF(J36="Deferred",0.2,0))))))</x:f>
        <x:v>0.8</x:v>
      </x:c>
      <x:c r="L36" s="120" t="n">
        <x:v>1.5</x:v>
      </x:c>
      <x:c r="M36" s="120" t="str">
        <x:v>Participant protection rules</x:v>
      </x:c>
      <x:c r="N36" s="120" t="str">
        <x:v>Pilot participants receive notice, support, challenge rights and no automated adverse decisions.</x:v>
      </x:c>
      <x:c r="O36" s="120" t="str">
        <x:v>Pilot Definition sheet</x:v>
      </x:c>
      <x:c r="P36" s="120" t="str">
        <x:v>Stage 0 Gate</x:v>
      </x:c>
      <x:c r="Q36" s="120" t="str">
        <x:v>W2</x:v>
      </x:c>
      <x:c r="R36" s="121" t="str"/>
    </x:row>
    <x:row r="37">
      <x:c r="A37" s="113" t="str">
        <x:v>FND-033</x:v>
      </x:c>
      <x:c r="B37" s="114" t="n">
        <x:v>0</x:v>
      </x:c>
      <x:c r="C37" s="114" t="str">
        <x:v>Review</x:v>
      </x:c>
      <x:c r="D37" s="114" t="str">
        <x:v>Run Stage 0 cross-functional review</x:v>
      </x:c>
      <x:c r="E37" s="114" t="str">
        <x:v>Review charter, purpose matrix, DPIA pack, legal questions, threat model, consultation and pilot.</x:v>
      </x:c>
      <x:c r="F37" s="114" t="str">
        <x:v>Programme Lead</x:v>
      </x:c>
      <x:c r="G37" s="114" t="str">
        <x:v>CEO/CTO/DPO/Legal/CISO/HR/Employee Rep</x:v>
      </x:c>
      <x:c r="H37" s="114" t="str">
        <x:v>FND-004:FND-032</x:v>
      </x:c>
      <x:c r="I37" s="114" t="str">
        <x:v>Critical</x:v>
      </x:c>
      <x:c r="J37" s="114" t="str">
        <x:v>Not Started</x:v>
      </x:c>
      <x:c r="K37" s="135" t="n">
        <x:f>IF(J37="Completed",1,IF(J37="Draft Complete",0.8,IF(J37="In Review",0.6,IF(J37="Requires Owner Input",0.3,IF(J37="Blocked",0.1,IF(J37="Deferred",0.2,0))))))</x:f>
        <x:v>0</x:v>
      </x:c>
      <x:c r="L37" s="114" t="n">
        <x:v>2</x:v>
      </x:c>
      <x:c r="M37" s="114" t="str">
        <x:v>Review minutes and actions</x:v>
      </x:c>
      <x:c r="N37" s="114" t="str">
        <x:v>All mandatory objections and conditions are recorded.</x:v>
      </x:c>
      <x:c r="O37" s="114" t="str">
        <x:v>Stage 0-1 Gates</x:v>
      </x:c>
      <x:c r="P37" s="114" t="str">
        <x:v>Stage 0 Gate</x:v>
      </x:c>
      <x:c r="Q37" s="114" t="str">
        <x:v>W2</x:v>
      </x:c>
      <x:c r="R37" s="115" t="str"/>
    </x:row>
    <x:row r="38">
      <x:c r="A38" s="119" t="str">
        <x:v>FND-034</x:v>
      </x:c>
      <x:c r="B38" s="120" t="n">
        <x:v>0</x:v>
      </x:c>
      <x:c r="C38" s="120" t="str">
        <x:v>Gate</x:v>
      </x:c>
      <x:c r="D38" s="120" t="str">
        <x:v>Record Stage 0 decision</x:v>
      </x:c>
      <x:c r="E38" s="120" t="str">
        <x:v>Approve, conditionally approve, hold or reject entry into implementation planning.</x:v>
      </x:c>
      <x:c r="F38" s="120" t="str">
        <x:v>Executive Sponsor</x:v>
      </x:c>
      <x:c r="G38" s="120" t="str">
        <x:v>DPO/Legal/CISO/CTO/HR</x:v>
      </x:c>
      <x:c r="H38" s="120" t="str">
        <x:v>FND-033</x:v>
      </x:c>
      <x:c r="I38" s="120" t="str">
        <x:v>Critical</x:v>
      </x:c>
      <x:c r="J38" s="120" t="str">
        <x:v>Not Started</x:v>
      </x:c>
      <x:c r="K38" s="134" t="n">
        <x:f>IF(J38="Completed",1,IF(J38="Draft Complete",0.8,IF(J38="In Review",0.6,IF(J38="Requires Owner Input",0.3,IF(J38="Blocked",0.1,IF(J38="Deferred",0.2,0))))))</x:f>
        <x:v>0</x:v>
      </x:c>
      <x:c r="L38" s="120" t="n">
        <x:v>0.5</x:v>
      </x:c>
      <x:c r="M38" s="120" t="str">
        <x:v>Stage 0 gate decision</x:v>
      </x:c>
      <x:c r="N38" s="120" t="str">
        <x:v>Decision authority, conditions, dates and evidence are recorded.</x:v>
      </x:c>
      <x:c r="O38" s="120" t="str">
        <x:v>Stage 0-1 Gates</x:v>
      </x:c>
      <x:c r="P38" s="120" t="str">
        <x:v>Stage 0 Gate</x:v>
      </x:c>
      <x:c r="Q38" s="120" t="str">
        <x:v>W2</x:v>
      </x:c>
      <x:c r="R38" s="121" t="str"/>
    </x:row>
    <x:row r="39">
      <x:c r="A39" s="113" t="str">
        <x:v>FND-035</x:v>
      </x:c>
      <x:c r="B39" s="114" t="n">
        <x:v>1</x:v>
      </x:c>
      <x:c r="C39" s="114" t="str">
        <x:v>Market validation</x:v>
      </x:c>
      <x:c r="D39" s="114" t="str">
        <x:v>Define market-category taxonomy</x:v>
      </x:c>
      <x:c r="E39" s="114" t="str">
        <x:v>Separate employee monitoring, task mining, process intelligence, skills intelligence, developer intelligence, record/replay and AI observability.</x:v>
      </x:c>
      <x:c r="F39" s="114" t="str">
        <x:v>Product Strategy</x:v>
      </x:c>
      <x:c r="G39" s="114" t="str">
        <x:v>Research/Architecture</x:v>
      </x:c>
      <x:c r="H39" s="114" t="str">
        <x:v>FND-004</x:v>
      </x:c>
      <x:c r="I39" s="114" t="str">
        <x:v>High</x:v>
      </x:c>
      <x:c r="J39" s="114" t="str">
        <x:v>Completed</x:v>
      </x:c>
      <x:c r="K39" s="135" t="n">
        <x:f>IF(J39="Completed",1,IF(J39="Draft Complete",0.8,IF(J39="In Review",0.6,IF(J39="Requires Owner Input",0.3,IF(J39="Blocked",0.1,IF(J39="Deferred",0.2,0))))))</x:f>
        <x:v>1</x:v>
      </x:c>
      <x:c r="L39" s="114" t="n">
        <x:v>1</x:v>
      </x:c>
      <x:c r="M39" s="114" t="str">
        <x:v>Category taxonomy</x:v>
      </x:c>
      <x:c r="N39" s="114" t="str">
        <x:v>Competitors are compared within the correct category.</x:v>
      </x:c>
      <x:c r="O39" s="114" t="str">
        <x:v>Market Landscape sheet</x:v>
      </x:c>
      <x:c r="P39" s="114" t="str">
        <x:v>Stage 1 Gate</x:v>
      </x:c>
      <x:c r="Q39" s="114" t="str">
        <x:v>W1</x:v>
      </x:c>
      <x:c r="R39" s="115" t="str"/>
    </x:row>
    <x:row r="40">
      <x:c r="A40" s="119" t="str">
        <x:v>FND-036</x:v>
      </x:c>
      <x:c r="B40" s="120" t="n">
        <x:v>1</x:v>
      </x:c>
      <x:c r="C40" s="120" t="str">
        <x:v>Market validation</x:v>
      </x:c>
      <x:c r="D40" s="120" t="str">
        <x:v>Research employee monitoring category</x:v>
      </x:c>
      <x:c r="E40" s="120" t="str">
        <x:v>Document market baseline for screen, keystrokes, app/web, idle, privacy controls and reporting.</x:v>
      </x:c>
      <x:c r="F40" s="120" t="str">
        <x:v>Product Strategy</x:v>
      </x:c>
      <x:c r="G40" s="120" t="str">
        <x:v>Legal/Security</x:v>
      </x:c>
      <x:c r="H40" s="120" t="str">
        <x:v>FND-035</x:v>
      </x:c>
      <x:c r="I40" s="120" t="str">
        <x:v>High</x:v>
      </x:c>
      <x:c r="J40" s="120" t="str">
        <x:v>Completed</x:v>
      </x:c>
      <x:c r="K40" s="134" t="n">
        <x:f>IF(J40="Completed",1,IF(J40="Draft Complete",0.8,IF(J40="In Review",0.6,IF(J40="Requires Owner Input",0.3,IF(J40="Blocked",0.1,IF(J40="Deferred",0.2,0))))))</x:f>
        <x:v>1</x:v>
      </x:c>
      <x:c r="L40" s="120" t="n">
        <x:v>1.5</x:v>
      </x:c>
      <x:c r="M40" s="120" t="str">
        <x:v>Monitoring competitor analysis</x:v>
      </x:c>
      <x:c r="N40" s="120" t="str">
        <x:v>Capabilities, positioning and limits are source-backed.</x:v>
      </x:c>
      <x:c r="O40" s="120" t="str">
        <x:v>Teramind / ActivTrak sources</x:v>
      </x:c>
      <x:c r="P40" s="120" t="str">
        <x:v>Stage 1 Gate</x:v>
      </x:c>
      <x:c r="Q40" s="120" t="str">
        <x:v>W1</x:v>
      </x:c>
      <x:c r="R40" s="121" t="str"/>
    </x:row>
    <x:row r="41">
      <x:c r="A41" s="113" t="str">
        <x:v>FND-037</x:v>
      </x:c>
      <x:c r="B41" s="114" t="n">
        <x:v>1</x:v>
      </x:c>
      <x:c r="C41" s="114" t="str">
        <x:v>Market validation</x:v>
      </x:c>
      <x:c r="D41" s="114" t="str">
        <x:v>Research task/process mining</x:v>
      </x:c>
      <x:c r="E41" s="114" t="str">
        <x:v>Document action capture, workflow discovery, process variants and automation positioning.</x:v>
      </x:c>
      <x:c r="F41" s="114" t="str">
        <x:v>Product Strategy</x:v>
      </x:c>
      <x:c r="G41" s="114" t="str">
        <x:v>Operations/AI</x:v>
      </x:c>
      <x:c r="H41" s="114" t="str">
        <x:v>FND-035</x:v>
      </x:c>
      <x:c r="I41" s="114" t="str">
        <x:v>High</x:v>
      </x:c>
      <x:c r="J41" s="114" t="str">
        <x:v>Completed</x:v>
      </x:c>
      <x:c r="K41" s="135" t="n">
        <x:f>IF(J41="Completed",1,IF(J41="Draft Complete",0.8,IF(J41="In Review",0.6,IF(J41="Requires Owner Input",0.3,IF(J41="Blocked",0.1,IF(J41="Deferred",0.2,0))))))</x:f>
        <x:v>1</x:v>
      </x:c>
      <x:c r="L41" s="114" t="n">
        <x:v>1.5</x:v>
      </x:c>
      <x:c r="M41" s="114" t="str">
        <x:v>Task-mining analysis</x:v>
      </x:c>
      <x:c r="N41" s="114" t="str">
        <x:v>UiPath, ABBYY, Soroco and Workfellow are compared.</x:v>
      </x:c>
      <x:c r="O41" s="114" t="str">
        <x:v>Market Landscape / Source Register</x:v>
      </x:c>
      <x:c r="P41" s="114" t="str">
        <x:v>Stage 1 Gate</x:v>
      </x:c>
      <x:c r="Q41" s="114" t="str">
        <x:v>W1</x:v>
      </x:c>
      <x:c r="R41" s="115" t="str"/>
    </x:row>
    <x:row r="42">
      <x:c r="A42" s="119" t="str">
        <x:v>FND-038</x:v>
      </x:c>
      <x:c r="B42" s="120" t="n">
        <x:v>1</x:v>
      </x:c>
      <x:c r="C42" s="120" t="str">
        <x:v>Market validation</x:v>
      </x:c>
      <x:c r="D42" s="120" t="str">
        <x:v>Research skills intelligence and learning</x:v>
      </x:c>
      <x:c r="E42" s="120" t="str">
        <x:v>Compare inferred skills, evidence, employee review, learning plans and role readiness.</x:v>
      </x:c>
      <x:c r="F42" s="120" t="str">
        <x:v>Product/HR/L&amp;D</x:v>
      </x:c>
      <x:c r="G42" s="120" t="str">
        <x:v>AI/Data</x:v>
      </x:c>
      <x:c r="H42" s="120" t="str">
        <x:v>FND-035</x:v>
      </x:c>
      <x:c r="I42" s="120" t="str">
        <x:v>High</x:v>
      </x:c>
      <x:c r="J42" s="120" t="str">
        <x:v>Completed</x:v>
      </x:c>
      <x:c r="K42" s="134" t="n">
        <x:f>IF(J42="Completed",1,IF(J42="Draft Complete",0.8,IF(J42="In Review",0.6,IF(J42="Requires Owner Input",0.3,IF(J42="Blocked",0.1,IF(J42="Deferred",0.2,0))))))</x:f>
        <x:v>1</x:v>
      </x:c>
      <x:c r="L42" s="120" t="n">
        <x:v>1.5</x:v>
      </x:c>
      <x:c r="M42" s="120" t="str">
        <x:v>Skills-intelligence analysis</x:v>
      </x:c>
      <x:c r="N42" s="120" t="str">
        <x:v>Skills platforms and Nessovo differentiation are recorded.</x:v>
      </x:c>
      <x:c r="O42" s="120" t="str">
        <x:v>Market Landscape / Source Register</x:v>
      </x:c>
      <x:c r="P42" s="120" t="str">
        <x:v>Stage 1 Gate</x:v>
      </x:c>
      <x:c r="Q42" s="120" t="str">
        <x:v>W1</x:v>
      </x:c>
      <x:c r="R42" s="121" t="str"/>
    </x:row>
    <x:row r="43">
      <x:c r="A43" s="113" t="str">
        <x:v>FND-039</x:v>
      </x:c>
      <x:c r="B43" s="114" t="n">
        <x:v>1</x:v>
      </x:c>
      <x:c r="C43" s="114" t="str">
        <x:v>Market validation</x:v>
      </x:c>
      <x:c r="D43" s="114" t="str">
        <x:v>Research developer and AI-work intelligence</x:v>
      </x:c>
      <x:c r="E43" s="114" t="str">
        <x:v>Compare engineering metrics, AI usage, code attribution, review, delivery and coaching.</x:v>
      </x:c>
      <x:c r="F43" s="114" t="str">
        <x:v>Product/CTO</x:v>
      </x:c>
      <x:c r="G43" s="114" t="str">
        <x:v>Engineering/AI</x:v>
      </x:c>
      <x:c r="H43" s="114" t="str">
        <x:v>FND-035</x:v>
      </x:c>
      <x:c r="I43" s="114" t="str">
        <x:v>High</x:v>
      </x:c>
      <x:c r="J43" s="114" t="str">
        <x:v>Completed</x:v>
      </x:c>
      <x:c r="K43" s="135" t="n">
        <x:f>IF(J43="Completed",1,IF(J43="Draft Complete",0.8,IF(J43="In Review",0.6,IF(J43="Requires Owner Input",0.3,IF(J43="Blocked",0.1,IF(J43="Deferred",0.2,0))))))</x:f>
        <x:v>1</x:v>
      </x:c>
      <x:c r="L43" s="114" t="n">
        <x:v>1.5</x:v>
      </x:c>
      <x:c r="M43" s="114" t="str">
        <x:v>Developer-intelligence analysis</x:v>
      </x:c>
      <x:c r="N43" s="114" t="str">
        <x:v>Relevant tools and limitations are recorded.</x:v>
      </x:c>
      <x:c r="O43" s="114" t="str">
        <x:v>Market Landscape / Source Register</x:v>
      </x:c>
      <x:c r="P43" s="114" t="str">
        <x:v>Stage 1 Gate</x:v>
      </x:c>
      <x:c r="Q43" s="114" t="str">
        <x:v>W1</x:v>
      </x:c>
      <x:c r="R43" s="115" t="str"/>
    </x:row>
    <x:row r="44">
      <x:c r="A44" s="119" t="str">
        <x:v>FND-040</x:v>
      </x:c>
      <x:c r="B44" s="120" t="n">
        <x:v>1</x:v>
      </x:c>
      <x:c r="C44" s="120" t="str">
        <x:v>Open-source due diligence</x:v>
      </x:c>
      <x:c r="D44" s="120" t="str">
        <x:v>Complete GitHub reference scan</x:v>
      </x:c>
      <x:c r="E44" s="120" t="str">
        <x:v>Inspect Screenpipe, ActivityWatch, OpenAdapt, Claude-Mem, Task Observer, WakaTime and standards projects.</x:v>
      </x:c>
      <x:c r="F44" s="120" t="str">
        <x:v>Architecture/Engineering</x:v>
      </x:c>
      <x:c r="G44" s="120" t="str">
        <x:v>Legal/Security</x:v>
      </x:c>
      <x:c r="H44" s="120" t="str">
        <x:v>FND-035</x:v>
      </x:c>
      <x:c r="I44" s="120" t="str">
        <x:v>Critical</x:v>
      </x:c>
      <x:c r="J44" s="120" t="str">
        <x:v>Completed</x:v>
      </x:c>
      <x:c r="K44" s="134" t="n">
        <x:f>IF(J44="Completed",1,IF(J44="Draft Complete",0.8,IF(J44="In Review",0.6,IF(J44="Requires Owner Input",0.3,IF(J44="Blocked",0.1,IF(J44="Deferred",0.2,0))))))</x:f>
        <x:v>1</x:v>
      </x:c>
      <x:c r="L44" s="120" t="n">
        <x:v>3</x:v>
      </x:c>
      <x:c r="M44" s="120" t="str">
        <x:v>GitHub OSS scan</x:v>
      </x:c>
      <x:c r="N44" s="120" t="str">
        <x:v>Each project has maturity, relevance, licence and reuse recommendation.</x:v>
      </x:c>
      <x:c r="O44" s="120" t="str">
        <x:v>GitHub OSS Scan sheet</x:v>
      </x:c>
      <x:c r="P44" s="120" t="str">
        <x:v>Stage 1 Gate</x:v>
      </x:c>
      <x:c r="Q44" s="120" t="str">
        <x:v>W1</x:v>
      </x:c>
      <x:c r="R44" s="121" t="str"/>
    </x:row>
    <x:row r="45">
      <x:c r="A45" s="113" t="str">
        <x:v>FND-041</x:v>
      </x:c>
      <x:c r="B45" s="114" t="n">
        <x:v>1</x:v>
      </x:c>
      <x:c r="C45" s="114" t="str">
        <x:v>Open-source due diligence</x:v>
      </x:c>
      <x:c r="D45" s="114" t="str">
        <x:v>Verify initial licence posture</x:v>
      </x:c>
      <x:c r="E45" s="114" t="str">
        <x:v>Record commercial-use constraints and identify items needing legal licence review.</x:v>
      </x:c>
      <x:c r="F45" s="114" t="str">
        <x:v>Legal/Architecture</x:v>
      </x:c>
      <x:c r="G45" s="114" t="str">
        <x:v>Procurement/Product</x:v>
      </x:c>
      <x:c r="H45" s="114" t="str">
        <x:v>FND-040</x:v>
      </x:c>
      <x:c r="I45" s="114" t="str">
        <x:v>Critical</x:v>
      </x:c>
      <x:c r="J45" s="114" t="str">
        <x:v>Draft Complete</x:v>
      </x:c>
      <x:c r="K45" s="135" t="n">
        <x:f>IF(J45="Completed",1,IF(J45="Draft Complete",0.8,IF(J45="In Review",0.6,IF(J45="Requires Owner Input",0.3,IF(J45="Blocked",0.1,IF(J45="Deferred",0.2,0))))))</x:f>
        <x:v>0.8</x:v>
      </x:c>
      <x:c r="L45" s="114" t="n">
        <x:v>2</x:v>
      </x:c>
      <x:c r="M45" s="114" t="str">
        <x:v>Licence register draft</x:v>
      </x:c>
      <x:c r="N45" s="114" t="str">
        <x:v>No project is recommended for incorporation without a recorded licence decision.</x:v>
      </x:c>
      <x:c r="O45" s="114" t="str">
        <x:v>GitHub OSS Scan / repository licences</x:v>
      </x:c>
      <x:c r="P45" s="114" t="str">
        <x:v>Stage 1 Gate</x:v>
      </x:c>
      <x:c r="Q45" s="114" t="str">
        <x:v>W1</x:v>
      </x:c>
      <x:c r="R45" s="115" t="str">
        <x:v>Formal legal opinion pending.</x:v>
      </x:c>
    </x:row>
    <x:row r="46">
      <x:c r="A46" s="119" t="str">
        <x:v>FND-042</x:v>
      </x:c>
      <x:c r="B46" s="120" t="n">
        <x:v>1</x:v>
      </x:c>
      <x:c r="C46" s="120" t="str">
        <x:v>Strategy</x:v>
      </x:c>
      <x:c r="D46" s="120" t="str">
        <x:v>Complete market gap matrix</x:v>
      </x:c>
      <x:c r="E46" s="120" t="str">
        <x:v>Compare capture, task assurance, provenance, capability, coaching, training, self-improvement and governance.</x:v>
      </x:c>
      <x:c r="F46" s="120" t="str">
        <x:v>Product Strategy</x:v>
      </x:c>
      <x:c r="G46" s="120" t="str">
        <x:v>Architecture/HR/AI</x:v>
      </x:c>
      <x:c r="H46" s="120" t="str">
        <x:v>FND-036:FND-041</x:v>
      </x:c>
      <x:c r="I46" s="120" t="str">
        <x:v>Critical</x:v>
      </x:c>
      <x:c r="J46" s="120" t="str">
        <x:v>Draft Complete</x:v>
      </x:c>
      <x:c r="K46" s="134" t="n">
        <x:f>IF(J46="Completed",1,IF(J46="Draft Complete",0.8,IF(J46="In Review",0.6,IF(J46="Requires Owner Input",0.3,IF(J46="Blocked",0.1,IF(J46="Deferred",0.2,0))))))</x:f>
        <x:v>0.8</x:v>
      </x:c>
      <x:c r="L46" s="120" t="n">
        <x:v>2</x:v>
      </x:c>
      <x:c r="M46" s="120" t="str">
        <x:v>Gap matrix</x:v>
      </x:c>
      <x:c r="N46" s="120" t="str">
        <x:v>Differentiation is stated as a capability combination, not unsupported novelty.</x:v>
      </x:c>
      <x:c r="O46" s="120" t="str">
        <x:v>Gap Matrix sheet</x:v>
      </x:c>
      <x:c r="P46" s="120" t="str">
        <x:v>Stage 1 Gate</x:v>
      </x:c>
      <x:c r="Q46" s="120" t="str">
        <x:v>W1</x:v>
      </x:c>
      <x:c r="R46" s="121" t="str"/>
    </x:row>
    <x:row r="47">
      <x:c r="A47" s="113" t="str">
        <x:v>FND-043</x:v>
      </x:c>
      <x:c r="B47" s="114" t="n">
        <x:v>1</x:v>
      </x:c>
      <x:c r="C47" s="114" t="str">
        <x:v>Strategy</x:v>
      </x:c>
      <x:c r="D47" s="114" t="str">
        <x:v>Approve strategic differentiation</x:v>
      </x:c>
      <x:c r="E47" s="114" t="str">
        <x:v>Define the proprietary core: evidence graph, task assurance, capability evidence, Growth Coach and Skill Forge.</x:v>
      </x:c>
      <x:c r="F47" s="114" t="str">
        <x:v>CEO/Product/CTO</x:v>
      </x:c>
      <x:c r="G47" s="114" t="str">
        <x:v>Architecture/HR</x:v>
      </x:c>
      <x:c r="H47" s="114" t="str">
        <x:v>FND-042</x:v>
      </x:c>
      <x:c r="I47" s="114" t="str">
        <x:v>Critical</x:v>
      </x:c>
      <x:c r="J47" s="114" t="str">
        <x:v>Draft Complete</x:v>
      </x:c>
      <x:c r="K47" s="135" t="n">
        <x:f>IF(J47="Completed",1,IF(J47="Draft Complete",0.8,IF(J47="In Review",0.6,IF(J47="Requires Owner Input",0.3,IF(J47="Blocked",0.1,IF(J47="Deferred",0.2,0))))))</x:f>
        <x:v>0.8</x:v>
      </x:c>
      <x:c r="L47" s="114" t="n">
        <x:v>1</x:v>
      </x:c>
      <x:c r="M47" s="114" t="str">
        <x:v>Differentiation decision</x:v>
      </x:c>
      <x:c r="N47" s="114" t="str">
        <x:v>Build focus and commodity capabilities are separated.</x:v>
      </x:c>
      <x:c r="O47" s="114" t="str">
        <x:v>Product Charter v1 / Build Buy Decisions</x:v>
      </x:c>
      <x:c r="P47" s="114" t="str">
        <x:v>Stage 1 Gate</x:v>
      </x:c>
      <x:c r="Q47" s="114" t="str">
        <x:v>W1</x:v>
      </x:c>
      <x:c r="R47" s="115" t="str">
        <x:v>Leadership review pending.</x:v>
      </x:c>
    </x:row>
    <x:row r="48">
      <x:c r="A48" s="119" t="str">
        <x:v>FND-044</x:v>
      </x:c>
      <x:c r="B48" s="120" t="n">
        <x:v>1</x:v>
      </x:c>
      <x:c r="C48" s="120" t="str">
        <x:v>Architecture</x:v>
      </x:c>
      <x:c r="D48" s="120" t="str">
        <x:v>Create capability-domain map</x:v>
      </x:c>
      <x:c r="E48" s="120" t="str">
        <x:v>Map product capabilities to HumanOS services and new bounded contexts.</x:v>
      </x:c>
      <x:c r="F48" s="120" t="str">
        <x:v>Enterprise Architect</x:v>
      </x:c>
      <x:c r="G48" s="120" t="str">
        <x:v>Product/Platform/AI</x:v>
      </x:c>
      <x:c r="H48" s="120" t="str">
        <x:v>FND-043</x:v>
      </x:c>
      <x:c r="I48" s="120" t="str">
        <x:v>Critical</x:v>
      </x:c>
      <x:c r="J48" s="120" t="str">
        <x:v>Draft Complete</x:v>
      </x:c>
      <x:c r="K48" s="134" t="n">
        <x:f>IF(J48="Completed",1,IF(J48="Draft Complete",0.8,IF(J48="In Review",0.6,IF(J48="Requires Owner Input",0.3,IF(J48="Blocked",0.1,IF(J48="Deferred",0.2,0))))))</x:f>
        <x:v>0.8</x:v>
      </x:c>
      <x:c r="L48" s="120" t="n">
        <x:v>2</x:v>
      </x:c>
      <x:c r="M48" s="120" t="str">
        <x:v>Capability-to-service map</x:v>
      </x:c>
      <x:c r="N48" s="120" t="str">
        <x:v>Every capability has a system of record and integration boundary.</x:v>
      </x:c>
      <x:c r="O48" s="120" t="str">
        <x:v>Reference Architecture / Microservices Map</x:v>
      </x:c>
      <x:c r="P48" s="120" t="str">
        <x:v>Stage 1 Gate</x:v>
      </x:c>
      <x:c r="Q48" s="120" t="str">
        <x:v>W1</x:v>
      </x:c>
      <x:c r="R48" s="121" t="str"/>
    </x:row>
    <x:row r="49">
      <x:c r="A49" s="113" t="str">
        <x:v>FND-045</x:v>
      </x:c>
      <x:c r="B49" s="114" t="n">
        <x:v>1</x:v>
      </x:c>
      <x:c r="C49" s="114" t="str">
        <x:v>Architecture</x:v>
      </x:c>
      <x:c r="D49" s="114" t="str">
        <x:v>Complete build/buy/integrate/defer matrix</x:v>
      </x:c>
      <x:c r="E49" s="114" t="str">
        <x:v>Make component-level decisions based on differentiation, risk, maturity and licence.</x:v>
      </x:c>
      <x:c r="F49" s="114" t="str">
        <x:v>CTO/Architecture</x:v>
      </x:c>
      <x:c r="G49" s="114" t="str">
        <x:v>Product/Legal/Procurement</x:v>
      </x:c>
      <x:c r="H49" s="114" t="str">
        <x:v>FND-040,FND-043</x:v>
      </x:c>
      <x:c r="I49" s="114" t="str">
        <x:v>Critical</x:v>
      </x:c>
      <x:c r="J49" s="114" t="str">
        <x:v>Draft Complete</x:v>
      </x:c>
      <x:c r="K49" s="135" t="n">
        <x:f>IF(J49="Completed",1,IF(J49="Draft Complete",0.8,IF(J49="In Review",0.6,IF(J49="Requires Owner Input",0.3,IF(J49="Blocked",0.1,IF(J49="Deferred",0.2,0))))))</x:f>
        <x:v>0.8</x:v>
      </x:c>
      <x:c r="L49" s="114" t="n">
        <x:v>2.5</x:v>
      </x:c>
      <x:c r="M49" s="114" t="str">
        <x:v>Build Buy Decisions</x:v>
      </x:c>
      <x:c r="N49" s="114" t="str">
        <x:v>Each component has a recommendation, rationale, risk and revisit trigger.</x:v>
      </x:c>
      <x:c r="O49" s="114" t="str">
        <x:v>Build Buy Decisions sheet</x:v>
      </x:c>
      <x:c r="P49" s="114" t="str">
        <x:v>Stage 1 Gate</x:v>
      </x:c>
      <x:c r="Q49" s="114" t="str">
        <x:v>W1</x:v>
      </x:c>
      <x:c r="R49" s="115" t="str">
        <x:v>Final procurement/legal review pending.</x:v>
      </x:c>
    </x:row>
    <x:row r="50">
      <x:c r="A50" s="119" t="str">
        <x:v>FND-046</x:v>
      </x:c>
      <x:c r="B50" s="120" t="n">
        <x:v>1</x:v>
      </x:c>
      <x:c r="C50" s="120" t="str">
        <x:v>Architecture</x:v>
      </x:c>
      <x:c r="D50" s="120" t="str">
        <x:v>Define reference architecture layers</x:v>
      </x:c>
      <x:c r="E50" s="120" t="str">
        <x:v>Define device edge, ingestion, evidence, intelligence, capability, coaching, governance and reporting.</x:v>
      </x:c>
      <x:c r="F50" s="120" t="str">
        <x:v>Enterprise Architect</x:v>
      </x:c>
      <x:c r="G50" s="120" t="str">
        <x:v>Security/Data/AI/Desktop</x:v>
      </x:c>
      <x:c r="H50" s="120" t="str">
        <x:v>FND-044</x:v>
      </x:c>
      <x:c r="I50" s="120" t="str">
        <x:v>Critical</x:v>
      </x:c>
      <x:c r="J50" s="120" t="str">
        <x:v>Draft Complete</x:v>
      </x:c>
      <x:c r="K50" s="134" t="n">
        <x:f>IF(J50="Completed",1,IF(J50="Draft Complete",0.8,IF(J50="In Review",0.6,IF(J50="Requires Owner Input",0.3,IF(J50="Blocked",0.1,IF(J50="Deferred",0.2,0))))))</x:f>
        <x:v>0.8</x:v>
      </x:c>
      <x:c r="L50" s="120" t="n">
        <x:v>3</x:v>
      </x:c>
      <x:c r="M50" s="120" t="str">
        <x:v>Reference architecture</x:v>
      </x:c>
      <x:c r="N50" s="120" t="str">
        <x:v>Components, runtimes, data, events and HumanOS reuse are explicit.</x:v>
      </x:c>
      <x:c r="O50" s="120" t="str">
        <x:v>Reference Architecture sheet</x:v>
      </x:c>
      <x:c r="P50" s="120" t="str">
        <x:v>Stage 1 Gate</x:v>
      </x:c>
      <x:c r="Q50" s="120" t="str">
        <x:v>W1</x:v>
      </x:c>
      <x:c r="R50" s="121" t="str"/>
    </x:row>
    <x:row r="51">
      <x:c r="A51" s="113" t="str">
        <x:v>FND-047</x:v>
      </x:c>
      <x:c r="B51" s="114" t="n">
        <x:v>1</x:v>
      </x:c>
      <x:c r="C51" s="114" t="str">
        <x:v>Architecture</x:v>
      </x:c>
      <x:c r="D51" s="114" t="str">
        <x:v>Set bounded contexts and deployment granularity</x:v>
      </x:c>
      <x:c r="E51" s="114" t="str">
        <x:v>Avoid premature splitting; identify initial deployables and future split triggers.</x:v>
      </x:c>
      <x:c r="F51" s="114" t="str">
        <x:v>Enterprise Architect</x:v>
      </x:c>
      <x:c r="G51" s="114" t="str">
        <x:v>Backend/Platform/SRE</x:v>
      </x:c>
      <x:c r="H51" s="114" t="str">
        <x:v>FND-046</x:v>
      </x:c>
      <x:c r="I51" s="114" t="str">
        <x:v>Critical</x:v>
      </x:c>
      <x:c r="J51" s="114" t="str">
        <x:v>Draft Complete</x:v>
      </x:c>
      <x:c r="K51" s="135" t="n">
        <x:f>IF(J51="Completed",1,IF(J51="Draft Complete",0.8,IF(J51="In Review",0.6,IF(J51="Requires Owner Input",0.3,IF(J51="Blocked",0.1,IF(J51="Deferred",0.2,0))))))</x:f>
        <x:v>0.8</x:v>
      </x:c>
      <x:c r="L51" s="114" t="n">
        <x:v>2</x:v>
      </x:c>
      <x:c r="M51" s="114" t="str">
        <x:v>Service-boundary decision</x:v>
      </x:c>
      <x:c r="N51" s="114" t="str">
        <x:v>Each boundary has ownership, scale, security or transactional justification.</x:v>
      </x:c>
      <x:c r="O51" s="114" t="str">
        <x:v>Reference Architecture / ADR-012</x:v>
      </x:c>
      <x:c r="P51" s="114" t="str">
        <x:v>Stage 1 Gate</x:v>
      </x:c>
      <x:c r="Q51" s="114" t="str">
        <x:v>W1</x:v>
      </x:c>
      <x:c r="R51" s="115" t="str"/>
    </x:row>
    <x:row r="52">
      <x:c r="A52" s="119" t="str">
        <x:v>FND-048</x:v>
      </x:c>
      <x:c r="B52" s="120" t="n">
        <x:v>1</x:v>
      </x:c>
      <x:c r="C52" s="120" t="str">
        <x:v>Technology</x:v>
      </x:c>
      <x:c r="D52" s="120" t="str">
        <x:v>Approve Java/Python/native responsibility split</x:v>
      </x:c>
      <x:c r="E52" s="120" t="str">
        <x:v>Use Java for durable domain services, Python for AI/evals and native code for endpoint capture.</x:v>
      </x:c>
      <x:c r="F52" s="120" t="str">
        <x:v>CTO/Architecture</x:v>
      </x:c>
      <x:c r="G52" s="120" t="str">
        <x:v>Java/Python/Desktop Leads</x:v>
      </x:c>
      <x:c r="H52" s="120" t="str">
        <x:v>FND-046</x:v>
      </x:c>
      <x:c r="I52" s="120" t="str">
        <x:v>Critical</x:v>
      </x:c>
      <x:c r="J52" s="120" t="str">
        <x:v>Draft Complete</x:v>
      </x:c>
      <x:c r="K52" s="134" t="n">
        <x:f>IF(J52="Completed",1,IF(J52="Draft Complete",0.8,IF(J52="In Review",0.6,IF(J52="Requires Owner Input",0.3,IF(J52="Blocked",0.1,IF(J52="Deferred",0.2,0))))))</x:f>
        <x:v>0.8</x:v>
      </x:c>
      <x:c r="L52" s="120" t="n">
        <x:v>1.5</x:v>
      </x:c>
      <x:c r="M52" s="120" t="str">
        <x:v>Runtime decision</x:v>
      </x:c>
      <x:c r="N52" s="120" t="str">
        <x:v>Responsibility boundaries and interface contracts are stated.</x:v>
      </x:c>
      <x:c r="O52" s="120" t="str">
        <x:v>Reference Architecture / ADRs</x:v>
      </x:c>
      <x:c r="P52" s="120" t="str">
        <x:v>Stage 1 Gate</x:v>
      </x:c>
      <x:c r="Q52" s="120" t="str">
        <x:v>W1</x:v>
      </x:c>
      <x:c r="R52" s="121" t="str"/>
    </x:row>
    <x:row r="53">
      <x:c r="A53" s="113" t="str">
        <x:v>FND-049</x:v>
      </x:c>
      <x:c r="B53" s="114" t="n">
        <x:v>1</x:v>
      </x:c>
      <x:c r="C53" s="114" t="str">
        <x:v>Technology</x:v>
      </x:c>
      <x:c r="D53" s="114" t="str">
        <x:v>Assess Java and Spring baseline</x:v>
      </x:c>
      <x:c r="E53" s="114" t="str">
        <x:v>Retain current supported HumanOS baseline unless migration is justified; benchmark Java 25/Spring Boot 4.1 for greenfield-compatible services.</x:v>
      </x:c>
      <x:c r="F53" s="114" t="str">
        <x:v>Java Platform Lead</x:v>
      </x:c>
      <x:c r="G53" s="114" t="str">
        <x:v>Architecture/SRE/Security</x:v>
      </x:c>
      <x:c r="H53" s="114" t="str">
        <x:v>FND-048</x:v>
      </x:c>
      <x:c r="I53" s="114" t="str">
        <x:v>High</x:v>
      </x:c>
      <x:c r="J53" s="114" t="str">
        <x:v>Draft Complete</x:v>
      </x:c>
      <x:c r="K53" s="135" t="n">
        <x:f>IF(J53="Completed",1,IF(J53="Draft Complete",0.8,IF(J53="In Review",0.6,IF(J53="Requires Owner Input",0.3,IF(J53="Blocked",0.1,IF(J53="Deferred",0.2,0))))))</x:f>
        <x:v>0.8</x:v>
      </x:c>
      <x:c r="L53" s="114" t="n">
        <x:v>1.5</x:v>
      </x:c>
      <x:c r="M53" s="114" t="str">
        <x:v>Java baseline recommendation</x:v>
      </x:c>
      <x:c r="N53" s="114" t="str">
        <x:v>Compatibility, support, security and migration criteria are recorded.</x:v>
      </x:c>
      <x:c r="O53" s="114" t="str">
        <x:v>Spring/OpenJDK sources</x:v>
      </x:c>
      <x:c r="P53" s="114" t="str">
        <x:v>Stage 1 Gate</x:v>
      </x:c>
      <x:c r="Q53" s="114" t="str">
        <x:v>W1</x:v>
      </x:c>
      <x:c r="R53" s="115" t="str"/>
    </x:row>
    <x:row r="54">
      <x:c r="A54" s="119" t="str">
        <x:v>FND-050</x:v>
      </x:c>
      <x:c r="B54" s="120" t="n">
        <x:v>1</x:v>
      </x:c>
      <x:c r="C54" s="120" t="str">
        <x:v>Event architecture</x:v>
      </x:c>
      <x:c r="D54" s="120" t="str">
        <x:v>Define event streaming and schema strategy</x:v>
      </x:c>
      <x:c r="E54" s="120" t="str">
        <x:v>Use Kafka-compatible streaming, versioned contracts, idempotency and CloudEvents-style envelope.</x:v>
      </x:c>
      <x:c r="F54" s="120" t="str">
        <x:v>Data/Platform Architect</x:v>
      </x:c>
      <x:c r="G54" s="120" t="str">
        <x:v>Backend/SRE</x:v>
      </x:c>
      <x:c r="H54" s="120" t="str">
        <x:v>FND-046</x:v>
      </x:c>
      <x:c r="I54" s="120" t="str">
        <x:v>Critical</x:v>
      </x:c>
      <x:c r="J54" s="120" t="str">
        <x:v>Draft Complete</x:v>
      </x:c>
      <x:c r="K54" s="134" t="n">
        <x:f>IF(J54="Completed",1,IF(J54="Draft Complete",0.8,IF(J54="In Review",0.6,IF(J54="Requires Owner Input",0.3,IF(J54="Blocked",0.1,IF(J54="Deferred",0.2,0))))))</x:f>
        <x:v>0.8</x:v>
      </x:c>
      <x:c r="L54" s="120" t="n">
        <x:v>2</x:v>
      </x:c>
      <x:c r="M54" s="120" t="str">
        <x:v>Event architecture decision</x:v>
      </x:c>
      <x:c r="N54" s="120" t="str">
        <x:v>Partitioning, ordering, retry, schema and replay principles are defined.</x:v>
      </x:c>
      <x:c r="O54" s="120" t="str">
        <x:v>Apache Kafka / CloudEvents</x:v>
      </x:c>
      <x:c r="P54" s="120" t="str">
        <x:v>Stage 1 Gate</x:v>
      </x:c>
      <x:c r="Q54" s="120" t="str">
        <x:v>W1</x:v>
      </x:c>
      <x:c r="R54" s="121" t="str"/>
    </x:row>
    <x:row r="55">
      <x:c r="A55" s="113" t="str">
        <x:v>FND-051</x:v>
      </x:c>
      <x:c r="B55" s="114" t="n">
        <x:v>1</x:v>
      </x:c>
      <x:c r="C55" s="114" t="str">
        <x:v>Policy and observability</x:v>
      </x:c>
      <x:c r="D55" s="114" t="str">
        <x:v>Define OPA and OpenTelemetry usage</x:v>
      </x:c>
      <x:c r="E55" s="114" t="str">
        <x:v>Use policy-as-code where it adds value; keep evidence content out of operational traces by default.</x:v>
      </x:c>
      <x:c r="F55" s="114" t="str">
        <x:v>Security/Platform Architect</x:v>
      </x:c>
      <x:c r="G55" s="114" t="str">
        <x:v>SRE/AI/DPO</x:v>
      </x:c>
      <x:c r="H55" s="114" t="str">
        <x:v>FND-046</x:v>
      </x:c>
      <x:c r="I55" s="114" t="str">
        <x:v>High</x:v>
      </x:c>
      <x:c r="J55" s="114" t="str">
        <x:v>Draft Complete</x:v>
      </x:c>
      <x:c r="K55" s="135" t="n">
        <x:f>IF(J55="Completed",1,IF(J55="Draft Complete",0.8,IF(J55="In Review",0.6,IF(J55="Requires Owner Input",0.3,IF(J55="Blocked",0.1,IF(J55="Deferred",0.2,0))))))</x:f>
        <x:v>0.8</x:v>
      </x:c>
      <x:c r="L55" s="114" t="n">
        <x:v>2</x:v>
      </x:c>
      <x:c r="M55" s="114" t="str">
        <x:v>Policy/observability design</x:v>
      </x:c>
      <x:c r="N55" s="114" t="str">
        <x:v>Decision and data boundaries are explicit and sensitive content is opt-in only.</x:v>
      </x:c>
      <x:c r="O55" s="114" t="str">
        <x:v>OPA / OpenTelemetry sources</x:v>
      </x:c>
      <x:c r="P55" s="114" t="str">
        <x:v>Stage 1 Gate</x:v>
      </x:c>
      <x:c r="Q55" s="114" t="str">
        <x:v>W1</x:v>
      </x:c>
      <x:c r="R55" s="115" t="str"/>
    </x:row>
    <x:row r="56">
      <x:c r="A56" s="119" t="str">
        <x:v>FND-052</x:v>
      </x:c>
      <x:c r="B56" s="120" t="n">
        <x:v>1</x:v>
      </x:c>
      <x:c r="C56" s="120" t="str">
        <x:v>Data architecture</x:v>
      </x:c>
      <x:c r="D56" s="120" t="str">
        <x:v>Select initial data stores</x:v>
      </x:c>
      <x:c r="E56" s="120" t="str">
        <x:v>Use PostgreSQL and object storage first; add vector/search capability as justified; defer graph database until query evidence.</x:v>
      </x:c>
      <x:c r="F56" s="120" t="str">
        <x:v>Data Architect</x:v>
      </x:c>
      <x:c r="G56" s="120" t="str">
        <x:v>Backend/AI/SRE</x:v>
      </x:c>
      <x:c r="H56" s="120" t="str">
        <x:v>FND-046</x:v>
      </x:c>
      <x:c r="I56" s="120" t="str">
        <x:v>Critical</x:v>
      </x:c>
      <x:c r="J56" s="120" t="str">
        <x:v>Draft Complete</x:v>
      </x:c>
      <x:c r="K56" s="134" t="n">
        <x:f>IF(J56="Completed",1,IF(J56="Draft Complete",0.8,IF(J56="In Review",0.6,IF(J56="Requires Owner Input",0.3,IF(J56="Blocked",0.1,IF(J56="Deferred",0.2,0))))))</x:f>
        <x:v>0.8</x:v>
      </x:c>
      <x:c r="L56" s="120" t="n">
        <x:v>2</x:v>
      </x:c>
      <x:c r="M56" s="120" t="str">
        <x:v>Data-store decision</x:v>
      </x:c>
      <x:c r="N56" s="120" t="str">
        <x:v>System-of-record, retention, indexing and future split triggers are stated.</x:v>
      </x:c>
      <x:c r="O56" s="120" t="str">
        <x:v>Reference Architecture / ADR-009</x:v>
      </x:c>
      <x:c r="P56" s="120" t="str">
        <x:v>Stage 1 Gate</x:v>
      </x:c>
      <x:c r="Q56" s="120" t="str">
        <x:v>W1</x:v>
      </x:c>
      <x:c r="R56" s="121" t="str"/>
    </x:row>
    <x:row r="57">
      <x:c r="A57" s="113" t="str">
        <x:v>FND-053</x:v>
      </x:c>
      <x:c r="B57" s="114" t="n">
        <x:v>1</x:v>
      </x:c>
      <x:c r="C57" s="114" t="str">
        <x:v>Workflow architecture</x:v>
      </x:c>
      <x:c r="D57" s="114" t="str">
        <x:v>Confirm HumanOS workflow-runtime reuse</x:v>
      </x:c>
      <x:c r="E57" s="114" t="str">
        <x:v>Use existing workflow capabilities for review, coaching, gates and skill lifecycle before adding another orchestrator.</x:v>
      </x:c>
      <x:c r="F57" s="114" t="str">
        <x:v>Platform Architect</x:v>
      </x:c>
      <x:c r="G57" s="114" t="str">
        <x:v>Workflow Team/Product</x:v>
      </x:c>
      <x:c r="H57" s="114" t="str">
        <x:v>FND-046</x:v>
      </x:c>
      <x:c r="I57" s="114" t="str">
        <x:v>High</x:v>
      </x:c>
      <x:c r="J57" s="114" t="str">
        <x:v>Draft Complete</x:v>
      </x:c>
      <x:c r="K57" s="135" t="n">
        <x:f>IF(J57="Completed",1,IF(J57="Draft Complete",0.8,IF(J57="In Review",0.6,IF(J57="Requires Owner Input",0.3,IF(J57="Blocked",0.1,IF(J57="Deferred",0.2,0))))))</x:f>
        <x:v>0.8</x:v>
      </x:c>
      <x:c r="L57" s="114" t="n">
        <x:v>1</x:v>
      </x:c>
      <x:c r="M57" s="114" t="str">
        <x:v>Orchestration decision</x:v>
      </x:c>
      <x:c r="N57" s="114" t="str">
        <x:v>Known runtime gaps and trigger for alternative evaluation are documented.</x:v>
      </x:c>
      <x:c r="O57" s="114" t="str">
        <x:v>HumanOS architecture assumption</x:v>
      </x:c>
      <x:c r="P57" s="114" t="str">
        <x:v>Stage 1 Gate</x:v>
      </x:c>
      <x:c r="Q57" s="114" t="str">
        <x:v>W1</x:v>
      </x:c>
      <x:c r="R57" s="115" t="str"/>
    </x:row>
    <x:row r="58">
      <x:c r="A58" s="119" t="str">
        <x:v>FND-054</x:v>
      </x:c>
      <x:c r="B58" s="120" t="n">
        <x:v>1</x:v>
      </x:c>
      <x:c r="C58" s="120" t="str">
        <x:v>AI architecture</x:v>
      </x:c>
      <x:c r="D58" s="120" t="str">
        <x:v>Define evaluator and provenance architecture</x:v>
      </x:c>
      <x:c r="E58" s="120" t="str">
        <x:v>Separate deterministic evidence processing from model inference; version prompts, skills, models and confidence.</x:v>
      </x:c>
      <x:c r="F58" s="120" t="str">
        <x:v>AI Architect</x:v>
      </x:c>
      <x:c r="G58" s="120" t="str">
        <x:v>Data/Product/Governance</x:v>
      </x:c>
      <x:c r="H58" s="120" t="str">
        <x:v>FND-046</x:v>
      </x:c>
      <x:c r="I58" s="120" t="str">
        <x:v>Critical</x:v>
      </x:c>
      <x:c r="J58" s="120" t="str">
        <x:v>Draft Complete</x:v>
      </x:c>
      <x:c r="K58" s="134" t="n">
        <x:f>IF(J58="Completed",1,IF(J58="Draft Complete",0.8,IF(J58="In Review",0.6,IF(J58="Requires Owner Input",0.3,IF(J58="Blocked",0.1,IF(J58="Deferred",0.2,0))))))</x:f>
        <x:v>0.8</x:v>
      </x:c>
      <x:c r="L58" s="120" t="n">
        <x:v>2.5</x:v>
      </x:c>
      <x:c r="M58" s="120" t="str">
        <x:v>AI evaluation architecture</x:v>
      </x:c>
      <x:c r="N58" s="120" t="str">
        <x:v>All material findings link to evidence, model/skill version and human-review state.</x:v>
      </x:c>
      <x:c r="O58" s="120" t="str">
        <x:v>Reference Architecture / NIST AI RMF</x:v>
      </x:c>
      <x:c r="P58" s="120" t="str">
        <x:v>Stage 1 Gate</x:v>
      </x:c>
      <x:c r="Q58" s="120" t="str">
        <x:v>W2</x:v>
      </x:c>
      <x:c r="R58" s="121" t="str"/>
    </x:row>
    <x:row r="59">
      <x:c r="A59" s="113" t="str">
        <x:v>FND-055</x:v>
      </x:c>
      <x:c r="B59" s="114" t="n">
        <x:v>1</x:v>
      </x:c>
      <x:c r="C59" s="114" t="str">
        <x:v>Device architecture</x:v>
      </x:c>
      <x:c r="D59" s="114" t="str">
        <x:v>Define device-agent foundation principles</x:v>
      </x:c>
      <x:c r="E59" s="114" t="str">
        <x:v>Separate edge agent, local policy, encrypted journal, signed batches, health, update and user-visible controls.</x:v>
      </x:c>
      <x:c r="F59" s="114" t="str">
        <x:v>Desktop Architect</x:v>
      </x:c>
      <x:c r="G59" s="114" t="str">
        <x:v>Security/Platform/DPO</x:v>
      </x:c>
      <x:c r="H59" s="114" t="str">
        <x:v>FND-046</x:v>
      </x:c>
      <x:c r="I59" s="114" t="str">
        <x:v>Critical</x:v>
      </x:c>
      <x:c r="J59" s="114" t="str">
        <x:v>Draft Complete</x:v>
      </x:c>
      <x:c r="K59" s="135" t="n">
        <x:f>IF(J59="Completed",1,IF(J59="Draft Complete",0.8,IF(J59="In Review",0.6,IF(J59="Requires Owner Input",0.3,IF(J59="Blocked",0.1,IF(J59="Deferred",0.2,0))))))</x:f>
        <x:v>0.8</x:v>
      </x:c>
      <x:c r="L59" s="114" t="n">
        <x:v>2.5</x:v>
      </x:c>
      <x:c r="M59" s="114" t="str">
        <x:v>Device-agent architecture principles</x:v>
      </x:c>
      <x:c r="N59" s="114" t="str">
        <x:v>Foundation is sufficient to scope Stage 3 without implementing unsafe capture.</x:v>
      </x:c>
      <x:c r="O59" s="114" t="str">
        <x:v>Reference Architecture / Foundation Threats</x:v>
      </x:c>
      <x:c r="P59" s="114" t="str">
        <x:v>Stage 1 Gate</x:v>
      </x:c>
      <x:c r="Q59" s="114" t="str">
        <x:v>W2</x:v>
      </x:c>
      <x:c r="R59" s="115" t="str"/>
    </x:row>
    <x:row r="60">
      <x:c r="A60" s="119" t="str">
        <x:v>FND-056</x:v>
      </x:c>
      <x:c r="B60" s="120" t="n">
        <x:v>1</x:v>
      </x:c>
      <x:c r="C60" s="120" t="str">
        <x:v>Economics</x:v>
      </x:c>
      <x:c r="D60" s="120" t="str">
        <x:v>Collect data-volume and usage assumptions</x:v>
      </x:c>
      <x:c r="E60" s="120" t="str">
        <x:v>Obtain employee count, active hours, screenshot frequency, retention, regions and AI-analysis volume.</x:v>
      </x:c>
      <x:c r="F60" s="120" t="str">
        <x:v>Product Finance</x:v>
      </x:c>
      <x:c r="G60" s="120" t="str">
        <x:v>SRE/Data/Product</x:v>
      </x:c>
      <x:c r="H60" s="120" t="str">
        <x:v>FND-009,FND-046</x:v>
      </x:c>
      <x:c r="I60" s="120" t="str">
        <x:v>High</x:v>
      </x:c>
      <x:c r="J60" s="120" t="str">
        <x:v>Requires Owner Input</x:v>
      </x:c>
      <x:c r="K60" s="134" t="n">
        <x:f>IF(J60="Completed",1,IF(J60="Draft Complete",0.8,IF(J60="In Review",0.6,IF(J60="Requires Owner Input",0.3,IF(J60="Blocked",0.1,IF(J60="Deferred",0.2,0))))))</x:f>
        <x:v>0.3</x:v>
      </x:c>
      <x:c r="L60" s="120" t="n">
        <x:v>1.5</x:v>
      </x:c>
      <x:c r="M60" s="120" t="str">
        <x:v>Cost-model inputs</x:v>
      </x:c>
      <x:c r="N60" s="120" t="str">
        <x:v>Assumptions are approved and sensitivity ranges are provided.</x:v>
      </x:c>
      <x:c r="O60" s="120" t="str">
        <x:v>Assumptions Questions sheet</x:v>
      </x:c>
      <x:c r="P60" s="120" t="str">
        <x:v>Stage 1 Gate</x:v>
      </x:c>
      <x:c r="Q60" s="120" t="str">
        <x:v>W2</x:v>
      </x:c>
      <x:c r="R60" s="121" t="str"/>
    </x:row>
    <x:row r="61">
      <x:c r="A61" s="113" t="str">
        <x:v>FND-057</x:v>
      </x:c>
      <x:c r="B61" s="114" t="n">
        <x:v>1</x:v>
      </x:c>
      <x:c r="C61" s="114" t="str">
        <x:v>Economics</x:v>
      </x:c>
      <x:c r="D61" s="114" t="str">
        <x:v>Produce preliminary cost model</x:v>
      </x:c>
      <x:c r="E61" s="114" t="str">
        <x:v>Estimate endpoint, ingestion, storage, AI inference, observability and support costs.</x:v>
      </x:c>
      <x:c r="F61" s="114" t="str">
        <x:v>FinOps/SRE</x:v>
      </x:c>
      <x:c r="G61" s="114" t="str">
        <x:v>Data/AI/Product</x:v>
      </x:c>
      <x:c r="H61" s="114" t="str">
        <x:v>FND-056</x:v>
      </x:c>
      <x:c r="I61" s="114" t="str">
        <x:v>High</x:v>
      </x:c>
      <x:c r="J61" s="114" t="str">
        <x:v>Not Started</x:v>
      </x:c>
      <x:c r="K61" s="135" t="n">
        <x:f>IF(J61="Completed",1,IF(J61="Draft Complete",0.8,IF(J61="In Review",0.6,IF(J61="Requires Owner Input",0.3,IF(J61="Blocked",0.1,IF(J61="Deferred",0.2,0))))))</x:f>
        <x:v>0</x:v>
      </x:c>
      <x:c r="L61" s="114" t="n">
        <x:v>2.5</x:v>
      </x:c>
      <x:c r="M61" s="114" t="str">
        <x:v>Cost and sensitivity model</x:v>
      </x:c>
      <x:c r="N61" s="114" t="str">
        <x:v>Low/base/high pilot and scale cases are calculated.</x:v>
      </x:c>
      <x:c r="O61" s="114" t="str">
        <x:v>Requires usage assumptions</x:v>
      </x:c>
      <x:c r="P61" s="114" t="str">
        <x:v>Stage 1 Gate</x:v>
      </x:c>
      <x:c r="Q61" s="114" t="str">
        <x:v>W2</x:v>
      </x:c>
      <x:c r="R61" s="115" t="str"/>
    </x:row>
    <x:row r="62">
      <x:c r="A62" s="119" t="str">
        <x:v>FND-058</x:v>
      </x:c>
      <x:c r="B62" s="120" t="n">
        <x:v>1</x:v>
      </x:c>
      <x:c r="C62" s="120" t="str">
        <x:v>Legal/procurement</x:v>
      </x:c>
      <x:c r="D62" s="120" t="str">
        <x:v>Complete formal OSS/commercial licence review</x:v>
      </x:c>
      <x:c r="E62" s="120" t="str">
        <x:v>Counsel reviews source-available and OSS dependencies before reuse, modification or distribution.</x:v>
      </x:c>
      <x:c r="F62" s="120" t="str">
        <x:v>Legal/Procurement</x:v>
      </x:c>
      <x:c r="G62" s="120" t="str">
        <x:v>Architecture/Security</x:v>
      </x:c>
      <x:c r="H62" s="120" t="str">
        <x:v>FND-041,FND-045</x:v>
      </x:c>
      <x:c r="I62" s="120" t="str">
        <x:v>Critical</x:v>
      </x:c>
      <x:c r="J62" s="120" t="str">
        <x:v>Requires Owner Input</x:v>
      </x:c>
      <x:c r="K62" s="134" t="n">
        <x:f>IF(J62="Completed",1,IF(J62="Draft Complete",0.8,IF(J62="In Review",0.6,IF(J62="Requires Owner Input",0.3,IF(J62="Blocked",0.1,IF(J62="Deferred",0.2,0))))))</x:f>
        <x:v>0.3</x:v>
      </x:c>
      <x:c r="L62" s="120" t="n">
        <x:v>3</x:v>
      </x:c>
      <x:c r="M62" s="120" t="str">
        <x:v>Licence approval register</x:v>
      </x:c>
      <x:c r="N62" s="120" t="str">
        <x:v>Each dependency has approved use conditions or is excluded.</x:v>
      </x:c>
      <x:c r="O62" s="120" t="str">
        <x:v>Repository licence files / counsel</x:v>
      </x:c>
      <x:c r="P62" s="120" t="str">
        <x:v>Stage 1 Gate</x:v>
      </x:c>
      <x:c r="Q62" s="120" t="str">
        <x:v>W2</x:v>
      </x:c>
      <x:c r="R62" s="121" t="str"/>
    </x:row>
    <x:row r="63">
      <x:c r="A63" s="113" t="str">
        <x:v>FND-059</x:v>
      </x:c>
      <x:c r="B63" s="114" t="n">
        <x:v>1</x:v>
      </x:c>
      <x:c r="C63" s="114" t="str">
        <x:v>Technical validation</x:v>
      </x:c>
      <x:c r="D63" s="114" t="str">
        <x:v>Plan screen-capture benchmark</x:v>
      </x:c>
      <x:c r="E63" s="114" t="str">
        <x:v>Benchmark native prototype against Screenpipe/OpenAdapt patterns without assuming code reuse.</x:v>
      </x:c>
      <x:c r="F63" s="114" t="str">
        <x:v>Desktop Lead</x:v>
      </x:c>
      <x:c r="G63" s="114" t="str">
        <x:v>Architecture/Legal/QA</x:v>
      </x:c>
      <x:c r="H63" s="114" t="str">
        <x:v>FND-045,FND-055</x:v>
      </x:c>
      <x:c r="I63" s="114" t="str">
        <x:v>High</x:v>
      </x:c>
      <x:c r="J63" s="114" t="str">
        <x:v>Draft Complete</x:v>
      </x:c>
      <x:c r="K63" s="135" t="n">
        <x:f>IF(J63="Completed",1,IF(J63="Draft Complete",0.8,IF(J63="In Review",0.6,IF(J63="Requires Owner Input",0.3,IF(J63="Blocked",0.1,IF(J63="Deferred",0.2,0))))))</x:f>
        <x:v>0.8</x:v>
      </x:c>
      <x:c r="L63" s="114" t="n">
        <x:v>1.5</x:v>
      </x:c>
      <x:c r="M63" s="114" t="str">
        <x:v>Benchmark plan</x:v>
      </x:c>
      <x:c r="N63" s="114" t="str">
        <x:v>Metrics, datasets, legal constraints and decision thresholds are defined.</x:v>
      </x:c>
      <x:c r="O63" s="114" t="str">
        <x:v>Build Buy Decisions / Pilot Definition</x:v>
      </x:c>
      <x:c r="P63" s="114" t="str">
        <x:v>Stage 1 Gate</x:v>
      </x:c>
      <x:c r="Q63" s="114" t="str">
        <x:v>W2</x:v>
      </x:c>
      <x:c r="R63" s="115" t="str"/>
    </x:row>
    <x:row r="64">
      <x:c r="A64" s="119" t="str">
        <x:v>FND-060</x:v>
      </x:c>
      <x:c r="B64" s="120" t="n">
        <x:v>1</x:v>
      </x:c>
      <x:c r="C64" s="120" t="str">
        <x:v>Technical validation</x:v>
      </x:c>
      <x:c r="D64" s="120" t="str">
        <x:v>Define Stage 2–3 spike backlog</x:v>
      </x:c>
      <x:c r="E64" s="120" t="str">
        <x:v>Specify ontology and device-agent spikes that reduce the highest uncertainty first.</x:v>
      </x:c>
      <x:c r="F64" s="120" t="str">
        <x:v>Programme/Architecture</x:v>
      </x:c>
      <x:c r="G64" s="120" t="str">
        <x:v>Product/Desktop/AI</x:v>
      </x:c>
      <x:c r="H64" s="120" t="str">
        <x:v>FND-046:FND-055</x:v>
      </x:c>
      <x:c r="I64" s="120" t="str">
        <x:v>Critical</x:v>
      </x:c>
      <x:c r="J64" s="120" t="str">
        <x:v>Draft Complete</x:v>
      </x:c>
      <x:c r="K64" s="134" t="n">
        <x:f>IF(J64="Completed",1,IF(J64="Draft Complete",0.8,IF(J64="In Review",0.6,IF(J64="Requires Owner Input",0.3,IF(J64="Blocked",0.1,IF(J64="Deferred",0.2,0))))))</x:f>
        <x:v>0.8</x:v>
      </x:c>
      <x:c r="L64" s="120" t="n">
        <x:v>2</x:v>
      </x:c>
      <x:c r="M64" s="120" t="str">
        <x:v>Next-stage spike backlog</x:v>
      </x:c>
      <x:c r="N64" s="120" t="str">
        <x:v>Each spike has hypothesis, method, metric, owner and decision rule.</x:v>
      </x:c>
      <x:c r="O64" s="120" t="str">
        <x:v>Master Prompts / Architecture Decisions</x:v>
      </x:c>
      <x:c r="P64" s="120" t="str">
        <x:v>Stage 1 Gate</x:v>
      </x:c>
      <x:c r="Q64" s="120" t="str">
        <x:v>W2</x:v>
      </x:c>
      <x:c r="R64" s="121" t="str"/>
    </x:row>
    <x:row r="65">
      <x:c r="A65" s="113" t="str">
        <x:v>FND-061</x:v>
      </x:c>
      <x:c r="B65" s="114" t="n">
        <x:v>1</x:v>
      </x:c>
      <x:c r="C65" s="114" t="str">
        <x:v>Security review</x:v>
      </x:c>
      <x:c r="D65" s="114" t="str">
        <x:v>Run architecture threat review</x:v>
      </x:c>
      <x:c r="E65" s="114" t="str">
        <x:v>Review endpoint, event, evidence, identity, model, manager-access and supply-chain risks.</x:v>
      </x:c>
      <x:c r="F65" s="114" t="str">
        <x:v>CISO/Security Architect</x:v>
      </x:c>
      <x:c r="G65" s="114" t="str">
        <x:v>DPO/Architecture/Desktop/AI</x:v>
      </x:c>
      <x:c r="H65" s="114" t="str">
        <x:v>FND-031,FND-046</x:v>
      </x:c>
      <x:c r="I65" s="114" t="str">
        <x:v>Critical</x:v>
      </x:c>
      <x:c r="J65" s="114" t="str">
        <x:v>In Review</x:v>
      </x:c>
      <x:c r="K65" s="135" t="n">
        <x:f>IF(J65="Completed",1,IF(J65="Draft Complete",0.8,IF(J65="In Review",0.6,IF(J65="Requires Owner Input",0.3,IF(J65="Blocked",0.1,IF(J65="Deferred",0.2,0))))))</x:f>
        <x:v>0.6</x:v>
      </x:c>
      <x:c r="L65" s="114" t="n">
        <x:v>2</x:v>
      </x:c>
      <x:c r="M65" s="114" t="str">
        <x:v>Security review record</x:v>
      </x:c>
      <x:c r="N65" s="114" t="str">
        <x:v>Critical threats have blocking controls and verification plans.</x:v>
      </x:c>
      <x:c r="O65" s="114" t="str">
        <x:v>Foundation Threats</x:v>
      </x:c>
      <x:c r="P65" s="114" t="str">
        <x:v>Stage 1 Gate</x:v>
      </x:c>
      <x:c r="Q65" s="114" t="str">
        <x:v>W2</x:v>
      </x:c>
      <x:c r="R65" s="115" t="str">
        <x:v>Named reviewers pending.</x:v>
      </x:c>
    </x:row>
    <x:row r="66">
      <x:c r="A66" s="119" t="str">
        <x:v>FND-062</x:v>
      </x:c>
      <x:c r="B66" s="120" t="n">
        <x:v>1</x:v>
      </x:c>
      <x:c r="C66" s="120" t="str">
        <x:v>Architecture governance</x:v>
      </x:c>
      <x:c r="D66" s="120" t="str">
        <x:v>Review and accept ADR set</x:v>
      </x:c>
      <x:c r="E66" s="120" t="str">
        <x:v>Architecture board reviews core decisions and unresolved alternatives.</x:v>
      </x:c>
      <x:c r="F66" s="120" t="str">
        <x:v>Architecture Board</x:v>
      </x:c>
      <x:c r="G66" s="120" t="str">
        <x:v>CTO/Platform/Data/AI/Security</x:v>
      </x:c>
      <x:c r="H66" s="120" t="str">
        <x:v>FND-046:FND-055</x:v>
      </x:c>
      <x:c r="I66" s="120" t="str">
        <x:v>Critical</x:v>
      </x:c>
      <x:c r="J66" s="120" t="str">
        <x:v>In Review</x:v>
      </x:c>
      <x:c r="K66" s="134" t="n">
        <x:f>IF(J66="Completed",1,IF(J66="Draft Complete",0.8,IF(J66="In Review",0.6,IF(J66="Requires Owner Input",0.3,IF(J66="Blocked",0.1,IF(J66="Deferred",0.2,0))))))</x:f>
        <x:v>0.6</x:v>
      </x:c>
      <x:c r="L66" s="120" t="n">
        <x:v>2</x:v>
      </x:c>
      <x:c r="M66" s="120" t="str">
        <x:v>Accepted ADR register</x:v>
      </x:c>
      <x:c r="N66" s="120" t="str">
        <x:v>Each ADR is accepted, rejected or returned with actions.</x:v>
      </x:c>
      <x:c r="O66" s="120" t="str">
        <x:v>Architecture Decisions sheet</x:v>
      </x:c>
      <x:c r="P66" s="120" t="str">
        <x:v>Stage 1 Gate</x:v>
      </x:c>
      <x:c r="Q66" s="120" t="str">
        <x:v>W2</x:v>
      </x:c>
      <x:c r="R66" s="121" t="str"/>
    </x:row>
    <x:row r="67">
      <x:c r="A67" s="113" t="str">
        <x:v>FND-063</x:v>
      </x:c>
      <x:c r="B67" s="114" t="n">
        <x:v>1</x:v>
      </x:c>
      <x:c r="C67" s="114" t="str">
        <x:v>Research traceability</x:v>
      </x:c>
      <x:c r="D67" s="114" t="str">
        <x:v>Complete source register</x:v>
      </x:c>
      <x:c r="E67" s="114" t="str">
        <x:v>Record official product, repository, standard, legal and prompt-engineering sources.</x:v>
      </x:c>
      <x:c r="F67" s="114" t="str">
        <x:v>Research Lead</x:v>
      </x:c>
      <x:c r="G67" s="114" t="str">
        <x:v>Product/Architecture/Legal</x:v>
      </x:c>
      <x:c r="H67" s="114" t="str">
        <x:v>FND-035:FND-055</x:v>
      </x:c>
      <x:c r="I67" s="114" t="str">
        <x:v>High</x:v>
      </x:c>
      <x:c r="J67" s="114" t="str">
        <x:v>Completed</x:v>
      </x:c>
      <x:c r="K67" s="135" t="n">
        <x:f>IF(J67="Completed",1,IF(J67="Draft Complete",0.8,IF(J67="In Review",0.6,IF(J67="Requires Owner Input",0.3,IF(J67="Blocked",0.1,IF(J67="Deferred",0.2,0))))))</x:f>
        <x:v>1</x:v>
      </x:c>
      <x:c r="L67" s="114" t="n">
        <x:v>1.5</x:v>
      </x:c>
      <x:c r="M67" s="114" t="str">
        <x:v>Source register</x:v>
      </x:c>
      <x:c r="N67" s="114" t="str">
        <x:v>Every material researched claim can be traced to a URL.</x:v>
      </x:c>
      <x:c r="O67" s="114" t="str">
        <x:v>Source Register sheet</x:v>
      </x:c>
      <x:c r="P67" s="114" t="str">
        <x:v>Stage 1 Gate</x:v>
      </x:c>
      <x:c r="Q67" s="114" t="str">
        <x:v>W2</x:v>
      </x:c>
      <x:c r="R67" s="115" t="str"/>
    </x:row>
    <x:row r="68">
      <x:c r="A68" s="119" t="str">
        <x:v>FND-064</x:v>
      </x:c>
      <x:c r="B68" s="120" t="n">
        <x:v>1</x:v>
      </x:c>
      <x:c r="C68" s="120" t="str">
        <x:v>Resourcing</x:v>
      </x:c>
      <x:c r="D68" s="120" t="str">
        <x:v>Approve team and budget envelope</x:v>
      </x:c>
      <x:c r="E68" s="120" t="str">
        <x:v>Confirm Stage 2–3 staffing, environment, devices, security review and pilot budget.</x:v>
      </x:c>
      <x:c r="F68" s="120" t="str">
        <x:v>CEO/CTO/CFO</x:v>
      </x:c>
      <x:c r="G68" s="120" t="str">
        <x:v>Programme/HR/Procurement</x:v>
      </x:c>
      <x:c r="H68" s="120" t="str">
        <x:v>FND-056,FND-060</x:v>
      </x:c>
      <x:c r="I68" s="120" t="str">
        <x:v>Critical</x:v>
      </x:c>
      <x:c r="J68" s="120" t="str">
        <x:v>Requires Owner Input</x:v>
      </x:c>
      <x:c r="K68" s="134" t="n">
        <x:f>IF(J68="Completed",1,IF(J68="Draft Complete",0.8,IF(J68="In Review",0.6,IF(J68="Requires Owner Input",0.3,IF(J68="Blocked",0.1,IF(J68="Deferred",0.2,0))))))</x:f>
        <x:v>0.3</x:v>
      </x:c>
      <x:c r="L68" s="120" t="n">
        <x:v>2</x:v>
      </x:c>
      <x:c r="M68" s="120" t="str">
        <x:v>Approved resource envelope</x:v>
      </x:c>
      <x:c r="N68" s="120" t="str">
        <x:v>Named team, availability, procurement and funding are recorded.</x:v>
      </x:c>
      <x:c r="O68" s="120" t="str">
        <x:v>Internal decision</x:v>
      </x:c>
      <x:c r="P68" s="120" t="str">
        <x:v>Stage 1 Gate</x:v>
      </x:c>
      <x:c r="Q68" s="120" t="str">
        <x:v>W2</x:v>
      </x:c>
      <x:c r="R68" s="121" t="str"/>
    </x:row>
    <x:row r="69">
      <x:c r="A69" s="113" t="str">
        <x:v>FND-065</x:v>
      </x:c>
      <x:c r="B69" s="114" t="n">
        <x:v>1</x:v>
      </x:c>
      <x:c r="C69" s="114" t="str">
        <x:v>Review</x:v>
      </x:c>
      <x:c r="D69" s="114" t="str">
        <x:v>Run Stage 1 architecture and build/buy review</x:v>
      </x:c>
      <x:c r="E69" s="114" t="str">
        <x:v>Review research, licences, architecture, threats, spikes, costs and ownership.</x:v>
      </x:c>
      <x:c r="F69" s="114" t="str">
        <x:v>CTO/Architecture Board</x:v>
      </x:c>
      <x:c r="G69" s="114" t="str">
        <x:v>Product/Legal/CISO/DPO/Engineering</x:v>
      </x:c>
      <x:c r="H69" s="114" t="str">
        <x:v>FND-045:FND-064</x:v>
      </x:c>
      <x:c r="I69" s="114" t="str">
        <x:v>Critical</x:v>
      </x:c>
      <x:c r="J69" s="114" t="str">
        <x:v>Not Started</x:v>
      </x:c>
      <x:c r="K69" s="135" t="n">
        <x:f>IF(J69="Completed",1,IF(J69="Draft Complete",0.8,IF(J69="In Review",0.6,IF(J69="Requires Owner Input",0.3,IF(J69="Blocked",0.1,IF(J69="Deferred",0.2,0))))))</x:f>
        <x:v>0</x:v>
      </x:c>
      <x:c r="L69" s="114" t="n">
        <x:v>2</x:v>
      </x:c>
      <x:c r="M69" s="114" t="str">
        <x:v>Review minutes and actions</x:v>
      </x:c>
      <x:c r="N69" s="114" t="str">
        <x:v>All mandatory objections and conditions are recorded.</x:v>
      </x:c>
      <x:c r="O69" s="114" t="str">
        <x:v>Stage 0-1 Gates</x:v>
      </x:c>
      <x:c r="P69" s="114" t="str">
        <x:v>Stage 1 Gate</x:v>
      </x:c>
      <x:c r="Q69" s="114" t="str">
        <x:v>W2</x:v>
      </x:c>
      <x:c r="R69" s="115" t="str"/>
    </x:row>
    <x:row r="70">
      <x:c r="A70" s="119" t="str">
        <x:v>FND-066</x:v>
      </x:c>
      <x:c r="B70" s="120" t="n">
        <x:v>1</x:v>
      </x:c>
      <x:c r="C70" s="120" t="str">
        <x:v>Gate</x:v>
      </x:c>
      <x:c r="D70" s="120" t="str">
        <x:v>Record Stage 1 decision</x:v>
      </x:c>
      <x:c r="E70" s="120" t="str">
        <x:v>Approve, conditionally approve, hold or reject entry into Stage 2 and Stage 3.</x:v>
      </x:c>
      <x:c r="F70" s="120" t="str">
        <x:v>CTO/Executive Sponsor</x:v>
      </x:c>
      <x:c r="G70" s="120" t="str">
        <x:v>Architecture Board/DPO/CISO/Legal/Product</x:v>
      </x:c>
      <x:c r="H70" s="120" t="str">
        <x:v>FND-065</x:v>
      </x:c>
      <x:c r="I70" s="120" t="str">
        <x:v>Critical</x:v>
      </x:c>
      <x:c r="J70" s="120" t="str">
        <x:v>Not Started</x:v>
      </x:c>
      <x:c r="K70" s="134" t="n">
        <x:f>IF(J70="Completed",1,IF(J70="Draft Complete",0.8,IF(J70="In Review",0.6,IF(J70="Requires Owner Input",0.3,IF(J70="Blocked",0.1,IF(J70="Deferred",0.2,0))))))</x:f>
        <x:v>0</x:v>
      </x:c>
      <x:c r="L70" s="120" t="n">
        <x:v>0.5</x:v>
      </x:c>
      <x:c r="M70" s="120" t="str">
        <x:v>Stage 1 gate decision</x:v>
      </x:c>
      <x:c r="N70" s="120" t="str">
        <x:v>Decision, conditions, owners and due dates are recorded.</x:v>
      </x:c>
      <x:c r="O70" s="120" t="str">
        <x:v>Stage 0-1 Gates</x:v>
      </x:c>
      <x:c r="P70" s="120" t="str">
        <x:v>Stage 1 Gate</x:v>
      </x:c>
      <x:c r="Q70" s="120" t="str">
        <x:v>W2</x:v>
      </x:c>
      <x:c r="R70" s="121" t="str"/>
    </x:row>
    <x:row r="71">
      <x:c r="A71" s="116" t="str">
        <x:v>FND-067</x:v>
      </x:c>
      <x:c r="B71" s="117" t="n">
        <x:v>1</x:v>
      </x:c>
      <x:c r="C71" s="117" t="str">
        <x:v>Handoff</x:v>
      </x:c>
      <x:c r="D71" s="117" t="str">
        <x:v>Issue Stage 2 and Stage 3 execution prompts</x:v>
      </x:c>
      <x:c r="E71" s="117" t="str">
        <x:v>Provide exact prompts and workbook output contracts for ontology and device-agent foundation.</x:v>
      </x:c>
      <x:c r="F71" s="117" t="str">
        <x:v>Programme Lead</x:v>
      </x:c>
      <x:c r="G71" s="117" t="str">
        <x:v>Product/Architecture</x:v>
      </x:c>
      <x:c r="H71" s="117" t="str">
        <x:v>FND-060</x:v>
      </x:c>
      <x:c r="I71" s="117" t="str">
        <x:v>High</x:v>
      </x:c>
      <x:c r="J71" s="117" t="str">
        <x:v>Draft Complete</x:v>
      </x:c>
      <x:c r="K71" s="136" t="n">
        <x:f>IF(J71="Completed",1,IF(J71="Draft Complete",0.8,IF(J71="In Review",0.6,IF(J71="Requires Owner Input",0.3,IF(J71="Blocked",0.1,IF(J71="Deferred",0.2,0))))))</x:f>
        <x:v>0.8</x:v>
      </x:c>
      <x:c r="L71" s="117" t="n">
        <x:v>1</x:v>
      </x:c>
      <x:c r="M71" s="117" t="str">
        <x:v>Stage 2 and 3 prompts</x:v>
      </x:c>
      <x:c r="N71" s="117" t="str">
        <x:v>Prompts contain context, constraints, deliverables, validation and Excel contract.</x:v>
      </x:c>
      <x:c r="O71" s="117" t="str">
        <x:v>Master Prompts sheet</x:v>
      </x:c>
      <x:c r="P71" s="117" t="str">
        <x:v>Stage 1 Gate</x:v>
      </x:c>
      <x:c r="Q71" s="117" t="str">
        <x:v>W2</x:v>
      </x:c>
      <x:c r="R71" s="118" t="str">
        <x:v>Included in this workbook.</x:v>
      </x:c>
    </x:row>
  </x:sheetData>
  <x:mergeCells>
    <x:mergeCell ref="A1:R1"/>
    <x:mergeCell ref="A2:R2"/>
  </x:mergeCells>
  <x:conditionalFormatting sqref="J5:J71">
    <x:cfRule type="expression" dxfId="3" priority="1">
      <x:formula>J5="Completed"</x:formula>
    </x:cfRule>
    <x:cfRule type="expression" dxfId="4" priority="2">
      <x:formula>J5="Draft Complete"</x:formula>
    </x:cfRule>
    <x:cfRule type="expression" dxfId="5" priority="3">
      <x:formula>J5="In Review"</x:formula>
    </x:cfRule>
    <x:cfRule type="expression" dxfId="6" priority="4">
      <x:formula>J5="Requires Owner Input"</x:formula>
    </x:cfRule>
    <x:cfRule type="expression" dxfId="7" priority="5">
      <x:formula>J5="Not Started"</x:formula>
    </x:cfRule>
    <x:cfRule type="expression" dxfId="8" priority="6">
      <x:formula>J5="Blocked"</x:formula>
    </x:cfRule>
  </x:conditionalFormatting>
  <x:dataValidations count="2">
    <x:dataValidation type="list" sqref="I5:I71">
      <x:formula1>"Critical,High,Medium,Low"</x:formula1>
    </x:dataValidation>
    <x:dataValidation type="list" sqref="J5:J71">
      <x:formula1>"Completed,Draft Complete,In Review,Requires Owner Input,Not Started,Blocked,Deferred"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48" hidden="0" customWidth="1"/>
    <x:col min="5" max="5" width="22" hidden="0" customWidth="1"/>
    <x:col min="6" max="6" width="18" hidden="0" customWidth="1"/>
    <x:col min="7" max="7" width="28" hidden="0" customWidth="1"/>
    <x:col min="8" max="8" width="30" hidden="0" customWidth="1"/>
  </x:cols>
  <x:sheetData>
    <x:row r="1" ht="30" customHeight="1">
      <x:c r="A1" s="72" t="str">
        <x:v>Product Charter v1 — HumanOS Work Intelligence</x:v>
      </x:c>
      <x:c r="B1" s="72"/>
      <x:c r="C1" s="72"/>
      <x:c r="D1" s="72"/>
      <x:c r="E1" s="72"/>
      <x:c r="F1" s="72"/>
      <x:c r="G1" s="72"/>
      <x:c r="H1" s="72"/>
    </x:row>
    <x:row r="2" ht="34" customHeight="1">
      <x:c r="A2" s="76" t="str">
        <x:v>Decision-ready Stage 0 charter draft. This defines the strategic intent and mandatory product boundaries; it is not an employment-policy or legal approval.</x:v>
      </x:c>
      <x:c r="B2" s="76"/>
      <x:c r="C2" s="76"/>
      <x:c r="D2" s="76"/>
      <x:c r="E2" s="76"/>
      <x:c r="F2" s="76"/>
      <x:c r="G2" s="76"/>
      <x:c r="H2" s="76"/>
    </x:row>
    <x:row r="4" ht="28" customHeight="1">
      <x:c r="A4" s="88" t="str">
        <x:v>ID</x:v>
      </x:c>
      <x:c r="B4" s="89" t="str">
        <x:v>Charter section</x:v>
      </x:c>
      <x:c r="C4" s="89" t="str">
        <x:v>Draft decision</x:v>
      </x:c>
      <x:c r="D4" s="89" t="str">
        <x:v>Rationale</x:v>
      </x:c>
      <x:c r="E4" s="89" t="str">
        <x:v>Accountable owner</x:v>
      </x:c>
      <x:c r="F4" s="89" t="str">
        <x:v>Status</x:v>
      </x:c>
      <x:c r="G4" s="89" t="str">
        <x:v>Approval evidence</x:v>
      </x:c>
      <x:c r="H4" s="90" t="str">
        <x:v>Metric / note</x:v>
      </x:c>
    </x:row>
    <x:row r="5">
      <x:c r="A5" s="110" t="str">
        <x:v>CHR-001</x:v>
      </x:c>
      <x:c r="B5" s="111" t="str">
        <x:v>Company</x:v>
      </x:c>
      <x:c r="C5" s="111" t="str">
        <x:v>Nessovo</x:v>
      </x:c>
      <x:c r="D5" s="111" t="str">
        <x:v>Canonical company name supplied by the founder.</x:v>
      </x:c>
      <x:c r="E5" s="111" t="str">
        <x:v>CEO</x:v>
      </x:c>
      <x:c r="F5" s="111" t="str">
        <x:v>Confirmed</x:v>
      </x:c>
      <x:c r="G5" s="111" t="str">
        <x:v>User instruction</x:v>
      </x:c>
      <x:c r="H5" s="112" t="str"/>
    </x:row>
    <x:row r="6">
      <x:c r="A6" s="119" t="str">
        <x:v>CHR-002</x:v>
      </x:c>
      <x:c r="B6" s="120" t="str">
        <x:v>Platform</x:v>
      </x:c>
      <x:c r="C6" s="120" t="str">
        <x:v>HumanOS</x:v>
      </x:c>
      <x:c r="D6" s="120" t="str">
        <x:v>Work Intelligence is a HumanOS module, not an isolated workforce-surveillance product.</x:v>
      </x:c>
      <x:c r="E6" s="120" t="str">
        <x:v>CEO/CTO</x:v>
      </x:c>
      <x:c r="F6" s="120" t="str">
        <x:v>Draft Complete</x:v>
      </x:c>
      <x:c r="G6" s="120" t="str">
        <x:v>Leadership approval pending</x:v>
      </x:c>
      <x:c r="H6" s="121" t="str">
        <x:v>Reuse foundation services.</x:v>
      </x:c>
    </x:row>
    <x:row r="7">
      <x:c r="A7" s="113" t="str">
        <x:v>CHR-003</x:v>
      </x:c>
      <x:c r="B7" s="114" t="str">
        <x:v>Working module name</x:v>
      </x:c>
      <x:c r="C7" s="114" t="str">
        <x:v>HumanOS Work Intelligence</x:v>
      </x:c>
      <x:c r="D7" s="114" t="str">
        <x:v>Conveys execution understanding, assurance, development and organisational learning.</x:v>
      </x:c>
      <x:c r="E7" s="114" t="str">
        <x:v>Product</x:v>
      </x:c>
      <x:c r="F7" s="114" t="str">
        <x:v>Draft Complete</x:v>
      </x:c>
      <x:c r="G7" s="114" t="str">
        <x:v>Brand review pending</x:v>
      </x:c>
      <x:c r="H7" s="115" t="str">
        <x:v>Working name only.</x:v>
      </x:c>
    </x:row>
    <x:row r="8">
      <x:c r="A8" s="119" t="str">
        <x:v>CHR-004</x:v>
      </x:c>
      <x:c r="B8" s="120" t="str">
        <x:v>One-sentence definition</x:v>
      </x:c>
      <x:c r="C8" s="120" t="str">
        <x:v>A task-aware human-and-AI work intelligence system that reconstructs material work evidence, assures task outcomes, develops employee capability and improves HumanOS operating skills.</x:v>
      </x:c>
      <x:c r="D8" s="120" t="str">
        <x:v>Product</x:v>
      </x:c>
      <x:c r="E8" s="120" t="str">
        <x:v>Draft Complete</x:v>
      </x:c>
      <x:c r="F8" s="120" t="str">
        <x:v>Charter approval</x:v>
      </x:c>
      <x:c r="G8" s="120" t="str">
        <x:v>Must remain valid across business verticals.</x:v>
      </x:c>
      <x:c r="H8" s="121"/>
    </x:row>
    <x:row r="9">
      <x:c r="A9" s="113" t="str">
        <x:v>CHR-005</x:v>
      </x:c>
      <x:c r="B9" s="114" t="str">
        <x:v>Problem</x:v>
      </x:c>
      <x:c r="C9" s="114" t="str">
        <x:v>Organisations can see outputs and time records but often cannot reliably explain how work was performed, whether required outcomes were met, where blockers occurred, or what capability development is needed.</x:v>
      </x:c>
      <x:c r="D9" s="114" t="str">
        <x:v>Product Strategy</x:v>
      </x:c>
      <x:c r="E9" s="114" t="str">
        <x:v>Draft Complete</x:v>
      </x:c>
      <x:c r="F9" s="114" t="str">
        <x:v>Market validation</x:v>
      </x:c>
      <x:c r="G9" s="114" t="str">
        <x:v>Avoid equating activity with performance.</x:v>
      </x:c>
      <x:c r="H9" s="115"/>
    </x:row>
    <x:row r="10">
      <x:c r="A10" s="119" t="str">
        <x:v>CHR-006</x:v>
      </x:c>
      <x:c r="B10" s="120" t="str">
        <x:v>Vision</x:v>
      </x:c>
      <x:c r="C10" s="120" t="str">
        <x:v>Create an evidence-backed operating layer through which HumanOS helps people and AI perform work more correctly, transparently and progressively.</x:v>
      </x:c>
      <x:c r="D10" s="120" t="str">
        <x:v>CEO</x:v>
      </x:c>
      <x:c r="E10" s="120" t="str">
        <x:v>Draft Complete</x:v>
      </x:c>
      <x:c r="F10" s="120" t="str">
        <x:v>Leadership approval</x:v>
      </x:c>
      <x:c r="G10" s="120" t="str">
        <x:v>Long-term HumanOS fit.</x:v>
      </x:c>
      <x:c r="H10" s="121"/>
    </x:row>
    <x:row r="11">
      <x:c r="A11" s="113" t="str">
        <x:v>CHR-007</x:v>
      </x:c>
      <x:c r="B11" s="114" t="str">
        <x:v>Mission</x:v>
      </x:c>
      <x:c r="C11" s="114" t="str">
        <x:v>Observe approved work, connect it to tasks and outcomes, explain provenance, coach people, verify capability and convert validated learning into reusable HumanOS skills.</x:v>
      </x:c>
      <x:c r="D11" s="114" t="str">
        <x:v>Product</x:v>
      </x:c>
      <x:c r="E11" s="114" t="str">
        <x:v>Draft Complete</x:v>
      </x:c>
      <x:c r="F11" s="114" t="str">
        <x:v>Charter approval</x:v>
      </x:c>
      <x:c r="G11" s="114" t="str"/>
      <x:c r="H11" s="115"/>
    </x:row>
    <x:row r="12">
      <x:c r="A12" s="119" t="str">
        <x:v>CHR-008</x:v>
      </x:c>
      <x:c r="B12" s="120" t="str">
        <x:v>Primary initial user</x:v>
      </x:c>
      <x:c r="C12" s="120" t="str">
        <x:v>AI-assisted software-development employee using company-managed Windows or macOS device.</x:v>
      </x:c>
      <x:c r="D12" s="120" t="str">
        <x:v>Product/CTO</x:v>
      </x:c>
      <x:c r="E12" s="120" t="str">
        <x:v>Draft Complete</x:v>
      </x:c>
      <x:c r="F12" s="120" t="str">
        <x:v>Pilot approval</x:v>
      </x:c>
      <x:c r="G12" s="120" t="str">
        <x:v>Initial vertical only.</x:v>
      </x:c>
      <x:c r="H12" s="121"/>
    </x:row>
    <x:row r="13">
      <x:c r="A13" s="113" t="str">
        <x:v>CHR-009</x:v>
      </x:c>
      <x:c r="B13" s="114" t="str">
        <x:v>Secondary users</x:v>
      </x:c>
      <x:c r="C13" s="114" t="str">
        <x:v>Team leads, technical reviewers, HR/L&amp;D, security/governance, product and architecture teams.</x:v>
      </x:c>
      <x:c r="D13" s="114" t="str">
        <x:v>Product</x:v>
      </x:c>
      <x:c r="E13" s="114" t="str">
        <x:v>Draft Complete</x:v>
      </x:c>
      <x:c r="F13" s="114" t="str">
        <x:v>RACI and access policy</x:v>
      </x:c>
      <x:c r="G13" s="114" t="str">
        <x:v>Each role receives minimum necessary data.</x:v>
      </x:c>
      <x:c r="H13" s="115"/>
    </x:row>
    <x:row r="14">
      <x:c r="A14" s="119" t="str">
        <x:v>CHR-010</x:v>
      </x:c>
      <x:c r="B14" s="120" t="str">
        <x:v>Employee value</x:v>
      </x:c>
      <x:c r="C14" s="120" t="str">
        <x:v>Fair attribution of work and automated waits; faster blocker resolution; transparent evidence; contextual coaching; skill progression; correction and challenge rights.</x:v>
      </x:c>
      <x:c r="D14" s="120" t="str">
        <x:v>HR/Product</x:v>
      </x:c>
      <x:c r="E14" s="120" t="str">
        <x:v>Draft Complete</x:v>
      </x:c>
      <x:c r="F14" s="120" t="str">
        <x:v>Worker consultation</x:v>
      </x:c>
      <x:c r="G14" s="120" t="str">
        <x:v>Pilot must measure employee benefit.</x:v>
      </x:c>
      <x:c r="H14" s="121"/>
    </x:row>
    <x:row r="15">
      <x:c r="A15" s="113" t="str">
        <x:v>CHR-011</x:v>
      </x:c>
      <x:c r="B15" s="114" t="str">
        <x:v>Employer value</x:v>
      </x:c>
      <x:c r="C15" s="114" t="str">
        <x:v>Task completion assurance, quality evidence, blocker analysis, capability visibility, targeted training, safer AI-agent use and reusable organisational knowledge.</x:v>
      </x:c>
      <x:c r="D15" s="114" t="str">
        <x:v>Product/Operations</x:v>
      </x:c>
      <x:c r="E15" s="114" t="str">
        <x:v>Draft Complete</x:v>
      </x:c>
      <x:c r="F15" s="114" t="str">
        <x:v>Leadership review</x:v>
      </x:c>
      <x:c r="G15" s="114" t="str">
        <x:v>Exception-led reporting, not raw firehose.</x:v>
      </x:c>
      <x:c r="H15" s="115"/>
    </x:row>
    <x:row r="16">
      <x:c r="A16" s="119" t="str">
        <x:v>CHR-012</x:v>
      </x:c>
      <x:c r="B16" s="120" t="str">
        <x:v>Strategic differentiator</x:v>
      </x:c>
      <x:c r="C16" s="120" t="str">
        <x:v>Combine universal work evidence, task acceptance criteria, human/AI provenance, capability evidence, adaptive learning and governed self-improvement in one HumanOS operating model.</x:v>
      </x:c>
      <x:c r="D16" s="120" t="str">
        <x:v>CEO/CTO/Product</x:v>
      </x:c>
      <x:c r="E16" s="120" t="str">
        <x:v>Draft Complete</x:v>
      </x:c>
      <x:c r="F16" s="120" t="str">
        <x:v>Market gap review</x:v>
      </x:c>
      <x:c r="G16" s="120" t="str">
        <x:v>Individual components already exist elsewhere.</x:v>
      </x:c>
      <x:c r="H16" s="121"/>
    </x:row>
    <x:row r="17">
      <x:c r="A17" s="113" t="str">
        <x:v>CHR-013</x:v>
      </x:c>
      <x:c r="B17" s="114" t="str">
        <x:v>North-star outcome</x:v>
      </x:c>
      <x:c r="C17" s="114" t="str">
        <x:v>Increase verified, independently completed, high-quality task outcomes while improving employee capability and reducing repeated errors and rework.</x:v>
      </x:c>
      <x:c r="D17" s="114" t="str">
        <x:v>Product</x:v>
      </x:c>
      <x:c r="E17" s="114" t="str">
        <x:v>Draft Complete</x:v>
      </x:c>
      <x:c r="F17" s="114" t="str">
        <x:v>KPI approval</x:v>
      </x:c>
      <x:c r="G17" s="114" t="str">
        <x:v>No single productivity score.</x:v>
      </x:c>
      <x:c r="H17" s="115"/>
    </x:row>
    <x:row r="18">
      <x:c r="A18" s="119" t="str">
        <x:v>CHR-014</x:v>
      </x:c>
      <x:c r="B18" s="120" t="str">
        <x:v>Initial commercial position</x:v>
      </x:c>
      <x:c r="C18" s="120" t="str">
        <x:v>Task execution assurance and capability development; monitoring is an underlying evidence mechanism rather than the headline value.</x:v>
      </x:c>
      <x:c r="D18" s="120" t="str">
        <x:v>CEO/Product</x:v>
      </x:c>
      <x:c r="E18" s="120" t="str">
        <x:v>Draft Complete</x:v>
      </x:c>
      <x:c r="F18" s="120" t="str">
        <x:v>Go-to-market review</x:v>
      </x:c>
      <x:c r="G18" s="120" t="str">
        <x:v>Avoid bossware positioning.</x:v>
      </x:c>
      <x:c r="H18" s="121"/>
    </x:row>
    <x:row r="19">
      <x:c r="A19" s="113" t="str">
        <x:v>CHR-015</x:v>
      </x:c>
      <x:c r="B19" s="114" t="str">
        <x:v>Initial vertical</x:v>
      </x:c>
      <x:c r="C19" s="114" t="str">
        <x:v>Software engineering, QA, DevOps/platform and related AI-assisted technical work.</x:v>
      </x:c>
      <x:c r="D19" s="114" t="str">
        <x:v>CTO/Product</x:v>
      </x:c>
      <x:c r="E19" s="114" t="str">
        <x:v>Draft Complete</x:v>
      </x:c>
      <x:c r="F19" s="114" t="str">
        <x:v>Pilot approval</x:v>
      </x:c>
      <x:c r="G19" s="114" t="str">
        <x:v>Best objective evidence: Git, tests, builds, reviews.</x:v>
      </x:c>
      <x:c r="H19" s="115"/>
    </x:row>
    <x:row r="20">
      <x:c r="A20" s="119" t="str">
        <x:v>CHR-016</x:v>
      </x:c>
      <x:c r="B20" s="120" t="str">
        <x:v>Future vertical model</x:v>
      </x:c>
      <x:c r="C20" s="120" t="str">
        <x:v>Domain-neutral core ontology plus vertical-specific evidence adapters, task templates, evaluators and coaching skills.</x:v>
      </x:c>
      <x:c r="D20" s="120" t="str">
        <x:v>Enterprise Architecture</x:v>
      </x:c>
      <x:c r="E20" s="120" t="str">
        <x:v>Draft Complete</x:v>
      </x:c>
      <x:c r="F20" s="120" t="str">
        <x:v>Architecture board</x:v>
      </x:c>
      <x:c r="G20" s="120" t="str">
        <x:v>Finance, support, design and operations can be added later.</x:v>
      </x:c>
      <x:c r="H20" s="121"/>
    </x:row>
    <x:row r="21">
      <x:c r="A21" s="113" t="str">
        <x:v>CHR-017</x:v>
      </x:c>
      <x:c r="B21" s="114" t="str">
        <x:v>In scope v1</x:v>
      </x:c>
      <x:c r="C21" s="114" t="str">
        <x:v>Task sessions, application/window/process evidence, event-driven visual states, approved text changes, files/Git/terminal, AI-agent hooks, task assurance, employee review and pilot capability evidence.</x:v>
      </x:c>
      <x:c r="D21" s="114" t="str">
        <x:v>Product/CTO</x:v>
      </x:c>
      <x:c r="E21" s="114" t="str">
        <x:v>Draft Complete</x:v>
      </x:c>
      <x:c r="F21" s="114" t="str">
        <x:v>Pilot scope</x:v>
      </x:c>
      <x:c r="G21" s="114" t="str">
        <x:v>Controlled internal pilot.</x:v>
      </x:c>
      <x:c r="H21" s="115"/>
    </x:row>
    <x:row r="22">
      <x:c r="A22" s="119" t="str">
        <x:v>CHR-018</x:v>
      </x:c>
      <x:c r="B22" s="120" t="str">
        <x:v>Out of scope v1</x:v>
      </x:c>
      <x:c r="C22" s="120" t="str">
        <x:v>Audio recording, personal devices, covert mode, global Linux parity, continuous full-motion video, automatic discipline/pay/promotion, broad network payload capture and emotion/personality inference.</x:v>
      </x:c>
      <x:c r="D22" s="120" t="str">
        <x:v>Product/DPO/CISO</x:v>
      </x:c>
      <x:c r="E22" s="120" t="str">
        <x:v>Draft Complete</x:v>
      </x:c>
      <x:c r="F22" s="120" t="str">
        <x:v>Stage 0 approval</x:v>
      </x:c>
      <x:c r="G22" s="120" t="str">
        <x:v>Any future inclusion needs new assessment.</x:v>
      </x:c>
      <x:c r="H22" s="121"/>
    </x:row>
    <x:row r="23">
      <x:c r="A23" s="113" t="str">
        <x:v>CHR-019</x:v>
      </x:c>
      <x:c r="B23" s="114" t="str">
        <x:v>Principle</x:v>
      </x:c>
      <x:c r="C23" s="114" t="str">
        <x:v>Outcome over activity</x:v>
      </x:c>
      <x:c r="D23" s="114" t="str">
        <x:v>Clicks, keystrokes and hours cannot substitute for quality and acceptance-criteria evidence.</x:v>
      </x:c>
      <x:c r="E23" s="114" t="str">
        <x:v>Product</x:v>
      </x:c>
      <x:c r="F23" s="114" t="str">
        <x:v>Draft Complete</x:v>
      </x:c>
      <x:c r="G23" s="114" t="str">
        <x:v>Policy acceptance</x:v>
      </x:c>
      <x:c r="H23" s="115" t="str"/>
    </x:row>
    <x:row r="24">
      <x:c r="A24" s="119" t="str">
        <x:v>CHR-020</x:v>
      </x:c>
      <x:c r="B24" s="120" t="str">
        <x:v>Principle</x:v>
      </x:c>
      <x:c r="C24" s="120" t="str">
        <x:v>Evidence before inference</x:v>
      </x:c>
      <x:c r="D24" s="120" t="str">
        <x:v>Authoritative artefacts and system results outrank screenshots and AI interpretations.</x:v>
      </x:c>
      <x:c r="E24" s="120" t="str">
        <x:v>AI/Data</x:v>
      </x:c>
      <x:c r="F24" s="120" t="str">
        <x:v>Draft Complete</x:v>
      </x:c>
      <x:c r="G24" s="120" t="str">
        <x:v>Evidence hierarchy</x:v>
      </x:c>
      <x:c r="H24" s="121" t="str"/>
    </x:row>
    <x:row r="25">
      <x:c r="A25" s="113" t="str">
        <x:v>CHR-021</x:v>
      </x:c>
      <x:c r="B25" s="114" t="str">
        <x:v>Principle</x:v>
      </x:c>
      <x:c r="C25" s="114" t="str">
        <x:v>Human, AI and automation provenance</x:v>
      </x:c>
      <x:c r="D25" s="114" t="str">
        <x:v>Modern work must distinguish directing, generating, reviewing, rejecting and verifying.</x:v>
      </x:c>
      <x:c r="E25" s="114" t="str">
        <x:v>AI/Architecture</x:v>
      </x:c>
      <x:c r="F25" s="114" t="str">
        <x:v>Draft Complete</x:v>
      </x:c>
      <x:c r="G25" s="114" t="str">
        <x:v>ADR acceptance</x:v>
      </x:c>
      <x:c r="H25" s="115" t="str"/>
    </x:row>
    <x:row r="26">
      <x:c r="A26" s="119" t="str">
        <x:v>CHR-022</x:v>
      </x:c>
      <x:c r="B26" s="120" t="str">
        <x:v>Principle</x:v>
      </x:c>
      <x:c r="C26" s="120" t="str">
        <x:v>Employee visibility and agency</x:v>
      </x:c>
      <x:c r="D26" s="120" t="str">
        <x:v>Employees must know when capture is active, see their evidence and correct context.</x:v>
      </x:c>
      <x:c r="E26" s="120" t="str">
        <x:v>DPO/HR</x:v>
      </x:c>
      <x:c r="F26" s="120" t="str">
        <x:v>Draft Complete</x:v>
      </x:c>
      <x:c r="G26" s="120" t="str">
        <x:v>Worker consultation</x:v>
      </x:c>
      <x:c r="H26" s="121" t="str"/>
    </x:row>
    <x:row r="27">
      <x:c r="A27" s="113" t="str">
        <x:v>CHR-023</x:v>
      </x:c>
      <x:c r="B27" s="114" t="str">
        <x:v>Principle</x:v>
      </x:c>
      <x:c r="C27" s="114" t="str">
        <x:v>Minimum necessary evidence</x:v>
      </x:c>
      <x:c r="D27" s="114" t="str">
        <x:v>Prefer semantic artefacts and event-driven capture over unrestricted content collection.</x:v>
      </x:c>
      <x:c r="E27" s="114" t="str">
        <x:v>DPO/Security</x:v>
      </x:c>
      <x:c r="F27" s="114" t="str">
        <x:v>Draft Complete</x:v>
      </x:c>
      <x:c r="G27" s="114" t="str">
        <x:v>Purpose matrix</x:v>
      </x:c>
      <x:c r="H27" s="115" t="str"/>
    </x:row>
    <x:row r="28">
      <x:c r="A28" s="119" t="str">
        <x:v>CHR-024</x:v>
      </x:c>
      <x:c r="B28" s="120" t="str">
        <x:v>Principle</x:v>
      </x:c>
      <x:c r="C28" s="120" t="str">
        <x:v>Meaningful human review</x:v>
      </x:c>
      <x:c r="D28" s="120" t="str">
        <x:v>AI findings inform but do not make consequential employment decisions.</x:v>
      </x:c>
      <x:c r="E28" s="120" t="str">
        <x:v>HR/Legal</x:v>
      </x:c>
      <x:c r="F28" s="120" t="str">
        <x:v>Draft Complete</x:v>
      </x:c>
      <x:c r="G28" s="120" t="str">
        <x:v>Review policy</x:v>
      </x:c>
      <x:c r="H28" s="121" t="str"/>
    </x:row>
    <x:row r="29">
      <x:c r="A29" s="113" t="str">
        <x:v>CHR-025</x:v>
      </x:c>
      <x:c r="B29" s="114" t="str">
        <x:v>Principle</x:v>
      </x:c>
      <x:c r="C29" s="114" t="str">
        <x:v>Learning, not punishment</x:v>
      </x:c>
      <x:c r="D29" s="114" t="str">
        <x:v>Capability gaps should first lead to explanation, support, training and reassessment unless separate misconduct evidence exists.</x:v>
      </x:c>
      <x:c r="E29" s="114" t="str">
        <x:v>HR/L&amp;D</x:v>
      </x:c>
      <x:c r="F29" s="114" t="str">
        <x:v>Draft Complete</x:v>
      </x:c>
      <x:c r="G29" s="114" t="str">
        <x:v>HR policy</x:v>
      </x:c>
      <x:c r="H29" s="115" t="str"/>
    </x:row>
    <x:row r="30">
      <x:c r="A30" s="119" t="str">
        <x:v>CHR-026</x:v>
      </x:c>
      <x:c r="B30" s="120" t="str">
        <x:v>Principle</x:v>
      </x:c>
      <x:c r="C30" s="120" t="str">
        <x:v>Self-improvement under governance</x:v>
      </x:c>
      <x:c r="D30" s="120" t="str">
        <x:v>HumanOS skills may improve only through evidence, evaluation, approval, canary deployment and rollback.</x:v>
      </x:c>
      <x:c r="E30" s="120" t="str">
        <x:v>AI Platform</x:v>
      </x:c>
      <x:c r="F30" s="120" t="str">
        <x:v>Draft Complete</x:v>
      </x:c>
      <x:c r="G30" s="120" t="str">
        <x:v>Skill lifecycle policy</x:v>
      </x:c>
      <x:c r="H30" s="121" t="str"/>
    </x:row>
    <x:row r="31">
      <x:c r="A31" s="113" t="str">
        <x:v>CHR-027</x:v>
      </x:c>
      <x:c r="B31" s="114" t="str">
        <x:v>Pilot success</x:v>
      </x:c>
      <x:c r="C31" s="114" t="str">
        <x:v>Demonstrate accurate task attribution and provenance, useful coaching, manager usefulness, employee trust, secure capture and acceptable endpoint overhead.</x:v>
      </x:c>
      <x:c r="D31" s="114" t="str">
        <x:v>Programme Lead</x:v>
      </x:c>
      <x:c r="E31" s="114" t="str">
        <x:v>Draft Complete</x:v>
      </x:c>
      <x:c r="F31" s="114" t="str">
        <x:v>Pilot Definition</x:v>
      </x:c>
      <x:c r="G31" s="114" t="str">
        <x:v>Measured through pilot KPIs.</x:v>
      </x:c>
      <x:c r="H31" s="115"/>
    </x:row>
    <x:row r="32">
      <x:c r="A32" s="119" t="str">
        <x:v>CHR-028</x:v>
      </x:c>
      <x:c r="B32" s="120" t="str">
        <x:v>Pilot failure/hold</x:v>
      </x:c>
      <x:c r="C32" s="120" t="str">
        <x:v>Hold when secrets are captured, legal basis is unresolved, false conclusions are excessive, employee rights are not operational, endpoint impact is unacceptable or coaching has no measurable value.</x:v>
      </x:c>
      <x:c r="D32" s="120" t="str">
        <x:v>Executive Sponsor</x:v>
      </x:c>
      <x:c r="E32" s="120" t="str">
        <x:v>Draft Complete</x:v>
      </x:c>
      <x:c r="F32" s="120" t="str">
        <x:v>Stage 0 gate</x:v>
      </x:c>
      <x:c r="G32" s="120" t="str">
        <x:v>Immediate stop authority required.</x:v>
      </x:c>
      <x:c r="H32" s="121"/>
    </x:row>
    <x:row r="33">
      <x:c r="A33" s="113" t="str">
        <x:v>CHR-029</x:v>
      </x:c>
      <x:c r="B33" s="114" t="str">
        <x:v>Consequential-decision boundary</x:v>
      </x:c>
      <x:c r="C33" s="114" t="str">
        <x:v>No pilot output may independently determine dismissal, discipline, promotion, pay or probation.</x:v>
      </x:c>
      <x:c r="D33" s="114" t="str">
        <x:v>HR/Legal</x:v>
      </x:c>
      <x:c r="E33" s="114" t="str">
        <x:v>Draft Complete</x:v>
      </x:c>
      <x:c r="F33" s="114" t="str">
        <x:v>Stage 0 approval</x:v>
      </x:c>
      <x:c r="G33" s="114" t="str">
        <x:v>Human review plus other evidence required.</x:v>
      </x:c>
      <x:c r="H33" s="115"/>
    </x:row>
    <x:row r="34">
      <x:c r="A34" s="119" t="str">
        <x:v>CHR-030</x:v>
      </x:c>
      <x:c r="B34" s="120" t="str">
        <x:v>Ownership of evidence</x:v>
      </x:c>
      <x:c r="C34" s="120" t="str">
        <x:v>Nessovo is controller for approved workplace processing; access is purpose-limited, employee-visible and audited. Exact legal roles require counsel confirmation.</x:v>
      </x:c>
      <x:c r="D34" s="120" t="str">
        <x:v>DPO/Legal</x:v>
      </x:c>
      <x:c r="E34" s="120" t="str">
        <x:v>Draft Complete</x:v>
      </x:c>
      <x:c r="F34" s="120" t="str">
        <x:v>Legal review pending</x:v>
      </x:c>
      <x:c r="G34" s="120" t="str">
        <x:v>Do not treat acknowledgement alone as lawful basis.</x:v>
      </x:c>
      <x:c r="H34" s="121"/>
    </x:row>
    <x:row r="35">
      <x:c r="A35" s="113" t="str">
        <x:v>CHR-031</x:v>
      </x:c>
      <x:c r="B35" s="114" t="str">
        <x:v>Data location</x:v>
      </x:c>
      <x:c r="C35" s="114" t="str">
        <x:v>Prefer edge processing and regional storage; cross-border flows require explicit mapping and legal assessment.</x:v>
      </x:c>
      <x:c r="D35" s="114" t="str">
        <x:v>DPO/Security</x:v>
      </x:c>
      <x:c r="E35" s="114" t="str">
        <x:v>Draft Complete</x:v>
      </x:c>
      <x:c r="F35" s="114" t="str">
        <x:v>Architecture/legal approval</x:v>
      </x:c>
      <x:c r="G35" s="114" t="str"/>
      <x:c r="H35" s="115"/>
    </x:row>
    <x:row r="36">
      <x:c r="A36" s="119" t="str">
        <x:v>CHR-032</x:v>
      </x:c>
      <x:c r="B36" s="120" t="str">
        <x:v>Release model</x:v>
      </x:c>
      <x:c r="C36" s="120" t="str">
        <x:v>Internal controlled pilot → limited production → vertical expansion only after evidence and governance gates.</x:v>
      </x:c>
      <x:c r="D36" s="120" t="str">
        <x:v>CEO/CTO</x:v>
      </x:c>
      <x:c r="E36" s="120" t="str">
        <x:v>Draft Complete</x:v>
      </x:c>
      <x:c r="F36" s="120" t="str">
        <x:v>Programme governance</x:v>
      </x:c>
      <x:c r="G36" s="120" t="str">
        <x:v>No broad rollout from prototype.</x:v>
      </x:c>
      <x:c r="H36" s="121"/>
    </x:row>
    <x:row r="37">
      <x:c r="A37" s="116" t="str">
        <x:v>CHR-033</x:v>
      </x:c>
      <x:c r="B37" s="117" t="str">
        <x:v>Decision status</x:v>
      </x:c>
      <x:c r="C37" s="117" t="str">
        <x:v>Foundation package is drafted; Stage 0 and Stage 1 remain formally unapproved until recorded in the gate register.</x:v>
      </x:c>
      <x:c r="D37" s="117" t="str">
        <x:v>Programme Lead</x:v>
      </x:c>
      <x:c r="E37" s="117" t="str">
        <x:v>Confirmed</x:v>
      </x:c>
      <x:c r="F37" s="117" t="str">
        <x:v>Stage 0-1 Gates</x:v>
      </x:c>
      <x:c r="G37" s="117" t="str">
        <x:v>Honesty control.</x:v>
      </x:c>
      <x:c r="H37" s="118"/>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38" hidden="0" customWidth="1"/>
    <x:col min="4" max="4" width="24" hidden="0" customWidth="1"/>
    <x:col min="5" max="5" width="38" hidden="0" customWidth="1"/>
    <x:col min="6" max="6" width="32" hidden="0" customWidth="1"/>
    <x:col min="7" max="7" width="42" hidden="0" customWidth="1"/>
    <x:col min="8" max="8" width="36" hidden="0" customWidth="1"/>
    <x:col min="9" max="9" width="38" hidden="0" customWidth="1"/>
    <x:col min="10" max="10" width="24" hidden="0" customWidth="1"/>
    <x:col min="11" max="11" width="28" hidden="0" customWidth="1"/>
    <x:col min="12" max="12" width="30" hidden="0" customWidth="1"/>
    <x:col min="13" max="13" width="20" hidden="0" customWidth="1"/>
    <x:col min="14" max="14" width="34" hidden="0" customWidth="1"/>
  </x:cols>
  <x:sheetData>
    <x:row r="1" ht="30" customHeight="1">
      <x:c r="A1" s="72" t="str">
        <x:v>Purpose Policy Matrix</x:v>
      </x:c>
      <x:c r="B1" s="72"/>
      <x:c r="C1" s="72"/>
      <x:c r="D1" s="72"/>
      <x:c r="E1" s="72"/>
      <x:c r="F1" s="72"/>
      <x:c r="G1" s="72"/>
      <x:c r="H1" s="72"/>
      <x:c r="I1" s="72"/>
      <x:c r="J1" s="72"/>
      <x:c r="K1" s="72"/>
      <x:c r="L1" s="72"/>
      <x:c r="M1" s="72"/>
      <x:c r="N1" s="72"/>
    </x:row>
    <x:row r="2" ht="34" customHeight="1">
      <x:c r="A2" s="76" t="str">
        <x:v>Stage 0 data-governance draft. Each category must have a specific approved purpose, necessity test, minimisation rule, access boundary and retention decision before collection begins.</x:v>
      </x:c>
      <x:c r="B2" s="76"/>
      <x:c r="C2" s="76"/>
      <x:c r="D2" s="76"/>
      <x:c r="E2" s="76"/>
      <x:c r="F2" s="76"/>
      <x:c r="G2" s="76"/>
      <x:c r="H2" s="76"/>
      <x:c r="I2" s="76"/>
      <x:c r="J2" s="76"/>
      <x:c r="K2" s="76"/>
      <x:c r="L2" s="76"/>
      <x:c r="M2" s="76"/>
      <x:c r="N2" s="76"/>
    </x:row>
    <x:row r="4" ht="28" customHeight="1">
      <x:c r="A4" s="88" t="str">
        <x:v>ID</x:v>
      </x:c>
      <x:c r="B4" s="89" t="str">
        <x:v>Data / activity category</x:v>
      </x:c>
      <x:c r="C4" s="89" t="str">
        <x:v>Approved purpose</x:v>
      </x:c>
      <x:c r="D4" s="89" t="str">
        <x:v>Task scope</x:v>
      </x:c>
      <x:c r="E4" s="89" t="str">
        <x:v>Necessity rationale</x:v>
      </x:c>
      <x:c r="F4" s="89" t="str">
        <x:v>Less-intrusive alternative</x:v>
      </x:c>
      <x:c r="G4" s="89" t="str">
        <x:v>Minimisation / edge control</x:v>
      </x:c>
      <x:c r="H4" s="89" t="str">
        <x:v>Allowed uses</x:v>
      </x:c>
      <x:c r="I4" s="89" t="str">
        <x:v>Prohibited uses</x:v>
      </x:c>
      <x:c r="J4" s="89" t="str">
        <x:v>Default retention proposal</x:v>
      </x:c>
      <x:c r="K4" s="89" t="str">
        <x:v>Employee visibility</x:v>
      </x:c>
      <x:c r="L4" s="89" t="str">
        <x:v>Permitted access roles</x:v>
      </x:c>
      <x:c r="M4" s="89" t="str">
        <x:v>Pilot decision</x:v>
      </x:c>
      <x:c r="N4" s="90" t="str">
        <x:v>Source / approval need</x:v>
      </x:c>
    </x:row>
    <x:row r="5">
      <x:c r="A5" s="110" t="str">
        <x:v>PPM-001</x:v>
      </x:c>
      <x:c r="B5" s="111" t="str">
        <x:v>Device and session identity</x:v>
      </x:c>
      <x:c r="C5" s="111" t="str">
        <x:v>Authenticate managed device, person and approved work session.</x:v>
      </x:c>
      <x:c r="D5" s="111" t="str">
        <x:v>Working day / selected task</x:v>
      </x:c>
      <x:c r="E5" s="111" t="str">
        <x:v>Required to bind evidence to a legitimate session and policy.</x:v>
      </x:c>
      <x:c r="F5" s="111" t="str">
        <x:v>Manual timesheet alone cannot establish trusted device or policy state.</x:v>
      </x:c>
      <x:c r="G5" s="111" t="str">
        <x:v>Pseudonymous internal IDs in event payload; direct identity resolved through HumanOS IAM.</x:v>
      </x:c>
      <x:c r="H5" s="111" t="str">
        <x:v>Session control, evidence integrity, audit.</x:v>
      </x:c>
      <x:c r="I5" s="111" t="str">
        <x:v>Tracking personal devices or out-of-scope hours.</x:v>
      </x:c>
      <x:c r="J5" s="111" t="str">
        <x:v>Session metadata: 24 months; review during DPIA.</x:v>
      </x:c>
      <x:c r="K5" s="111" t="str">
        <x:v>Always visible in employee timeline.</x:v>
      </x:c>
      <x:c r="L5" s="111" t="str">
        <x:v>Employee, direct manager summary, governance, security.</x:v>
      </x:c>
      <x:c r="M5" s="111" t="str">
        <x:v>Include</x:v>
      </x:c>
      <x:c r="N5" s="112" t="str">
        <x:v>HumanOS IAM / DPO approval</x:v>
      </x:c>
    </x:row>
    <x:row r="6">
      <x:c r="A6" s="119" t="str">
        <x:v>PPM-002</x:v>
      </x:c>
      <x:c r="B6" s="120" t="str">
        <x:v>Application and window metadata</x:v>
      </x:c>
      <x:c r="C6" s="120" t="str">
        <x:v>Understand work context, task switching and relevant tool use.</x:v>
      </x:c>
      <x:c r="D6" s="120" t="str">
        <x:v>Active approved session</x:v>
      </x:c>
      <x:c r="E6" s="120" t="str">
        <x:v>Lower-intrusion context signal that reduces dependence on screenshots.</x:v>
      </x:c>
      <x:c r="F6" s="120" t="str">
        <x:v>Self-declared task switching; file/Git evidence only.</x:v>
      </x:c>
      <x:c r="G6" s="120" t="str">
        <x:v>Capture process/app ID and approved title fields; redact titles by policy.</x:v>
      </x:c>
      <x:c r="H6" s="120" t="str">
        <x:v>Task alignment, blocker explanation, tool support.</x:v>
      </x:c>
      <x:c r="I6" s="120" t="str">
        <x:v>Productivity ranking by app name alone; personal-app profiling.</x:v>
      </x:c>
      <x:c r="J6" s="120" t="str">
        <x:v>Derived episodes 12 months; raw events 30–90 days pilot.</x:v>
      </x:c>
      <x:c r="K6" s="120" t="str">
        <x:v>Visible to employee; manager sees episodes by default.</x:v>
      </x:c>
      <x:c r="L6" s="120" t="str">
        <x:v>Employee, task reviewer, governance; raw title access restricted.</x:v>
      </x:c>
      <x:c r="M6" s="120" t="str">
        <x:v>Include</x:v>
      </x:c>
      <x:c r="N6" s="121" t="str">
        <x:v>ActivityWatch pattern / DPIA</x:v>
      </x:c>
    </x:row>
    <x:row r="7">
      <x:c r="A7" s="113" t="str">
        <x:v>PPM-003</x:v>
      </x:c>
      <x:c r="B7" s="114" t="str">
        <x:v>Browser tab, title, domain and approved URL</x:v>
      </x:c>
      <x:c r="C7" s="114" t="str">
        <x:v>Classify documentation, testing, project tools and task-related research.</x:v>
      </x:c>
      <x:c r="D7" s="114" t="str">
        <x:v>Approved browser profiles during session</x:v>
      </x:c>
      <x:c r="E7" s="114" t="str">
        <x:v>Browser context can explain research and web-based work.</x:v>
      </x:c>
      <x:c r="F7" s="114" t="str">
        <x:v>Domain only; browser extension task bookmarks.</x:v>
      </x:c>
      <x:c r="G7" s="114" t="str">
        <x:v>Default domain/title; URL path/query captured only for allowlisted systems.</x:v>
      </x:c>
      <x:c r="H7" s="114" t="str">
        <x:v>Task support classification, evidence links, browser workflow coaching.</x:v>
      </x:c>
      <x:c r="I7" s="114" t="str">
        <x:v>Personal browsing content, health/financial/political profiling.</x:v>
      </x:c>
      <x:c r="J7" s="114" t="str">
        <x:v>Raw 30 days; derived classification 12 months.</x:v>
      </x:c>
      <x:c r="K7" s="114" t="str">
        <x:v>Full own timeline; managers receive domain/category unless investigation approved.</x:v>
      </x:c>
      <x:c r="L7" s="114" t="str">
        <x:v>Employee, task reviewer, governance.</x:v>
      </x:c>
      <x:c r="M7" s="114" t="str">
        <x:v>Conditional include</x:v>
      </x:c>
      <x:c r="N7" s="115" t="str">
        <x:v>Chrome extension permissions / DPO review</x:v>
      </x:c>
    </x:row>
    <x:row r="8">
      <x:c r="A8" s="119" t="str">
        <x:v>PPM-004</x:v>
      </x:c>
      <x:c r="B8" s="120" t="str">
        <x:v>Event-driven screenshots / visual states</x:v>
      </x:c>
      <x:c r="C8" s="120" t="str">
        <x:v>Reconstruct material screen transitions, errors and context where semantic events are insufficient.</x:v>
      </x:c>
      <x:c r="D8" s="120" t="str">
        <x:v>Approved apps and monitors during task session</x:v>
      </x:c>
      <x:c r="E8" s="120" t="str">
        <x:v>Provides evidence for otherwise opaque desktop tools, but is highly intrusive.</x:v>
      </x:c>
      <x:c r="F8" s="120" t="str">
        <x:v>Accessibility tree, structured app/terminal/file events.</x:v>
      </x:c>
      <x:c r="G8" s="120" t="str">
        <x:v>Capture only on material change; deduplicate; changed regions; exclude apps/monitors; local redaction.</x:v>
      </x:c>
      <x:c r="H8" s="120" t="str">
        <x:v>Evidence replay, error diagnosis, dispute resolution, coaching with confidence.</x:v>
      </x:c>
      <x:c r="I8" s="120" t="str">
        <x:v>Continuous manager live viewing; personal-content browsing; facial/emotion analysis.</x:v>
      </x:c>
      <x:c r="J8" s="120" t="str">
        <x:v>Raw pilot default 7–30 days; derived thumbnails/links longer only when justified.</x:v>
      </x:c>
      <x:c r="K8" s="120" t="str">
        <x:v>Employee can view all retained screenshots.</x:v>
      </x:c>
      <x:c r="L8" s="120" t="str">
        <x:v>Employee; authorised reviewer on task; governance/security by purpose code.</x:v>
      </x:c>
      <x:c r="M8" s="120" t="str">
        <x:v>Conditional include</x:v>
      </x:c>
      <x:c r="N8" s="121" t="str">
        <x:v>Screenpipe/OpenAdapt patterns; DPIA mandatory</x:v>
      </x:c>
    </x:row>
    <x:row r="9">
      <x:c r="A9" s="113" t="str">
        <x:v>PPM-005</x:v>
      </x:c>
      <x:c r="B9" s="114" t="str">
        <x:v>Mouse clicks, scrolls and coordinates</x:v>
      </x:c>
      <x:c r="C9" s="114" t="str">
        <x:v>Connect action edges between visual/UI states and identify user-initiated transitions.</x:v>
      </x:c>
      <x:c r="D9" s="114" t="str">
        <x:v>Approved session</x:v>
      </x:c>
      <x:c r="E9" s="114" t="str">
        <x:v>Useful for reconstructing action sequence; volume is not evidence of productivity.</x:v>
      </x:c>
      <x:c r="F9" s="114" t="str">
        <x:v>Accessibility/control events and app semantic events.</x:v>
      </x:c>
      <x:c r="G9" s="114" t="str">
        <x:v>Event type, coordinates/control only; no raw movement path unless needed for UX research.</x:v>
      </x:c>
      <x:c r="H9" s="114" t="str">
        <x:v>Causal timeline, workflow reconstruction, accessibility debugging.</x:v>
      </x:c>
      <x:c r="I9" s="114" t="str">
        <x:v>Click-rate scoring, behavioural/personality inference.</x:v>
      </x:c>
      <x:c r="J9" s="114" t="str">
        <x:v>Raw 30 days; aggregated episode facts 12 months.</x:v>
      </x:c>
      <x:c r="K9" s="114" t="str">
        <x:v>Visible in own event detail.</x:v>
      </x:c>
      <x:c r="L9" s="114" t="str">
        <x:v>Employee, authorised technical reviewer.</x:v>
      </x:c>
      <x:c r="M9" s="114" t="str">
        <x:v>Include metadata</x:v>
      </x:c>
      <x:c r="N9" s="115" t="str">
        <x:v>UiPath/OpenAdapt patterns / policy approval</x:v>
      </x:c>
    </x:row>
    <x:row r="10">
      <x:c r="A10" s="119" t="str">
        <x:v>PPM-006</x:v>
      </x:c>
      <x:c r="B10" s="120" t="str">
        <x:v>Keyboard event metadata</x:v>
      </x:c>
      <x:c r="C10" s="120" t="str">
        <x:v>Distinguish active human input, shortcuts, paste, automation and idle states.</x:v>
      </x:c>
      <x:c r="D10" s="120" t="str">
        <x:v>Approved non-secure controls</x:v>
      </x:c>
      <x:c r="E10" s="120" t="str">
        <x:v>Required for provenance, but raw keys are highly intrusive.</x:v>
      </x:c>
      <x:c r="F10" s="120" t="str">
        <x:v>Resulting text deltas, IDE/file events, command history.</x:v>
      </x:c>
      <x:c r="G10" s="120" t="str">
        <x:v>Block secure fields; collect categories and timing by default; raw key values only for specifically approved controls.</x:v>
      </x:c>
      <x:c r="H10" s="120" t="str">
        <x:v>Human/automation attribution, shortcut/paste classification, task reconstruction.</x:v>
      </x:c>
      <x:c r="I10" s="120" t="str">
        <x:v>Key-volume productivity scoring; password/authentication-code capture; personal message capture.</x:v>
      </x:c>
      <x:c r="J10" s="120" t="str">
        <x:v>Raw values shortest possible, proposed 7 days or less; metadata 30 days.</x:v>
      </x:c>
      <x:c r="K10" s="120" t="str">
        <x:v>Employee access; explicit indicator and policy.</x:v>
      </x:c>
      <x:c r="L10" s="120" t="str">
        <x:v>Employee; restricted reviewer under purpose code.</x:v>
      </x:c>
      <x:c r="M10" s="120" t="str">
        <x:v>Conditional, narrow</x:v>
      </x:c>
      <x:c r="N10" s="121" t="str">
        <x:v>ICO identifies keystroke monitoring as high risk</x:v>
      </x:c>
    </x:row>
    <x:row r="11">
      <x:c r="A11" s="113" t="str">
        <x:v>PPM-007</x:v>
      </x:c>
      <x:c r="B11" s="114" t="str">
        <x:v>Resulting text changes</x:v>
      </x:c>
      <x:c r="C11" s="114" t="str">
        <x:v>Understand what text/code was actually inserted, deleted, pasted or generated.</x:v>
      </x:c>
      <x:c r="D11" s="114" t="str">
        <x:v>Allowlisted work controls/files</x:v>
      </x:c>
      <x:c r="E11" s="114" t="str">
        <x:v>More accurate than raw keylogging and necessary for task/quality evaluation in supported tools.</x:v>
      </x:c>
      <x:c r="F11" s="114" t="str">
        <x:v>Git/file diffs; app-level change APIs.</x:v>
      </x:c>
      <x:c r="G11" s="114" t="str">
        <x:v>Capture text deltas only in allowlisted work surfaces; encrypt separately; redact secrets locally.</x:v>
      </x:c>
      <x:c r="H11" s="114" t="str">
        <x:v>Task evidence, quality checks, AI/human attribution, coaching.</x:v>
      </x:c>
      <x:c r="I11" s="114" t="str">
        <x:v>Personal communications; unrestricted cross-application text archive.</x:v>
      </x:c>
      <x:c r="J11" s="114" t="str">
        <x:v>Raw content 7–30 days pilot; authoritative artefact governed by source system.</x:v>
      </x:c>
      <x:c r="K11" s="114" t="str">
        <x:v>Employee sees captured deltas and source.</x:v>
      </x:c>
      <x:c r="L11" s="114" t="str">
        <x:v>Employee, authorised domain reviewer; manager gets summary by default.</x:v>
      </x:c>
      <x:c r="M11" s="114" t="str">
        <x:v>Conditional include</x:v>
      </x:c>
      <x:c r="N11" s="115" t="str">
        <x:v>Secure-field and DLP validation required</x:v>
      </x:c>
    </x:row>
    <x:row r="12">
      <x:c r="A12" s="119" t="str">
        <x:v>PPM-008</x:v>
      </x:c>
      <x:c r="B12" s="120" t="str">
        <x:v>Clipboard events/content</x:v>
      </x:c>
      <x:c r="C12" s="120" t="str">
        <x:v>Distinguish paste from typing and identify transfer of task material.</x:v>
      </x:c>
      <x:c r="D12" s="120" t="str">
        <x:v>Allowlisted work apps</x:v>
      </x:c>
      <x:c r="E12" s="120" t="str">
        <x:v>Event metadata supports provenance; content is rarely necessary.</x:v>
      </x:c>
      <x:c r="F12" s="120" t="str">
        <x:v>Paste shortcut plus resulting text delta.</x:v>
      </x:c>
      <x:c r="G12" s="120" t="str">
        <x:v>Capture paste event, source/target app category; content off by default.</x:v>
      </x:c>
      <x:c r="H12" s="120" t="str">
        <x:v>Provenance and data-loss controls when separately authorised.</x:v>
      </x:c>
      <x:c r="I12" s="120" t="str">
        <x:v>Routine clipboard-content collection; secrets or personal content.</x:v>
      </x:c>
      <x:c r="J12" s="120" t="str">
        <x:v>Event metadata 30 days; content none by default.</x:v>
      </x:c>
      <x:c r="K12" s="120" t="str">
        <x:v>Visible in event timeline.</x:v>
      </x:c>
      <x:c r="L12" s="120" t="str">
        <x:v>Employee; security only under separate policy.</x:v>
      </x:c>
      <x:c r="M12" s="120" t="str">
        <x:v>Metadata only</x:v>
      </x:c>
      <x:c r="N12" s="121" t="str">
        <x:v>DPO/CISO approval required for content</x:v>
      </x:c>
    </x:row>
    <x:row r="13">
      <x:c r="A13" s="113" t="str">
        <x:v>PPM-009</x:v>
      </x:c>
      <x:c r="B13" s="114" t="str">
        <x:v>Files, repository and Git changes</x:v>
      </x:c>
      <x:c r="C13" s="114" t="str">
        <x:v>Establish authoritative work artefacts and code-change provenance.</x:v>
      </x:c>
      <x:c r="D13" s="114" t="str">
        <x:v>Approved project folders/repos</x:v>
      </x:c>
      <x:c r="E13" s="114" t="str">
        <x:v>High-value, relatively targeted evidence for technical tasks.</x:v>
      </x:c>
      <x:c r="F13" s="114" t="str">
        <x:v>Manual employee evidence submission.</x:v>
      </x:c>
      <x:c r="G13" s="114" t="str">
        <x:v>Approved roots only; store hashes/diffs/metadata according to project classification.</x:v>
      </x:c>
      <x:c r="H13" s="114" t="str">
        <x:v>Task completion, quality, review, capability evidence.</x:v>
      </x:c>
      <x:c r="I13" s="114" t="str">
        <x:v>Accessing unrelated personal folders; treating line count as productivity.</x:v>
      </x:c>
      <x:c r="J13" s="114" t="str">
        <x:v>Follow project retention; event metadata 24 months.</x:v>
      </x:c>
      <x:c r="K13" s="114" t="str">
        <x:v>Employee sees all linked artefacts.</x:v>
      </x:c>
      <x:c r="L13" s="114" t="str">
        <x:v>Employee, project reviewers, authorised managers.</x:v>
      </x:c>
      <x:c r="M13" s="114" t="str">
        <x:v>Include</x:v>
      </x:c>
      <x:c r="N13" s="115" t="str">
        <x:v>Git/source systems are preferred evidence</x:v>
      </x:c>
    </x:row>
    <x:row r="14">
      <x:c r="A14" s="119" t="str">
        <x:v>PPM-010</x:v>
      </x:c>
      <x:c r="B14" s="120" t="str">
        <x:v>Terminal commands, process tree and outputs</x:v>
      </x:c>
      <x:c r="C14" s="120" t="str">
        <x:v>Explain builds, tests, scripts, AI-agent actions, failures and automated waits.</x:v>
      </x:c>
      <x:c r="D14" s="120" t="str">
        <x:v>Approved shells/workspaces</x:v>
      </x:c>
      <x:c r="E14" s="120" t="str">
        <x:v>Necessary to distinguish user work from computer execution and verify results.</x:v>
      </x:c>
      <x:c r="F14" s="120" t="str">
        <x:v>Process start/exit metadata only; test/CI results.</x:v>
      </x:c>
      <x:c r="G14" s="120" t="str">
        <x:v>Capture command and selected output in approved work contexts; redact environment variables/secrets.</x:v>
      </x:c>
      <x:c r="H14" s="120" t="str">
        <x:v>Task evidence, debugging, automated-wait classification, coaching.</x:v>
      </x:c>
      <x:c r="I14" s="120" t="str">
        <x:v>Capturing unrelated shell history or secrets; command-count scoring.</x:v>
      </x:c>
      <x:c r="J14" s="120" t="str">
        <x:v>Raw output 30 days; verified result 12–24 months.</x:v>
      </x:c>
      <x:c r="K14" s="120" t="str">
        <x:v>Employee access to command timeline.</x:v>
      </x:c>
      <x:c r="L14" s="120" t="str">
        <x:v>Employee, technical reviewer, security under purpose.</x:v>
      </x:c>
      <x:c r="M14" s="120" t="str">
        <x:v>Include with redaction</x:v>
      </x:c>
      <x:c r="N14" s="121" t="str">
        <x:v>Shell integration / DLP testing</x:v>
      </x:c>
    </x:row>
    <x:row r="15">
      <x:c r="A15" s="113" t="str">
        <x:v>PPM-011</x:v>
      </x:c>
      <x:c r="B15" s="114" t="str">
        <x:v>AI-agent prompts, tool calls and generated changes</x:v>
      </x:c>
      <x:c r="C15" s="114" t="str">
        <x:v>Attribute human direction, agent actions, tool execution and review decisions.</x:v>
      </x:c>
      <x:c r="D15" s="114" t="str">
        <x:v>Approved AI tools and task sessions</x:v>
      </x:c>
      <x:c r="E15" s="114" t="str">
        <x:v>Core differentiator for human–AI work understanding.</x:v>
      </x:c>
      <x:c r="F15" s="114" t="str">
        <x:v>File/process changes alone, which lose intent and agent causality.</x:v>
      </x:c>
      <x:c r="G15" s="114" t="str">
        <x:v>Use official hooks; content policy and secret scanning; separate operational traces from evidence.</x:v>
      </x:c>
      <x:c r="H15" s="114" t="str">
        <x:v>AI supervision coaching, provenance, task assurance, prompt improvement.</x:v>
      </x:c>
      <x:c r="I15" s="114" t="str">
        <x:v>Ranking employees by prompt count; unrestricted model-content logging.</x:v>
      </x:c>
      <x:c r="J15" s="114" t="str">
        <x:v>Prompt/tool evidence 30–90 days; derived skill observations 12 months.</x:v>
      </x:c>
      <x:c r="K15" s="114" t="str">
        <x:v>Employee sees own agent sessions and assessments.</x:v>
      </x:c>
      <x:c r="L15" s="114" t="str">
        <x:v>Employee, technical reviewer, AI governance.</x:v>
      </x:c>
      <x:c r="M15" s="114" t="str">
        <x:v>Include</x:v>
      </x:c>
      <x:c r="N15" s="115" t="str">
        <x:v>Codex hooks / Claude hooks / OTel GenAI sensitivity warning</x:v>
      </x:c>
    </x:row>
    <x:row r="16">
      <x:c r="A16" s="119" t="str">
        <x:v>PPM-012</x:v>
      </x:c>
      <x:c r="B16" s="120" t="str">
        <x:v>Idle and return events</x:v>
      </x:c>
      <x:c r="C16" s="120" t="str">
        <x:v>Distinguish absence from active work and automated execution wait.</x:v>
      </x:c>
      <x:c r="D16" s="120" t="str">
        <x:v>Approved working session</x:v>
      </x:c>
      <x:c r="E16" s="120" t="str">
        <x:v>Needed for time allocation, but must be contextual.</x:v>
      </x:c>
      <x:c r="F16" s="120" t="str">
        <x:v>Self-reported breaks; app/process state only.</x:v>
      </x:c>
      <x:c r="G16" s="120" t="str">
        <x:v>Threshold-based metadata; no assumption of poor performance; check builds/agents/meetings first.</x:v>
      </x:c>
      <x:c r="H16" s="120" t="str">
        <x:v>Session integrity, break reminders, automated-wait classification.</x:v>
      </x:c>
      <x:c r="I16" s="120" t="str">
        <x:v>Automatic misconduct conclusion; disability/accommodation inference.</x:v>
      </x:c>
      <x:c r="J16" s="120" t="str">
        <x:v>Raw 90 days; derived time allocation 12 months.</x:v>
      </x:c>
      <x:c r="K16" s="120" t="str">
        <x:v>Employee sees and can correct classification.</x:v>
      </x:c>
      <x:c r="L16" s="120" t="str">
        <x:v>Employee, manager summary, governance.</x:v>
      </x:c>
      <x:c r="M16" s="120" t="str">
        <x:v>Include</x:v>
      </x:c>
      <x:c r="N16" s="121" t="str">
        <x:v>ActivityWatch pattern / fairness requirement</x:v>
      </x:c>
    </x:row>
    <x:row r="17">
      <x:c r="A17" s="113" t="str">
        <x:v>PPM-013</x:v>
      </x:c>
      <x:c r="B17" s="114" t="str">
        <x:v>Network metadata</x:v>
      </x:c>
      <x:c r="C17" s="114" t="str">
        <x:v>Diagnose application/service failures and confirm approved system interactions.</x:v>
      </x:c>
      <x:c r="D17" s="114" t="str">
        <x:v>Approved applications; no payload</x:v>
      </x:c>
      <x:c r="E17" s="114" t="str">
        <x:v>Limited metadata may explain blockers; payload capture is excessive for v1.</x:v>
      </x:c>
      <x:c r="F17" s="114" t="str">
        <x:v>Application logs and browser events.</x:v>
      </x:c>
      <x:c r="G17" s="114" t="str">
        <x:v>Domain/endpoint category and status only; no packet payload/content by default.</x:v>
      </x:c>
      <x:c r="H17" s="114" t="str">
        <x:v>Technical diagnostics, security alerts under separate controls.</x:v>
      </x:c>
      <x:c r="I17" s="114" t="str">
        <x:v>General browsing surveillance; content interception.</x:v>
      </x:c>
      <x:c r="J17" s="114" t="str">
        <x:v>30 days diagnostic metadata.</x:v>
      </x:c>
      <x:c r="K17" s="114" t="str">
        <x:v>Visible when used in task report.</x:v>
      </x:c>
      <x:c r="L17" s="114" t="str">
        <x:v>Technical support/security by purpose.</x:v>
      </x:c>
      <x:c r="M17" s="114" t="str">
        <x:v>Defer except diagnostics</x:v>
      </x:c>
      <x:c r="N17" s="115" t="str">
        <x:v>Separate interception/legal assessment</x:v>
      </x:c>
    </x:row>
    <x:row r="18">
      <x:c r="A18" s="119" t="str">
        <x:v>PPM-014</x:v>
      </x:c>
      <x:c r="B18" s="120" t="str">
        <x:v>Audio, microphone and meeting content</x:v>
      </x:c>
      <x:c r="C18" s="120" t="str">
        <x:v>Potential future meeting/task context.</x:v>
      </x:c>
      <x:c r="D18" s="120" t="str">
        <x:v>Not in v1</x:v>
      </x:c>
      <x:c r="E18" s="120" t="str">
        <x:v>Highly intrusive and not necessary for initial software-development pilot.</x:v>
      </x:c>
      <x:c r="F18" s="120" t="str">
        <x:v>Calendar, meeting metadata, user notes.</x:v>
      </x:c>
      <x:c r="G18" s="120" t="str">
        <x:v>No collection in v1.</x:v>
      </x:c>
      <x:c r="H18" s="120" t="str">
        <x:v>None in v1.</x:v>
      </x:c>
      <x:c r="I18" s="120" t="str">
        <x:v>Any audio capture.</x:v>
      </x:c>
      <x:c r="J18" s="120" t="str">
        <x:v>None.</x:v>
      </x:c>
      <x:c r="K18" s="120" t="str">
        <x:v>Not applicable.</x:v>
      </x:c>
      <x:c r="L18" s="120" t="str">
        <x:v>None.</x:v>
      </x:c>
      <x:c r="M18" s="120" t="str">
        <x:v>Exclude v1</x:v>
      </x:c>
      <x:c r="N18" s="121" t="str">
        <x:v>New DPIA and policy required for future use</x:v>
      </x:c>
    </x:row>
    <x:row r="19">
      <x:c r="A19" s="113" t="str">
        <x:v>PPM-015</x:v>
      </x:c>
      <x:c r="B19" s="114" t="str">
        <x:v>Work episodes and task-alignment classifications</x:v>
      </x:c>
      <x:c r="C19" s="114" t="str">
        <x:v>Convert raw events into understandable task activity with confidence.</x:v>
      </x:c>
      <x:c r="D19" s="114" t="str">
        <x:v>Approved session/tasks</x:v>
      </x:c>
      <x:c r="E19" s="114" t="str">
        <x:v>Required for usable reporting; derived inference must remain challengeable.</x:v>
      </x:c>
      <x:c r="F19" s="114" t="str">
        <x:v>Manual task diary.</x:v>
      </x:c>
      <x:c r="G19" s="114" t="str">
        <x:v>Store evidence links, confidence, alternatives and model/skill version.</x:v>
      </x:c>
      <x:c r="H19" s="114" t="str">
        <x:v>Employee coaching, task report, blocker analysis.</x:v>
      </x:c>
      <x:c r="I19" s="114" t="str">
        <x:v>Presenting low-confidence classification as fact; automatic discipline.</x:v>
      </x:c>
      <x:c r="J19" s="114" t="str">
        <x:v>12–24 months subject to employment policy.</x:v>
      </x:c>
      <x:c r="K19" s="114" t="str">
        <x:v>Employee sees and can correct.</x:v>
      </x:c>
      <x:c r="L19" s="114" t="str">
        <x:v>Employee, manager, reviewer, governance.</x:v>
      </x:c>
      <x:c r="M19" s="114" t="str">
        <x:v>Include</x:v>
      </x:c>
      <x:c r="N19" s="115" t="str">
        <x:v>NIST AI RMF / human-review policy</x:v>
      </x:c>
    </x:row>
    <x:row r="20">
      <x:c r="A20" s="119" t="str">
        <x:v>PPM-016</x:v>
      </x:c>
      <x:c r="B20" s="120" t="str">
        <x:v>Task-quality and acceptance-criteria assessments</x:v>
      </x:c>
      <x:c r="C20" s="120" t="str">
        <x:v>Determine whether required outcomes were evidenced and verified.</x:v>
      </x:c>
      <x:c r="D20" s="120" t="str">
        <x:v>Approved task contract</x:v>
      </x:c>
      <x:c r="E20" s="120" t="str">
        <x:v>Core product purpose and more meaningful than activity metrics.</x:v>
      </x:c>
      <x:c r="F20" s="120" t="str">
        <x:v>Manual reviewer only.</x:v>
      </x:c>
      <x:c r="G20" s="120" t="str">
        <x:v>Combine deterministic checks with AI inference; preserve evidence and missing-data flags.</x:v>
      </x:c>
      <x:c r="H20" s="120" t="str">
        <x:v>Task assurance, quality coaching, reviewer support.</x:v>
      </x:c>
      <x:c r="I20" s="120" t="str">
        <x:v>Automatic employment action; claims beyond task contract.</x:v>
      </x:c>
      <x:c r="J20" s="120" t="str">
        <x:v>Task/project retention; assessment history 24 months proposed.</x:v>
      </x:c>
      <x:c r="K20" s="120" t="str">
        <x:v>Employee sees evidence and can respond.</x:v>
      </x:c>
      <x:c r="L20" s="120" t="str">
        <x:v>Employee, task reviewer, manager, governance.</x:v>
      </x:c>
      <x:c r="M20" s="120" t="str">
        <x:v>Include</x:v>
      </x:c>
      <x:c r="N20" s="121" t="str">
        <x:v>Human review mandatory</x:v>
      </x:c>
    </x:row>
    <x:row r="21">
      <x:c r="A21" s="113" t="str">
        <x:v>PPM-017</x:v>
      </x:c>
      <x:c r="B21" s="114" t="str">
        <x:v>Capability evidence and role-readiness state</x:v>
      </x:c>
      <x:c r="C21" s="114" t="str">
        <x:v>Track demonstrated capability, gaps, learning needs and progression.</x:v>
      </x:c>
      <x:c r="D21" s="114" t="str">
        <x:v>Repeated tasks and assessments</x:v>
      </x:c>
      <x:c r="E21" s="114" t="str">
        <x:v>Core employee-development purpose but high impact; requires cautious longitudinal model.</x:v>
      </x:c>
      <x:c r="F21" s="114" t="str">
        <x:v>Manager judgement and formal assessment only.</x:v>
      </x:c>
      <x:c r="G21" s="114" t="str">
        <x:v>Use multiple evidence items, context, confidence, recency and contradictions; no protected-trait inference.</x:v>
      </x:c>
      <x:c r="H21" s="114" t="str">
        <x:v>Learning plans, role development, supported workforce planning.</x:v>
      </x:c>
      <x:c r="I21" s="114" t="str">
        <x:v>Single-task permanent labels; deception claims; solely automated hiring/firing/promotion.</x:v>
      </x:c>
      <x:c r="J21" s="114" t="str">
        <x:v>Capability state while employed plus defined post-employment retention; legal review.</x:v>
      </x:c>
      <x:c r="K21" s="114" t="str">
        <x:v>Employee sees claims, evidence, level and can challenge.</x:v>
      </x:c>
      <x:c r="L21" s="114" t="str">
        <x:v>Employee, HR/L&amp;D, authorised manager, human reviewer.</x:v>
      </x:c>
      <x:c r="M21" s="114" t="str">
        <x:v>Conditional include</x:v>
      </x:c>
      <x:c r="N21" s="115" t="str">
        <x:v>Stage 2 ontology and legal/fairness review</x:v>
      </x:c>
    </x:row>
    <x:row r="22">
      <x:c r="A22" s="119" t="str">
        <x:v>PPM-018</x:v>
      </x:c>
      <x:c r="B22" s="120" t="str">
        <x:v>Coaching interventions and responses</x:v>
      </x:c>
      <x:c r="C22" s="120" t="str">
        <x:v>Help employees recover from errors, use AI safely and apply effective methods.</x:v>
      </x:c>
      <x:c r="D22" s="120" t="str">
        <x:v>Current task and learning plan</x:v>
      </x:c>
      <x:c r="E22" s="120" t="str">
        <x:v>Direct employee benefit and product differentiation.</x:v>
      </x:c>
      <x:c r="F22" s="120" t="str">
        <x:v>On-demand assistant only.</x:v>
      </x:c>
      <x:c r="G22" s="120" t="str">
        <x:v>Confidence thresholds, cooldowns, user controls, no sensitive employment labels in prompt context.</x:v>
      </x:c>
      <x:c r="H22" s="120" t="str">
        <x:v>Nudge, assist, teach, mentor escalation; training effectiveness.</x:v>
      </x:c>
      <x:c r="I22" s="120" t="str">
        <x:v>Harassment, constant interruption, punitive nudges, covert behavioural manipulation.</x:v>
      </x:c>
      <x:c r="J22" s="120" t="str">
        <x:v>12 months for effectiveness; content minimised.</x:v>
      </x:c>
      <x:c r="K22" s="120" t="str">
        <x:v>Employee sees and controls coaching history.</x:v>
      </x:c>
      <x:c r="L22" s="120" t="str">
        <x:v>Employee, L&amp;D; manager sees agreed summary.</x:v>
      </x:c>
      <x:c r="M22" s="120" t="str">
        <x:v>Include later</x:v>
      </x:c>
      <x:c r="N22" s="121" t="str">
        <x:v>Stage 9; employee UX testing</x:v>
      </x:c>
    </x:row>
    <x:row r="23">
      <x:c r="A23" s="113" t="str">
        <x:v>PPM-019</x:v>
      </x:c>
      <x:c r="B23" s="114" t="str">
        <x:v>Manager reports and exceptions</x:v>
      </x:c>
      <x:c r="C23" s="114" t="str">
        <x:v>Provide evidence-linked outcome, blocker, quality and support information.</x:v>
      </x:c>
      <x:c r="D23" s="114" t="str">
        <x:v>Direct reports and assigned tasks</x:v>
      </x:c>
      <x:c r="E23" s="114" t="str">
        <x:v>Needed for operational management, but raw evidence is not the default.</x:v>
      </x:c>
      <x:c r="F23" s="114" t="str">
        <x:v>Existing task status reports.</x:v>
      </x:c>
      <x:c r="G23" s="114" t="str">
        <x:v>Summaries first; raw drill-down restricted; show confidence and employee response.</x:v>
      </x:c>
      <x:c r="H23" s="114" t="str">
        <x:v>Task support, workload, review and training decisions with human judgement.</x:v>
      </x:c>
      <x:c r="I23" s="114" t="str">
        <x:v>Continuous live surveillance; public leaderboards; unsupported allegations.</x:v>
      </x:c>
      <x:c r="J23" s="114" t="str">
        <x:v>Report retention aligned to employment/project policy.</x:v>
      </x:c>
      <x:c r="K23" s="114" t="str">
        <x:v>Employee can view material reports about them.</x:v>
      </x:c>
      <x:c r="L23" s="114" t="str">
        <x:v>Direct manager, authorised reviewer, HR where necessary.</x:v>
      </x:c>
      <x:c r="M23" s="114" t="str">
        <x:v>Include</x:v>
      </x:c>
      <x:c r="N23" s="115" t="str">
        <x:v>Human-review/access policy</x:v>
      </x:c>
    </x:row>
    <x:row r="24">
      <x:c r="A24" s="122" t="str">
        <x:v>PPM-020</x:v>
      </x:c>
      <x:c r="B24" s="123" t="str">
        <x:v>Skill and system-improvement observations</x:v>
      </x:c>
      <x:c r="C24" s="123" t="str">
        <x:v>Improve HumanOS prompts, skills, evaluators and workflows from validated patterns and corrections.</x:v>
      </x:c>
      <x:c r="D24" s="123" t="str">
        <x:v>De-identified/generalised where possible</x:v>
      </x:c>
      <x:c r="E24" s="123" t="str">
        <x:v>Core organisational-learning purpose; must not leak confidential or personal data.</x:v>
      </x:c>
      <x:c r="F24" s="123" t="str">
        <x:v>Manual retrospective process.</x:v>
      </x:c>
      <x:c r="G24" s="123" t="str">
        <x:v>Generalise before reuse; separate internal/open-source; evaluate, approve, canary and rollback.</x:v>
      </x:c>
      <x:c r="H24" s="123" t="str">
        <x:v>Propose skill updates, standards and training content.</x:v>
      </x:c>
      <x:c r="I24" s="123" t="str">
        <x:v>Automatic production changes; publishing confidential employee/project data.</x:v>
      </x:c>
      <x:c r="J24" s="123" t="str">
        <x:v>Observation and version history according to platform policy.</x:v>
      </x:c>
      <x:c r="K24" s="123" t="str">
        <x:v>Employees see use of their feedback and attribution policy.</x:v>
      </x:c>
      <x:c r="L24" s="123" t="str">
        <x:v>Skill reviewers, AI platform, governance.</x:v>
      </x:c>
      <x:c r="M24" s="123" t="str">
        <x:v>Include later</x:v>
      </x:c>
      <x:c r="N24" s="124" t="str">
        <x:v>Claude-Mem / Task Observer patterns</x:v>
      </x:c>
    </x:row>
  </x:sheetData>
  <x:mergeCells>
    <x:mergeCell ref="A1:N1"/>
    <x:mergeCell ref="A2:N2"/>
  </x:mergeCells>
  <x:dataValidations count="1">
    <x:dataValidation type="list" sqref="M5:M24">
      <x:formula1>"Include,Include metadata,Include with redaction,Conditional include,Conditional, narrow,Metadata only,Defer except diagnostics,Include later,Exclude v1"</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4" hidden="0" customWidth="1"/>
    <x:col min="3" max="3" width="15" hidden="0" customWidth="1"/>
    <x:col min="4" max="4" width="15" hidden="0" customWidth="1"/>
    <x:col min="5" max="5" width="15" hidden="0" customWidth="1"/>
    <x:col min="6" max="6" width="19" hidden="0" customWidth="1"/>
    <x:col min="7" max="7" width="15" hidden="0" customWidth="1"/>
    <x:col min="8" max="8" width="15" hidden="0" customWidth="1"/>
    <x:col min="9" max="9" width="15" hidden="0" customWidth="1"/>
    <x:col min="10" max="10" width="18" hidden="0" customWidth="1"/>
    <x:col min="11" max="11" width="18" hidden="0" customWidth="1"/>
    <x:col min="12" max="12" width="18" hidden="0" customWidth="1"/>
    <x:col min="13" max="13" width="20" hidden="0" customWidth="1"/>
    <x:col min="14" max="14" width="34" hidden="0" customWidth="1"/>
  </x:cols>
  <x:sheetData>
    <x:row r="1" ht="30" customHeight="1">
      <x:c r="A1" s="72" t="str">
        <x:v>Stakeholder RACI — Stage 0 and Stage 1</x:v>
      </x:c>
      <x:c r="B1" s="72"/>
      <x:c r="C1" s="72"/>
      <x:c r="D1" s="72"/>
      <x:c r="E1" s="72"/>
      <x:c r="F1" s="72"/>
      <x:c r="G1" s="72"/>
      <x:c r="H1" s="72"/>
      <x:c r="I1" s="72"/>
      <x:c r="J1" s="72"/>
      <x:c r="K1" s="72"/>
      <x:c r="L1" s="72"/>
      <x:c r="M1" s="72"/>
      <x:c r="N1" s="72"/>
    </x:row>
    <x:row r="2" ht="34" customHeight="1">
      <x:c r="A2" s="76" t="str">
        <x:v>R = responsible, A = accountable, C = consulted, I = informed. Named individuals must replace role placeholders before either foundation gate can be approved.</x:v>
      </x:c>
      <x:c r="B2" s="76"/>
      <x:c r="C2" s="76"/>
      <x:c r="D2" s="76"/>
      <x:c r="E2" s="76"/>
      <x:c r="F2" s="76"/>
      <x:c r="G2" s="76"/>
      <x:c r="H2" s="76"/>
      <x:c r="I2" s="76"/>
      <x:c r="J2" s="76"/>
      <x:c r="K2" s="76"/>
      <x:c r="L2" s="76"/>
      <x:c r="M2" s="76"/>
      <x:c r="N2" s="76"/>
    </x:row>
    <x:row r="4" ht="28" customHeight="1">
      <x:c r="A4" s="88" t="str">
        <x:v>ID</x:v>
      </x:c>
      <x:c r="B4" s="89" t="str">
        <x:v>Deliverable / decision</x:v>
      </x:c>
      <x:c r="C4" s="89" t="str">
        <x:v>Executive sponsor</x:v>
      </x:c>
      <x:c r="D4" s="89" t="str">
        <x:v>Product owner</x:v>
      </x:c>
      <x:c r="E4" s="89" t="str">
        <x:v>Programme lead</x:v>
      </x:c>
      <x:c r="F4" s="89" t="str">
        <x:v>CTO / Architecture Board</x:v>
      </x:c>
      <x:c r="G4" s="89" t="str">
        <x:v>DPO / Legal</x:v>
      </x:c>
      <x:c r="H4" s="89" t="str">
        <x:v>CISO / Security</x:v>
      </x:c>
      <x:c r="I4" s="89" t="str">
        <x:v>HR / L&amp;D</x:v>
      </x:c>
      <x:c r="J4" s="89" t="str">
        <x:v>Employee representative</x:v>
      </x:c>
      <x:c r="K4" s="89" t="str">
        <x:v>Engineering leads</x:v>
      </x:c>
      <x:c r="L4" s="89" t="str">
        <x:v>Finance / Procurement</x:v>
      </x:c>
      <x:c r="M4" s="89" t="str">
        <x:v>Domain / manager reviewers</x:v>
      </x:c>
      <x:c r="N4" s="90" t="str">
        <x:v>Notes</x:v>
      </x:c>
    </x:row>
    <x:row r="5">
      <x:c r="A5" s="110" t="str">
        <x:v>RACI-001</x:v>
      </x:c>
      <x:c r="B5" s="111" t="str">
        <x:v>Product Charter v1</x:v>
      </x:c>
      <x:c r="C5" s="111" t="str">
        <x:v>A</x:v>
      </x:c>
      <x:c r="D5" s="111" t="str">
        <x:v>R</x:v>
      </x:c>
      <x:c r="E5" s="111" t="str">
        <x:v>C</x:v>
      </x:c>
      <x:c r="F5" s="111" t="str">
        <x:v>C</x:v>
      </x:c>
      <x:c r="G5" s="111" t="str">
        <x:v>C</x:v>
      </x:c>
      <x:c r="H5" s="111" t="str">
        <x:v>C</x:v>
      </x:c>
      <x:c r="I5" s="111" t="str">
        <x:v>C</x:v>
      </x:c>
      <x:c r="J5" s="111" t="str">
        <x:v>C</x:v>
      </x:c>
      <x:c r="K5" s="111" t="str">
        <x:v>I</x:v>
      </x:c>
      <x:c r="L5" s="111" t="str">
        <x:v>I</x:v>
      </x:c>
      <x:c r="M5" s="111" t="str">
        <x:v>C</x:v>
      </x:c>
      <x:c r="N5" s="112" t="str">
        <x:v>Executive purpose and risk appetite.</x:v>
      </x:c>
    </x:row>
    <x:row r="6">
      <x:c r="A6" s="119" t="str">
        <x:v>RACI-002</x:v>
      </x:c>
      <x:c r="B6" s="120" t="str">
        <x:v>Strategic positioning</x:v>
      </x:c>
      <x:c r="C6" s="120" t="str">
        <x:v>A</x:v>
      </x:c>
      <x:c r="D6" s="120" t="str">
        <x:v>R</x:v>
      </x:c>
      <x:c r="E6" s="120" t="str">
        <x:v>C</x:v>
      </x:c>
      <x:c r="F6" s="120" t="str">
        <x:v>C</x:v>
      </x:c>
      <x:c r="G6" s="120" t="str">
        <x:v>C</x:v>
      </x:c>
      <x:c r="H6" s="120" t="str">
        <x:v>I</x:v>
      </x:c>
      <x:c r="I6" s="120" t="str">
        <x:v>C</x:v>
      </x:c>
      <x:c r="J6" s="120" t="str">
        <x:v>C</x:v>
      </x:c>
      <x:c r="K6" s="120" t="str">
        <x:v>I</x:v>
      </x:c>
      <x:c r="L6" s="120" t="str">
        <x:v>I</x:v>
      </x:c>
      <x:c r="M6" s="120" t="str">
        <x:v>C</x:v>
      </x:c>
      <x:c r="N6" s="121" t="str">
        <x:v>Must preserve employee value and avoid bossware framing.</x:v>
      </x:c>
    </x:row>
    <x:row r="7">
      <x:c r="A7" s="113" t="str">
        <x:v>RACI-003</x:v>
      </x:c>
      <x:c r="B7" s="114" t="str">
        <x:v>Purpose Policy Matrix</x:v>
      </x:c>
      <x:c r="C7" s="114" t="str">
        <x:v>I</x:v>
      </x:c>
      <x:c r="D7" s="114" t="str">
        <x:v>C</x:v>
      </x:c>
      <x:c r="E7" s="114" t="str">
        <x:v>C</x:v>
      </x:c>
      <x:c r="F7" s="114" t="str">
        <x:v>C</x:v>
      </x:c>
      <x:c r="G7" s="114" t="str">
        <x:v>A/R</x:v>
      </x:c>
      <x:c r="H7" s="114" t="str">
        <x:v>C</x:v>
      </x:c>
      <x:c r="I7" s="114" t="str">
        <x:v>C</x:v>
      </x:c>
      <x:c r="J7" s="114" t="str">
        <x:v>C</x:v>
      </x:c>
      <x:c r="K7" s="114" t="str">
        <x:v>C</x:v>
      </x:c>
      <x:c r="L7" s="114" t="str">
        <x:v>I</x:v>
      </x:c>
      <x:c r="M7" s="114" t="str">
        <x:v>I</x:v>
      </x:c>
      <x:c r="N7" s="115" t="str">
        <x:v>DPO accountability.</x:v>
      </x:c>
    </x:row>
    <x:row r="8">
      <x:c r="A8" s="119" t="str">
        <x:v>RACI-004</x:v>
      </x:c>
      <x:c r="B8" s="120" t="str">
        <x:v>DPIA and lawful-basis review</x:v>
      </x:c>
      <x:c r="C8" s="120" t="str">
        <x:v>I</x:v>
      </x:c>
      <x:c r="D8" s="120" t="str">
        <x:v>C</x:v>
      </x:c>
      <x:c r="E8" s="120" t="str">
        <x:v>C</x:v>
      </x:c>
      <x:c r="F8" s="120" t="str">
        <x:v>I</x:v>
      </x:c>
      <x:c r="G8" s="120" t="str">
        <x:v>A/R</x:v>
      </x:c>
      <x:c r="H8" s="120" t="str">
        <x:v>C</x:v>
      </x:c>
      <x:c r="I8" s="120" t="str">
        <x:v>C</x:v>
      </x:c>
      <x:c r="J8" s="120" t="str">
        <x:v>C</x:v>
      </x:c>
      <x:c r="K8" s="120" t="str">
        <x:v>I</x:v>
      </x:c>
      <x:c r="L8" s="120" t="str">
        <x:v>I</x:v>
      </x:c>
      <x:c r="M8" s="120" t="str">
        <x:v>I</x:v>
      </x:c>
      <x:c r="N8" s="121" t="str">
        <x:v>Independent DPO/legal review.</x:v>
      </x:c>
    </x:row>
    <x:row r="9">
      <x:c r="A9" s="113" t="str">
        <x:v>RACI-005</x:v>
      </x:c>
      <x:c r="B9" s="114" t="str">
        <x:v>Worker consultation</x:v>
      </x:c>
      <x:c r="C9" s="114" t="str">
        <x:v>I</x:v>
      </x:c>
      <x:c r="D9" s="114" t="str">
        <x:v>C</x:v>
      </x:c>
      <x:c r="E9" s="114" t="str">
        <x:v>C</x:v>
      </x:c>
      <x:c r="F9" s="114" t="str">
        <x:v>I</x:v>
      </x:c>
      <x:c r="G9" s="114" t="str">
        <x:v>C</x:v>
      </x:c>
      <x:c r="H9" s="114" t="str">
        <x:v>I</x:v>
      </x:c>
      <x:c r="I9" s="114" t="str">
        <x:v>A/R</x:v>
      </x:c>
      <x:c r="J9" s="114" t="str">
        <x:v>R</x:v>
      </x:c>
      <x:c r="K9" s="114" t="str">
        <x:v>I</x:v>
      </x:c>
      <x:c r="L9" s="114" t="str">
        <x:v>I</x:v>
      </x:c>
      <x:c r="M9" s="114" t="str">
        <x:v>I</x:v>
      </x:c>
      <x:c r="N9" s="115" t="str">
        <x:v>Views and organisational response documented.</x:v>
      </x:c>
    </x:row>
    <x:row r="10">
      <x:c r="A10" s="119" t="str">
        <x:v>RACI-006</x:v>
      </x:c>
      <x:c r="B10" s="120" t="str">
        <x:v>Monitoring/privacy policy</x:v>
      </x:c>
      <x:c r="C10" s="120" t="str">
        <x:v>I</x:v>
      </x:c>
      <x:c r="D10" s="120" t="str">
        <x:v>C</x:v>
      </x:c>
      <x:c r="E10" s="120" t="str">
        <x:v>C</x:v>
      </x:c>
      <x:c r="F10" s="120" t="str">
        <x:v>I</x:v>
      </x:c>
      <x:c r="G10" s="120" t="str">
        <x:v>A</x:v>
      </x:c>
      <x:c r="H10" s="120" t="str">
        <x:v>C</x:v>
      </x:c>
      <x:c r="I10" s="120" t="str">
        <x:v>R</x:v>
      </x:c>
      <x:c r="J10" s="120" t="str">
        <x:v>C</x:v>
      </x:c>
      <x:c r="K10" s="120" t="str">
        <x:v>I</x:v>
      </x:c>
      <x:c r="L10" s="120" t="str">
        <x:v>I</x:v>
      </x:c>
      <x:c r="M10" s="120" t="str">
        <x:v>I</x:v>
      </x:c>
      <x:c r="N10" s="121" t="str">
        <x:v>Legal and HR approval.</x:v>
      </x:c>
    </x:row>
    <x:row r="11">
      <x:c r="A11" s="113" t="str">
        <x:v>RACI-007</x:v>
      </x:c>
      <x:c r="B11" s="114" t="str">
        <x:v>Employee access and dispute workflow</x:v>
      </x:c>
      <x:c r="C11" s="114" t="str">
        <x:v>I</x:v>
      </x:c>
      <x:c r="D11" s="114" t="str">
        <x:v>R</x:v>
      </x:c>
      <x:c r="E11" s="114" t="str">
        <x:v>C</x:v>
      </x:c>
      <x:c r="F11" s="114" t="str">
        <x:v>C</x:v>
      </x:c>
      <x:c r="G11" s="114" t="str">
        <x:v>A</x:v>
      </x:c>
      <x:c r="H11" s="114" t="str">
        <x:v>C</x:v>
      </x:c>
      <x:c r="I11" s="114" t="str">
        <x:v>R</x:v>
      </x:c>
      <x:c r="J11" s="114" t="str">
        <x:v>C</x:v>
      </x:c>
      <x:c r="K11" s="114" t="str">
        <x:v>C</x:v>
      </x:c>
      <x:c r="L11" s="114" t="str">
        <x:v>I</x:v>
      </x:c>
      <x:c r="M11" s="114" t="str">
        <x:v>I</x:v>
      </x:c>
      <x:c r="N11" s="115" t="str">
        <x:v>HumanOS workflow implementation later.</x:v>
      </x:c>
    </x:row>
    <x:row r="12">
      <x:c r="A12" s="119" t="str">
        <x:v>RACI-008</x:v>
      </x:c>
      <x:c r="B12" s="120" t="str">
        <x:v>Meaningful human-review standard</x:v>
      </x:c>
      <x:c r="C12" s="120" t="str">
        <x:v>I</x:v>
      </x:c>
      <x:c r="D12" s="120" t="str">
        <x:v>C</x:v>
      </x:c>
      <x:c r="E12" s="120" t="str">
        <x:v>C</x:v>
      </x:c>
      <x:c r="F12" s="120" t="str">
        <x:v>I</x:v>
      </x:c>
      <x:c r="G12" s="120" t="str">
        <x:v>A</x:v>
      </x:c>
      <x:c r="H12" s="120" t="str">
        <x:v>C</x:v>
      </x:c>
      <x:c r="I12" s="120" t="str">
        <x:v>R</x:v>
      </x:c>
      <x:c r="J12" s="120" t="str">
        <x:v>C</x:v>
      </x:c>
      <x:c r="K12" s="120" t="str">
        <x:v>I</x:v>
      </x:c>
      <x:c r="L12" s="120" t="str">
        <x:v>I</x:v>
      </x:c>
      <x:c r="M12" s="120" t="str">
        <x:v>R</x:v>
      </x:c>
      <x:c r="N12" s="121" t="str">
        <x:v>Reviewers require authority and domain competence.</x:v>
      </x:c>
    </x:row>
    <x:row r="13">
      <x:c r="A13" s="113" t="str">
        <x:v>RACI-009</x:v>
      </x:c>
      <x:c r="B13" s="114" t="str">
        <x:v>Threat model and security controls</x:v>
      </x:c>
      <x:c r="C13" s="114" t="str">
        <x:v>I</x:v>
      </x:c>
      <x:c r="D13" s="114" t="str">
        <x:v>C</x:v>
      </x:c>
      <x:c r="E13" s="114" t="str">
        <x:v>C</x:v>
      </x:c>
      <x:c r="F13" s="114" t="str">
        <x:v>C</x:v>
      </x:c>
      <x:c r="G13" s="114" t="str">
        <x:v>C</x:v>
      </x:c>
      <x:c r="H13" s="114" t="str">
        <x:v>A/R</x:v>
      </x:c>
      <x:c r="I13" s="114" t="str">
        <x:v>I</x:v>
      </x:c>
      <x:c r="J13" s="114" t="str">
        <x:v>C</x:v>
      </x:c>
      <x:c r="K13" s="114" t="str">
        <x:v>R</x:v>
      </x:c>
      <x:c r="L13" s="114" t="str">
        <x:v>I</x:v>
      </x:c>
      <x:c r="M13" s="114" t="str">
        <x:v>I</x:v>
      </x:c>
      <x:c r="N13" s="115" t="str">
        <x:v>Security gate.</x:v>
      </x:c>
    </x:row>
    <x:row r="14">
      <x:c r="A14" s="119" t="str">
        <x:v>RACI-010</x:v>
      </x:c>
      <x:c r="B14" s="120" t="str">
        <x:v>Pilot definition and participant protection</x:v>
      </x:c>
      <x:c r="C14" s="120" t="str">
        <x:v>A</x:v>
      </x:c>
      <x:c r="D14" s="120" t="str">
        <x:v>R</x:v>
      </x:c>
      <x:c r="E14" s="120" t="str">
        <x:v>C</x:v>
      </x:c>
      <x:c r="F14" s="120" t="str">
        <x:v>C</x:v>
      </x:c>
      <x:c r="G14" s="120" t="str">
        <x:v>C</x:v>
      </x:c>
      <x:c r="H14" s="120" t="str">
        <x:v>C</x:v>
      </x:c>
      <x:c r="I14" s="120" t="str">
        <x:v>R</x:v>
      </x:c>
      <x:c r="J14" s="120" t="str">
        <x:v>C</x:v>
      </x:c>
      <x:c r="K14" s="120" t="str">
        <x:v>C</x:v>
      </x:c>
      <x:c r="L14" s="120" t="str">
        <x:v>C</x:v>
      </x:c>
      <x:c r="M14" s="120" t="str">
        <x:v>C</x:v>
      </x:c>
      <x:c r="N14" s="121" t="str">
        <x:v>No adverse action from pilot-only output.</x:v>
      </x:c>
    </x:row>
    <x:row r="15">
      <x:c r="A15" s="113" t="str">
        <x:v>RACI-011</x:v>
      </x:c>
      <x:c r="B15" s="114" t="str">
        <x:v>Stage 0 cross-functional review</x:v>
      </x:c>
      <x:c r="C15" s="114" t="str">
        <x:v>A</x:v>
      </x:c>
      <x:c r="D15" s="114" t="str">
        <x:v>R</x:v>
      </x:c>
      <x:c r="E15" s="114" t="str">
        <x:v>R</x:v>
      </x:c>
      <x:c r="F15" s="114" t="str">
        <x:v>C</x:v>
      </x:c>
      <x:c r="G15" s="114" t="str">
        <x:v>C</x:v>
      </x:c>
      <x:c r="H15" s="114" t="str">
        <x:v>C</x:v>
      </x:c>
      <x:c r="I15" s="114" t="str">
        <x:v>C</x:v>
      </x:c>
      <x:c r="J15" s="114" t="str">
        <x:v>C</x:v>
      </x:c>
      <x:c r="K15" s="114" t="str">
        <x:v>I</x:v>
      </x:c>
      <x:c r="L15" s="114" t="str">
        <x:v>I</x:v>
      </x:c>
      <x:c r="M15" s="114" t="str">
        <x:v>I</x:v>
      </x:c>
      <x:c r="N15" s="115" t="str">
        <x:v>Programme lead coordinates.</x:v>
      </x:c>
    </x:row>
    <x:row r="16">
      <x:c r="A16" s="119" t="str">
        <x:v>RACI-012</x:v>
      </x:c>
      <x:c r="B16" s="120" t="str">
        <x:v>Stage 0 gate decision</x:v>
      </x:c>
      <x:c r="C16" s="120" t="str">
        <x:v>A/R</x:v>
      </x:c>
      <x:c r="D16" s="120" t="str">
        <x:v>C</x:v>
      </x:c>
      <x:c r="E16" s="120" t="str">
        <x:v>C</x:v>
      </x:c>
      <x:c r="F16" s="120" t="str">
        <x:v>C</x:v>
      </x:c>
      <x:c r="G16" s="120" t="str">
        <x:v>C</x:v>
      </x:c>
      <x:c r="H16" s="120" t="str">
        <x:v>C</x:v>
      </x:c>
      <x:c r="I16" s="120" t="str">
        <x:v>C</x:v>
      </x:c>
      <x:c r="J16" s="120" t="str">
        <x:v>I</x:v>
      </x:c>
      <x:c r="K16" s="120" t="str">
        <x:v>I</x:v>
      </x:c>
      <x:c r="L16" s="120" t="str">
        <x:v>I</x:v>
      </x:c>
      <x:c r="M16" s="120" t="str">
        <x:v>I</x:v>
      </x:c>
      <x:c r="N16" s="121" t="str">
        <x:v>Conditions recorded.</x:v>
      </x:c>
    </x:row>
    <x:row r="17">
      <x:c r="A17" s="113" t="str">
        <x:v>RACI-013</x:v>
      </x:c>
      <x:c r="B17" s="114" t="str">
        <x:v>Market and category research</x:v>
      </x:c>
      <x:c r="C17" s="114" t="str">
        <x:v>I</x:v>
      </x:c>
      <x:c r="D17" s="114" t="str">
        <x:v>A/R</x:v>
      </x:c>
      <x:c r="E17" s="114" t="str">
        <x:v>R</x:v>
      </x:c>
      <x:c r="F17" s="114" t="str">
        <x:v>C</x:v>
      </x:c>
      <x:c r="G17" s="114" t="str">
        <x:v>C</x:v>
      </x:c>
      <x:c r="H17" s="114" t="str">
        <x:v>I</x:v>
      </x:c>
      <x:c r="I17" s="114" t="str">
        <x:v>C</x:v>
      </x:c>
      <x:c r="J17" s="114" t="str">
        <x:v>I</x:v>
      </x:c>
      <x:c r="K17" s="114" t="str">
        <x:v>C</x:v>
      </x:c>
      <x:c r="L17" s="114" t="str">
        <x:v>I</x:v>
      </x:c>
      <x:c r="M17" s="114" t="str">
        <x:v>C</x:v>
      </x:c>
      <x:c r="N17" s="115" t="str">
        <x:v>Source-backed.</x:v>
      </x:c>
    </x:row>
    <x:row r="18">
      <x:c r="A18" s="119" t="str">
        <x:v>RACI-014</x:v>
      </x:c>
      <x:c r="B18" s="120" t="str">
        <x:v>GitHub and licence scan</x:v>
      </x:c>
      <x:c r="C18" s="120" t="str">
        <x:v>I</x:v>
      </x:c>
      <x:c r="D18" s="120" t="str">
        <x:v>C</x:v>
      </x:c>
      <x:c r="E18" s="120" t="str">
        <x:v>C</x:v>
      </x:c>
      <x:c r="F18" s="120" t="str">
        <x:v>A/R</x:v>
      </x:c>
      <x:c r="G18" s="120" t="str">
        <x:v>C</x:v>
      </x:c>
      <x:c r="H18" s="120" t="str">
        <x:v>C</x:v>
      </x:c>
      <x:c r="I18" s="120" t="str">
        <x:v>I</x:v>
      </x:c>
      <x:c r="J18" s="120" t="str">
        <x:v>I</x:v>
      </x:c>
      <x:c r="K18" s="120" t="str">
        <x:v>R</x:v>
      </x:c>
      <x:c r="L18" s="120" t="str">
        <x:v>C</x:v>
      </x:c>
      <x:c r="M18" s="120" t="str">
        <x:v>I</x:v>
      </x:c>
      <x:c r="N18" s="121" t="str">
        <x:v>Formal legal licence approval remains separate.</x:v>
      </x:c>
    </x:row>
    <x:row r="19">
      <x:c r="A19" s="113" t="str">
        <x:v>RACI-015</x:v>
      </x:c>
      <x:c r="B19" s="114" t="str">
        <x:v>Build/buy/integrate decisions</x:v>
      </x:c>
      <x:c r="C19" s="114" t="str">
        <x:v>I</x:v>
      </x:c>
      <x:c r="D19" s="114" t="str">
        <x:v>R</x:v>
      </x:c>
      <x:c r="E19" s="114" t="str">
        <x:v>C</x:v>
      </x:c>
      <x:c r="F19" s="114" t="str">
        <x:v>A</x:v>
      </x:c>
      <x:c r="G19" s="114" t="str">
        <x:v>C</x:v>
      </x:c>
      <x:c r="H19" s="114" t="str">
        <x:v>C</x:v>
      </x:c>
      <x:c r="I19" s="114" t="str">
        <x:v>I</x:v>
      </x:c>
      <x:c r="J19" s="114" t="str">
        <x:v>I</x:v>
      </x:c>
      <x:c r="K19" s="114" t="str">
        <x:v>C</x:v>
      </x:c>
      <x:c r="L19" s="114" t="str">
        <x:v>R</x:v>
      </x:c>
      <x:c r="M19" s="114" t="str">
        <x:v>C</x:v>
      </x:c>
      <x:c r="N19" s="115" t="str">
        <x:v>Commercial and technical decision.</x:v>
      </x:c>
    </x:row>
    <x:row r="20">
      <x:c r="A20" s="119" t="str">
        <x:v>RACI-016</x:v>
      </x:c>
      <x:c r="B20" s="120" t="str">
        <x:v>Reference architecture</x:v>
      </x:c>
      <x:c r="C20" s="120" t="str">
        <x:v>I</x:v>
      </x:c>
      <x:c r="D20" s="120" t="str">
        <x:v>C</x:v>
      </x:c>
      <x:c r="E20" s="120" t="str">
        <x:v>C</x:v>
      </x:c>
      <x:c r="F20" s="120" t="str">
        <x:v>A/R</x:v>
      </x:c>
      <x:c r="G20" s="120" t="str">
        <x:v>C</x:v>
      </x:c>
      <x:c r="H20" s="120" t="str">
        <x:v>C</x:v>
      </x:c>
      <x:c r="I20" s="120" t="str">
        <x:v>I</x:v>
      </x:c>
      <x:c r="J20" s="120" t="str">
        <x:v>I</x:v>
      </x:c>
      <x:c r="K20" s="120" t="str">
        <x:v>R</x:v>
      </x:c>
      <x:c r="L20" s="120" t="str">
        <x:v>I</x:v>
      </x:c>
      <x:c r="M20" s="120" t="str">
        <x:v>C</x:v>
      </x:c>
      <x:c r="N20" s="121" t="str">
        <x:v>Must reuse HumanOS foundation.</x:v>
      </x:c>
    </x:row>
    <x:row r="21">
      <x:c r="A21" s="113" t="str">
        <x:v>RACI-017</x:v>
      </x:c>
      <x:c r="B21" s="114" t="str">
        <x:v>Architecture Decision Records</x:v>
      </x:c>
      <x:c r="C21" s="114" t="str">
        <x:v>I</x:v>
      </x:c>
      <x:c r="D21" s="114" t="str">
        <x:v>C</x:v>
      </x:c>
      <x:c r="E21" s="114" t="str">
        <x:v>C</x:v>
      </x:c>
      <x:c r="F21" s="114" t="str">
        <x:v>A/R</x:v>
      </x:c>
      <x:c r="G21" s="114" t="str">
        <x:v>C</x:v>
      </x:c>
      <x:c r="H21" s="114" t="str">
        <x:v>C</x:v>
      </x:c>
      <x:c r="I21" s="114" t="str">
        <x:v>I</x:v>
      </x:c>
      <x:c r="J21" s="114" t="str">
        <x:v>I</x:v>
      </x:c>
      <x:c r="K21" s="114" t="str">
        <x:v>R</x:v>
      </x:c>
      <x:c r="L21" s="114" t="str">
        <x:v>I</x:v>
      </x:c>
      <x:c r="M21" s="114" t="str">
        <x:v>I</x:v>
      </x:c>
      <x:c r="N21" s="115" t="str">
        <x:v>Architecture Board approval.</x:v>
      </x:c>
    </x:row>
    <x:row r="22">
      <x:c r="A22" s="119" t="str">
        <x:v>RACI-018</x:v>
      </x:c>
      <x:c r="B22" s="120" t="str">
        <x:v>Data-volume and cost model</x:v>
      </x:c>
      <x:c r="C22" s="120" t="str">
        <x:v>I</x:v>
      </x:c>
      <x:c r="D22" s="120" t="str">
        <x:v>C</x:v>
      </x:c>
      <x:c r="E22" s="120" t="str">
        <x:v>C</x:v>
      </x:c>
      <x:c r="F22" s="120" t="str">
        <x:v>C</x:v>
      </x:c>
      <x:c r="G22" s="120" t="str">
        <x:v>I</x:v>
      </x:c>
      <x:c r="H22" s="120" t="str">
        <x:v>I</x:v>
      </x:c>
      <x:c r="I22" s="120" t="str">
        <x:v>I</x:v>
      </x:c>
      <x:c r="J22" s="120" t="str">
        <x:v>I</x:v>
      </x:c>
      <x:c r="K22" s="120" t="str">
        <x:v>C</x:v>
      </x:c>
      <x:c r="L22" s="120" t="str">
        <x:v>A/R</x:v>
      </x:c>
      <x:c r="M22" s="120" t="str">
        <x:v>C</x:v>
      </x:c>
      <x:c r="N22" s="121" t="str">
        <x:v>Input assumptions required.</x:v>
      </x:c>
    </x:row>
    <x:row r="23">
      <x:c r="A23" s="113" t="str">
        <x:v>RACI-019</x:v>
      </x:c>
      <x:c r="B23" s="114" t="str">
        <x:v>Stage 2–3 team and budget</x:v>
      </x:c>
      <x:c r="C23" s="114" t="str">
        <x:v>A</x:v>
      </x:c>
      <x:c r="D23" s="114" t="str">
        <x:v>C</x:v>
      </x:c>
      <x:c r="E23" s="114" t="str">
        <x:v>R</x:v>
      </x:c>
      <x:c r="F23" s="114" t="str">
        <x:v>C</x:v>
      </x:c>
      <x:c r="G23" s="114" t="str">
        <x:v>I</x:v>
      </x:c>
      <x:c r="H23" s="114" t="str">
        <x:v>I</x:v>
      </x:c>
      <x:c r="I23" s="114" t="str">
        <x:v>C</x:v>
      </x:c>
      <x:c r="J23" s="114" t="str">
        <x:v>I</x:v>
      </x:c>
      <x:c r="K23" s="114" t="str">
        <x:v>C</x:v>
      </x:c>
      <x:c r="L23" s="114" t="str">
        <x:v>R</x:v>
      </x:c>
      <x:c r="M23" s="114" t="str">
        <x:v>I</x:v>
      </x:c>
      <x:c r="N23" s="115" t="str">
        <x:v>Leadership allocation.</x:v>
      </x:c>
    </x:row>
    <x:row r="24">
      <x:c r="A24" s="119" t="str">
        <x:v>RACI-020</x:v>
      </x:c>
      <x:c r="B24" s="120" t="str">
        <x:v>Stage 1 architecture review</x:v>
      </x:c>
      <x:c r="C24" s="120" t="str">
        <x:v>I</x:v>
      </x:c>
      <x:c r="D24" s="120" t="str">
        <x:v>C</x:v>
      </x:c>
      <x:c r="E24" s="120" t="str">
        <x:v>R</x:v>
      </x:c>
      <x:c r="F24" s="120" t="str">
        <x:v>A/R</x:v>
      </x:c>
      <x:c r="G24" s="120" t="str">
        <x:v>C</x:v>
      </x:c>
      <x:c r="H24" s="120" t="str">
        <x:v>C</x:v>
      </x:c>
      <x:c r="I24" s="120" t="str">
        <x:v>I</x:v>
      </x:c>
      <x:c r="J24" s="120" t="str">
        <x:v>I</x:v>
      </x:c>
      <x:c r="K24" s="120" t="str">
        <x:v>C</x:v>
      </x:c>
      <x:c r="L24" s="120" t="str">
        <x:v>C</x:v>
      </x:c>
      <x:c r="M24" s="120" t="str">
        <x:v>C</x:v>
      </x:c>
      <x:c r="N24" s="121" t="str">
        <x:v>All major risks and alternatives reviewed.</x:v>
      </x:c>
    </x:row>
    <x:row r="25">
      <x:c r="A25" s="113" t="str">
        <x:v>RACI-021</x:v>
      </x:c>
      <x:c r="B25" s="114" t="str">
        <x:v>Stage 1 gate decision</x:v>
      </x:c>
      <x:c r="C25" s="114" t="str">
        <x:v>A</x:v>
      </x:c>
      <x:c r="D25" s="114" t="str">
        <x:v>C</x:v>
      </x:c>
      <x:c r="E25" s="114" t="str">
        <x:v>C</x:v>
      </x:c>
      <x:c r="F25" s="114" t="str">
        <x:v>R</x:v>
      </x:c>
      <x:c r="G25" s="114" t="str">
        <x:v>C</x:v>
      </x:c>
      <x:c r="H25" s="114" t="str">
        <x:v>C</x:v>
      </x:c>
      <x:c r="I25" s="114" t="str">
        <x:v>I</x:v>
      </x:c>
      <x:c r="J25" s="114" t="str">
        <x:v>I</x:v>
      </x:c>
      <x:c r="K25" s="114" t="str">
        <x:v>I</x:v>
      </x:c>
      <x:c r="L25" s="114" t="str">
        <x:v>C</x:v>
      </x:c>
      <x:c r="M25" s="114" t="str">
        <x:v>I</x:v>
      </x:c>
      <x:c r="N25" s="115" t="str">
        <x:v>Entry to Stage 2 and 3.</x:v>
      </x:c>
    </x:row>
    <x:row r="26">
      <x:c r="A26" s="122" t="str">
        <x:v>RACI-022</x:v>
      </x:c>
      <x:c r="B26" s="123" t="str">
        <x:v>Stage 2 and 3 prompt handoff</x:v>
      </x:c>
      <x:c r="C26" s="123" t="str">
        <x:v>I</x:v>
      </x:c>
      <x:c r="D26" s="123" t="str">
        <x:v>A</x:v>
      </x:c>
      <x:c r="E26" s="123" t="str">
        <x:v>R</x:v>
      </x:c>
      <x:c r="F26" s="123" t="str">
        <x:v>C</x:v>
      </x:c>
      <x:c r="G26" s="123" t="str">
        <x:v>C</x:v>
      </x:c>
      <x:c r="H26" s="123" t="str">
        <x:v>C</x:v>
      </x:c>
      <x:c r="I26" s="123" t="str">
        <x:v>C</x:v>
      </x:c>
      <x:c r="J26" s="123" t="str">
        <x:v>I</x:v>
      </x:c>
      <x:c r="K26" s="123" t="str">
        <x:v>C</x:v>
      </x:c>
      <x:c r="L26" s="123" t="str">
        <x:v>I</x:v>
      </x:c>
      <x:c r="M26" s="123" t="str">
        <x:v>C</x:v>
      </x:c>
      <x:c r="N26" s="124" t="str">
        <x:v>Prompts stored in Master Prompts.</x:v>
      </x:c>
    </x:row>
  </x:sheetData>
  <x:mergeCells>
    <x:mergeCell ref="A1:N1"/>
    <x:mergeCell ref="A2:N2"/>
  </x:mergeCells>
  <x:dataValidations count="1">
    <x:dataValidation type="list" sqref="C5:M26">
      <x:formula1>"R,A,C,I,A/R,"</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 hidden="0" customWidth="1"/>
    <x:col min="2" max="2" width="30" hidden="0" customWidth="1"/>
    <x:col min="3" max="3" width="38" hidden="0" customWidth="1"/>
    <x:col min="4" max="4" width="30" hidden="0" customWidth="1"/>
    <x:col min="5" max="5" width="32" hidden="0" customWidth="1"/>
    <x:col min="6" max="6" width="42" hidden="0" customWidth="1"/>
    <x:col min="7" max="7" width="16" hidden="0" customWidth="1"/>
    <x:col min="8" max="8" width="46" hidden="0" customWidth="1"/>
    <x:col min="9" max="9" width="38" hidden="0" customWidth="1"/>
    <x:col min="10" max="10" width="14" hidden="0" customWidth="1"/>
    <x:col min="11" max="11" width="34" hidden="0" customWidth="1"/>
    <x:col min="12" max="12" width="22" hidden="0" customWidth="1"/>
    <x:col min="13" max="13" width="44" hidden="0" customWidth="1"/>
  </x:cols>
  <x:sheetData>
    <x:row r="1" ht="30" customHeight="1">
      <x:c r="A1" s="72" t="str">
        <x:v>Build / Buy / Integrate Decisions</x:v>
      </x:c>
      <x:c r="B1" s="72"/>
      <x:c r="C1" s="72"/>
      <x:c r="D1" s="72"/>
      <x:c r="E1" s="72"/>
      <x:c r="F1" s="72"/>
      <x:c r="G1" s="72"/>
      <x:c r="H1" s="72"/>
      <x:c r="I1" s="72"/>
      <x:c r="J1" s="72"/>
      <x:c r="K1" s="72"/>
      <x:c r="L1" s="72"/>
      <x:c r="M1" s="72"/>
    </x:row>
    <x:row r="2" ht="34" customHeight="1">
      <x:c r="A2" s="76" t="str">
        <x:v>Stage 1 recommendations. Legal licence review, procurement and technical spikes remain mandatory before incorporating third-party code or signing commercial agreements.</x:v>
      </x:c>
      <x:c r="B2" s="76"/>
      <x:c r="C2" s="76"/>
      <x:c r="D2" s="76"/>
      <x:c r="E2" s="76"/>
      <x:c r="F2" s="76"/>
      <x:c r="G2" s="76"/>
      <x:c r="H2" s="76"/>
      <x:c r="I2" s="76"/>
      <x:c r="J2" s="76"/>
      <x:c r="K2" s="76"/>
      <x:c r="L2" s="76"/>
      <x:c r="M2" s="76"/>
    </x:row>
    <x:row r="4" ht="28" customHeight="1">
      <x:c r="A4" s="88" t="str">
        <x:v>ID</x:v>
      </x:c>
      <x:c r="B4" s="89" t="str">
        <x:v>Component / capability</x:v>
      </x:c>
      <x:c r="C4" s="89" t="str">
        <x:v>Need</x:v>
      </x:c>
      <x:c r="D4" s="89" t="str">
        <x:v>Relevant reference</x:v>
      </x:c>
      <x:c r="E4" s="89" t="str">
        <x:v>Options considered</x:v>
      </x:c>
      <x:c r="F4" s="89" t="str">
        <x:v>Recommendation</x:v>
      </x:c>
      <x:c r="G4" s="89" t="str">
        <x:v>Nessovo differentiation</x:v>
      </x:c>
      <x:c r="H4" s="89" t="str">
        <x:v>Rationale</x:v>
      </x:c>
      <x:c r="I4" s="89" t="str">
        <x:v>Licence / security note</x:v>
      </x:c>
      <x:c r="J4" s="89" t="str">
        <x:v>Delivery stage</x:v>
      </x:c>
      <x:c r="K4" s="89" t="str">
        <x:v>Revisit trigger</x:v>
      </x:c>
      <x:c r="L4" s="89" t="str">
        <x:v>Accountable owner</x:v>
      </x:c>
      <x:c r="M4" s="90" t="str">
        <x:v>Source URL</x:v>
      </x:c>
    </x:row>
    <x:row r="5">
      <x:c r="A5" s="110" t="str">
        <x:v>BBD-001</x:v>
      </x:c>
      <x:c r="B5" s="111" t="str">
        <x:v>Universal desktop observation engine</x:v>
      </x:c>
      <x:c r="C5" s="111" t="str">
        <x:v>Capture app/window, visual states, input provenance and endpoint context.</x:v>
      </x:c>
      <x:c r="D5" s="111" t="str">
        <x:v>Screenpipe, OpenAdapt, ActivityWatch, commercial monitoring tools</x:v>
      </x:c>
      <x:c r="E5" s="111" t="str">
        <x:v>Build; license; fork; combine native APIs</x:v>
      </x:c>
      <x:c r="F5" s="111" t="str">
        <x:v>Build proprietary core; benchmark references</x:v>
      </x:c>
      <x:c r="G5" s="111" t="str">
        <x:v>Medium</x:v>
      </x:c>
      <x:c r="H5" s="111" t="str">
        <x:v>Capture is foundational, security-sensitive and tightly coupled to Nessovo policy/provenance. Reference implementations reduce discovery risk but do not satisfy full requirements.</x:v>
      </x:c>
      <x:c r="I5" s="111" t="str">
        <x:v>Screenpipe commercial-use licence; OpenAdapt experimental; OS permissions and signing are critical.</x:v>
      </x:c>
      <x:c r="J5" s="111" t="str">
        <x:v>3–5</x:v>
      </x:c>
      <x:c r="K5" s="111" t="str">
        <x:v>A commercial component proves safer, lower-overhead and contractually suitable.</x:v>
      </x:c>
      <x:c r="L5" s="111" t="str">
        <x:v>Desktop Architect</x:v>
      </x:c>
      <x:c r="M5" s="112" t="str">
        <x:v>https://github.com/screenpipe/screenpipe</x:v>
      </x:c>
    </x:row>
    <x:row r="6">
      <x:c r="A6" s="119" t="str">
        <x:v>BBD-002</x:v>
      </x:c>
      <x:c r="B6" s="120" t="str">
        <x:v>Application/window/AFK watcher</x:v>
      </x:c>
      <x:c r="C6" s="120" t="str">
        <x:v>Low-intrusion context and session state.</x:v>
      </x:c>
      <x:c r="D6" s="120" t="str">
        <x:v>ActivityWatch</x:v>
      </x:c>
      <x:c r="E6" s="120" t="str">
        <x:v>Reuse protocol/pattern; incorporate code; build</x:v>
      </x:c>
      <x:c r="F6" s="120" t="str">
        <x:v>Build compatible pattern; inspect MPL obligations</x:v>
      </x:c>
      <x:c r="G6" s="120" t="str">
        <x:v>Low</x:v>
      </x:c>
      <x:c r="H6" s="120" t="str">
        <x:v>Commodity capability; architecture and watcher pattern are useful.</x:v>
      </x:c>
      <x:c r="I6" s="120" t="str">
        <x:v>MPL-2.0 obligations require legal review if code is reused.</x:v>
      </x:c>
      <x:c r="J6" s="120" t="str">
        <x:v>3–5</x:v>
      </x:c>
      <x:c r="K6" s="120" t="str">
        <x:v>ActivityWatch component is adopted under approved licence and security review.</x:v>
      </x:c>
      <x:c r="L6" s="120" t="str">
        <x:v>Desktop Lead</x:v>
      </x:c>
      <x:c r="M6" s="121" t="str">
        <x:v>https://github.com/ActivityWatch/activitywatch</x:v>
      </x:c>
    </x:row>
    <x:row r="7">
      <x:c r="A7" s="113" t="str">
        <x:v>BBD-003</x:v>
      </x:c>
      <x:c r="B7" s="114" t="str">
        <x:v>Accessibility tree and OCR fallback</x:v>
      </x:c>
      <x:c r="C7" s="114" t="str">
        <x:v>Extract structured visible state across applications.</x:v>
      </x:c>
      <x:c r="D7" s="114" t="str">
        <x:v>Screenpipe; OS accessibility APIs; OCR libraries</x:v>
      </x:c>
      <x:c r="E7" s="114" t="str">
        <x:v>Build wrappers; license SDK; use open libraries</x:v>
      </x:c>
      <x:c r="F7" s="114" t="str">
        <x:v>Build OS-native adapters; benchmark OCR libraries</x:v>
      </x:c>
      <x:c r="G7" s="114" t="str">
        <x:v>Medium</x:v>
      </x:c>
      <x:c r="H7" s="114" t="str">
        <x:v>Policy-aware collection, secure-field handling and provenance are differentiators; OCR itself is commodity.</x:v>
      </x:c>
      <x:c r="I7" s="114" t="str">
        <x:v>Models/libraries require licence, model-origin and data-flow review.</x:v>
      </x:c>
      <x:c r="J7" s="114" t="str">
        <x:v>3–5</x:v>
      </x:c>
      <x:c r="K7" s="114" t="str">
        <x:v>Native accessibility coverage is inadequate for target applications.</x:v>
      </x:c>
      <x:c r="L7" s="114" t="str">
        <x:v>Desktop/AI Leads</x:v>
      </x:c>
      <x:c r="M7" s="115" t="str">
        <x:v>https://github.com/screenpipe/screenpipe</x:v>
      </x:c>
    </x:row>
    <x:row r="8">
      <x:c r="A8" s="119" t="str">
        <x:v>BBD-004</x:v>
      </x:c>
      <x:c r="B8" s="120" t="str">
        <x:v>Screen capture and changed-region deduplication</x:v>
      </x:c>
      <x:c r="C8" s="120" t="str">
        <x:v>Capture meaningful visual evidence efficiently.</x:v>
      </x:c>
      <x:c r="D8" s="120" t="str">
        <x:v>Screenpipe; Windows Graphics Capture; ScreenCaptureKit</x:v>
      </x:c>
      <x:c r="E8" s="120" t="str">
        <x:v>Native build; commercial SDK; screenpipe licence</x:v>
      </x:c>
      <x:c r="F8" s="120" t="str">
        <x:v>Build native capture; benchmark Screenpipe performance</x:v>
      </x:c>
      <x:c r="G8" s="120" t="str">
        <x:v>Medium</x:v>
      </x:c>
      <x:c r="H8" s="120" t="str">
        <x:v>Evidence policy, state graph and secure exclusions are proprietary; OS capture primitives are standard.</x:v>
      </x:c>
      <x:c r="I8" s="120" t="str">
        <x:v>Commercial licence needed for Screenpipe use; platform permissions and privacy indicators mandatory.</x:v>
      </x:c>
      <x:c r="J8" s="120" t="str">
        <x:v>3–5</x:v>
      </x:c>
      <x:c r="K8" s="120" t="str">
        <x:v>Benchmark shows unacceptable endpoint overhead or missing platform features.</x:v>
      </x:c>
      <x:c r="L8" s="120" t="str">
        <x:v>Desktop Architect</x:v>
      </x:c>
      <x:c r="M8" s="121" t="str">
        <x:v>https://developer.apple.com/documentation/screencapturekit</x:v>
      </x:c>
    </x:row>
    <x:row r="9">
      <x:c r="A9" s="113" t="str">
        <x:v>BBD-005</x:v>
      </x:c>
      <x:c r="B9" s="114" t="str">
        <x:v>GUI workflow record/replay</x:v>
      </x:c>
      <x:c r="C9" s="114" t="str">
        <x:v>Turn successful workflows into reusable procedural skills.</x:v>
      </x:c>
      <x:c r="D9" s="114" t="str">
        <x:v>OpenAdapt / OpenAdapt Flow; Power Automate</x:v>
      </x:c>
      <x:c r="E9" s="114" t="str">
        <x:v>Integrate; adapt concepts; build later</x:v>
      </x:c>
      <x:c r="F9" s="114" t="str">
        <x:v>Defer runtime replay; adopt evidence and governed-teaching concepts</x:v>
      </x:c>
      <x:c r="G9" s="114" t="str">
        <x:v>Medium</x:v>
      </x:c>
      <x:c r="H9" s="114" t="str">
        <x:v>Nessovo Skill Forge is broader than desktop automation and must support human review.</x:v>
      </x:c>
      <x:c r="I9" s="114" t="str">
        <x:v>OpenAdapt desktop is experimental; automation carries safety and permission risks.</x:v>
      </x:c>
      <x:c r="J9" s="114" t="str">
        <x:v>11+</x:v>
      </x:c>
      <x:c r="K9" s="114" t="str">
        <x:v>A validated HumanOS use case needs deterministic GUI replay.</x:v>
      </x:c>
      <x:c r="L9" s="114" t="str">
        <x:v>Skill Forge Lead</x:v>
      </x:c>
      <x:c r="M9" s="115" t="str">
        <x:v>https://github.com/OpenAdaptAI/openadapt-desktop</x:v>
      </x:c>
    </x:row>
    <x:row r="10">
      <x:c r="A10" s="119" t="str">
        <x:v>BBD-006</x:v>
      </x:c>
      <x:c r="B10" s="120" t="str">
        <x:v>Browser activity adapter</x:v>
      </x:c>
      <x:c r="C10" s="120" t="str">
        <x:v>Tab/domain/navigation context and approved page evidence.</x:v>
      </x:c>
      <x:c r="D10" s="120" t="str">
        <x:v>Chrome/Edge extension APIs; ActivityWatch web watcher</x:v>
      </x:c>
      <x:c r="E10" s="120" t="str">
        <x:v>Build extension; reuse watcher; buy monitoring SDK</x:v>
      </x:c>
      <x:c r="F10" s="120" t="str">
        <x:v>Build minimal HumanOS browser extension</x:v>
      </x:c>
      <x:c r="G10" s="120" t="str">
        <x:v>Low/Medium</x:v>
      </x:c>
      <x:c r="H10" s="120" t="str">
        <x:v>Task-aware policy, allowlists and evidence linking matter more than tab capture itself.</x:v>
      </x:c>
      <x:c r="I10" s="120" t="str">
        <x:v>Browser permissions and store-review requirements; avoid broad page-content capture.</x:v>
      </x:c>
      <x:c r="J10" s="120" t="str">
        <x:v>6</x:v>
      </x:c>
      <x:c r="K10" s="120" t="str">
        <x:v>Browser vendors add a suitable enterprise API or HumanOS adopts a browser-management platform.</x:v>
      </x:c>
      <x:c r="L10" s="120" t="str">
        <x:v>Integrations Lead</x:v>
      </x:c>
      <x:c r="M10" s="121" t="str">
        <x:v>https://developer.chrome.com/docs/extensions/reference/api/tabs</x:v>
      </x:c>
    </x:row>
    <x:row r="11">
      <x:c r="A11" s="113" t="str">
        <x:v>BBD-007</x:v>
      </x:c>
      <x:c r="B11" s="114" t="str">
        <x:v>Shell/terminal instrumentation</x:v>
      </x:c>
      <x:c r="C11" s="114" t="str">
        <x:v>Capture commands, process trees, output and automated waits.</x:v>
      </x:c>
      <x:c r="D11" s="114" t="str">
        <x:v>Shell integration, PTY libraries, developer tools</x:v>
      </x:c>
      <x:c r="E11" s="114" t="str">
        <x:v>Build shell hooks; infer from screen; buy endpoint telemetry</x:v>
      </x:c>
      <x:c r="F11" s="114" t="str">
        <x:v>Build shell/PTY adapter SDK</x:v>
      </x:c>
      <x:c r="G11" s="114" t="str">
        <x:v>Medium</x:v>
      </x:c>
      <x:c r="H11" s="114" t="str">
        <x:v>Direct command/result semantics materially improve provenance and task assurance.</x:v>
      </x:c>
      <x:c r="I11" s="114" t="str">
        <x:v>Secret/environment redaction and shell compatibility required.</x:v>
      </x:c>
      <x:c r="J11" s="114" t="str">
        <x:v>6</x:v>
      </x:c>
      <x:c r="K11" s="114" t="str">
        <x:v>OS process telemetry plus CI APIs provide sufficient fidelity.</x:v>
      </x:c>
      <x:c r="L11" s="114" t="str">
        <x:v>Integrations Lead</x:v>
      </x:c>
      <x:c r="M11" s="115" t="str">
        <x:v>https://opentelemetry.io/docs/specs/semconv/</x:v>
      </x:c>
    </x:row>
    <x:row r="12">
      <x:c r="A12" s="119" t="str">
        <x:v>BBD-008</x:v>
      </x:c>
      <x:c r="B12" s="120" t="str">
        <x:v>AI-agent lifecycle instrumentation</x:v>
      </x:c>
      <x:c r="C12" s="120" t="str">
        <x:v>Prompts, tool calls, file changes, permissions and reviews.</x:v>
      </x:c>
      <x:c r="D12" s="120" t="str">
        <x:v>Codex hooks, Claude hooks, Claude-Mem</x:v>
      </x:c>
      <x:c r="E12" s="120" t="str">
        <x:v>Official hooks; desktop inference; proxy all model traffic</x:v>
      </x:c>
      <x:c r="F12" s="120" t="str">
        <x:v>Integrate official hooks first; provide normalising adapter hub</x:v>
      </x:c>
      <x:c r="G12" s="120" t="str">
        <x:v>High</x:v>
      </x:c>
      <x:c r="H12" s="120" t="str">
        <x:v>Cross-agent provenance, review behaviour and task/capability linkage are core differentiation.</x:v>
      </x:c>
      <x:c r="I12" s="120" t="str">
        <x:v>Prompt/tool content is sensitive; hooks vary by provider/version.</x:v>
      </x:c>
      <x:c r="J12" s="120" t="str">
        <x:v>6</x:v>
      </x:c>
      <x:c r="K12" s="120" t="str">
        <x:v>Provider APIs converge on a stable common standard.</x:v>
      </x:c>
      <x:c r="L12" s="120" t="str">
        <x:v>AI Integrations Lead</x:v>
      </x:c>
      <x:c r="M12" s="121" t="str">
        <x:v>https://developers.openai.com/codex/hooks</x:v>
      </x:c>
    </x:row>
    <x:row r="13">
      <x:c r="A13" s="113" t="str">
        <x:v>BBD-009</x:v>
      </x:c>
      <x:c r="B13" s="114" t="str">
        <x:v>AI session memory</x:v>
      </x:c>
      <x:c r="C13" s="114" t="str">
        <x:v>Searchable compressed observations and session continuity.</x:v>
      </x:c>
      <x:c r="D13" s="114" t="str">
        <x:v>Claude-Mem</x:v>
      </x:c>
      <x:c r="E13" s="114" t="str">
        <x:v>Integrate; adapt architecture; build</x:v>
      </x:c>
      <x:c r="F13" s="114" t="str">
        <x:v>Build HumanOS memory service using hook/worker/search pattern</x:v>
      </x:c>
      <x:c r="G13" s="114" t="str">
        <x:v>Medium</x:v>
      </x:c>
      <x:c r="H13" s="114" t="str">
        <x:v>Memory must be tenant-aware, policy-controlled and linked to HumanOS tasks/capabilities.</x:v>
      </x:c>
      <x:c r="I13" s="114" t="str">
        <x:v>Claude-Mem is Apache-2.0 but provider-specific architecture still needs security review.</x:v>
      </x:c>
      <x:c r="J13" s="114" t="str">
        <x:v>6–11</x:v>
      </x:c>
      <x:c r="K13" s="114" t="str">
        <x:v>A mature cross-agent memory service meets HumanOS governance requirements.</x:v>
      </x:c>
      <x:c r="L13" s="114" t="str">
        <x:v>AI Platform Lead</x:v>
      </x:c>
      <x:c r="M13" s="115" t="str">
        <x:v>https://github.com/thedotmack/claude-mem</x:v>
      </x:c>
    </x:row>
    <x:row r="14">
      <x:c r="A14" s="119" t="str">
        <x:v>BBD-010</x:v>
      </x:c>
      <x:c r="B14" s="120" t="str">
        <x:v>Skill observation methodology</x:v>
      </x:c>
      <x:c r="C14" s="120" t="str">
        <x:v>Capture corrections, gaps and reusable methods.</x:v>
      </x:c>
      <x:c r="D14" s="120" t="str">
        <x:v>Task Observer</x:v>
      </x:c>
      <x:c r="E14" s="120" t="str">
        <x:v>Use methodology; incorporate templates; build</x:v>
      </x:c>
      <x:c r="F14" s="120" t="str">
        <x:v>Adapt methodology with attribution and governed Skill Forge</x:v>
      </x:c>
      <x:c r="G14" s="120" t="str">
        <x:v>High</x:v>
      </x:c>
      <x:c r="H14" s="120" t="str">
        <x:v>Nessovo requires organisational, role and cross-vertical skill governance.</x:v>
      </x:c>
      <x:c r="I14" s="120" t="str">
        <x:v>CC BY 4.0 attribution required for adapted published material.</x:v>
      </x:c>
      <x:c r="J14" s="120" t="str">
        <x:v>11</x:v>
      </x:c>
      <x:c r="K14" s="120" t="str">
        <x:v>Internal methodology diverges materially or another framework is standardised.</x:v>
      </x:c>
      <x:c r="L14" s="120" t="str">
        <x:v>Skill Forge Lead</x:v>
      </x:c>
      <x:c r="M14" s="121" t="str">
        <x:v>https://github.com/rebelytics/one-skill-to-rule-them-all</x:v>
      </x:c>
    </x:row>
    <x:row r="15">
      <x:c r="A15" s="113" t="str">
        <x:v>BBD-011</x:v>
      </x:c>
      <x:c r="B15" s="114" t="str">
        <x:v>Employee monitoring vendor</x:v>
      </x:c>
      <x:c r="C15" s="114" t="str">
        <x:v>Commodity screenshots, keystrokes, app/web and idle tracking.</x:v>
      </x:c>
      <x:c r="D15" s="114" t="str">
        <x:v>Teramind, Veriato, Hubstaff, Insightful</x:v>
      </x:c>
      <x:c r="E15" s="114" t="str">
        <x:v>Buy; integrate; replace</x:v>
      </x:c>
      <x:c r="F15" s="114" t="str">
        <x:v>Do not use as product core; benchmark as market baseline only</x:v>
      </x:c>
      <x:c r="G15" s="114" t="str">
        <x:v>Low</x:v>
      </x:c>
      <x:c r="H15" s="114" t="str">
        <x:v>Buying may accelerate raw monitoring but creates data-control, differentiation, integration and trust problems.</x:v>
      </x:c>
      <x:c r="I15" s="114" t="str">
        <x:v>Vendor processing, cross-border data and opaque controls require deep due diligence.</x:v>
      </x:c>
      <x:c r="J15" s="114" t="str">
        <x:v>0–1</x:v>
      </x:c>
      <x:c r="K15" s="114" t="str">
        <x:v>A vendor offers on-prem/local-first APIs, strong exclusions and acceptable commercial terms.</x:v>
      </x:c>
      <x:c r="L15" s="114" t="str">
        <x:v>Product/Procurement</x:v>
      </x:c>
      <x:c r="M15" s="115" t="str">
        <x:v>https://www.teramind.co/solutions/employee-monitoring/</x:v>
      </x:c>
    </x:row>
    <x:row r="16">
      <x:c r="A16" s="119" t="str">
        <x:v>BBD-012</x:v>
      </x:c>
      <x:c r="B16" s="120" t="str">
        <x:v>Task/process mining engine</x:v>
      </x:c>
      <x:c r="C16" s="120" t="str">
        <x:v>Discover workflows and process variants.</x:v>
      </x:c>
      <x:c r="D16" s="120" t="str">
        <x:v>UiPath, ABBYY, Soroco, Workfellow</x:v>
      </x:c>
      <x:c r="E16" s="120" t="str">
        <x:v>Buy; partner; build targeted episode mining</x:v>
      </x:c>
      <x:c r="F16" s="120" t="str">
        <x:v>Build targeted task-assurance analytics; consider enterprise connectors later</x:v>
      </x:c>
      <x:c r="G16" s="120" t="str">
        <x:v>High</x:v>
      </x:c>
      <x:c r="H16" s="120" t="str">
        <x:v>Nessovo evaluates assigned-task outcome and capability, not only process discovery.</x:v>
      </x:c>
      <x:c r="I16" s="120" t="str">
        <x:v>Commercial platforms may become data sources/partners, not foundational dependencies.</x:v>
      </x:c>
      <x:c r="J16" s="120" t="str">
        <x:v>7+</x:v>
      </x:c>
      <x:c r="K16" s="120" t="str">
        <x:v>A customer already standardises on a task-mining platform and requests integration.</x:v>
      </x:c>
      <x:c r="L16" s="120" t="str">
        <x:v>Product Strategy</x:v>
      </x:c>
      <x:c r="M16" s="121" t="str">
        <x:v>https://docs.uipath.com/</x:v>
      </x:c>
    </x:row>
    <x:row r="17">
      <x:c r="A17" s="113" t="str">
        <x:v>BBD-013</x:v>
      </x:c>
      <x:c r="B17" s="114" t="str">
        <x:v>Skills intelligence platform</x:v>
      </x:c>
      <x:c r="C17" s="114" t="str">
        <x:v>Role skill graph, inferred skills and learning recommendations.</x:v>
      </x:c>
      <x:c r="D17" s="114" t="str">
        <x:v>Workday/TechWolf, Eightfold, Gloat, Degreed</x:v>
      </x:c>
      <x:c r="E17" s="114" t="str">
        <x:v>Buy; integrate HRIS; build capability evidence core</x:v>
      </x:c>
      <x:c r="F17" s="114" t="str">
        <x:v>Build HumanOS Capability Graph; integrate HRIS/LMS content later</x:v>
      </x:c>
      <x:c r="G17" s="114" t="str">
        <x:v>High</x:v>
      </x:c>
      <x:c r="H17" s="114" t="str">
        <x:v>Evidence from observed work and task contracts is central to Nessovo differentiation.</x:v>
      </x:c>
      <x:c r="I17" s="114" t="str">
        <x:v>Employment AI and fairness risks; avoid opaque inferred-skill imports.</x:v>
      </x:c>
      <x:c r="J17" s="114" t="str">
        <x:v>8–9</x:v>
      </x:c>
      <x:c r="K17" s="114" t="str">
        <x:v>Enterprise customer mandates an existing skills platform as system of record.</x:v>
      </x:c>
      <x:c r="L17" s="114" t="str">
        <x:v>Capability Product Lead</x:v>
      </x:c>
      <x:c r="M17" s="115" t="str">
        <x:v>https://www.techwolf.ai/</x:v>
      </x:c>
    </x:row>
    <x:row r="18">
      <x:c r="A18" s="119" t="str">
        <x:v>BBD-014</x:v>
      </x:c>
      <x:c r="B18" s="120" t="str">
        <x:v>Learning content catalogue</x:v>
      </x:c>
      <x:c r="C18" s="120" t="str">
        <x:v>Provide courses, lessons and assessments after gaps are identified.</x:v>
      </x:c>
      <x:c r="D18" s="120" t="str">
        <x:v>LMS and content vendors</x:v>
      </x:c>
      <x:c r="E18" s="120" t="str">
        <x:v>Build all content; buy catalogue; partner</x:v>
      </x:c>
      <x:c r="F18" s="120" t="str">
        <x:v>Build orchestration and evidence loop; buy/partner content selectively</x:v>
      </x:c>
      <x:c r="G18" s="120" t="str">
        <x:v>Medium</x:v>
      </x:c>
      <x:c r="H18" s="120" t="str">
        <x:v>Gap diagnosis and application-to-work evidence are proprietary; generic content is not.</x:v>
      </x:c>
      <x:c r="I18" s="120" t="str">
        <x:v>Content licence, localisation and quality must be reviewed.</x:v>
      </x:c>
      <x:c r="J18" s="120" t="str">
        <x:v>9+</x:v>
      </x:c>
      <x:c r="K18" s="120" t="str">
        <x:v>Internal content library is sufficient or a strategic content partnership is selected.</x:v>
      </x:c>
      <x:c r="L18" s="120" t="str">
        <x:v>L&amp;D Lead</x:v>
      </x:c>
      <x:c r="M18" s="121" t="str">
        <x:v>https://www.degreed.com/</x:v>
      </x:c>
    </x:row>
    <x:row r="19">
      <x:c r="A19" s="113" t="str">
        <x:v>BBD-015</x:v>
      </x:c>
      <x:c r="B19" s="114" t="str">
        <x:v>Task Assurance Engine</x:v>
      </x:c>
      <x:c r="C19" s="114" t="str">
        <x:v>Evaluate task alignment, progress, quality and acceptance criteria.</x:v>
      </x:c>
      <x:c r="D19" s="114" t="str">
        <x:v>No single direct equivalent found; task mining and developer analytics are partial</x:v>
      </x:c>
      <x:c r="E19" s="114" t="str">
        <x:v>Build; compose commercial rules; outsource AI</x:v>
      </x:c>
      <x:c r="F19" s="114" t="str">
        <x:v>Build as proprietary HumanOS core</x:v>
      </x:c>
      <x:c r="G19" s="114" t="str">
        <x:v>Very High</x:v>
      </x:c>
      <x:c r="H19" s="114" t="str">
        <x:v>This is the principal product intelligence layer and must be explainable, domain-extensible and evidence-linked.</x:v>
      </x:c>
      <x:c r="I19" s="114" t="str">
        <x:v>Models may be third party, but decision logic, prompts/evals and evidence contracts remain Nessovo-controlled.</x:v>
      </x:c>
      <x:c r="J19" s="114" t="str">
        <x:v>7</x:v>
      </x:c>
      <x:c r="K19" s="114" t="str">
        <x:v>None unless an enterprise-standard assurance platform emerges.</x:v>
      </x:c>
      <x:c r="L19" s="114" t="str">
        <x:v>Product/AI Lead</x:v>
      </x:c>
      <x:c r="M19" s="115" t="str">
        <x:v>Internal proprietary</x:v>
      </x:c>
    </x:row>
    <x:row r="20">
      <x:c r="A20" s="119" t="str">
        <x:v>BBD-016</x:v>
      </x:c>
      <x:c r="B20" s="120" t="str">
        <x:v>Human/AI/automation provenance graph</x:v>
      </x:c>
      <x:c r="C20" s="120" t="str">
        <x:v>Trace cause from human input through agents, tools, processes and artefacts.</x:v>
      </x:c>
      <x:c r="D20" s="120" t="str">
        <x:v>OTel GenAI, Codex hooks, GitClear-style attribution</x:v>
      </x:c>
      <x:c r="E20" s="120" t="str">
        <x:v>Build; use observability backend; buy code attribution</x:v>
      </x:c>
      <x:c r="F20" s="120" t="str">
        <x:v>Build proprietary provenance model using open standards where possible</x:v>
      </x:c>
      <x:c r="G20" s="120" t="str">
        <x:v>Very High</x:v>
      </x:c>
      <x:c r="H20" s="120" t="str">
        <x:v>Cross-surface causal attribution is a key moat and required for fair credit and idle classification.</x:v>
      </x:c>
      <x:c r="I20" s="120" t="str">
        <x:v>Avoid copying sensitive prompt content into telemetry systems.</x:v>
      </x:c>
      <x:c r="J20" s="120" t="str">
        <x:v>6–7</x:v>
      </x:c>
      <x:c r="K20" s="120" t="str">
        <x:v>Industry standards mature enough to represent complete work causality.</x:v>
      </x:c>
      <x:c r="L20" s="120" t="str">
        <x:v>Data/AI Architect</x:v>
      </x:c>
      <x:c r="M20" s="121" t="str">
        <x:v>https://opentelemetry.io/docs/specs/semconv/registry/attributes/gen-ai/</x:v>
      </x:c>
    </x:row>
    <x:row r="21">
      <x:c r="A21" s="113" t="str">
        <x:v>BBD-017</x:v>
      </x:c>
      <x:c r="B21" s="114" t="str">
        <x:v>Capability Graph and role readiness</x:v>
      </x:c>
      <x:c r="C21" s="114" t="str">
        <x:v>Link job requirements, tasks, evidence, autonomy and learning.</x:v>
      </x:c>
      <x:c r="D21" s="114" t="str">
        <x:v>SFIA, HR skills platforms</x:v>
      </x:c>
      <x:c r="E21" s="114" t="str">
        <x:v>Use external framework; buy skills platform; build</x:v>
      </x:c>
      <x:c r="F21" s="114" t="str">
        <x:v>Build core ontology; map external frameworks as references</x:v>
      </x:c>
      <x:c r="G21" s="114" t="str">
        <x:v>Very High</x:v>
      </x:c>
      <x:c r="H21" s="114" t="str">
        <x:v>Nessovo capability evidence and game-like progression depend on a transparent, extensible core model.</x:v>
      </x:c>
      <x:c r="I21" s="114" t="str">
        <x:v>Employment fairness, protected-trait exclusion and human review are mandatory.</x:v>
      </x:c>
      <x:c r="J21" s="114" t="str">
        <x:v>2,8</x:v>
      </x:c>
      <x:c r="K21" s="114" t="str">
        <x:v>A regulatory/industry framework becomes a mandatory system of record.</x:v>
      </x:c>
      <x:c r="L21" s="114" t="str">
        <x:v>Capability Product Lead</x:v>
      </x:c>
      <x:c r="M21" s="115" t="str">
        <x:v>https://sfia-online.org/</x:v>
      </x:c>
    </x:row>
    <x:row r="22">
      <x:c r="A22" s="119" t="str">
        <x:v>BBD-018</x:v>
      </x:c>
      <x:c r="B22" s="120" t="str">
        <x:v>Growth Coach</x:v>
      </x:c>
      <x:c r="C22" s="120" t="str">
        <x:v>Real-time contextual support and adaptive training.</x:v>
      </x:c>
      <x:c r="D22" s="120" t="str">
        <x:v>Copilots, LMS assistants, workforce coaching tools</x:v>
      </x:c>
      <x:c r="E22" s="120" t="str">
        <x:v>Buy chatbot; build; use model APIs</x:v>
      </x:c>
      <x:c r="F22" s="120" t="str">
        <x:v>Build HumanOS coaching orchestration and evaluations on approved model gateway</x:v>
      </x:c>
      <x:c r="G22" s="120" t="str">
        <x:v>High</x:v>
      </x:c>
      <x:c r="H22" s="120" t="str">
        <x:v>Task evidence, capability gaps and intervention effectiveness create proprietary context.</x:v>
      </x:c>
      <x:c r="I22" s="120" t="str">
        <x:v>Avoid over-coaching, manipulation and unreviewed high-impact advice.</x:v>
      </x:c>
      <x:c r="J22" s="120" t="str">
        <x:v>9</x:v>
      </x:c>
      <x:c r="K22" s="120" t="str">
        <x:v>A coaching platform supports HumanOS evidence and governance contracts.</x:v>
      </x:c>
      <x:c r="L22" s="120" t="str">
        <x:v>AI/L&amp;D Lead</x:v>
      </x:c>
      <x:c r="M22" s="121" t="str">
        <x:v>Internal proprietary</x:v>
      </x:c>
    </x:row>
    <x:row r="23">
      <x:c r="A23" s="113" t="str">
        <x:v>BBD-019</x:v>
      </x:c>
      <x:c r="B23" s="114" t="str">
        <x:v>Skill Forge</x:v>
      </x:c>
      <x:c r="C23" s="114" t="str">
        <x:v>Improve prompts, plugins, evaluators and methods through observed feedback.</x:v>
      </x:c>
      <x:c r="D23" s="114" t="str">
        <x:v>Claude-Mem, Task Observer, Record &amp; Replay</x:v>
      </x:c>
      <x:c r="E23" s="114" t="str">
        <x:v>Integrate; adapt; build</x:v>
      </x:c>
      <x:c r="F23" s="114" t="str">
        <x:v>Build governed HumanOS Skill Forge using referenced patterns</x:v>
      </x:c>
      <x:c r="G23" s="114" t="str">
        <x:v>Very High</x:v>
      </x:c>
      <x:c r="H23" s="114" t="str">
        <x:v>Cross-vertical skill lifecycle, evaluation, approval and rollback are strategic HumanOS capabilities.</x:v>
      </x:c>
      <x:c r="I23" s="114" t="str">
        <x:v>Attribution/licence and confidential-data separation required.</x:v>
      </x:c>
      <x:c r="J23" s="114" t="str">
        <x:v>11</x:v>
      </x:c>
      <x:c r="K23" s="114" t="str">
        <x:v>HumanOS adopts a compatible enterprise skill registry/evaluation platform.</x:v>
      </x:c>
      <x:c r="L23" s="114" t="str">
        <x:v>AI Platform Lead</x:v>
      </x:c>
      <x:c r="M23" s="115" t="str">
        <x:v>https://github.com/rebelytics/one-skill-to-rule-them-all</x:v>
      </x:c>
    </x:row>
    <x:row r="24">
      <x:c r="A24" s="119" t="str">
        <x:v>BBD-020</x:v>
      </x:c>
      <x:c r="B24" s="120" t="str">
        <x:v>Event streaming backbone</x:v>
      </x:c>
      <x:c r="C24" s="120" t="str">
        <x:v>Durable, replayable, partitioned evidence and domain event flow.</x:v>
      </x:c>
      <x:c r="D24" s="120" t="str">
        <x:v>Apache Kafka / compatible managed services</x:v>
      </x:c>
      <x:c r="E24" s="120" t="str">
        <x:v>Operate Kafka; buy managed Kafka; use existing HumanOS event bus</x:v>
      </x:c>
      <x:c r="F24" s="120" t="str">
        <x:v>Reuse HumanOS Kafka-compatible bus; managed service depends on deployment</x:v>
      </x:c>
      <x:c r="G24" s="120" t="str">
        <x:v>Low</x:v>
      </x:c>
      <x:c r="H24" s="120" t="str">
        <x:v>Commodity infrastructure; HumanOS event semantics are the differentiator.</x:v>
      </x:c>
      <x:c r="I24" s="120" t="str">
        <x:v>Data residency, encryption and operations model need review.</x:v>
      </x:c>
      <x:c r="J24" s="120" t="str">
        <x:v>4</x:v>
      </x:c>
      <x:c r="K24" s="120" t="str">
        <x:v>Existing HumanOS event bus lacks ordering, replay or scale requirements.</x:v>
      </x:c>
      <x:c r="L24" s="120" t="str">
        <x:v>Platform Architect</x:v>
      </x:c>
      <x:c r="M24" s="121" t="str">
        <x:v>https://kafka.apache.org/documentation/</x:v>
      </x:c>
    </x:row>
    <x:row r="25">
      <x:c r="A25" s="113" t="str">
        <x:v>BBD-021</x:v>
      </x:c>
      <x:c r="B25" s="114" t="str">
        <x:v>Event envelope and schema governance</x:v>
      </x:c>
      <x:c r="C25" s="114" t="str">
        <x:v>Interoperable event metadata, versioning and contracts.</x:v>
      </x:c>
      <x:c r="D25" s="114" t="str">
        <x:v>CloudEvents, JSON Schema/Avro/Protobuf, schema registry</x:v>
      </x:c>
      <x:c r="E25" s="114" t="str">
        <x:v>Adopt standard; invent proprietary envelope</x:v>
      </x:c>
      <x:c r="F25" s="114" t="str">
        <x:v>Adopt CloudEvents-style envelope plus Nessovo domain schemas</x:v>
      </x:c>
      <x:c r="G25" s="114" t="str">
        <x:v>Low/Medium</x:v>
      </x:c>
      <x:c r="H25" s="114" t="str">
        <x:v>Standard envelope reduces integration cost; semantic model remains proprietary.</x:v>
      </x:c>
      <x:c r="I25" s="114" t="str">
        <x:v>Do not place sensitive content in envelope attributes.</x:v>
      </x:c>
      <x:c r="J25" s="114" t="str">
        <x:v>4</x:v>
      </x:c>
      <x:c r="K25" s="114" t="str">
        <x:v>Existing HumanOS event contract already satisfies equivalent requirements.</x:v>
      </x:c>
      <x:c r="L25" s="114" t="str">
        <x:v>Data Architect</x:v>
      </x:c>
      <x:c r="M25" s="115" t="str">
        <x:v>https://cloudevents.io/</x:v>
      </x:c>
    </x:row>
    <x:row r="26">
      <x:c r="A26" s="119" t="str">
        <x:v>BBD-022</x:v>
      </x:c>
      <x:c r="B26" s="120" t="str">
        <x:v>Policy engine</x:v>
      </x:c>
      <x:c r="C26" s="120" t="str">
        <x:v>Capture, access, jurisdiction and skill-deployment decisions.</x:v>
      </x:c>
      <x:c r="D26" s="120" t="str">
        <x:v>Open Policy Agent</x:v>
      </x:c>
      <x:c r="E26" s="120" t="str">
        <x:v>Use existing HumanOS policy; add OPA; embed rules</x:v>
      </x:c>
      <x:c r="F26" s="120" t="str">
        <x:v>Reuse HumanOS policy service; benchmark OPA for declarative decisions</x:v>
      </x:c>
      <x:c r="G26" s="120" t="str">
        <x:v>Medium</x:v>
      </x:c>
      <x:c r="H26" s="120" t="str">
        <x:v>Policy content is Nessovo-specific; engine is commodity.</x:v>
      </x:c>
      <x:c r="I26" s="120" t="str">
        <x:v>Decision logs can themselves be sensitive; central bundle security required.</x:v>
      </x:c>
      <x:c r="J26" s="120" t="str">
        <x:v>0–4</x:v>
      </x:c>
      <x:c r="K26" s="120" t="str">
        <x:v>Existing policy service cannot express or distribute required rules.</x:v>
      </x:c>
      <x:c r="L26" s="120" t="str">
        <x:v>Security Architect</x:v>
      </x:c>
      <x:c r="M26" s="121" t="str">
        <x:v>https://www.openpolicyagent.org/docs</x:v>
      </x:c>
    </x:row>
    <x:row r="27">
      <x:c r="A27" s="113" t="str">
        <x:v>BBD-023</x:v>
      </x:c>
      <x:c r="B27" s="114" t="str">
        <x:v>Operational and AI observability</x:v>
      </x:c>
      <x:c r="C27" s="114" t="str">
        <x:v>Service traces, metrics, logs and model-operation visibility.</x:v>
      </x:c>
      <x:c r="D27" s="114" t="str">
        <x:v>OpenTelemetry</x:v>
      </x:c>
      <x:c r="E27" s="114" t="str">
        <x:v>Adopt OTel; vendor-specific agents</x:v>
      </x:c>
      <x:c r="F27" s="114" t="str">
        <x:v>Adopt OpenTelemetry with strict content policy</x:v>
      </x:c>
      <x:c r="G27" s="114" t="str">
        <x:v>Low</x:v>
      </x:c>
      <x:c r="H27" s="114" t="str">
        <x:v>Standard operational telemetry enables portability; raw worker evidence remains separate.</x:v>
      </x:c>
      <x:c r="I27" s="114" t="str">
        <x:v>GenAI input/output can contain sensitive data and must be opt-in/filterable.</x:v>
      </x:c>
      <x:c r="J27" s="114" t="str">
        <x:v>3+</x:v>
      </x:c>
      <x:c r="K27" s="114" t="str">
        <x:v>Existing HumanOS observability standard is equivalent and fully compatible.</x:v>
      </x:c>
      <x:c r="L27" s="114" t="str">
        <x:v>SRE/AI Platform</x:v>
      </x:c>
      <x:c r="M27" s="115" t="str">
        <x:v>https://opentelemetry.io/docs/</x:v>
      </x:c>
    </x:row>
    <x:row r="28">
      <x:c r="A28" s="119" t="str">
        <x:v>BBD-024</x:v>
      </x:c>
      <x:c r="B28" s="120" t="str">
        <x:v>Transactional evidence metadata store</x:v>
      </x:c>
      <x:c r="C28" s="120" t="str">
        <x:v>Sessions, tasks, events, reviews, capabilities and policy state.</x:v>
      </x:c>
      <x:c r="D28" s="120" t="str">
        <x:v>PostgreSQL</x:v>
      </x:c>
      <x:c r="E28" s="120" t="str">
        <x:v>PostgreSQL; document DB; distributed DB</x:v>
      </x:c>
      <x:c r="F28" s="120" t="str">
        <x:v>Use existing HumanOS PostgreSQL standard</x:v>
      </x:c>
      <x:c r="G28" s="120" t="str">
        <x:v>Low</x:v>
      </x:c>
      <x:c r="H28" s="120" t="str">
        <x:v>Reliable transactional model and tooling; avoid premature specialised stores.</x:v>
      </x:c>
      <x:c r="I28" s="120" t="str">
        <x:v>Tenant isolation, row-level controls and encryption needed.</x:v>
      </x:c>
      <x:c r="J28" s="120" t="str">
        <x:v>4+</x:v>
      </x:c>
      <x:c r="K28" s="120" t="str">
        <x:v>Measured scale or query profile exceeds the platform.</x:v>
      </x:c>
      <x:c r="L28" s="120" t="str">
        <x:v>Data Architect</x:v>
      </x:c>
      <x:c r="M28" s="121" t="str">
        <x:v>https://www.postgresql.org/</x:v>
      </x:c>
    </x:row>
    <x:row r="29">
      <x:c r="A29" s="113" t="str">
        <x:v>BBD-025</x:v>
      </x:c>
      <x:c r="B29" s="114" t="str">
        <x:v>Evidence object store</x:v>
      </x:c>
      <x:c r="C29" s="114" t="str">
        <x:v>Screenshots, redacted content, artefact snapshots and exports.</x:v>
      </x:c>
      <x:c r="D29" s="114" t="str">
        <x:v>S3-compatible object storage / MinIO</x:v>
      </x:c>
      <x:c r="E29" s="114" t="str">
        <x:v>Managed object storage; self-hosted; database blobs</x:v>
      </x:c>
      <x:c r="F29" s="114" t="str">
        <x:v>Reuse HumanOS object storage with per-object policy and retention</x:v>
      </x:c>
      <x:c r="G29" s="114" t="str">
        <x:v>Low/Medium</x:v>
      </x:c>
      <x:c r="H29" s="114" t="str">
        <x:v>Content-addressing, encryption and policy metadata are Nessovo design value.</x:v>
      </x:c>
      <x:c r="I29" s="114" t="str">
        <x:v>Regional residency, malware scanning and legal holds required.</x:v>
      </x:c>
      <x:c r="J29" s="114" t="str">
        <x:v>4+</x:v>
      </x:c>
      <x:c r="K29" s="114" t="str">
        <x:v>HumanOS object service cannot support policy/retention/audit needs.</x:v>
      </x:c>
      <x:c r="L29" s="114" t="str">
        <x:v>Platform/Data</x:v>
      </x:c>
      <x:c r="M29" s="115" t="str">
        <x:v>https://min.io/</x:v>
      </x:c>
    </x:row>
    <x:row r="30">
      <x:c r="A30" s="122" t="str">
        <x:v>BBD-026</x:v>
      </x:c>
      <x:c r="B30" s="123" t="str">
        <x:v>Graph database</x:v>
      </x:c>
      <x:c r="C30" s="123" t="str">
        <x:v>Complex causal and capability graph traversal.</x:v>
      </x:c>
      <x:c r="D30" s="123" t="str">
        <x:v>Neo4j, JanusGraph, Amazon Neptune</x:v>
      </x:c>
      <x:c r="E30" s="123" t="str">
        <x:v>Adopt now; PostgreSQL relations; graph projection</x:v>
      </x:c>
      <x:c r="F30" s="123" t="str">
        <x:v>Defer; model graph logically in PostgreSQL first</x:v>
      </x:c>
      <x:c r="G30" s="123" t="str">
        <x:v>Medium</x:v>
      </x:c>
      <x:c r="H30" s="123" t="str">
        <x:v>Graph queries may matter later, but early dedicated infrastructure adds complexity before query evidence.</x:v>
      </x:c>
      <x:c r="I30" s="123" t="str">
        <x:v>Licence/managed-service lock-in and operational burden.</x:v>
      </x:c>
      <x:c r="J30" s="123" t="str">
        <x:v>7–8</x:v>
      </x:c>
      <x:c r="K30" s="123" t="str">
        <x:v>Benchmarks show repeated multi-hop queries cannot meet requirements in PostgreSQL.</x:v>
      </x:c>
      <x:c r="L30" s="123" t="str">
        <x:v>Data Architect</x:v>
      </x:c>
      <x:c r="M30" s="124" t="str">
        <x:v>https://neo4j.com/</x:v>
      </x:c>
    </x:row>
  </x:sheetData>
  <x:mergeCells>
    <x:mergeCell ref="A1:M1"/>
    <x:mergeCell ref="A2:M2"/>
  </x:mergeCells>
  <x:dataValidations count="1">
    <x:dataValidation type="list" sqref="F5:F30">
      <x:formula1>"Build proprietary core; benchmark references,Build compatible pattern; inspect MPL obligations,Build OS-native adapters; benchmark OCR libraries,Build native capture; benchmark Screenpipe performance,Defer runtime replay; adopt evidence and governed-teaching concepts,Build minimal HumanOS browser extension,Build shell/PTY adapter SDK,Integrate official hooks first; provide normalising adapter hub,Build HumanOS memory service using hook/worker/search pattern,Adapt methodology with attribution and governed Skill Forge,Do not use as product core; benchmark as market baseline only,Build targeted task-assurance analytics; consider enterprise connectors later,Build HumanOS Capability Graph; integrate HRIS/LMS content later,Build orchestration and evidence loop; buy/partner content selectively,Build as proprietary HumanOS core,Build proprietary provenance model using open standards where possible,Build core ontology; map external frameworks as references,Build HumanOS coaching orchestration and evaluations on approved model gateway,Build governed HumanOS Skill Forge using referenced patterns,Reuse HumanOS Kafka-compatible bus; managed service depends on deployment,Adopt CloudEvents-style envelope plus Nessovo domain schemas,Reuse HumanOS policy service; benchmark OPA for declarative decisions,Adopt OpenTelemetry with strict content policy,Use existing HumanOS PostgreSQL standard,Reuse HumanOS object storage with per-object policy and retention,Defer; model graph logically in PostgreSQL first"</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18" hidden="0" customWidth="1"/>
    <x:col min="3" max="3" width="30" hidden="0" customWidth="1"/>
    <x:col min="4" max="4" width="48" hidden="0" customWidth="1"/>
    <x:col min="5" max="5" width="24" hidden="0" customWidth="1"/>
    <x:col min="6" max="6" width="30" hidden="0" customWidth="1"/>
    <x:col min="7" max="7" width="32" hidden="0" customWidth="1"/>
    <x:col min="8" max="8" width="34" hidden="0" customWidth="1"/>
    <x:col min="9" max="9" width="28" hidden="0" customWidth="1"/>
    <x:col min="10" max="10" width="25" hidden="0" customWidth="1"/>
    <x:col min="11" max="11" width="14" hidden="0" customWidth="1"/>
    <x:col min="12" max="12" width="42" hidden="0" customWidth="1"/>
    <x:col min="13" max="13" width="38" hidden="0" customWidth="1"/>
  </x:cols>
  <x:sheetData>
    <x:row r="1" ht="30" customHeight="1">
      <x:c r="A1" s="72" t="str">
        <x:v>HumanOS Work Intelligence — Reference Architecture</x:v>
      </x:c>
      <x:c r="B1" s="72"/>
      <x:c r="C1" s="72"/>
      <x:c r="D1" s="72"/>
      <x:c r="E1" s="72"/>
      <x:c r="F1" s="72"/>
      <x:c r="G1" s="72"/>
      <x:c r="H1" s="72"/>
      <x:c r="I1" s="72"/>
      <x:c r="J1" s="72"/>
      <x:c r="K1" s="72"/>
      <x:c r="L1" s="72"/>
      <x:c r="M1" s="72"/>
    </x:row>
    <x:row r="2" ht="34" customHeight="1">
      <x:c r="A2" s="76" t="str">
        <x:v>Stage 1 architecture draft. Logical bounded contexts are broader than initial deployables to avoid premature nano-services. Existing HumanOS foundation services remain authoritative where suitable.</x:v>
      </x:c>
      <x:c r="B2" s="76"/>
      <x:c r="C2" s="76"/>
      <x:c r="D2" s="76"/>
      <x:c r="E2" s="76"/>
      <x:c r="F2" s="76"/>
      <x:c r="G2" s="76"/>
      <x:c r="H2" s="76"/>
      <x:c r="I2" s="76"/>
      <x:c r="J2" s="76"/>
      <x:c r="K2" s="76"/>
      <x:c r="L2" s="76"/>
      <x:c r="M2" s="76"/>
    </x:row>
    <x:row r="4" ht="28" customHeight="1">
      <x:c r="A4" s="88" t="str">
        <x:v>ID</x:v>
      </x:c>
      <x:c r="B4" s="89" t="str">
        <x:v>Layer</x:v>
      </x:c>
      <x:c r="C4" s="89" t="str">
        <x:v>Component / bounded context</x:v>
      </x:c>
      <x:c r="D4" s="89" t="str">
        <x:v>Primary responsibility</x:v>
      </x:c>
      <x:c r="E4" s="89" t="str">
        <x:v>Primary runtime</x:v>
      </x:c>
      <x:c r="F4" s="89" t="str">
        <x:v>Primary data</x:v>
      </x:c>
      <x:c r="G4" s="89" t="str">
        <x:v>Consumes / receives</x:v>
      </x:c>
      <x:c r="H4" s="89" t="str">
        <x:v>Publishes / exposes</x:v>
      </x:c>
      <x:c r="I4" s="89" t="str">
        <x:v>HumanOS reuse</x:v>
      </x:c>
      <x:c r="J4" s="89" t="str">
        <x:v>Initial deployment boundary</x:v>
      </x:c>
      <x:c r="K4" s="89" t="str">
        <x:v>Delivery stage</x:v>
      </x:c>
      <x:c r="L4" s="89" t="str">
        <x:v>Decision / scale trigger</x:v>
      </x:c>
      <x:c r="M4" s="90" t="str">
        <x:v>Source / basis</x:v>
      </x:c>
    </x:row>
    <x:row r="5">
      <x:c r="A5" s="110" t="str">
        <x:v>ARC-001</x:v>
      </x:c>
      <x:c r="B5" s="111" t="str">
        <x:v>Device edge</x:v>
      </x:c>
      <x:c r="C5" s="111" t="str">
        <x:v>Native Device Agent Core</x:v>
      </x:c>
      <x:c r="D5" s="111" t="str">
        <x:v>Policy-controlled session state, event correlation, local encryption, batching, offline queue, health and update coordination.</x:v>
      </x:c>
      <x:c r="E5" s="111" t="str">
        <x:v>Rust shared core</x:v>
      </x:c>
      <x:c r="F5" s="111" t="str">
        <x:v>Encrypted SQLite/SQLCipher-style journal + content cache</x:v>
      </x:c>
      <x:c r="G5" s="111" t="str">
        <x:v>Signed policy bundles, session commands, adapter events</x:v>
      </x:c>
      <x:c r="H5" s="111" t="str">
        <x:v>Signed event batches, health, telemetry gaps</x:v>
      </x:c>
      <x:c r="I5" s="111" t="str">
        <x:v>Device identity, policy, secrets, audit</x:v>
      </x:c>
      <x:c r="J5" s="111" t="str">
        <x:v>Endpoint binary</x:v>
      </x:c>
      <x:c r="K5" s="111" t="str">
        <x:v>3–6</x:v>
      </x:c>
      <x:c r="L5" s="111" t="str">
        <x:v>Separate from cloud services; no Python always-on core.</x:v>
      </x:c>
      <x:c r="M5" s="112" t="str">
        <x:v>OpenAdapt/Screenpipe patterns + Nessovo security requirements</x:v>
      </x:c>
    </x:row>
    <x:row r="6">
      <x:c r="A6" s="119" t="str">
        <x:v>ARC-002</x:v>
      </x:c>
      <x:c r="B6" s="120" t="str">
        <x:v>Device edge</x:v>
      </x:c>
      <x:c r="C6" s="120" t="str">
        <x:v>Windows Native Bridge</x:v>
      </x:c>
      <x:c r="D6" s="120" t="str">
        <x:v>Foreground window, process, UI Automation, capture permissions, input provenance and secure-control detection.</x:v>
      </x:c>
      <x:c r="E6" s="120" t="str">
        <x:v>Rust FFI + C#/C++ as required</x:v>
      </x:c>
      <x:c r="F6" s="120" t="str">
        <x:v>In-memory / local journal</x:v>
      </x:c>
      <x:c r="G6" s="120" t="str">
        <x:v>Windows APIs</x:v>
      </x:c>
      <x:c r="H6" s="120" t="str">
        <x:v>Normalised device events</x:v>
      </x:c>
      <x:c r="I6" s="120" t="str">
        <x:v>Device policy</x:v>
      </x:c>
      <x:c r="J6" s="120" t="str">
        <x:v>Endpoint module</x:v>
      </x:c>
      <x:c r="K6" s="120" t="str">
        <x:v>3–6</x:v>
      </x:c>
      <x:c r="L6" s="120" t="str">
        <x:v>Native bridge only; shared semantics remain in Rust core.</x:v>
      </x:c>
      <x:c r="M6" s="121" t="str">
        <x:v>Microsoft UI Automation / ETW / Win32</x:v>
      </x:c>
    </x:row>
    <x:row r="7">
      <x:c r="A7" s="113" t="str">
        <x:v>ARC-003</x:v>
      </x:c>
      <x:c r="B7" s="114" t="str">
        <x:v>Device edge</x:v>
      </x:c>
      <x:c r="C7" s="114" t="str">
        <x:v>macOS Native Bridge</x:v>
      </x:c>
      <x:c r="D7" s="114" t="str">
        <x:v>ScreenCaptureKit, accessibility, application/window events, event monitoring and secure-input awareness.</x:v>
      </x:c>
      <x:c r="E7" s="114" t="str">
        <x:v>Swift/Objective-C + Rust FFI</x:v>
      </x:c>
      <x:c r="F7" s="114" t="str">
        <x:v>In-memory / local journal</x:v>
      </x:c>
      <x:c r="G7" s="114" t="str">
        <x:v>macOS APIs and permissions</x:v>
      </x:c>
      <x:c r="H7" s="114" t="str">
        <x:v>Normalised device events</x:v>
      </x:c>
      <x:c r="I7" s="114" t="str">
        <x:v>Device policy</x:v>
      </x:c>
      <x:c r="J7" s="114" t="str">
        <x:v>Endpoint module</x:v>
      </x:c>
      <x:c r="K7" s="114" t="str">
        <x:v>3–6</x:v>
      </x:c>
      <x:c r="L7" s="114" t="str">
        <x:v>Requires signed/notarised build and explicit TCC permissions.</x:v>
      </x:c>
      <x:c r="M7" s="115" t="str">
        <x:v>Apple ScreenCaptureKit / Accessibility</x:v>
      </x:c>
    </x:row>
    <x:row r="8">
      <x:c r="A8" s="119" t="str">
        <x:v>ARC-004</x:v>
      </x:c>
      <x:c r="B8" s="120" t="str">
        <x:v>Device edge</x:v>
      </x:c>
      <x:c r="C8" s="120" t="str">
        <x:v>Linux Adapter</x:v>
      </x:c>
      <x:c r="D8" s="120" t="str">
        <x:v>Future platform support under Wayland/X11 capability constraints.</x:v>
      </x:c>
      <x:c r="E8" s="120" t="str">
        <x:v>Rust + portal/compositor adapters</x:v>
      </x:c>
      <x:c r="F8" s="120" t="str">
        <x:v>Local journal</x:v>
      </x:c>
      <x:c r="G8" s="120" t="str">
        <x:v>Wayland portals / X11</x:v>
      </x:c>
      <x:c r="H8" s="120" t="str">
        <x:v>Capability-scoped events</x:v>
      </x:c>
      <x:c r="I8" s="120" t="str">
        <x:v>Device policy</x:v>
      </x:c>
      <x:c r="J8" s="120" t="str">
        <x:v>Deferred endpoint module</x:v>
      </x:c>
      <x:c r="K8" s="120" t="str">
        <x:v>Later</x:v>
      </x:c>
      <x:c r="L8" s="120" t="str">
        <x:v>Defer from initial pilot; do not claim parity.</x:v>
      </x:c>
      <x:c r="M8" s="121" t="str">
        <x:v>Wayland input/screen security model</x:v>
      </x:c>
    </x:row>
    <x:row r="9">
      <x:c r="A9" s="113" t="str">
        <x:v>ARC-005</x:v>
      </x:c>
      <x:c r="B9" s="114" t="str">
        <x:v>Device edge</x:v>
      </x:c>
      <x:c r="C9" s="114" t="str">
        <x:v>Browser Extension</x:v>
      </x:c>
      <x:c r="D9" s="114" t="str">
        <x:v>Active tab/domain/navigation, approved page metadata, browser task bookmarks and native messaging.</x:v>
      </x:c>
      <x:c r="E9" s="114" t="str">
        <x:v>TypeScript extension</x:v>
      </x:c>
      <x:c r="F9" s="114" t="str">
        <x:v>Browser local state</x:v>
      </x:c>
      <x:c r="G9" s="114" t="str">
        <x:v>Browser extension APIs</x:v>
      </x:c>
      <x:c r="H9" s="114" t="str">
        <x:v>Browser events to native agent</x:v>
      </x:c>
      <x:c r="I9" s="114" t="str">
        <x:v>Policy/exclusion service</x:v>
      </x:c>
      <x:c r="J9" s="114" t="str">
        <x:v>Browser package</x:v>
      </x:c>
      <x:c r="K9" s="114" t="str">
        <x:v>6</x:v>
      </x:c>
      <x:c r="L9" s="114" t="str">
        <x:v>Domain/title by default; URL path/content only allowlisted.</x:v>
      </x:c>
      <x:c r="M9" s="115" t="str">
        <x:v>Chrome/Edge extension APIs</x:v>
      </x:c>
    </x:row>
    <x:row r="10">
      <x:c r="A10" s="119" t="str">
        <x:v>ARC-006</x:v>
      </x:c>
      <x:c r="B10" s="120" t="str">
        <x:v>Device edge</x:v>
      </x:c>
      <x:c r="C10" s="120" t="str">
        <x:v>Adapter SDK</x:v>
      </x:c>
      <x:c r="D10" s="120" t="str">
        <x:v>Common lifecycle contract for IDE, shell, AI agent, simulator and application adapters.</x:v>
      </x:c>
      <x:c r="E10" s="120" t="str">
        <x:v>Rust/TypeScript/Java/Python SDKs</x:v>
      </x:c>
      <x:c r="F10" s="120" t="str">
        <x:v>Local config</x:v>
      </x:c>
      <x:c r="G10" s="120" t="str">
        <x:v>Tool-specific hooks</x:v>
      </x:c>
      <x:c r="H10" s="120" t="str">
        <x:v>Normalised adapter events</x:v>
      </x:c>
      <x:c r="I10" s="120" t="str">
        <x:v>Schema registry / model gateway</x:v>
      </x:c>
      <x:c r="J10" s="120" t="str">
        <x:v>Shared SDK packages</x:v>
      </x:c>
      <x:c r="K10" s="120" t="str">
        <x:v>6</x:v>
      </x:c>
      <x:c r="L10" s="120" t="str">
        <x:v>Versioned, least-privilege adapters.</x:v>
      </x:c>
      <x:c r="M10" s="121" t="str">
        <x:v>Codex hooks / Claude-Mem hook architecture</x:v>
      </x:c>
    </x:row>
    <x:row r="11">
      <x:c r="A11" s="113" t="str">
        <x:v>ARC-007</x:v>
      </x:c>
      <x:c r="B11" s="114" t="str">
        <x:v>Device edge</x:v>
      </x:c>
      <x:c r="C11" s="114" t="str">
        <x:v>Local Policy Evaluator and Cache</x:v>
      </x:c>
      <x:c r="D11" s="114" t="str">
        <x:v>Validate signed capture policy, exclusions, hours, task scope, expiry and fail-safe behaviour.</x:v>
      </x:c>
      <x:c r="E11" s="114" t="str">
        <x:v>Rust; optional embedded policy engine</x:v>
      </x:c>
      <x:c r="F11" s="114" t="str">
        <x:v>Signed policy cache</x:v>
      </x:c>
      <x:c r="G11" s="114" t="str">
        <x:v>Policy bundles</x:v>
      </x:c>
      <x:c r="H11" s="114" t="str">
        <x:v>Allow/deny/redact decisions</x:v>
      </x:c>
      <x:c r="I11" s="114" t="str">
        <x:v>HumanOS policy service</x:v>
      </x:c>
      <x:c r="J11" s="114" t="str">
        <x:v>Endpoint module</x:v>
      </x:c>
      <x:c r="K11" s="114" t="str">
        <x:v>3</x:v>
      </x:c>
      <x:c r="L11" s="114" t="str">
        <x:v>Fail closed for sensitive capture when policy is invalid or expired.</x:v>
      </x:c>
      <x:c r="M11" s="115" t="str">
        <x:v>OPA pattern / Nessovo policy model</x:v>
      </x:c>
    </x:row>
    <x:row r="12">
      <x:c r="A12" s="119" t="str">
        <x:v>ARC-008</x:v>
      </x:c>
      <x:c r="B12" s="120" t="str">
        <x:v>Device edge</x:v>
      </x:c>
      <x:c r="C12" s="120" t="str">
        <x:v>Local Redaction and Secret Guard</x:v>
      </x:c>
      <x:c r="D12" s="120" t="str">
        <x:v>Detect secure controls, secrets and excluded apps/domains before durable storage/upload.</x:v>
      </x:c>
      <x:c r="E12" s="120" t="str">
        <x:v>Rust + local models/rules</x:v>
      </x:c>
      <x:c r="F12" s="120" t="str">
        <x:v>Temporary buffers only</x:v>
      </x:c>
      <x:c r="G12" s="120" t="str">
        <x:v>Raw candidate evidence</x:v>
      </x:c>
      <x:c r="H12" s="120" t="str">
        <x:v>Redacted evidence and suppression events</x:v>
      </x:c>
      <x:c r="I12" s="120" t="str">
        <x:v>DLP/secrets policies</x:v>
      </x:c>
      <x:c r="J12" s="120" t="str">
        <x:v>Endpoint module</x:v>
      </x:c>
      <x:c r="K12" s="120" t="str">
        <x:v>3–5</x:v>
      </x:c>
      <x:c r="L12" s="120" t="str">
        <x:v>Pilot blocking control; raw rejected content is not retained.</x:v>
      </x:c>
      <x:c r="M12" s="121" t="str">
        <x:v>ICO minimisation / Screenpipe PII pattern</x:v>
      </x:c>
    </x:row>
    <x:row r="13">
      <x:c r="A13" s="113" t="str">
        <x:v>ARC-009</x:v>
      </x:c>
      <x:c r="B13" s="114" t="str">
        <x:v>Device edge</x:v>
      </x:c>
      <x:c r="C13" s="114" t="str">
        <x:v>Local Evidence Journal</x:v>
      </x:c>
      <x:c r="D13" s="114" t="str">
        <x:v>Append-only sequence, object hashes, offline durability, retention and safe upload resume.</x:v>
      </x:c>
      <x:c r="E13" s="114" t="str">
        <x:v>Rust</x:v>
      </x:c>
      <x:c r="F13" s="114" t="str">
        <x:v>Encrypted SQLite + content-addressed cache</x:v>
      </x:c>
      <x:c r="G13" s="114" t="str">
        <x:v>Normalised/redacted events</x:v>
      </x:c>
      <x:c r="H13" s="114" t="str">
        <x:v>Batched signed envelopes</x:v>
      </x:c>
      <x:c r="I13" s="114" t="str">
        <x:v>Device/session identity</x:v>
      </x:c>
      <x:c r="J13" s="114" t="str">
        <x:v>Endpoint module</x:v>
      </x:c>
      <x:c r="K13" s="114" t="str">
        <x:v>3–5</x:v>
      </x:c>
      <x:c r="L13" s="114" t="str">
        <x:v>Per-session keys and bounded storage budget.</x:v>
      </x:c>
      <x:c r="M13" s="115" t="str">
        <x:v>Claude-Mem SQLite/WAL pattern + Nessovo requirements</x:v>
      </x:c>
    </x:row>
    <x:row r="14">
      <x:c r="A14" s="119" t="str">
        <x:v>ARC-010</x:v>
      </x:c>
      <x:c r="B14" s="120" t="str">
        <x:v>Control plane</x:v>
      </x:c>
      <x:c r="C14" s="120" t="str">
        <x:v>Device Control &amp; Policy Gateway</x:v>
      </x:c>
      <x:c r="D14" s="120" t="str">
        <x:v>Device registration, certificates, policy distribution, session commands, agent health, revocation and rollout.</x:v>
      </x:c>
      <x:c r="E14" s="120" t="str">
        <x:v>Java 21/25 + Spring Boot</x:v>
      </x:c>
      <x:c r="F14" s="120" t="str">
        <x:v>PostgreSQL</x:v>
      </x:c>
      <x:c r="G14" s="120" t="str">
        <x:v>Device registration/heartbeat</x:v>
      </x:c>
      <x:c r="H14" s="120" t="str">
        <x:v>Policy bundles, session commands, device status API</x:v>
      </x:c>
      <x:c r="I14" s="120" t="str">
        <x:v>IAM, policy, secrets, audit, notification</x:v>
      </x:c>
      <x:c r="J14" s="120" t="str">
        <x:v>Deployable 1</x:v>
      </x:c>
      <x:c r="K14" s="120" t="str">
        <x:v>3–4</x:v>
      </x:c>
      <x:c r="L14" s="120" t="str">
        <x:v>Initial Java deployable; separate if device fleet scale justifies.</x:v>
      </x:c>
      <x:c r="M14" s="121" t="str">
        <x:v>Spring Boot / mTLS / OPA</x:v>
      </x:c>
    </x:row>
    <x:row r="15">
      <x:c r="A15" s="113" t="str">
        <x:v>ARC-011</x:v>
      </x:c>
      <x:c r="B15" s="114" t="str">
        <x:v>Control plane</x:v>
      </x:c>
      <x:c r="C15" s="114" t="str">
        <x:v>Telemetry Ingestion &amp; Schema</x:v>
      </x:c>
      <x:c r="D15" s="114" t="str">
        <x:v>Authenticate signed batches, validate contracts, deduplicate, order by device/session, enforce quotas and publish events.</x:v>
      </x:c>
      <x:c r="E15" s="114" t="str">
        <x:v>Java + Spring Boot + Spring Kafka</x:v>
      </x:c>
      <x:c r="F15" s="114" t="str">
        <x:v>Kafka-compatible bus + PostgreSQL metadata</x:v>
      </x:c>
      <x:c r="G15" s="114" t="str">
        <x:v>Agent event batches</x:v>
      </x:c>
      <x:c r="H15" s="114" t="str">
        <x:v>Normalised event topics, reject/diagnostic events</x:v>
      </x:c>
      <x:c r="I15" s="114" t="str">
        <x:v>IAM, tenant, audit, schema registry</x:v>
      </x:c>
      <x:c r="J15" s="114" t="str">
        <x:v>Deployable 2</x:v>
      </x:c>
      <x:c r="K15" s="114" t="str">
        <x:v>4</x:v>
      </x:c>
      <x:c r="L15" s="114" t="str">
        <x:v>High-throughput boundary with idempotent ingest.</x:v>
      </x:c>
      <x:c r="M15" s="115" t="str">
        <x:v>Apache Kafka / CloudEvents / schema registry</x:v>
      </x:c>
    </x:row>
    <x:row r="16">
      <x:c r="A16" s="119" t="str">
        <x:v>ARC-012</x:v>
      </x:c>
      <x:c r="B16" s="120" t="str">
        <x:v>Evidence</x:v>
      </x:c>
      <x:c r="C16" s="120" t="str">
        <x:v>Evidence &amp; Timeline</x:v>
      </x:c>
      <x:c r="D16" s="120" t="str">
        <x:v>Persist activity events, visual-state references, artefacts, provenance edges, retention state and replay timeline.</x:v>
      </x:c>
      <x:c r="E16" s="120" t="str">
        <x:v>Java + Spring Boot</x:v>
      </x:c>
      <x:c r="F16" s="120" t="str">
        <x:v>PostgreSQL + object storage</x:v>
      </x:c>
      <x:c r="G16" s="120" t="str">
        <x:v>Normalised events, task/agent/file events</x:v>
      </x:c>
      <x:c r="H16" s="120" t="str">
        <x:v>Evidence API, timeline API, evidence.linked events</x:v>
      </x:c>
      <x:c r="I16" s="120" t="str">
        <x:v>Object service, audit, policy</x:v>
      </x:c>
      <x:c r="J16" s="120" t="str">
        <x:v>Deployable 3</x:v>
      </x:c>
      <x:c r="K16" s="120" t="str">
        <x:v>4–7</x:v>
      </x:c>
      <x:c r="L16" s="120" t="str">
        <x:v>Start with relational graph model; split visual storage only if scale/security requires.</x:v>
      </x:c>
      <x:c r="M16" s="121" t="str">
        <x:v>PostgreSQL/object storage/event-sourcing patterns</x:v>
      </x:c>
    </x:row>
    <x:row r="17">
      <x:c r="A17" s="113" t="str">
        <x:v>ARC-013</x:v>
      </x:c>
      <x:c r="B17" s="114" t="str">
        <x:v>Evidence</x:v>
      </x:c>
      <x:c r="C17" s="114" t="str">
        <x:v>Visual Evidence Subdomain</x:v>
      </x:c>
      <x:c r="D17" s="114" t="str">
        <x:v>Changed-region metadata, OCR/accessibility extracts, thumbnails, object policy and redaction lineage.</x:v>
      </x:c>
      <x:c r="E17" s="114" t="str">
        <x:v>Java library/module initially</x:v>
      </x:c>
      <x:c r="F17" s="114" t="str">
        <x:v>Object storage + PostgreSQL</x:v>
      </x:c>
      <x:c r="G17" s="114" t="str">
        <x:v>Visual-state events and objects</x:v>
      </x:c>
      <x:c r="H17" s="114" t="str">
        <x:v>Visual evidence references</x:v>
      </x:c>
      <x:c r="I17" s="114" t="str">
        <x:v>Object service, DLP, audit</x:v>
      </x:c>
      <x:c r="J17" s="114" t="str">
        <x:v>Inside Deployable 3 initially</x:v>
      </x:c>
      <x:c r="K17" s="114" t="str">
        <x:v>4–5</x:v>
      </x:c>
      <x:c r="L17" s="114" t="str">
        <x:v>Future split trigger: independent scale, retention or security domain.</x:v>
      </x:c>
      <x:c r="M17" s="115" t="str">
        <x:v>Screenpipe event-driven capture pattern</x:v>
      </x:c>
    </x:row>
    <x:row r="18">
      <x:c r="A18" s="119" t="str">
        <x:v>ARC-014</x:v>
      </x:c>
      <x:c r="B18" s="120" t="str">
        <x:v>Intelligence</x:v>
      </x:c>
      <x:c r="C18" s="120" t="str">
        <x:v>Task Assurance Orchestrator</x:v>
      </x:c>
      <x:c r="D18" s="120" t="str">
        <x:v>Compile task contracts, coordinate deterministic checks and AI evaluators, maintain criterion state and assessment workflow.</x:v>
      </x:c>
      <x:c r="E18" s="120" t="str">
        <x:v>Java + Spring Boot</x:v>
      </x:c>
      <x:c r="F18" s="120" t="str">
        <x:v>PostgreSQL</x:v>
      </x:c>
      <x:c r="G18" s="120" t="str">
        <x:v>Tasks, evidence, test/build results, review events</x:v>
      </x:c>
      <x:c r="H18" s="120" t="str">
        <x:v>Task assessments, blocker and criterion events</x:v>
      </x:c>
      <x:c r="I18" s="120" t="str">
        <x:v>Task/project, workflow, policy, audit</x:v>
      </x:c>
      <x:c r="J18" s="120" t="str">
        <x:v>Deployable 4A</x:v>
      </x:c>
      <x:c r="K18" s="120" t="str">
        <x:v>2,7</x:v>
      </x:c>
      <x:c r="L18" s="120" t="str">
        <x:v>Java owns durable state and review workflow.</x:v>
      </x:c>
      <x:c r="M18" s="121" t="str">
        <x:v>HumanOS task/workflow foundation</x:v>
      </x:c>
    </x:row>
    <x:row r="19">
      <x:c r="A19" s="113" t="str">
        <x:v>ARC-015</x:v>
      </x:c>
      <x:c r="B19" s="114" t="str">
        <x:v>Intelligence</x:v>
      </x:c>
      <x:c r="C19" s="114" t="str">
        <x:v>Task/Activity AI Evaluators</x:v>
      </x:c>
      <x:c r="D19" s="114" t="str">
        <x:v>Episode segmentation, task alignment, screen/text interpretation, quality reasoning and confidence calibration.</x:v>
      </x:c>
      <x:c r="E19" s="114" t="str">
        <x:v>Python + FastAPI/workers</x:v>
      </x:c>
      <x:c r="F19" s="114" t="str">
        <x:v>Model/eval store + vector index</x:v>
      </x:c>
      <x:c r="G19" s="114" t="str">
        <x:v>Evidence references and approved content</x:v>
      </x:c>
      <x:c r="H19" s="114" t="str">
        <x:v>Evaluator findings with evidence links and model/skill version</x:v>
      </x:c>
      <x:c r="I19" s="114" t="str">
        <x:v>Model gateway, policy, audit</x:v>
      </x:c>
      <x:c r="J19" s="114" t="str">
        <x:v>Deployable 4B</x:v>
      </x:c>
      <x:c r="K19" s="114" t="str">
        <x:v>7</x:v>
      </x:c>
      <x:c r="L19" s="114" t="str">
        <x:v>Python is stateless/worker-oriented; no employment decision authority.</x:v>
      </x:c>
      <x:c r="M19" s="115" t="str">
        <x:v>NIST AI RMF / multimodal models</x:v>
      </x:c>
    </x:row>
    <x:row r="20">
      <x:c r="A20" s="119" t="str">
        <x:v>ARC-016</x:v>
      </x:c>
      <x:c r="B20" s="120" t="str">
        <x:v>Capability &amp; learning</x:v>
      </x:c>
      <x:c r="C20" s="120" t="str">
        <x:v>Capability Domain Service</x:v>
      </x:c>
      <x:c r="D20" s="120" t="str">
        <x:v>Role contracts, capability definitions, claims, evidence state, role readiness and review.</x:v>
      </x:c>
      <x:c r="E20" s="120" t="str">
        <x:v>Java + Spring Boot</x:v>
      </x:c>
      <x:c r="F20" s="120" t="str">
        <x:v>PostgreSQL</x:v>
      </x:c>
      <x:c r="G20" s="120" t="str">
        <x:v>Task assessments, baseline assessments, training outcomes</x:v>
      </x:c>
      <x:c r="H20" s="120" t="str">
        <x:v>Capability evidence/state events and APIs</x:v>
      </x:c>
      <x:c r="I20" s="120" t="str">
        <x:v>IAM, organisation, HR/role, workflow, audit</x:v>
      </x:c>
      <x:c r="J20" s="120" t="str">
        <x:v>Deployable 5A</x:v>
      </x:c>
      <x:c r="K20" s="120" t="str">
        <x:v>2,8</x:v>
      </x:c>
      <x:c r="L20" s="120" t="str">
        <x:v>Transparent evidence model; domain-neutral core.</x:v>
      </x:c>
      <x:c r="M20" s="121" t="str">
        <x:v>SFIA-style mapping + Nessovo ontology</x:v>
      </x:c>
    </x:row>
    <x:row r="21">
      <x:c r="A21" s="113" t="str">
        <x:v>ARC-017</x:v>
      </x:c>
      <x:c r="B21" s="114" t="str">
        <x:v>Capability &amp; learning</x:v>
      </x:c>
      <x:c r="C21" s="114" t="str">
        <x:v>Capability Scoring and Gap Analysis</x:v>
      </x:c>
      <x:c r="D21" s="114" t="str">
        <x:v>Evidence weighting, confidence, recency, consistency, contradiction and gap classification.</x:v>
      </x:c>
      <x:c r="E21" s="114" t="str">
        <x:v>Python services/libraries</x:v>
      </x:c>
      <x:c r="F21" s="114" t="str">
        <x:v>Evaluation store</x:v>
      </x:c>
      <x:c r="G21" s="114" t="str">
        <x:v>Qualified capability evidence</x:v>
      </x:c>
      <x:c r="H21" s="114" t="str">
        <x:v>Scoring recommendations and explanations</x:v>
      </x:c>
      <x:c r="I21" s="114" t="str">
        <x:v>Model gateway, policy, audit</x:v>
      </x:c>
      <x:c r="J21" s="114" t="str">
        <x:v>Deployable 5B or worker pool</x:v>
      </x:c>
      <x:c r="K21" s="114" t="str">
        <x:v>8</x:v>
      </x:c>
      <x:c r="L21" s="114" t="str">
        <x:v>Java service accepts/rejects scoring recommendation under rules.</x:v>
      </x:c>
      <x:c r="M21" s="115" t="str">
        <x:v>Bayesian/uncertainty-aware design recommendation</x:v>
      </x:c>
    </x:row>
    <x:row r="22">
      <x:c r="A22" s="119" t="str">
        <x:v>ARC-018</x:v>
      </x:c>
      <x:c r="B22" s="120" t="str">
        <x:v>Capability &amp; learning</x:v>
      </x:c>
      <x:c r="C22" s="120" t="str">
        <x:v>Growth Coach &amp; Learning</x:v>
      </x:c>
      <x:c r="D22" s="120" t="str">
        <x:v>Intervention selection, learning plans, micro-lessons, practice, mentor escalation and effectiveness tracking.</x:v>
      </x:c>
      <x:c r="E22" s="120" t="str">
        <x:v>Java orchestration + Python AI</x:v>
      </x:c>
      <x:c r="F22" s="120" t="str">
        <x:v>PostgreSQL + content/vector stores</x:v>
      </x:c>
      <x:c r="G22" s="120" t="str">
        <x:v>Task/capability gaps and employee requests</x:v>
      </x:c>
      <x:c r="H22" s="120" t="str">
        <x:v>Coaching/learning events and APIs</x:v>
      </x:c>
      <x:c r="I22" s="120" t="str">
        <x:v>Workflow, notification, model gateway, HR/L&amp;D</x:v>
      </x:c>
      <x:c r="J22" s="120" t="str">
        <x:v>Inside Deployable 5 initially</x:v>
      </x:c>
      <x:c r="K22" s="120" t="str">
        <x:v>9</x:v>
      </x:c>
      <x:c r="L22" s="120" t="str">
        <x:v>Split when learning marketplace/content scale justifies.</x:v>
      </x:c>
      <x:c r="M22" s="121" t="str">
        <x:v>HumanOS workflow + L&amp;D integrations</x:v>
      </x:c>
    </x:row>
    <x:row r="23">
      <x:c r="A23" s="113" t="str">
        <x:v>ARC-019</x:v>
      </x:c>
      <x:c r="B23" s="114" t="str">
        <x:v>AI integration</x:v>
      </x:c>
      <x:c r="C23" s="114" t="str">
        <x:v>AI Adapter Hub</x:v>
      </x:c>
      <x:c r="D23" s="114" t="str">
        <x:v>Normalise Codex, Claude Code, IDE copilots, agent sessions, prompts, tools and permission events.</x:v>
      </x:c>
      <x:c r="E23" s="114" t="str">
        <x:v>Python + Java edge/API</x:v>
      </x:c>
      <x:c r="F23" s="114" t="str">
        <x:v>PostgreSQL metadata</x:v>
      </x:c>
      <x:c r="G23" s="114" t="str">
        <x:v>Provider hooks/adapters</x:v>
      </x:c>
      <x:c r="H23" s="114" t="str">
        <x:v>Normalised agent events</x:v>
      </x:c>
      <x:c r="I23" s="114" t="str">
        <x:v>Model gateway, schema, policy</x:v>
      </x:c>
      <x:c r="J23" s="114" t="str">
        <x:v>Deployable 6A</x:v>
      </x:c>
      <x:c r="K23" s="114" t="str">
        <x:v>6</x:v>
      </x:c>
      <x:c r="L23" s="114" t="str">
        <x:v>Provider-specific adapters behind common contract.</x:v>
      </x:c>
      <x:c r="M23" s="115" t="str">
        <x:v>Codex hooks / Claude-Mem</x:v>
      </x:c>
    </x:row>
    <x:row r="24">
      <x:c r="A24" s="119" t="str">
        <x:v>ARC-020</x:v>
      </x:c>
      <x:c r="B24" s="120" t="str">
        <x:v>AI integration</x:v>
      </x:c>
      <x:c r="C24" s="120" t="str">
        <x:v>Model and Evaluation Gateway</x:v>
      </x:c>
      <x:c r="D24" s="120" t="str">
        <x:v>Model routing, content policy, secret scanning, prompt/skill versions, evaluation, cost and trace metadata.</x:v>
      </x:c>
      <x:c r="E24" s="120" t="str">
        <x:v>Python + Java gateway</x:v>
      </x:c>
      <x:c r="F24" s="120" t="str">
        <x:v>PostgreSQL + cache/eval store</x:v>
      </x:c>
      <x:c r="G24" s="120" t="str">
        <x:v>Approved AI requests</x:v>
      </x:c>
      <x:c r="H24" s="120" t="str">
        <x:v>Responses, audit, evaluation results</x:v>
      </x:c>
      <x:c r="I24" s="120" t="str">
        <x:v>Existing HumanOS model gateway</x:v>
      </x:c>
      <x:c r="J24" s="120" t="str">
        <x:v>Extend existing platform service</x:v>
      </x:c>
      <x:c r="K24" s="120" t="str">
        <x:v>6–11</x:v>
      </x:c>
      <x:c r="L24" s="120" t="str">
        <x:v>Do not duplicate if HumanOS already meets requirements.</x:v>
      </x:c>
      <x:c r="M24" s="121" t="str">
        <x:v>OpenTelemetry GenAI / HumanOS foundation</x:v>
      </x:c>
    </x:row>
    <x:row r="25">
      <x:c r="A25" s="113" t="str">
        <x:v>ARC-021</x:v>
      </x:c>
      <x:c r="B25" s="114" t="str">
        <x:v>Governance</x:v>
      </x:c>
      <x:c r="C25" s="114" t="str">
        <x:v>Governance &amp; Human Review</x:v>
      </x:c>
      <x:c r="D25" s="114" t="str">
        <x:v>Employee access, corrections, disputes, manager evidence requests, human review and consequential-decision safeguards.</x:v>
      </x:c>
      <x:c r="E25" s="114" t="str">
        <x:v>Java + Spring Boot</x:v>
      </x:c>
      <x:c r="F25" s="114" t="str">
        <x:v>PostgreSQL + immutable audit</x:v>
      </x:c>
      <x:c r="G25" s="114" t="str">
        <x:v>Disputes, review requests, evidence-access requests</x:v>
      </x:c>
      <x:c r="H25" s="114" t="str">
        <x:v>Review decisions, corrections, access grants</x:v>
      </x:c>
      <x:c r="I25" s="114" t="str">
        <x:v>Workflow, IAM, audit, notification, policy</x:v>
      </x:c>
      <x:c r="J25" s="114" t="str">
        <x:v>Deployable 7</x:v>
      </x:c>
      <x:c r="K25" s="114" t="str">
        <x:v>0,7–10</x:v>
      </x:c>
      <x:c r="L25" s="114" t="str">
        <x:v>Mandatory before pilot assessment use.</x:v>
      </x:c>
      <x:c r="M25" s="115" t="str">
        <x:v>ICO worker monitoring/human review</x:v>
      </x:c>
    </x:row>
    <x:row r="26">
      <x:c r="A26" s="119" t="str">
        <x:v>ARC-022</x:v>
      </x:c>
      <x:c r="B26" s="120" t="str">
        <x:v>Governance</x:v>
      </x:c>
      <x:c r="C26" s="120" t="str">
        <x:v>Evidence Access Policy</x:v>
      </x:c>
      <x:c r="D26" s="120" t="str">
        <x:v>Role/purpose/task/time/region decisions for raw evidence and reports.</x:v>
      </x:c>
      <x:c r="E26" s="120" t="str">
        <x:v>HumanOS policy service; evaluate OPA</x:v>
      </x:c>
      <x:c r="F26" s="120" t="str">
        <x:v>Policy repository + decision logs</x:v>
      </x:c>
      <x:c r="G26" s="120" t="str">
        <x:v>Policy queries</x:v>
      </x:c>
      <x:c r="H26" s="120" t="str">
        <x:v>Allow/deny/redact decisions</x:v>
      </x:c>
      <x:c r="I26" s="120" t="str">
        <x:v>IAM, organisation, DPO policy</x:v>
      </x:c>
      <x:c r="J26" s="120" t="str">
        <x:v>Existing policy service / sidecar</x:v>
      </x:c>
      <x:c r="K26" s="120" t="str">
        <x:v>0–4</x:v>
      </x:c>
      <x:c r="L26" s="120" t="str">
        <x:v>OPA only if it adds value beyond current HumanOS policy service.</x:v>
      </x:c>
      <x:c r="M26" s="121" t="str">
        <x:v>OPA</x:v>
      </x:c>
    </x:row>
    <x:row r="27">
      <x:c r="A27" s="113" t="str">
        <x:v>ARC-023</x:v>
      </x:c>
      <x:c r="B27" s="114" t="str">
        <x:v>Reporting</x:v>
      </x:c>
      <x:c r="C27" s="114" t="str">
        <x:v>Reporting &amp; Analytics</x:v>
      </x:c>
      <x:c r="D27" s="114" t="str">
        <x:v>Employee timeline, task assurance, manager exceptions, capability views, pilot KPIs and executive reporting.</x:v>
      </x:c>
      <x:c r="E27" s="114" t="str">
        <x:v>Java APIs + BI/analytics</x:v>
      </x:c>
      <x:c r="F27" s="114" t="str">
        <x:v>PostgreSQL read models + warehouse later</x:v>
      </x:c>
      <x:c r="G27" s="114" t="str">
        <x:v>Task/capability/review events</x:v>
      </x:c>
      <x:c r="H27" s="114" t="str">
        <x:v>Reports, exports and analytics APIs</x:v>
      </x:c>
      <x:c r="I27" s="114" t="str">
        <x:v>IAM, audit, notification</x:v>
      </x:c>
      <x:c r="J27" s="114" t="str">
        <x:v>Deployable 8</x:v>
      </x:c>
      <x:c r="K27" s="114" t="str">
        <x:v>10</x:v>
      </x:c>
      <x:c r="L27" s="114" t="str">
        <x:v>Raw evidence is drill-down, not default dashboard content.</x:v>
      </x:c>
      <x:c r="M27" s="115" t="str">
        <x:v>ActivTrak/process intelligence patterns</x:v>
      </x:c>
    </x:row>
    <x:row r="28">
      <x:c r="A28" s="119" t="str">
        <x:v>ARC-024</x:v>
      </x:c>
      <x:c r="B28" s="120" t="str">
        <x:v>Organisational learning</x:v>
      </x:c>
      <x:c r="C28" s="120" t="str">
        <x:v>Skill Forge</x:v>
      </x:c>
      <x:c r="D28" s="120" t="str">
        <x:v>Skill observations, proposals, evaluation suites, approvals, canaries, promotion and rollback.</x:v>
      </x:c>
      <x:c r="E28" s="120" t="str">
        <x:v>Java lifecycle + Python generation/evals</x:v>
      </x:c>
      <x:c r="F28" s="120" t="str">
        <x:v>PostgreSQL + Git/artifact/eval stores</x:v>
      </x:c>
      <x:c r="G28" s="120" t="str">
        <x:v>Feedback, corrections, successful patterns</x:v>
      </x:c>
      <x:c r="H28" s="120" t="str">
        <x:v>Skill versions and deployment events</x:v>
      </x:c>
      <x:c r="I28" s="120" t="str">
        <x:v>Workflow, model gateway, audit, policy</x:v>
      </x:c>
      <x:c r="J28" s="120" t="str">
        <x:v>Inside AI platform initially; later deployable</x:v>
      </x:c>
      <x:c r="K28" s="120" t="str">
        <x:v>11</x:v>
      </x:c>
      <x:c r="L28" s="120" t="str">
        <x:v>Separate only when lifecycle scale/ownership justifies.</x:v>
      </x:c>
      <x:c r="M28" s="121" t="str">
        <x:v>Claude-Mem / Task Observer / Record &amp; Replay</x:v>
      </x:c>
    </x:row>
    <x:row r="29">
      <x:c r="A29" s="113" t="str">
        <x:v>ARC-025</x:v>
      </x:c>
      <x:c r="B29" s="114" t="str">
        <x:v>Shared HumanOS</x:v>
      </x:c>
      <x:c r="C29" s="114" t="str">
        <x:v>Identity and Access</x:v>
      </x:c>
      <x:c r="D29" s="114" t="str">
        <x:v>Person, device, service identity, roles, authentication and authorisation context.</x:v>
      </x:c>
      <x:c r="E29" s="114" t="str">
        <x:v>Existing HumanOS Java service</x:v>
      </x:c>
      <x:c r="F29" s="114" t="str">
        <x:v>Existing IAM store</x:v>
      </x:c>
      <x:c r="G29" s="114" t="str">
        <x:v>Identity requests</x:v>
      </x:c>
      <x:c r="H29" s="114" t="str">
        <x:v>Tokens/claims/identity events</x:v>
      </x:c>
      <x:c r="I29" s="114" t="str">
        <x:v>Authoritative existing service</x:v>
      </x:c>
      <x:c r="J29" s="114" t="str">
        <x:v>Reuse</x:v>
      </x:c>
      <x:c r="K29" s="114" t="str">
        <x:v>All</x:v>
      </x:c>
      <x:c r="L29" s="114" t="str">
        <x:v>No duplicate identity store.</x:v>
      </x:c>
      <x:c r="M29" s="115" t="str">
        <x:v>HumanOS foundation</x:v>
      </x:c>
    </x:row>
    <x:row r="30">
      <x:c r="A30" s="119" t="str">
        <x:v>ARC-026</x:v>
      </x:c>
      <x:c r="B30" s="120" t="str">
        <x:v>Shared HumanOS</x:v>
      </x:c>
      <x:c r="C30" s="120" t="str">
        <x:v>Organisation and Role</x:v>
      </x:c>
      <x:c r="D30" s="120" t="str">
        <x:v>Tenants, teams, reporting lines, employment/role assignments and organisational scope.</x:v>
      </x:c>
      <x:c r="E30" s="120" t="str">
        <x:v>Existing HumanOS Java service</x:v>
      </x:c>
      <x:c r="F30" s="120" t="str">
        <x:v>Existing store</x:v>
      </x:c>
      <x:c r="G30" s="120" t="str">
        <x:v>Organisation changes</x:v>
      </x:c>
      <x:c r="H30" s="120" t="str">
        <x:v>Organisation/role events</x:v>
      </x:c>
      <x:c r="I30" s="120" t="str">
        <x:v>Authoritative existing service</x:v>
      </x:c>
      <x:c r="J30" s="120" t="str">
        <x:v>Reuse</x:v>
      </x:c>
      <x:c r="K30" s="120" t="str">
        <x:v>0,2+</x:v>
      </x:c>
      <x:c r="L30" s="120" t="str">
        <x:v>Capability service references role versions; it does not own employment identity.</x:v>
      </x:c>
      <x:c r="M30" s="121" t="str">
        <x:v>HumanOS foundation</x:v>
      </x:c>
    </x:row>
    <x:row r="31">
      <x:c r="A31" s="113" t="str">
        <x:v>ARC-027</x:v>
      </x:c>
      <x:c r="B31" s="114" t="str">
        <x:v>Shared HumanOS</x:v>
      </x:c>
      <x:c r="C31" s="114" t="str">
        <x:v>Projects and Tasks</x:v>
      </x:c>
      <x:c r="D31" s="114" t="str">
        <x:v>Assigned tasks, plans, due dates, task state and project context.</x:v>
      </x:c>
      <x:c r="E31" s="114" t="str">
        <x:v>Existing HumanOS Java service</x:v>
      </x:c>
      <x:c r="F31" s="114" t="str">
        <x:v>Existing store</x:v>
      </x:c>
      <x:c r="G31" s="114" t="str">
        <x:v>Task commands/integrations</x:v>
      </x:c>
      <x:c r="H31" s="114" t="str">
        <x:v>Task events/APIs</x:v>
      </x:c>
      <x:c r="I31" s="114" t="str">
        <x:v>Authoritative existing service</x:v>
      </x:c>
      <x:c r="J31" s="114" t="str">
        <x:v>Reuse</x:v>
      </x:c>
      <x:c r="K31" s="114" t="str">
        <x:v>2+</x:v>
      </x:c>
      <x:c r="L31" s="114" t="str">
        <x:v>Task Assurance compiles contracts but task service remains task authority.</x:v>
      </x:c>
      <x:c r="M31" s="115" t="str">
        <x:v>HumanOS foundation</x:v>
      </x:c>
    </x:row>
    <x:row r="32">
      <x:c r="A32" s="119" t="str">
        <x:v>ARC-028</x:v>
      </x:c>
      <x:c r="B32" s="120" t="str">
        <x:v>Shared HumanOS</x:v>
      </x:c>
      <x:c r="C32" s="120" t="str">
        <x:v>Workflow Runtime</x:v>
      </x:c>
      <x:c r="D32" s="120" t="str">
        <x:v>Review, dispute, coaching, approval, escalation and skill-lifecycle workflows.</x:v>
      </x:c>
      <x:c r="E32" s="120" t="str">
        <x:v>Existing HumanOS service</x:v>
      </x:c>
      <x:c r="F32" s="120" t="str">
        <x:v>Existing workflow state</x:v>
      </x:c>
      <x:c r="G32" s="120" t="str">
        <x:v>Domain events</x:v>
      </x:c>
      <x:c r="H32" s="120" t="str">
        <x:v>Workflow commands/events</x:v>
      </x:c>
      <x:c r="I32" s="120" t="str">
        <x:v>Authoritative existing service</x:v>
      </x:c>
      <x:c r="J32" s="120" t="str">
        <x:v>Reuse</x:v>
      </x:c>
      <x:c r="K32" s="120" t="str">
        <x:v>0+</x:v>
      </x:c>
      <x:c r="L32" s="120" t="str">
        <x:v>Evaluate another orchestrator only after documented gaps.</x:v>
      </x:c>
      <x:c r="M32" s="121" t="str">
        <x:v>HumanOS foundation</x:v>
      </x:c>
    </x:row>
    <x:row r="33">
      <x:c r="A33" s="113" t="str">
        <x:v>ARC-029</x:v>
      </x:c>
      <x:c r="B33" s="114" t="str">
        <x:v>Shared HumanOS</x:v>
      </x:c>
      <x:c r="C33" s="114" t="str">
        <x:v>Audit and Compliance</x:v>
      </x:c>
      <x:c r="D33" s="114" t="str">
        <x:v>Immutable access, decision, policy, model, review and skill-change audit.</x:v>
      </x:c>
      <x:c r="E33" s="114" t="str">
        <x:v>Existing HumanOS Java service</x:v>
      </x:c>
      <x:c r="F33" s="114" t="str">
        <x:v>Append-only audit store</x:v>
      </x:c>
      <x:c r="G33" s="114" t="str">
        <x:v>Audit events</x:v>
      </x:c>
      <x:c r="H33" s="114" t="str">
        <x:v>Audit queries/reports</x:v>
      </x:c>
      <x:c r="I33" s="114" t="str">
        <x:v>Authoritative existing service</x:v>
      </x:c>
      <x:c r="J33" s="114" t="str">
        <x:v>Reuse/extend</x:v>
      </x:c>
      <x:c r="K33" s="114" t="str">
        <x:v>0+</x:v>
      </x:c>
      <x:c r="L33" s="114" t="str">
        <x:v>Content access logs are themselves sensitive.</x:v>
      </x:c>
      <x:c r="M33" s="115" t="str">
        <x:v>HumanOS foundation</x:v>
      </x:c>
    </x:row>
    <x:row r="34">
      <x:c r="A34" s="119" t="str">
        <x:v>ARC-030</x:v>
      </x:c>
      <x:c r="B34" s="120" t="str">
        <x:v>Shared HumanOS</x:v>
      </x:c>
      <x:c r="C34" s="120" t="str">
        <x:v>Secrets and Key Management</x:v>
      </x:c>
      <x:c r="D34" s="120" t="str">
        <x:v>Service/device credentials, encryption keys, rotation and revocation.</x:v>
      </x:c>
      <x:c r="E34" s="120" t="str">
        <x:v>Existing HumanOS secrets service + OS secure stores</x:v>
      </x:c>
      <x:c r="F34" s="120" t="str">
        <x:v>KMS/HSM/secure stores</x:v>
      </x:c>
      <x:c r="G34" s="120" t="str">
        <x:v>Key requests</x:v>
      </x:c>
      <x:c r="H34" s="120" t="str">
        <x:v>Key material references/rotation events</x:v>
      </x:c>
      <x:c r="I34" s="120" t="str">
        <x:v>Authoritative existing service</x:v>
      </x:c>
      <x:c r="J34" s="120" t="str">
        <x:v>Reuse</x:v>
      </x:c>
      <x:c r="K34" s="120" t="str">
        <x:v>3+</x:v>
      </x:c>
      <x:c r="L34" s="120" t="str">
        <x:v>Device evidence keys must not be centrally exposed without need.</x:v>
      </x:c>
      <x:c r="M34" s="121" t="str">
        <x:v>Security architecture</x:v>
      </x:c>
    </x:row>
    <x:row r="35">
      <x:c r="A35" s="113" t="str">
        <x:v>ARC-031</x:v>
      </x:c>
      <x:c r="B35" s="114" t="str">
        <x:v>Shared HumanOS</x:v>
      </x:c>
      <x:c r="C35" s="114" t="str">
        <x:v>Object/File Service</x:v>
      </x:c>
      <x:c r="D35" s="114" t="str">
        <x:v>Evidence object storage, classification, regional routing, retention and access tokens.</x:v>
      </x:c>
      <x:c r="E35" s="114" t="str">
        <x:v>Existing HumanOS service</x:v>
      </x:c>
      <x:c r="F35" s="114" t="str">
        <x:v>S3-compatible object storage</x:v>
      </x:c>
      <x:c r="G35" s="114" t="str">
        <x:v>Object writes/reads</x:v>
      </x:c>
      <x:c r="H35" s="114" t="str">
        <x:v>Object references/events</x:v>
      </x:c>
      <x:c r="I35" s="114" t="str">
        <x:v>Authoritative existing service</x:v>
      </x:c>
      <x:c r="J35" s="114" t="str">
        <x:v>Reuse/extend</x:v>
      </x:c>
      <x:c r="K35" s="114" t="str">
        <x:v>4+</x:v>
      </x:c>
      <x:c r="L35" s="114" t="str">
        <x:v>Require per-object policy, malware scan, retention and legal hold.</x:v>
      </x:c>
      <x:c r="M35" s="115" t="str">
        <x:v>HumanOS foundation</x:v>
      </x:c>
    </x:row>
    <x:row r="36">
      <x:c r="A36" s="119" t="str">
        <x:v>ARC-032</x:v>
      </x:c>
      <x:c r="B36" s="120" t="str">
        <x:v>Data platform</x:v>
      </x:c>
      <x:c r="C36" s="120" t="str">
        <x:v>Kafka-Compatible Event Bus</x:v>
      </x:c>
      <x:c r="D36" s="120" t="str">
        <x:v>Durable, partitioned, replayable event flow across ingestion and domain services.</x:v>
      </x:c>
      <x:c r="E36" s="120" t="str">
        <x:v>Kafka / managed compatible service</x:v>
      </x:c>
      <x:c r="F36" s="120" t="str">
        <x:v>Kafka topics</x:v>
      </x:c>
      <x:c r="G36" s="120" t="str">
        <x:v>Producers</x:v>
      </x:c>
      <x:c r="H36" s="120" t="str">
        <x:v>Consumer streams</x:v>
      </x:c>
      <x:c r="I36" s="120" t="str">
        <x:v>Existing HumanOS event infrastructure</x:v>
      </x:c>
      <x:c r="J36" s="120" t="str">
        <x:v>Shared platform</x:v>
      </x:c>
      <x:c r="K36" s="120" t="str">
        <x:v>4+</x:v>
      </x:c>
      <x:c r="L36" s="120" t="str">
        <x:v>Reuse existing bus; capacity-test evidence workload.</x:v>
      </x:c>
      <x:c r="M36" s="121" t="str">
        <x:v>Apache Kafka</x:v>
      </x:c>
    </x:row>
    <x:row r="37">
      <x:c r="A37" s="113" t="str">
        <x:v>ARC-033</x:v>
      </x:c>
      <x:c r="B37" s="114" t="str">
        <x:v>Data platform</x:v>
      </x:c>
      <x:c r="C37" s="114" t="str">
        <x:v>Schema Registry and Contract Governance</x:v>
      </x:c>
      <x:c r="D37" s="114" t="str">
        <x:v>Version event schemas, compatibility rules, generated clients and lineage.</x:v>
      </x:c>
      <x:c r="E37" s="114" t="str">
        <x:v>Existing registry or Apicurio/Confluent equivalent</x:v>
      </x:c>
      <x:c r="F37" s="114" t="str">
        <x:v>Schema registry</x:v>
      </x:c>
      <x:c r="G37" s="114" t="str">
        <x:v>Schema changes</x:v>
      </x:c>
      <x:c r="H37" s="114" t="str">
        <x:v>Validated contracts</x:v>
      </x:c>
      <x:c r="I37" s="114" t="str">
        <x:v>HumanOS platform</x:v>
      </x:c>
      <x:c r="J37" s="114" t="str">
        <x:v>Shared platform</x:v>
      </x:c>
      <x:c r="K37" s="114" t="str">
        <x:v>1,4+</x:v>
      </x:c>
      <x:c r="L37" s="114" t="str">
        <x:v>CloudEvents-style envelope plus domain schemas.</x:v>
      </x:c>
      <x:c r="M37" s="115" t="str">
        <x:v>CloudEvents / schema registry</x:v>
      </x:c>
    </x:row>
    <x:row r="38">
      <x:c r="A38" s="119" t="str">
        <x:v>ARC-034</x:v>
      </x:c>
      <x:c r="B38" s="120" t="str">
        <x:v>Data platform</x:v>
      </x:c>
      <x:c r="C38" s="120" t="str">
        <x:v>PostgreSQL</x:v>
      </x:c>
      <x:c r="D38" s="120" t="str">
        <x:v>Transactional source of truth for sessions, evidence metadata, tasks, capability, review and policy state.</x:v>
      </x:c>
      <x:c r="E38" s="120" t="str">
        <x:v>PostgreSQL</x:v>
      </x:c>
      <x:c r="F38" s="120" t="str">
        <x:v>Relational data</x:v>
      </x:c>
      <x:c r="G38" s="120" t="str">
        <x:v>Domain writes</x:v>
      </x:c>
      <x:c r="H38" s="120" t="str">
        <x:v>Queries/CDC/events</x:v>
      </x:c>
      <x:c r="I38" s="120" t="str">
        <x:v>Existing platform standard</x:v>
      </x:c>
      <x:c r="J38" s="120" t="str">
        <x:v>Shared clusters with tenant isolation</x:v>
      </x:c>
      <x:c r="K38" s="120" t="str">
        <x:v>4+</x:v>
      </x:c>
      <x:c r="L38" s="120" t="str">
        <x:v>Partition by tenant/time only after measured need.</x:v>
      </x:c>
      <x:c r="M38" s="121" t="str">
        <x:v>PostgreSQL</x:v>
      </x:c>
    </x:row>
    <x:row r="39">
      <x:c r="A39" s="113" t="str">
        <x:v>ARC-035</x:v>
      </x:c>
      <x:c r="B39" s="114" t="str">
        <x:v>Data platform</x:v>
      </x:c>
      <x:c r="C39" s="114" t="str">
        <x:v>Object Storage</x:v>
      </x:c>
      <x:c r="D39" s="114" t="str">
        <x:v>Screenshots, redacted content, artefact snapshots, exports and evaluation datasets.</x:v>
      </x:c>
      <x:c r="E39" s="114" t="str">
        <x:v>S3-compatible</x:v>
      </x:c>
      <x:c r="F39" s="114" t="str">
        <x:v>Encrypted objects</x:v>
      </x:c>
      <x:c r="G39" s="114" t="str">
        <x:v>Evidence objects</x:v>
      </x:c>
      <x:c r="H39" s="114" t="str">
        <x:v>Signed references/events</x:v>
      </x:c>
      <x:c r="I39" s="114" t="str">
        <x:v>Existing object service</x:v>
      </x:c>
      <x:c r="J39" s="114" t="str">
        <x:v>Shared regional storage</x:v>
      </x:c>
      <x:c r="K39" s="114" t="str">
        <x:v>4+</x:v>
      </x:c>
      <x:c r="L39" s="114" t="str">
        <x:v>Content-addressed, deduplicated and retention-aware.</x:v>
      </x:c>
      <x:c r="M39" s="115" t="str">
        <x:v>S3/MinIO</x:v>
      </x:c>
    </x:row>
    <x:row r="40">
      <x:c r="A40" s="119" t="str">
        <x:v>ARC-036</x:v>
      </x:c>
      <x:c r="B40" s="120" t="str">
        <x:v>Data platform</x:v>
      </x:c>
      <x:c r="C40" s="120" t="str">
        <x:v>Vector/Search Capability</x:v>
      </x:c>
      <x:c r="D40" s="120" t="str">
        <x:v>Semantic search over approved observations, skills and evidence summaries.</x:v>
      </x:c>
      <x:c r="E40" s="120" t="str">
        <x:v>pgvector first; OpenSearch later if needed</x:v>
      </x:c>
      <x:c r="F40" s="120" t="str">
        <x:v>Embeddings/index</x:v>
      </x:c>
      <x:c r="G40" s="120" t="str">
        <x:v>Approved text summaries</x:v>
      </x:c>
      <x:c r="H40" s="120" t="str">
        <x:v>Search results</x:v>
      </x:c>
      <x:c r="I40" s="120" t="str">
        <x:v>Model gateway / data platform</x:v>
      </x:c>
      <x:c r="J40" s="120" t="str">
        <x:v>Library/extension initially</x:v>
      </x:c>
      <x:c r="K40" s="120" t="str">
        <x:v>7–11</x:v>
      </x:c>
      <x:c r="L40" s="120" t="str">
        <x:v>Do not embed unrestricted raw employee content.</x:v>
      </x:c>
      <x:c r="M40" s="121" t="str">
        <x:v>pgvector / search patterns</x:v>
      </x:c>
    </x:row>
    <x:row r="41">
      <x:c r="A41" s="113" t="str">
        <x:v>ARC-037</x:v>
      </x:c>
      <x:c r="B41" s="114" t="str">
        <x:v>Data platform</x:v>
      </x:c>
      <x:c r="C41" s="114" t="str">
        <x:v>Graph Projection</x:v>
      </x:c>
      <x:c r="D41" s="114" t="str">
        <x:v>Causal/provenance and capability traversal.</x:v>
      </x:c>
      <x:c r="E41" s="114" t="str">
        <x:v>PostgreSQL relations/materialised views initially</x:v>
      </x:c>
      <x:c r="F41" s="114" t="str">
        <x:v>Relational edges</x:v>
      </x:c>
      <x:c r="G41" s="114" t="str">
        <x:v>Evidence/provenance events</x:v>
      </x:c>
      <x:c r="H41" s="114" t="str">
        <x:v>Graph queries</x:v>
      </x:c>
      <x:c r="I41" s="114" t="str">
        <x:v>Evidence/Capability services</x:v>
      </x:c>
      <x:c r="J41" s="114" t="str">
        <x:v>Inside domain services</x:v>
      </x:c>
      <x:c r="K41" s="114" t="str">
        <x:v>7–8</x:v>
      </x:c>
      <x:c r="L41" s="114" t="str">
        <x:v>Dedicated graph database deferred until query benchmarks justify.</x:v>
      </x:c>
      <x:c r="M41" s="115" t="str">
        <x:v>Architecture recommendation</x:v>
      </x:c>
    </x:row>
    <x:row r="42">
      <x:c r="A42" s="119" t="str">
        <x:v>ARC-038</x:v>
      </x:c>
      <x:c r="B42" s="120" t="str">
        <x:v>Data platform</x:v>
      </x:c>
      <x:c r="C42" s="120" t="str">
        <x:v>Analytics Warehouse</x:v>
      </x:c>
      <x:c r="D42" s="120" t="str">
        <x:v>Longer-term aggregate product, pilot, quality and training analysis.</x:v>
      </x:c>
      <x:c r="E42" s="120" t="str">
        <x:v>Warehouse/lakehouse compatible with HumanOS</x:v>
      </x:c>
      <x:c r="F42" s="120" t="str">
        <x:v>De-identified/aggregated data</x:v>
      </x:c>
      <x:c r="G42" s="120" t="str">
        <x:v>Domain events/read models</x:v>
      </x:c>
      <x:c r="H42" s="120" t="str">
        <x:v>BI datasets</x:v>
      </x:c>
      <x:c r="I42" s="120" t="str">
        <x:v>Existing analytics platform</x:v>
      </x:c>
      <x:c r="J42" s="120" t="str">
        <x:v>Later shared platform</x:v>
      </x:c>
      <x:c r="K42" s="120" t="str">
        <x:v>10+</x:v>
      </x:c>
      <x:c r="L42" s="120" t="str">
        <x:v>No raw keystrokes/screenshots in general analytics warehouse.</x:v>
      </x:c>
      <x:c r="M42" s="121" t="str">
        <x:v>Data minimisation principle</x:v>
      </x:c>
    </x:row>
    <x:row r="43">
      <x:c r="A43" s="113" t="str">
        <x:v>ARC-039</x:v>
      </x:c>
      <x:c r="B43" s="114" t="str">
        <x:v>Cross-cutting</x:v>
      </x:c>
      <x:c r="C43" s="114" t="str">
        <x:v>OpenTelemetry</x:v>
      </x:c>
      <x:c r="D43" s="114" t="str">
        <x:v>Operational traces, metrics and logs for services and AI operations.</x:v>
      </x:c>
      <x:c r="E43" s="114" t="str">
        <x:v>Java/Python/native SDKs + collector</x:v>
      </x:c>
      <x:c r="F43" s="114" t="str">
        <x:v>Telemetry backend</x:v>
      </x:c>
      <x:c r="G43" s="114" t="str">
        <x:v>Service/model telemetry</x:v>
      </x:c>
      <x:c r="H43" s="114" t="str">
        <x:v>Traces/metrics/logs</x:v>
      </x:c>
      <x:c r="I43" s="114" t="str">
        <x:v>Existing HumanOS observability</x:v>
      </x:c>
      <x:c r="J43" s="114" t="str">
        <x:v>Shared platform</x:v>
      </x:c>
      <x:c r="K43" s="114" t="str">
        <x:v>3+</x:v>
      </x:c>
      <x:c r="L43" s="114" t="str">
        <x:v>Raw worker evidence and model content excluded by default.</x:v>
      </x:c>
      <x:c r="M43" s="115" t="str">
        <x:v>OpenTelemetry</x:v>
      </x:c>
    </x:row>
    <x:row r="44">
      <x:c r="A44" s="119" t="str">
        <x:v>ARC-040</x:v>
      </x:c>
      <x:c r="B44" s="120" t="str">
        <x:v>Cross-cutting</x:v>
      </x:c>
      <x:c r="C44" s="120" t="str">
        <x:v>API Gateway and Service Security</x:v>
      </x:c>
      <x:c r="D44" s="120" t="str">
        <x:v>External/internal API routing, rate limits, mTLS, auth and policy enforcement.</x:v>
      </x:c>
      <x:c r="E44" s="120" t="str">
        <x:v>Existing HumanOS gateway</x:v>
      </x:c>
      <x:c r="F44" s="120" t="str">
        <x:v>Config/policy</x:v>
      </x:c>
      <x:c r="G44" s="120" t="str">
        <x:v>API calls</x:v>
      </x:c>
      <x:c r="H44" s="120" t="str">
        <x:v>Routed/authorised requests</x:v>
      </x:c>
      <x:c r="I44" s="120" t="str">
        <x:v>Existing platform service</x:v>
      </x:c>
      <x:c r="J44" s="120" t="str">
        <x:v>Reuse</x:v>
      </x:c>
      <x:c r="K44" s="120" t="str">
        <x:v>3+</x:v>
      </x:c>
      <x:c r="L44" s="120" t="str">
        <x:v>Device upload path may have dedicated edge gateway.</x:v>
      </x:c>
      <x:c r="M44" s="121" t="str">
        <x:v>HumanOS foundation</x:v>
      </x:c>
    </x:row>
    <x:row r="45">
      <x:c r="A45" s="113" t="str">
        <x:v>ARC-041</x:v>
      </x:c>
      <x:c r="B45" s="114" t="str">
        <x:v>Cross-cutting</x:v>
      </x:c>
      <x:c r="C45" s="114" t="str">
        <x:v>Deployment and tenancy</x:v>
      </x:c>
      <x:c r="D45" s="114" t="str">
        <x:v>Regional clusters, tenant isolation, data residency, feature flags, canary and rollback.</x:v>
      </x:c>
      <x:c r="E45" s="114" t="str">
        <x:v>Kubernetes/cloud platform</x:v>
      </x:c>
      <x:c r="F45" s="114" t="str">
        <x:v>Platform metadata</x:v>
      </x:c>
      <x:c r="G45" s="114" t="str">
        <x:v>Deployments/config</x:v>
      </x:c>
      <x:c r="H45" s="114" t="str">
        <x:v>Runtime services</x:v>
      </x:c>
      <x:c r="I45" s="114" t="str">
        <x:v>Existing HumanOS platform</x:v>
      </x:c>
      <x:c r="J45" s="114" t="str">
        <x:v>Shared platform</x:v>
      </x:c>
      <x:c r="K45" s="114" t="str">
        <x:v>All</x:v>
      </x:c>
      <x:c r="L45" s="114" t="str">
        <x:v>Pilot uses isolated tenant/environment and restricted feature flags.</x:v>
      </x:c>
      <x:c r="M45" s="115" t="str">
        <x:v>Security/governance requirement</x:v>
      </x:c>
    </x:row>
    <x:row r="46">
      <x:c r="A46" s="122" t="str">
        <x:v>ARC-042</x:v>
      </x:c>
      <x:c r="B46" s="123" t="str">
        <x:v>Cross-cutting</x:v>
      </x:c>
      <x:c r="C46" s="123" t="str">
        <x:v>Service boundary rule</x:v>
      </x:c>
      <x:c r="D46" s="123" t="str">
        <x:v>Create a separate deployable only for clear security, scale, availability, ownership or transactional boundaries.</x:v>
      </x:c>
      <x:c r="E46" s="123" t="str">
        <x:v>Architecture governance</x:v>
      </x:c>
      <x:c r="F46" s="123" t="str">
        <x:v>N/A</x:v>
      </x:c>
      <x:c r="G46" s="123" t="str">
        <x:v>Architecture changes</x:v>
      </x:c>
      <x:c r="H46" s="123" t="str">
        <x:v>ADR decisions</x:v>
      </x:c>
      <x:c r="I46" s="123" t="str">
        <x:v>Architecture Board</x:v>
      </x:c>
      <x:c r="J46" s="123" t="str">
        <x:v>Rule</x:v>
      </x:c>
      <x:c r="K46" s="123" t="str">
        <x:v>All</x:v>
      </x:c>
      <x:c r="L46" s="123" t="str">
        <x:v>Initial plan uses approximately eight Work Intelligence deployables plus shared HumanOS services.</x:v>
      </x:c>
      <x:c r="M46" s="124" t="str">
        <x:v>Microservices design principle</x:v>
      </x:c>
    </x:row>
  </x:sheetData>
  <x:mergeCells>
    <x:mergeCell ref="A1:M1"/>
    <x:mergeCell ref="A2:M2"/>
  </x:mergeCells>
  <x:pageMargins left="0.7" right="0.7" top="0.75" bottom="0.75" header="0.3" footer="0.3"/>
</x:worksheet>
</file>

<file path=xl/worksheets/sheet23.xml><?xml version="1.0" encoding="utf-8"?>
<x:worksheet xmlns:x="http://schemas.openxmlformats.org/spreadsheetml/2006/main">
  <x:sheetFormatPr defaultRowHeight="15"/>
  <x:cols>
    <x:col min="1" max="1" width="11" hidden="0" customWidth="1"/>
    <x:col min="2" max="2" width="30" hidden="0" customWidth="1"/>
    <x:col min="3" max="3" width="20" hidden="0" customWidth="1"/>
    <x:col min="4" max="4" width="44" hidden="0" customWidth="1"/>
    <x:col min="5" max="5" width="52" hidden="0" customWidth="1"/>
    <x:col min="6" max="6" width="38" hidden="0" customWidth="1"/>
    <x:col min="7" max="7" width="36" hidden="0" customWidth="1"/>
    <x:col min="8" max="8" width="40" hidden="0" customWidth="1"/>
    <x:col min="9" max="9" width="38" hidden="0" customWidth="1"/>
    <x:col min="10" max="10" width="30" hidden="0" customWidth="1"/>
    <x:col min="11" max="11" width="34" hidden="0" customWidth="1"/>
  </x:cols>
  <x:sheetData>
    <x:row r="1" ht="30" customHeight="1">
      <x:c r="A1" s="72" t="str">
        <x:v>Architecture Decision Register</x:v>
      </x:c>
      <x:c r="B1" s="72"/>
      <x:c r="C1" s="72"/>
      <x:c r="D1" s="72"/>
      <x:c r="E1" s="72"/>
      <x:c r="F1" s="72"/>
      <x:c r="G1" s="72"/>
      <x:c r="H1" s="72"/>
      <x:c r="I1" s="72"/>
      <x:c r="J1" s="72"/>
      <x:c r="K1" s="72"/>
    </x:row>
    <x:row r="2" ht="34" customHeight="1">
      <x:c r="A2" s="76" t="str">
        <x:v>Stage 1 ADR drafts. 'Accepted in principle' means the workbook recommends the decision; Architecture Board approval is still required.</x:v>
      </x:c>
      <x:c r="B2" s="76"/>
      <x:c r="C2" s="76"/>
      <x:c r="D2" s="76"/>
      <x:c r="E2" s="76"/>
      <x:c r="F2" s="76"/>
      <x:c r="G2" s="76"/>
      <x:c r="H2" s="76"/>
      <x:c r="I2" s="76"/>
      <x:c r="J2" s="76"/>
      <x:c r="K2" s="76"/>
    </x:row>
    <x:row r="4" ht="28" customHeight="1">
      <x:c r="A4" s="88" t="str">
        <x:v>ADR</x:v>
      </x:c>
      <x:c r="B4" s="89" t="str">
        <x:v>Decision title</x:v>
      </x:c>
      <x:c r="C4" s="89" t="str">
        <x:v>Status</x:v>
      </x:c>
      <x:c r="D4" s="89" t="str">
        <x:v>Context / problem</x:v>
      </x:c>
      <x:c r="E4" s="89" t="str">
        <x:v>Recommended decision</x:v>
      </x:c>
      <x:c r="F4" s="89" t="str">
        <x:v>Alternatives considered</x:v>
      </x:c>
      <x:c r="G4" s="89" t="str">
        <x:v>Positive consequences</x:v>
      </x:c>
      <x:c r="H4" s="89" t="str">
        <x:v>Risks / trade-offs</x:v>
      </x:c>
      <x:c r="I4" s="89" t="str">
        <x:v>Validation / evidence needed</x:v>
      </x:c>
      <x:c r="J4" s="89" t="str">
        <x:v>Owner / review trigger</x:v>
      </x:c>
      <x:c r="K4" s="90" t="str">
        <x:v>Source / basis</x:v>
      </x:c>
    </x:row>
    <x:row r="5">
      <x:c r="A5" s="110" t="str">
        <x:v>ADR-001</x:v>
      </x:c>
      <x:c r="B5" s="111" t="str">
        <x:v>Product boundary</x:v>
      </x:c>
      <x:c r="C5" s="111" t="str">
        <x:v>Accepted in principle</x:v>
      </x:c>
      <x:c r="D5" s="111" t="str">
        <x:v>Raw monitoring is commoditised and creates a crowded, high-resistance market position.</x:v>
      </x:c>
      <x:c r="E5" s="111" t="str">
        <x:v>Build HumanOS Work Intelligence as task assurance, capability development and human–AI work intelligence; treat monitoring as controlled evidence infrastructure.</x:v>
      </x:c>
      <x:c r="F5" s="111" t="str">
        <x:v>Employee-monitoring product; task-mining-only product; developer analytics only.</x:v>
      </x:c>
      <x:c r="G5" s="111" t="str">
        <x:v>Clearer differentiation, broader HumanOS fit, direct employee benefit.</x:v>
      </x:c>
      <x:c r="H5" s="111" t="str">
        <x:v>More complex product and evaluation problem.</x:v>
      </x:c>
      <x:c r="I5" s="111" t="str">
        <x:v>Leadership positioning review and worker consultation.</x:v>
      </x:c>
      <x:c r="J5" s="111" t="str">
        <x:v>Product Owner / revisit if market evidence changes</x:v>
      </x:c>
      <x:c r="K5" s="112" t="str">
        <x:v>Market Landscape / Gap Matrix</x:v>
      </x:c>
    </x:row>
    <x:row r="6">
      <x:c r="A6" s="119" t="str">
        <x:v>ADR-002</x:v>
      </x:c>
      <x:c r="B6" s="120" t="str">
        <x:v>Stage 0 and Stage 1 structure</x:v>
      </x:c>
      <x:c r="C6" s="120" t="str">
        <x:v>Accepted in principle</x:v>
      </x:c>
      <x:c r="D6" s="120" t="str">
        <x:v>Governance and architecture research are tightly coupled but require different authorities.</x:v>
      </x:c>
      <x:c r="E6" s="120" t="str">
        <x:v>Run as one Foundation &amp; Validation workstream with separate Stage 0 governance gate and Stage 1 architecture gate.</x:v>
      </x:c>
      <x:c r="F6" s="120" t="str">
        <x:v>Merge into one gate; run sequentially with no overlap.</x:v>
      </x:c>
      <x:c r="G6" s="120" t="str">
        <x:v>Faster integrated planning without losing independent approvals.</x:v>
      </x:c>
      <x:c r="H6" s="120" t="str">
        <x:v>Programme may confuse document completion with approval.</x:v>
      </x:c>
      <x:c r="I6" s="120" t="str">
        <x:v>Gate register and named decision authorities.</x:v>
      </x:c>
      <x:c r="J6" s="120" t="str">
        <x:v>Programme Lead</x:v>
      </x:c>
      <x:c r="K6" s="121" t="str">
        <x:v>Master Prompt / Stage 0-1 Gates</x:v>
      </x:c>
    </x:row>
    <x:row r="7">
      <x:c r="A7" s="113" t="str">
        <x:v>ADR-003</x:v>
      </x:c>
      <x:c r="B7" s="114" t="str">
        <x:v>Initial vertical</x:v>
      </x:c>
      <x:c r="C7" s="114" t="str">
        <x:v>Accepted in principle</x:v>
      </x:c>
      <x:c r="D7" s="114" t="str">
        <x:v>Universal work intelligence is too broad for a first implementation.</x:v>
      </x:c>
      <x:c r="E7" s="114" t="str">
        <x:v>Pilot AI-assisted software development on company-managed Windows and macOS devices.</x:v>
      </x:c>
      <x:c r="F7" s="114" t="str">
        <x:v>All knowledge workers; customer support; finance operations.</x:v>
      </x:c>
      <x:c r="G7" s="114" t="str">
        <x:v>Objective artefacts, tests and Git provide high-quality evidence.</x:v>
      </x:c>
      <x:c r="H7" s="114" t="str">
        <x:v>May overfit ontology and UX to developers.</x:v>
      </x:c>
      <x:c r="I7" s="114" t="str">
        <x:v>Stage 2 domain-neutral extension tests.</x:v>
      </x:c>
      <x:c r="J7" s="114" t="str">
        <x:v>Product/CTO / revisit after pilot</x:v>
      </x:c>
      <x:c r="K7" s="115" t="str">
        <x:v>Product Charter v1</x:v>
      </x:c>
    </x:row>
    <x:row r="8">
      <x:c r="A8" s="119" t="str">
        <x:v>ADR-004</x:v>
      </x:c>
      <x:c r="B8" s="120" t="str">
        <x:v>HumanOS integration</x:v>
      </x:c>
      <x:c r="C8" s="120" t="str">
        <x:v>Accepted in principle</x:v>
      </x:c>
      <x:c r="D8" s="120" t="str">
        <x:v>HumanOS already contains foundation microservices.</x:v>
      </x:c>
      <x:c r="E8" s="120" t="str">
        <x:v>Implement Work Intelligence as HumanOS bounded contexts that reuse identity, organisation, tasks, workflow, policy, audit, notification, secrets, object, model and event services.</x:v>
      </x:c>
      <x:c r="F8" s="120" t="str">
        <x:v>Standalone platform; duplicate services.</x:v>
      </x:c>
      <x:c r="G8" s="120" t="str">
        <x:v>Consistency, lower delivery cost, shared governance.</x:v>
      </x:c>
      <x:c r="H8" s="120" t="str">
        <x:v>Existing services may have functional gaps or coupling.</x:v>
      </x:c>
      <x:c r="I8" s="120" t="str">
        <x:v>Stage 1 service capability assessment.</x:v>
      </x:c>
      <x:c r="J8" s="120" t="str">
        <x:v>Enterprise Architect</x:v>
      </x:c>
      <x:c r="K8" s="121" t="str">
        <x:v>Reference Architecture</x:v>
      </x:c>
    </x:row>
    <x:row r="9">
      <x:c r="A9" s="113" t="str">
        <x:v>ADR-005</x:v>
      </x:c>
      <x:c r="B9" s="114" t="str">
        <x:v>Runtime responsibility split</x:v>
      </x:c>
      <x:c r="C9" s="114" t="str">
        <x:v>Accepted in principle</x:v>
      </x:c>
      <x:c r="D9" s="114" t="str">
        <x:v>Cloud domain durability, AI iteration and OS capture have different runtime needs.</x:v>
      </x:c>
      <x:c r="E9" s="114" t="str">
        <x:v>Java/Spring for durable domain and workflow services; Python for AI/evaluation workers; Rust/native bridges for endpoint capture.</x:v>
      </x:c>
      <x:c r="F9" s="114" t="str">
        <x:v>All Java; all Python; Electron-only agent.</x:v>
      </x:c>
      <x:c r="G9" s="114" t="str">
        <x:v>Technology fit, strong platform alignment and endpoint performance.</x:v>
      </x:c>
      <x:c r="H9" s="114" t="str">
        <x:v>Multi-language contracts, skills and operations.</x:v>
      </x:c>
      <x:c r="I9" s="114" t="str">
        <x:v>Contract tests, shared schemas, staffing plan.</x:v>
      </x:c>
      <x:c r="J9" s="114" t="str">
        <x:v>CTO / review at Stage 3 and 4</x:v>
      </x:c>
      <x:c r="K9" s="115" t="str">
        <x:v>User stack + architecture research</x:v>
      </x:c>
    </x:row>
    <x:row r="10">
      <x:c r="A10" s="119" t="str">
        <x:v>ADR-006</x:v>
      </x:c>
      <x:c r="B10" s="120" t="str">
        <x:v>Java/Spring baseline</x:v>
      </x:c>
      <x:c r="C10" s="120" t="str">
        <x:v>Proposed</x:v>
      </x:c>
      <x:c r="D10" s="120" t="str">
        <x:v>HumanOS current version is not confirmed; newer supported releases exist.</x:v>
      </x:c>
      <x:c r="E10" s="120" t="str">
        <x:v>Do not force platform migration. Retain current supported HumanOS baseline unless measured benefits justify migration; benchmark Java 25 LTS with Spring Boot 4.1 and compatible Spring Cloud for greenfield-compatible services.</x:v>
      </x:c>
      <x:c r="F10" s="120" t="str">
        <x:v>Mandate Java 25/Boot 4.1 immediately; remain permanently on Java 21/Boot 3.x.</x:v>
      </x:c>
      <x:c r="G10" s="120" t="str">
        <x:v>Avoids unnecessary migration while evaluating current LTS capabilities.</x:v>
      </x:c>
      <x:c r="H10" s="120" t="str">
        <x:v>Mixed baselines or delayed adoption.</x:v>
      </x:c>
      <x:c r="I10" s="120" t="str">
        <x:v>Inventory current HumanOS stack; compatibility/performance/security spike.</x:v>
      </x:c>
      <x:c r="J10" s="120" t="str">
        <x:v>Java Platform Lead / when platform baseline known</x:v>
      </x:c>
      <x:c r="K10" s="121" t="str">
        <x:v>OpenJDK 25 / Spring Boot 4.1 / Spring Cloud 2025.1.2</x:v>
      </x:c>
    </x:row>
    <x:row r="11">
      <x:c r="A11" s="113" t="str">
        <x:v>ADR-007</x:v>
      </x:c>
      <x:c r="B11" s="114" t="str">
        <x:v>Device-agent architecture</x:v>
      </x:c>
      <x:c r="C11" s="114" t="str">
        <x:v>Accepted in principle</x:v>
      </x:c>
      <x:c r="D11" s="114" t="str">
        <x:v>Endpoint capture requires low latency, native OS APIs, local policy and secure offline operation.</x:v>
      </x:c>
      <x:c r="E11" s="114" t="str">
        <x:v>Use a Rust shared core with Swift and Windows-native bridges; Tauri/native UI may expose visible controls.</x:v>
      </x:c>
      <x:c r="F11" s="114" t="str">
        <x:v>Java desktop agent; Python agent; Electron capture process.</x:v>
      </x:c>
      <x:c r="G11" s="114" t="str">
        <x:v>Performance, memory safety, cross-platform core and native access.</x:v>
      </x:c>
      <x:c r="H11" s="114" t="str">
        <x:v>Rust/native expertise and FFI complexity.</x:v>
      </x:c>
      <x:c r="I11" s="114" t="str">
        <x:v>Stage 3 proof of installation, policy, journal, update and performance.</x:v>
      </x:c>
      <x:c r="J11" s="114" t="str">
        <x:v>Desktop Architect</x:v>
      </x:c>
      <x:c r="K11" s="115" t="str">
        <x:v>OpenAdapt/Screenpipe architecture patterns</x:v>
      </x:c>
    </x:row>
    <x:row r="12">
      <x:c r="A12" s="119" t="str">
        <x:v>ADR-008</x:v>
      </x:c>
      <x:c r="B12" s="120" t="str">
        <x:v>Edge-first minimisation</x:v>
      </x:c>
      <x:c r="C12" s="120" t="str">
        <x:v>Accepted in principle</x:v>
      </x:c>
      <x:c r="D12" s="120" t="str">
        <x:v>Raw screen, text and input evidence is highly sensitive and expensive.</x:v>
      </x:c>
      <x:c r="E12" s="120" t="str">
        <x:v>Apply policy, secure-field exclusion, redaction, deduplication and event correlation locally before upload.</x:v>
      </x:c>
      <x:c r="F12" s="120" t="str">
        <x:v>Upload raw stream; cloud-only redaction.</x:v>
      </x:c>
      <x:c r="G12" s="120" t="str">
        <x:v>Lower privacy/security risk, bandwidth and storage.</x:v>
      </x:c>
      <x:c r="H12" s="120" t="str">
        <x:v>Endpoint models/rules may miss content and are harder to update.</x:v>
      </x:c>
      <x:c r="I12" s="120" t="str">
        <x:v>False-negative/false-positive redaction evaluation and signed policy updates.</x:v>
      </x:c>
      <x:c r="J12" s="120" t="str">
        <x:v>CISO/DPO / blocking pilot control</x:v>
      </x:c>
      <x:c r="K12" s="121" t="str">
        <x:v>ICO minimisation and DPIA requirements</x:v>
      </x:c>
    </x:row>
    <x:row r="13">
      <x:c r="A13" s="113" t="str">
        <x:v>ADR-009</x:v>
      </x:c>
      <x:c r="B13" s="114" t="str">
        <x:v>Event backbone</x:v>
      </x:c>
      <x:c r="C13" s="114" t="str">
        <x:v>Accepted in principle</x:v>
      </x:c>
      <x:c r="D13" s="114" t="str">
        <x:v>Evidence flow requires durable replay, partitioning, multiple consumers and asynchronous processing.</x:v>
      </x:c>
      <x:c r="E13" s="114" t="str">
        <x:v>Reuse HumanOS Kafka-compatible event infrastructure with signed, idempotent, schema-versioned batches.</x:v>
      </x:c>
      <x:c r="F13" s="114" t="str">
        <x:v>Synchronous REST only; database polling; new message platform.</x:v>
      </x:c>
      <x:c r="G13" s="114" t="str">
        <x:v>Decoupling, replay and scalable consumers.</x:v>
      </x:c>
      <x:c r="H13" s="114" t="str">
        <x:v>Operational complexity and schema discipline.</x:v>
      </x:c>
      <x:c r="I13" s="114" t="str">
        <x:v>Capacity test and topic/partition design.</x:v>
      </x:c>
      <x:c r="J13" s="114" t="str">
        <x:v>Platform/Data Architect</x:v>
      </x:c>
      <x:c r="K13" s="115" t="str">
        <x:v>Apache Kafka</x:v>
      </x:c>
    </x:row>
    <x:row r="14">
      <x:c r="A14" s="119" t="str">
        <x:v>ADR-010</x:v>
      </x:c>
      <x:c r="B14" s="120" t="str">
        <x:v>Event envelope</x:v>
      </x:c>
      <x:c r="C14" s="120" t="str">
        <x:v>Accepted in principle</x:v>
      </x:c>
      <x:c r="D14" s="120" t="str">
        <x:v>Cross-language and cross-service events need consistent metadata.</x:v>
      </x:c>
      <x:c r="E14" s="120" t="str">
        <x:v>Use a CloudEvents-style envelope with Nessovo domain schemas and separate references for large/sensitive content.</x:v>
      </x:c>
      <x:c r="F14" s="120" t="str">
        <x:v>Proprietary envelope; raw provider payloads.</x:v>
      </x:c>
      <x:c r="G14" s="120" t="str">
        <x:v>Interoperability, tooling and clearer contracts.</x:v>
      </x:c>
      <x:c r="H14" s="120" t="str">
        <x:v>Additional mapping and version governance.</x:v>
      </x:c>
      <x:c r="I14" s="120" t="str">
        <x:v>Schema registry prototype and compatibility policy.</x:v>
      </x:c>
      <x:c r="J14" s="120" t="str">
        <x:v>Data Architect</x:v>
      </x:c>
      <x:c r="K14" s="121" t="str">
        <x:v>CloudEvents</x:v>
      </x:c>
    </x:row>
    <x:row r="15">
      <x:c r="A15" s="113" t="str">
        <x:v>ADR-011</x:v>
      </x:c>
      <x:c r="B15" s="114" t="str">
        <x:v>Operational observability vs worker evidence</x:v>
      </x:c>
      <x:c r="C15" s="114" t="str">
        <x:v>Accepted in principle</x:v>
      </x:c>
      <x:c r="D15" s="114" t="str">
        <x:v>OpenTelemetry supports service/AI traces but prompt/content fields may contain sensitive information.</x:v>
      </x:c>
      <x:c r="E15" s="114" t="str">
        <x:v>Use OpenTelemetry for operational traces, metrics and logs. Keep worker evidence in the Evidence domain and exclude raw prompts/text/screens by default from traces.</x:v>
      </x:c>
      <x:c r="F15" s="114" t="str">
        <x:v>Put all evidence in traces; use vendor-specific observability only.</x:v>
      </x:c>
      <x:c r="G15" s="114" t="str">
        <x:v>Clear governance boundary and portability.</x:v>
      </x:c>
      <x:c r="H15" s="114" t="str">
        <x:v>Correlation requires identifiers across systems.</x:v>
      </x:c>
      <x:c r="I15" s="114" t="str">
        <x:v>Trace/evidence correlation design and content-policy tests.</x:v>
      </x:c>
      <x:c r="J15" s="114" t="str">
        <x:v>SRE/AI Platform/DPO</x:v>
      </x:c>
      <x:c r="K15" s="115" t="str">
        <x:v>OpenTelemetry semantic conventions and GenAI warnings</x:v>
      </x:c>
    </x:row>
    <x:row r="16">
      <x:c r="A16" s="119" t="str">
        <x:v>ADR-012</x:v>
      </x:c>
      <x:c r="B16" s="120" t="str">
        <x:v>Microservice granularity</x:v>
      </x:c>
      <x:c r="C16" s="120" t="str">
        <x:v>Accepted in principle</x:v>
      </x:c>
      <x:c r="D16" s="120" t="str">
        <x:v>A long list of logical services can create unnecessary distributed complexity.</x:v>
      </x:c>
      <x:c r="E16" s="120" t="str">
        <x:v>Start with approximately eight Work Intelligence deployables plus endpoint agent and shared HumanOS services; split subdomains only on security, scale, availability, ownership or transactional evidence.</x:v>
      </x:c>
      <x:c r="F16" s="120" t="str">
        <x:v>One monolith; one deployable per entity/capability.</x:v>
      </x:c>
      <x:c r="G16" s="120" t="str">
        <x:v>Balanced autonomy and operational simplicity.</x:v>
      </x:c>
      <x:c r="H16" s="120" t="str">
        <x:v>Initial services may become large.</x:v>
      </x:c>
      <x:c r="I16" s="120" t="str">
        <x:v>Track change coupling, load, ownership and security boundaries.</x:v>
      </x:c>
      <x:c r="J16" s="120" t="str">
        <x:v>Architecture Board / quarterly review</x:v>
      </x:c>
      <x:c r="K16" s="121" t="str">
        <x:v>Reference Architecture</x:v>
      </x:c>
    </x:row>
    <x:row r="17">
      <x:c r="A17" s="113" t="str">
        <x:v>ADR-013</x:v>
      </x:c>
      <x:c r="B17" s="114" t="str">
        <x:v>Initial data stores</x:v>
      </x:c>
      <x:c r="C17" s="114" t="str">
        <x:v>Accepted in principle</x:v>
      </x:c>
      <x:c r="D17" s="114" t="str">
        <x:v>Evidence, tasks and capabilities need transactions, objects, search and graph-like queries.</x:v>
      </x:c>
      <x:c r="E17" s="114" t="str">
        <x:v>Use PostgreSQL for transactional metadata, object storage for evidence, pgvector/search selectively; defer a dedicated graph database until benchmarks justify it.</x:v>
      </x:c>
      <x:c r="F17" s="114" t="str">
        <x:v>Adopt graph/vector/search databases immediately; single document database.</x:v>
      </x:c>
      <x:c r="G17" s="114" t="str">
        <x:v>Lower operational burden and faster MVP.</x:v>
      </x:c>
      <x:c r="H17" s="114" t="str">
        <x:v>Complex graph queries may later require migration.</x:v>
      </x:c>
      <x:c r="I17" s="114" t="str">
        <x:v>Stage 7/8 query benchmarks and data-volume tests.</x:v>
      </x:c>
      <x:c r="J17" s="114" t="str">
        <x:v>Data Architect</x:v>
      </x:c>
      <x:c r="K17" s="115" t="str">
        <x:v>Build Buy Decisions</x:v>
      </x:c>
    </x:row>
    <x:row r="18">
      <x:c r="A18" s="119" t="str">
        <x:v>ADR-014</x:v>
      </x:c>
      <x:c r="B18" s="120" t="str">
        <x:v>Policy engine</x:v>
      </x:c>
      <x:c r="C18" s="120" t="str">
        <x:v>Proposed</x:v>
      </x:c>
      <x:c r="D18" s="120" t="str">
        <x:v>Capture and evidence access require dynamic, auditable, jurisdiction-aware decisions.</x:v>
      </x:c>
      <x:c r="E18" s="120" t="str">
        <x:v>Reuse existing HumanOS policy service. Evaluate OPA for declarative local/service decisions where it materially improves expressiveness and distribution.</x:v>
      </x:c>
      <x:c r="F18" s="120" t="str">
        <x:v>Embed rules in every service; mandate OPA everywhere.</x:v>
      </x:c>
      <x:c r="G18" s="120" t="str">
        <x:v>Avoid duplicate policy systems while preserving policy-as-code option.</x:v>
      </x:c>
      <x:c r="H18" s="120" t="str">
        <x:v>Inconsistent decisions if integration is weak.</x:v>
      </x:c>
      <x:c r="I18" s="120" t="str">
        <x:v>Capability assessment of existing policy service and OPA spike.</x:v>
      </x:c>
      <x:c r="J18" s="120" t="str">
        <x:v>Security Architect / Stage 3</x:v>
      </x:c>
      <x:c r="K18" s="121" t="str">
        <x:v>OPA</x:v>
      </x:c>
    </x:row>
    <x:row r="19">
      <x:c r="A19" s="113" t="str">
        <x:v>ADR-015</x:v>
      </x:c>
      <x:c r="B19" s="114" t="str">
        <x:v>Workflow orchestration</x:v>
      </x:c>
      <x:c r="C19" s="114" t="str">
        <x:v>Accepted in principle</x:v>
      </x:c>
      <x:c r="D19" s="114" t="str">
        <x:v>Review, disputes, coaching and skill lifecycle need long-running workflows.</x:v>
      </x:c>
      <x:c r="E19" s="114" t="str">
        <x:v>Reuse HumanOS Workflow Runtime; introduce Temporal or another orchestrator only after documented capability gaps.</x:v>
      </x:c>
      <x:c r="F19" s="114" t="str">
        <x:v>Adopt Temporal immediately; custom state machines per service.</x:v>
      </x:c>
      <x:c r="G19" s="114" t="str">
        <x:v>Platform consistency and lower complexity.</x:v>
      </x:c>
      <x:c r="H19" s="114" t="str">
        <x:v>Existing runtime may lack developer ergonomics or durability features.</x:v>
      </x:c>
      <x:c r="I19" s="114" t="str">
        <x:v>Stage 2/3 workflow capability matrix.</x:v>
      </x:c>
      <x:c r="J19" s="114" t="str">
        <x:v>Platform Architect</x:v>
      </x:c>
      <x:c r="K19" s="115" t="str">
        <x:v>HumanOS foundation / Temporal as reference only</x:v>
      </x:c>
    </x:row>
    <x:row r="20">
      <x:c r="A20" s="119" t="str">
        <x:v>ADR-016</x:v>
      </x:c>
      <x:c r="B20" s="120" t="str">
        <x:v>AI decision architecture</x:v>
      </x:c>
      <x:c r="C20" s="120" t="str">
        <x:v>Accepted in principle</x:v>
      </x:c>
      <x:c r="D20" s="120" t="str">
        <x:v>Task/capability conclusions combine facts, deterministic checks and uncertain model interpretation.</x:v>
      </x:c>
      <x:c r="E20" s="120" t="str">
        <x:v>Java domain services own state and policy; Python evaluators return versioned findings with evidence, confidence and missing-data flags; humans decide consequential outcomes.</x:v>
      </x:c>
      <x:c r="F20" s="120" t="str">
        <x:v>AI service directly writes final employment states; deterministic rules only.</x:v>
      </x:c>
      <x:c r="G20" s="120" t="str">
        <x:v>Auditability, rapid model iteration and governance.</x:v>
      </x:c>
      <x:c r="H20" s="120" t="str">
        <x:v>Additional orchestration and calibration burden.</x:v>
      </x:c>
      <x:c r="I20" s="120" t="str">
        <x:v>Evaluation suites, calibration, human-review workflow.</x:v>
      </x:c>
      <x:c r="J20" s="120" t="str">
        <x:v>AI Architect/DPO</x:v>
      </x:c>
      <x:c r="K20" s="121" t="str">
        <x:v>NIST AI RMF / ICO human review</x:v>
      </x:c>
    </x:row>
    <x:row r="21">
      <x:c r="A21" s="113" t="str">
        <x:v>ADR-017</x:v>
      </x:c>
      <x:c r="B21" s="114" t="str">
        <x:v>Build/buy capture core</x:v>
      </x:c>
      <x:c r="C21" s="114" t="str">
        <x:v>Accepted in principle</x:v>
      </x:c>
      <x:c r="D21" s="114" t="str">
        <x:v>Relevant source-available and experimental projects exist but none meets the entire security/governance/product model.</x:v>
      </x:c>
      <x:c r="E21" s="114" t="str">
        <x:v>Build the proprietary endpoint core; benchmark and learn from Screenpipe, ActivityWatch and OpenAdapt; reuse code only after legal/security approval.</x:v>
      </x:c>
      <x:c r="F21" s="114" t="str">
        <x:v>Commercial monitoring vendor; direct Screenpipe commercial licence; fork OpenAdapt.</x:v>
      </x:c>
      <x:c r="G21" s="114" t="str">
        <x:v>Control over privacy, provenance, platform fit and product IP.</x:v>
      </x:c>
      <x:c r="H21" s="114" t="str">
        <x:v>Higher engineering cost and OS complexity.</x:v>
      </x:c>
      <x:c r="I21" s="114" t="str">
        <x:v>Stage 3/5 benchmarks and licence review.</x:v>
      </x:c>
      <x:c r="J21" s="114" t="str">
        <x:v>CTO/Desktop/Legal</x:v>
      </x:c>
      <x:c r="K21" s="115" t="str">
        <x:v>GitHub OSS Scan</x:v>
      </x:c>
    </x:row>
    <x:row r="22">
      <x:c r="A22" s="119" t="str">
        <x:v>ADR-018</x:v>
      </x:c>
      <x:c r="B22" s="120" t="str">
        <x:v>Capability system</x:v>
      </x:c>
      <x:c r="C22" s="120" t="str">
        <x:v>Accepted in principle</x:v>
      </x:c>
      <x:c r="D22" s="120" t="str">
        <x:v>Skills platforms infer capabilities but Nessovo needs task-evidence traceability and employee progression.</x:v>
      </x:c>
      <x:c r="E22" s="120" t="str">
        <x:v>Build a transparent HumanOS Capability Graph; map external frameworks and integrate HRIS/LMS systems rather than outsourcing the core evidence model.</x:v>
      </x:c>
      <x:c r="F22" s="120" t="str">
        <x:v>Buy skills platform as system of record; manager-only ratings.</x:v>
      </x:c>
      <x:c r="G22" s="120" t="str">
        <x:v>Core differentiation, explainability and cross-vertical fit.</x:v>
      </x:c>
      <x:c r="H22" s="120" t="str">
        <x:v>Employment fairness and ontology complexity.</x:v>
      </x:c>
      <x:c r="I22" s="120" t="str">
        <x:v>Stage 2 ontology evaluation and pilot fairness review.</x:v>
      </x:c>
      <x:c r="J22" s="120" t="str">
        <x:v>Capability Product Lead</x:v>
      </x:c>
      <x:c r="K22" s="121" t="str">
        <x:v>Skills intelligence market research</x:v>
      </x:c>
    </x:row>
    <x:row r="23">
      <x:c r="A23" s="113" t="str">
        <x:v>ADR-019</x:v>
      </x:c>
      <x:c r="B23" s="114" t="str">
        <x:v>Employee data access</x:v>
      </x:c>
      <x:c r="C23" s="114" t="str">
        <x:v>Accepted in principle</x:v>
      </x:c>
      <x:c r="D23" s="114" t="str">
        <x:v>Evidence used to assess work can be wrong or incomplete.</x:v>
      </x:c>
      <x:c r="E23" s="114" t="str">
        <x:v>Employees receive access to material evidence and assessments, can correct task/context and request meaningful human review.</x:v>
      </x:c>
      <x:c r="F23" s="114" t="str">
        <x:v>Manager-only visibility; limited report access.</x:v>
      </x:c>
      <x:c r="G23" s="114" t="str">
        <x:v>Trust, fairness, data quality and governance.</x:v>
      </x:c>
      <x:c r="H23" s="114" t="str">
        <x:v>Workflow and operational effort; potential disputes.</x:v>
      </x:c>
      <x:c r="I23" s="114" t="str">
        <x:v>Pilot UX and dispute SLA tests.</x:v>
      </x:c>
      <x:c r="J23" s="114" t="str">
        <x:v>DPO/HR/Product</x:v>
      </x:c>
      <x:c r="K23" s="115" t="str">
        <x:v>ICO monitoring guidance</x:v>
      </x:c>
    </x:row>
    <x:row r="24">
      <x:c r="A24" s="119" t="str">
        <x:v>ADR-020</x:v>
      </x:c>
      <x:c r="B24" s="120" t="str">
        <x:v>Pilot employment use</x:v>
      </x:c>
      <x:c r="C24" s="120" t="str">
        <x:v>Accepted in principle</x:v>
      </x:c>
      <x:c r="D24" s="120" t="str">
        <x:v>Early models and capture controls will not be sufficiently validated for high-impact decisions.</x:v>
      </x:c>
      <x:c r="E24" s="120" t="str">
        <x:v>No adverse employment action based solely or primarily on pilot system output; use pilot for product evaluation, coaching and evidence-quality learning.</x:v>
      </x:c>
      <x:c r="F24" s="120" t="str">
        <x:v>Normal performance-management use during pilot.</x:v>
      </x:c>
      <x:c r="G24" s="120" t="str">
        <x:v>Reduces harm and enables honest feedback.</x:v>
      </x:c>
      <x:c r="H24" s="120" t="str">
        <x:v>Limits immediate management value.</x:v>
      </x:c>
      <x:c r="I24" s="120" t="str">
        <x:v>Executive/HR policy and participant terms.</x:v>
      </x:c>
      <x:c r="J24" s="120" t="str">
        <x:v>Executive Sponsor/HR</x:v>
      </x:c>
      <x:c r="K24" s="121" t="str">
        <x:v>Pilot Definition</x:v>
      </x:c>
    </x:row>
    <x:row r="25">
      <x:c r="A25" s="113" t="str">
        <x:v>ADR-021</x:v>
      </x:c>
      <x:c r="B25" s="114" t="str">
        <x:v>Skill self-improvement</x:v>
      </x:c>
      <x:c r="C25" s="114" t="str">
        <x:v>Accepted in principle</x:v>
      </x:c>
      <x:c r="D25" s="114" t="str">
        <x:v>The system should improve prompts, adapters and evaluators from feedback without uncontrolled self-modification.</x:v>
      </x:c>
      <x:c r="E25" s="114" t="str">
        <x:v>Use observation → proposal → offline evaluation → expert/security review → canary → promote/rollback lifecycle.</x:v>
      </x:c>
      <x:c r="F25" s="114" t="str">
        <x:v>Automatic live edits; manual improvement only.</x:v>
      </x:c>
      <x:c r="G25" s="114" t="str">
        <x:v>Compounding organisational intelligence with governance.</x:v>
      </x:c>
      <x:c r="H25" s="114" t="str">
        <x:v>Evaluation maintenance and slower promotion.</x:v>
      </x:c>
      <x:c r="I25" s="114" t="str">
        <x:v>Stage 11 Skill Forge implementation and regression metrics.</x:v>
      </x:c>
      <x:c r="J25" s="114" t="str">
        <x:v>AI Platform Lead</x:v>
      </x:c>
      <x:c r="K25" s="115" t="str">
        <x:v>Claude-Mem / Task Observer patterns</x:v>
      </x:c>
    </x:row>
    <x:row r="26">
      <x:c r="A26" s="122" t="str">
        <x:v>ADR-022</x:v>
      </x:c>
      <x:c r="B26" s="123" t="str">
        <x:v>Audio capture</x:v>
      </x:c>
      <x:c r="C26" s="123" t="str">
        <x:v>Accepted</x:v>
      </x:c>
      <x:c r="D26" s="123" t="str">
        <x:v>Audio adds significant privacy, policy and storage risk and is not required for the first technical pilot.</x:v>
      </x:c>
      <x:c r="E26" s="123" t="str">
        <x:v>Exclude microphone/system audio from v1 pilot.</x:v>
      </x:c>
      <x:c r="F26" s="123" t="str">
        <x:v>Capture meetings and calls; optional user-triggered audio.</x:v>
      </x:c>
      <x:c r="G26" s="123" t="str">
        <x:v>Reduces risk and scope.</x:v>
      </x:c>
      <x:c r="H26" s="123" t="str">
        <x:v>Some work context remains unobserved.</x:v>
      </x:c>
      <x:c r="I26" s="123" t="str">
        <x:v>New purpose, DPIA and product decision before introduction.</x:v>
      </x:c>
      <x:c r="J26" s="123" t="str">
        <x:v>DPO/Product</x:v>
      </x:c>
      <x:c r="K26" s="124" t="str">
        <x:v>Purpose Policy Matrix</x:v>
      </x:c>
    </x:row>
  </x:sheetData>
  <x:mergeCells>
    <x:mergeCell ref="A1:K1"/>
    <x:mergeCell ref="A2:K2"/>
  </x:mergeCells>
  <x:dataValidations count="1">
    <x:dataValidation type="list" sqref="C5:C26">
      <x:formula1>"Proposed,Accepted in principle,Accepted,Rejected,Superseded"</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12" hidden="0" customWidth="1"/>
    <x:col min="3" max="3" width="18" hidden="0" customWidth="1"/>
    <x:col min="4" max="4" width="11" hidden="0" customWidth="1"/>
    <x:col min="5" max="5" width="44" hidden="0" customWidth="1"/>
    <x:col min="6" max="6" width="36" hidden="0" customWidth="1"/>
    <x:col min="7" max="7" width="24" hidden="0" customWidth="1"/>
    <x:col min="8" max="8" width="18" hidden="0" customWidth="1"/>
    <x:col min="9" max="9" width="13" hidden="0" customWidth="1"/>
    <x:col min="10" max="10" width="24" hidden="0" customWidth="1"/>
    <x:col min="11" max="11" width="42" hidden="0" customWidth="1"/>
    <x:col min="12" max="12" width="30" hidden="0" customWidth="1"/>
    <x:col min="14" max="14" width="24" hidden="0" customWidth="1"/>
    <x:col min="15" max="15" width="16" hidden="0" customWidth="1"/>
    <x:col min="16" max="16" width="14" hidden="0" customWidth="1"/>
  </x:cols>
  <x:sheetData>
    <x:row r="1" ht="30" customHeight="1">
      <x:c r="A1" s="72" t="str">
        <x:v>Stage 0 and Stage 1 Approval Gates</x:v>
      </x:c>
      <x:c r="B1" s="72"/>
      <x:c r="C1" s="72"/>
      <x:c r="D1" s="72"/>
      <x:c r="E1" s="72"/>
      <x:c r="F1" s="72"/>
      <x:c r="G1" s="72"/>
      <x:c r="H1" s="72"/>
      <x:c r="I1" s="72"/>
      <x:c r="J1" s="72"/>
      <x:c r="K1" s="72"/>
      <x:c r="L1" s="72"/>
      <x:c r="M1" s="72"/>
      <x:c r="N1" s="72"/>
      <x:c r="O1" s="72"/>
      <x:c r="P1" s="72"/>
    </x:row>
    <x:row r="2" ht="34" customHeight="1">
      <x:c r="A2" s="76" t="str">
        <x:v>Formal readiness checklist. A drafted workbook item is not the same as a Nessovo approval. Mandatory items marked 'Not Started' or 'Blocked' prevent an unconditional go decision.</x:v>
      </x:c>
      <x:c r="B2" s="76"/>
      <x:c r="C2" s="76"/>
      <x:c r="D2" s="76"/>
      <x:c r="E2" s="76"/>
      <x:c r="F2" s="76"/>
      <x:c r="G2" s="76"/>
      <x:c r="H2" s="76"/>
      <x:c r="I2" s="76"/>
      <x:c r="J2" s="76"/>
      <x:c r="K2" s="76"/>
      <x:c r="L2" s="76"/>
      <x:c r="M2" s="76"/>
      <x:c r="N2" s="76"/>
      <x:c r="O2" s="76"/>
      <x:c r="P2" s="76"/>
    </x:row>
    <x:row r="4" ht="28" customHeight="1">
      <x:c r="A4" s="88" t="str">
        <x:v>Gate item</x:v>
      </x:c>
      <x:c r="B4" s="89" t="str">
        <x:v>Gate</x:v>
      </x:c>
      <x:c r="C4" s="89" t="str">
        <x:v>Category</x:v>
      </x:c>
      <x:c r="D4" s="89" t="str">
        <x:v>Mandatory</x:v>
      </x:c>
      <x:c r="E4" s="89" t="str">
        <x:v>Requirement</x:v>
      </x:c>
      <x:c r="F4" s="89" t="str">
        <x:v>Required evidence</x:v>
      </x:c>
      <x:c r="G4" s="89" t="str">
        <x:v>Accountable authority</x:v>
      </x:c>
      <x:c r="H4" s="89" t="str">
        <x:v>Status</x:v>
      </x:c>
      <x:c r="I4" s="89" t="str">
        <x:v>Readiness weight</x:v>
      </x:c>
      <x:c r="J4" s="89" t="str">
        <x:v>Decision / condition</x:v>
      </x:c>
      <x:c r="K4" s="89" t="str">
        <x:v>Blocking condition</x:v>
      </x:c>
      <x:c r="L4" s="90" t="str">
        <x:v>Notes</x:v>
      </x:c>
      <x:c r="N4" s="138" t="str">
        <x:v>Gate readiness summary</x:v>
      </x:c>
      <x:c r="O4" s="138"/>
      <x:c r="P4" s="138"/>
    </x:row>
    <x:row r="5" ht="28" customHeight="1">
      <x:c r="A5" s="110" t="str">
        <x:v>G0-01</x:v>
      </x:c>
      <x:c r="B5" s="111" t="str">
        <x:v>Stage 0</x:v>
      </x:c>
      <x:c r="C5" s="111" t="str">
        <x:v>Purpose</x:v>
      </x:c>
      <x:c r="D5" s="111" t="str">
        <x:v>Yes</x:v>
      </x:c>
      <x:c r="E5" s="111" t="str">
        <x:v>Product purpose and strategic positioning approved.</x:v>
      </x:c>
      <x:c r="F5" s="111" t="str">
        <x:v>Signed/recorded Product Charter v1 decision.</x:v>
      </x:c>
      <x:c r="G5" s="111" t="str">
        <x:v>Executive Sponsor</x:v>
      </x:c>
      <x:c r="H5" s="111" t="str">
        <x:v>Draft Ready</x:v>
      </x:c>
      <x:c r="I5" s="133" t="n">
        <x:f>IF(H5="Met",1,IF(H5="Draft Ready",0.8,IF(H5="In Review",0.6,IF(H5="Owner Input",0.3,IF(H5="Blocked",0,0)))))</x:f>
        <x:v>0.8</x:v>
      </x:c>
      <x:c r="J5" s="111" t="str"/>
      <x:c r="K5" s="111" t="str">
        <x:v>No agreed purpose or value proposition.</x:v>
      </x:c>
      <x:c r="L5" s="112" t="str"/>
      <x:c r="N5" s="88" t="str">
        <x:v>Metric</x:v>
      </x:c>
      <x:c r="O5" s="90" t="str">
        <x:v>Value</x:v>
      </x:c>
    </x:row>
    <x:row r="6">
      <x:c r="A6" s="119" t="str">
        <x:v>G0-02</x:v>
      </x:c>
      <x:c r="B6" s="120" t="str">
        <x:v>Stage 0</x:v>
      </x:c>
      <x:c r="C6" s="120" t="str">
        <x:v>Ownership</x:v>
      </x:c>
      <x:c r="D6" s="120" t="str">
        <x:v>Yes</x:v>
      </x:c>
      <x:c r="E6" s="120" t="str">
        <x:v>Executive sponsor, product owner and programme lead named.</x:v>
      </x:c>
      <x:c r="F6" s="120" t="str">
        <x:v>RACI with named individuals.</x:v>
      </x:c>
      <x:c r="G6" s="120" t="str">
        <x:v>CEO</x:v>
      </x:c>
      <x:c r="H6" s="120" t="str">
        <x:v>Owner Input</x:v>
      </x:c>
      <x:c r="I6" s="134" t="n">
        <x:f>IF(H6="Met",1,IF(H6="Draft Ready",0.8,IF(H6="In Review",0.6,IF(H6="Owner Input",0.3,IF(H6="Blocked",0,0)))))</x:f>
        <x:v>0.3</x:v>
      </x:c>
      <x:c r="J6" s="120" t="str"/>
      <x:c r="K6" s="120" t="str">
        <x:v>No accountable owner.</x:v>
      </x:c>
      <x:c r="L6" s="121" t="str"/>
      <x:c r="N6" s="110" t="str">
        <x:v>Stage 0 readiness</x:v>
      </x:c>
      <x:c r="O6" s="139" t="n">
        <x:f>SUMIF(B5:B37,"Stage 0",I5:I37)/COUNTIF(B5:B37,"Stage 0")</x:f>
        <x:v>0.5722222222222223</x:v>
      </x:c>
    </x:row>
    <x:row r="7">
      <x:c r="A7" s="113" t="str">
        <x:v>G0-03</x:v>
      </x:c>
      <x:c r="B7" s="114" t="str">
        <x:v>Stage 0</x:v>
      </x:c>
      <x:c r="C7" s="114" t="str">
        <x:v>Scope</x:v>
      </x:c>
      <x:c r="D7" s="114" t="str">
        <x:v>Yes</x:v>
      </x:c>
      <x:c r="E7" s="114" t="str">
        <x:v>Initial vertical, participant cohort, devices, hours, tasks and exclusions defined.</x:v>
      </x:c>
      <x:c r="F7" s="114" t="str">
        <x:v>Approved Pilot Definition.</x:v>
      </x:c>
      <x:c r="G7" s="114" t="str">
        <x:v>Product Owner / HR</x:v>
      </x:c>
      <x:c r="H7" s="114" t="str">
        <x:v>Draft Ready</x:v>
      </x:c>
      <x:c r="I7" s="135" t="n">
        <x:f>IF(H7="Met",1,IF(H7="Draft Ready",0.8,IF(H7="In Review",0.6,IF(H7="Owner Input",0.3,IF(H7="Blocked",0,0)))))</x:f>
        <x:v>0.8</x:v>
      </x:c>
      <x:c r="J7" s="114" t="str"/>
      <x:c r="K7" s="114" t="str">
        <x:v>Scope permits personal devices, covert or out-of-hours capture.</x:v>
      </x:c>
      <x:c r="L7" s="115" t="str"/>
      <x:c r="N7" s="113" t="str">
        <x:v>Stage 1 readiness</x:v>
      </x:c>
      <x:c r="O7" s="140" t="n">
        <x:f>SUMIF(B5:B37,"Stage 1",I5:I37)/COUNTIF(B5:B37,"Stage 1")</x:f>
        <x:v>0.5666666666666665</x:v>
      </x:c>
    </x:row>
    <x:row r="8">
      <x:c r="A8" s="119" t="str">
        <x:v>G0-04</x:v>
      </x:c>
      <x:c r="B8" s="120" t="str">
        <x:v>Stage 0</x:v>
      </x:c>
      <x:c r="C8" s="120" t="str">
        <x:v>Prohibited uses</x:v>
      </x:c>
      <x:c r="D8" s="120" t="str">
        <x:v>Yes</x:v>
      </x:c>
      <x:c r="E8" s="120" t="str">
        <x:v>No covert general monitoring, activity-volume scoring, emotion/personality inference or solely automated employment decisions.</x:v>
      </x:c>
      <x:c r="F8" s="120" t="str">
        <x:v>Approved charter and policy controls.</x:v>
      </x:c>
      <x:c r="G8" s="120" t="str">
        <x:v>DPO / Legal / HR</x:v>
      </x:c>
      <x:c r="H8" s="120" t="str">
        <x:v>Draft Ready</x:v>
      </x:c>
      <x:c r="I8" s="134" t="n">
        <x:f>IF(H8="Met",1,IF(H8="Draft Ready",0.8,IF(H8="In Review",0.6,IF(H8="Owner Input",0.3,IF(H8="Blocked",0,0)))))</x:f>
        <x:v>0.8</x:v>
      </x:c>
      <x:c r="J8" s="120" t="str"/>
      <x:c r="K8" s="120" t="str">
        <x:v>Any prohibited use remains permitted by design or policy.</x:v>
      </x:c>
      <x:c r="L8" s="121" t="str"/>
      <x:c r="N8" s="113" t="str">
        <x:v>Mandatory blockers</x:v>
      </x:c>
      <x:c r="O8" s="115" t="n">
        <x:f>COUNTIFS(D5:D37,"Yes",H5:H37,"Blocked")+COUNTIFS(D5:D37,"Yes",H5:H37,"Not Started")</x:f>
        <x:v>5</x:v>
      </x:c>
    </x:row>
    <x:row r="9">
      <x:c r="A9" s="113" t="str">
        <x:v>G0-05</x:v>
      </x:c>
      <x:c r="B9" s="114" t="str">
        <x:v>Stage 0</x:v>
      </x:c>
      <x:c r="C9" s="114" t="str">
        <x:v>Purpose limitation</x:v>
      </x:c>
      <x:c r="D9" s="114" t="str">
        <x:v>Yes</x:v>
      </x:c>
      <x:c r="E9" s="114" t="str">
        <x:v>Every proposed data category has a specific purpose and prohibited uses.</x:v>
      </x:c>
      <x:c r="F9" s="114" t="str">
        <x:v>Purpose Policy Matrix reviewed by DPO.</x:v>
      </x:c>
      <x:c r="G9" s="114" t="str">
        <x:v>DPO</x:v>
      </x:c>
      <x:c r="H9" s="114" t="str">
        <x:v>Draft Ready</x:v>
      </x:c>
      <x:c r="I9" s="135" t="n">
        <x:f>IF(H9="Met",1,IF(H9="Draft Ready",0.8,IF(H9="In Review",0.6,IF(H9="Owner Input",0.3,IF(H9="Blocked",0,0)))))</x:f>
        <x:v>0.8</x:v>
      </x:c>
      <x:c r="J9" s="114" t="str"/>
      <x:c r="K9" s="114" t="str">
        <x:v>Collection exists 'just in case'.</x:v>
      </x:c>
      <x:c r="L9" s="115" t="str"/>
      <x:c r="N9" s="116" t="str">
        <x:v>Formal decisions recorded</x:v>
      </x:c>
      <x:c r="O9" s="118" t="n">
        <x:f>COUNTIF(J5:J37,"Approve")+COUNTIF(J5:J37,"Conditional Approve")+COUNTIF(J5:J37,"Hold")+COUNTIF(J5:J37,"Reject")</x:f>
        <x:v>0</x:v>
      </x:c>
    </x:row>
    <x:row r="10">
      <x:c r="A10" s="119" t="str">
        <x:v>G0-06</x:v>
      </x:c>
      <x:c r="B10" s="120" t="str">
        <x:v>Stage 0</x:v>
      </x:c>
      <x:c r="C10" s="120" t="str">
        <x:v>Necessity</x:v>
      </x:c>
      <x:c r="D10" s="120" t="str">
        <x:v>Yes</x:v>
      </x:c>
      <x:c r="E10" s="120" t="str">
        <x:v>Less-intrusive alternatives are assessed and residual necessity documented.</x:v>
      </x:c>
      <x:c r="F10" s="120" t="str">
        <x:v>Alternatives assessment in purpose matrix/DPIA.</x:v>
      </x:c>
      <x:c r="G10" s="120" t="str">
        <x:v>DPO / Product</x:v>
      </x:c>
      <x:c r="H10" s="120" t="str">
        <x:v>Draft Ready</x:v>
      </x:c>
      <x:c r="I10" s="134" t="n">
        <x:f>IF(H10="Met",1,IF(H10="Draft Ready",0.8,IF(H10="In Review",0.6,IF(H10="Owner Input",0.3,IF(H10="Blocked",0,0)))))</x:f>
        <x:v>0.8</x:v>
      </x:c>
      <x:c r="J10" s="120" t="str"/>
      <x:c r="K10" s="120" t="str">
        <x:v>Intrusive collection selected without alternatives analysis.</x:v>
      </x:c>
      <x:c r="L10" s="121" t="str"/>
    </x:row>
    <x:row r="11">
      <x:c r="A11" s="113" t="str">
        <x:v>G0-07</x:v>
      </x:c>
      <x:c r="B11" s="114" t="str">
        <x:v>Stage 0</x:v>
      </x:c>
      <x:c r="C11" s="114" t="str">
        <x:v>DPIA</x:v>
      </x:c>
      <x:c r="D11" s="114" t="str">
        <x:v>Yes</x:v>
      </x:c>
      <x:c r="E11" s="114" t="str">
        <x:v>High-risk monitoring DPIA is completed and independent DPO advice recorded.</x:v>
      </x:c>
      <x:c r="F11" s="114" t="str">
        <x:v>Completed DPIA and DPO advice.</x:v>
      </x:c>
      <x:c r="G11" s="114" t="str">
        <x:v>DPO</x:v>
      </x:c>
      <x:c r="H11" s="114" t="str">
        <x:v>Not Started</x:v>
      </x:c>
      <x:c r="I11" s="135" t="n">
        <x:f>IF(H11="Met",1,IF(H11="Draft Ready",0.8,IF(H11="In Review",0.6,IF(H11="Owner Input",0.3,IF(H11="Blocked",0,0)))))</x:f>
        <x:v>0</x:v>
      </x:c>
      <x:c r="J11" s="114" t="str"/>
      <x:c r="K11" s="114" t="str">
        <x:v>Unmitigated high risk or missing DPO advice.</x:v>
      </x:c>
      <x:c r="L11" s="115" t="str"/>
    </x:row>
    <x:row r="12">
      <x:c r="A12" s="119" t="str">
        <x:v>G0-08</x:v>
      </x:c>
      <x:c r="B12" s="120" t="str">
        <x:v>Stage 0</x:v>
      </x:c>
      <x:c r="C12" s="120" t="str">
        <x:v>UK legal</x:v>
      </x:c>
      <x:c r="D12" s="120" t="str">
        <x:v>Yes</x:v>
      </x:c>
      <x:c r="E12" s="120" t="str">
        <x:v>UK lawful basis, employment, interception and automated-decision conditions confirmed.</x:v>
      </x:c>
      <x:c r="F12" s="120" t="str">
        <x:v>UK legal memorandum.</x:v>
      </x:c>
      <x:c r="G12" s="120" t="str">
        <x:v>UK Legal Counsel</x:v>
      </x:c>
      <x:c r="H12" s="120" t="str">
        <x:v>Owner Input</x:v>
      </x:c>
      <x:c r="I12" s="134" t="n">
        <x:f>IF(H12="Met",1,IF(H12="Draft Ready",0.8,IF(H12="In Review",0.6,IF(H12="Owner Input",0.3,IF(H12="Blocked",0,0)))))</x:f>
        <x:v>0.3</x:v>
      </x:c>
      <x:c r="J12" s="120" t="str"/>
      <x:c r="K12" s="120" t="str">
        <x:v>Legal basis or policy route unresolved.</x:v>
      </x:c>
      <x:c r="L12" s="121" t="str"/>
    </x:row>
    <x:row r="13">
      <x:c r="A13" s="113" t="str">
        <x:v>G0-09</x:v>
      </x:c>
      <x:c r="B13" s="114" t="str">
        <x:v>Stage 0</x:v>
      </x:c>
      <x:c r="C13" s="114" t="str">
        <x:v>Pakistan legal</x:v>
      </x:c>
      <x:c r="D13" s="114" t="str">
        <x:v>Yes for Lahore pilot</x:v>
      </x:c>
      <x:c r="E13" s="114" t="str">
        <x:v>Pakistan employment/privacy/interception and transfer requirements confirmed.</x:v>
      </x:c>
      <x:c r="F13" s="114" t="str">
        <x:v>Pakistan legal memorandum.</x:v>
      </x:c>
      <x:c r="G13" s="114" t="str">
        <x:v>Pakistan Legal Counsel</x:v>
      </x:c>
      <x:c r="H13" s="114" t="str">
        <x:v>Owner Input</x:v>
      </x:c>
      <x:c r="I13" s="135" t="n">
        <x:f>IF(H13="Met",1,IF(H13="Draft Ready",0.8,IF(H13="In Review",0.6,IF(H13="Owner Input",0.3,IF(H13="Blocked",0,0)))))</x:f>
        <x:v>0.3</x:v>
      </x:c>
      <x:c r="J13" s="114" t="str"/>
      <x:c r="K13" s="114" t="str">
        <x:v>Local-law requirements unresolved for Lahore participants.</x:v>
      </x:c>
      <x:c r="L13" s="115" t="str"/>
    </x:row>
    <x:row r="14">
      <x:c r="A14" s="119" t="str">
        <x:v>G0-10</x:v>
      </x:c>
      <x:c r="B14" s="120" t="str">
        <x:v>Stage 0</x:v>
      </x:c>
      <x:c r="C14" s="120" t="str">
        <x:v>Worker voice</x:v>
      </x:c>
      <x:c r="D14" s="120" t="str">
        <x:v>Yes</x:v>
      </x:c>
      <x:c r="E14" s="120" t="str">
        <x:v>Affected workers or representatives consulted during planning.</x:v>
      </x:c>
      <x:c r="F14" s="120" t="str">
        <x:v>Consultation record and Nessovo response.</x:v>
      </x:c>
      <x:c r="G14" s="120" t="str">
        <x:v>HR / DPO</x:v>
      </x:c>
      <x:c r="H14" s="120" t="str">
        <x:v>Not Started</x:v>
      </x:c>
      <x:c r="I14" s="134" t="n">
        <x:f>IF(H14="Met",1,IF(H14="Draft Ready",0.8,IF(H14="In Review",0.6,IF(H14="Owner Input",0.3,IF(H14="Blocked",0,0)))))</x:f>
        <x:v>0</x:v>
      </x:c>
      <x:c r="J14" s="120" t="str"/>
      <x:c r="K14" s="120" t="str">
        <x:v>No consultation and no documented justification.</x:v>
      </x:c>
      <x:c r="L14" s="121" t="str"/>
    </x:row>
    <x:row r="15">
      <x:c r="A15" s="113" t="str">
        <x:v>G0-11</x:v>
      </x:c>
      <x:c r="B15" s="114" t="str">
        <x:v>Stage 0</x:v>
      </x:c>
      <x:c r="C15" s="114" t="str">
        <x:v>Transparency</x:v>
      </x:c>
      <x:c r="D15" s="114" t="str">
        <x:v>Yes</x:v>
      </x:c>
      <x:c r="E15" s="114" t="str">
        <x:v>Worker notice and monitoring policy explain what, why, when, access, retention and rights.</x:v>
      </x:c>
      <x:c r="F15" s="114" t="str">
        <x:v>Approved notice and policy.</x:v>
      </x:c>
      <x:c r="G15" s="114" t="str">
        <x:v>HR / Legal / DPO</x:v>
      </x:c>
      <x:c r="H15" s="114" t="str">
        <x:v>Draft Ready</x:v>
      </x:c>
      <x:c r="I15" s="135" t="n">
        <x:f>IF(H15="Met",1,IF(H15="Draft Ready",0.8,IF(H15="In Review",0.6,IF(H15="Owner Input",0.3,IF(H15="Blocked",0,0)))))</x:f>
        <x:v>0.8</x:v>
      </x:c>
      <x:c r="J15" s="114" t="str"/>
      <x:c r="K15" s="114" t="str">
        <x:v>Workers cannot understand when or why monitoring occurs.</x:v>
      </x:c>
      <x:c r="L15" s="115" t="str"/>
    </x:row>
    <x:row r="16">
      <x:c r="A16" s="119" t="str">
        <x:v>G0-12</x:v>
      </x:c>
      <x:c r="B16" s="120" t="str">
        <x:v>Stage 0</x:v>
      </x:c>
      <x:c r="C16" s="120" t="str">
        <x:v>Employee rights</x:v>
      </x:c>
      <x:c r="D16" s="120" t="str">
        <x:v>Yes</x:v>
      </x:c>
      <x:c r="E16" s="120" t="str">
        <x:v>Employee evidence access, correction, explanation, dispute and review workflow defined.</x:v>
      </x:c>
      <x:c r="F16" s="120" t="str">
        <x:v>Workflow specification and service SLA.</x:v>
      </x:c>
      <x:c r="G16" s="120" t="str">
        <x:v>DPO / HR / Product</x:v>
      </x:c>
      <x:c r="H16" s="120" t="str">
        <x:v>Draft Ready</x:v>
      </x:c>
      <x:c r="I16" s="134" t="n">
        <x:f>IF(H16="Met",1,IF(H16="Draft Ready",0.8,IF(H16="In Review",0.6,IF(H16="Owner Input",0.3,IF(H16="Blocked",0,0)))))</x:f>
        <x:v>0.8</x:v>
      </x:c>
      <x:c r="J16" s="120" t="str"/>
      <x:c r="K16" s="120" t="str">
        <x:v>No operational challenge route.</x:v>
      </x:c>
      <x:c r="L16" s="121" t="str"/>
    </x:row>
    <x:row r="17">
      <x:c r="A17" s="113" t="str">
        <x:v>G0-13</x:v>
      </x:c>
      <x:c r="B17" s="114" t="str">
        <x:v>Stage 0</x:v>
      </x:c>
      <x:c r="C17" s="114" t="str">
        <x:v>Human review</x:v>
      </x:c>
      <x:c r="D17" s="114" t="str">
        <x:v>Yes</x:v>
      </x:c>
      <x:c r="E17" s="114" t="str">
        <x:v>Reviewers are qualified, independent enough, authorised and able to reject AI output.</x:v>
      </x:c>
      <x:c r="F17" s="114" t="str">
        <x:v>Human-review standard.</x:v>
      </x:c>
      <x:c r="G17" s="114" t="str">
        <x:v>HR / Legal</x:v>
      </x:c>
      <x:c r="H17" s="114" t="str">
        <x:v>Draft Ready</x:v>
      </x:c>
      <x:c r="I17" s="135" t="n">
        <x:f>IF(H17="Met",1,IF(H17="Draft Ready",0.8,IF(H17="In Review",0.6,IF(H17="Owner Input",0.3,IF(H17="Blocked",0,0)))))</x:f>
        <x:v>0.8</x:v>
      </x:c>
      <x:c r="J17" s="114" t="str"/>
      <x:c r="K17" s="114" t="str">
        <x:v>AI recommendation is effectively rubber-stamped.</x:v>
      </x:c>
      <x:c r="L17" s="115" t="str"/>
    </x:row>
    <x:row r="18">
      <x:c r="A18" s="119" t="str">
        <x:v>G0-14</x:v>
      </x:c>
      <x:c r="B18" s="120" t="str">
        <x:v>Stage 0</x:v>
      </x:c>
      <x:c r="C18" s="120" t="str">
        <x:v>Security/privacy controls</x:v>
      </x:c>
      <x:c r="D18" s="120" t="str">
        <x:v>Yes</x:v>
      </x:c>
      <x:c r="E18" s="120" t="str">
        <x:v>Secure-field blocking, exclusions, local redaction, encryption, audit and emergency disable are mandatory.</x:v>
      </x:c>
      <x:c r="F18" s="120" t="str">
        <x:v>Control specification and validation plan.</x:v>
      </x:c>
      <x:c r="G18" s="120" t="str">
        <x:v>CISO / DPO</x:v>
      </x:c>
      <x:c r="H18" s="120" t="str">
        <x:v>Draft Ready</x:v>
      </x:c>
      <x:c r="I18" s="134" t="n">
        <x:f>IF(H18="Met",1,IF(H18="Draft Ready",0.8,IF(H18="In Review",0.6,IF(H18="Owner Input",0.3,IF(H18="Blocked",0,0)))))</x:f>
        <x:v>0.8</x:v>
      </x:c>
      <x:c r="J18" s="120" t="str"/>
      <x:c r="K18" s="120" t="str">
        <x:v>Passwords/secrets could be retained or uploaded.</x:v>
      </x:c>
      <x:c r="L18" s="121" t="str"/>
    </x:row>
    <x:row r="19">
      <x:c r="A19" s="113" t="str">
        <x:v>G0-15</x:v>
      </x:c>
      <x:c r="B19" s="114" t="str">
        <x:v>Stage 0</x:v>
      </x:c>
      <x:c r="C19" s="114" t="str">
        <x:v>Threats</x:v>
      </x:c>
      <x:c r="D19" s="114" t="str">
        <x:v>Yes</x:v>
      </x:c>
      <x:c r="E19" s="114" t="str">
        <x:v>Foundation threat model has owners and blocking controls.</x:v>
      </x:c>
      <x:c r="F19" s="114" t="str">
        <x:v>Threat register reviewed by CISO/DPO.</x:v>
      </x:c>
      <x:c r="G19" s="114" t="str">
        <x:v>CISO</x:v>
      </x:c>
      <x:c r="H19" s="114" t="str">
        <x:v>In Review</x:v>
      </x:c>
      <x:c r="I19" s="135" t="n">
        <x:f>IF(H19="Met",1,IF(H19="Draft Ready",0.8,IF(H19="In Review",0.6,IF(H19="Owner Input",0.3,IF(H19="Blocked",0,0)))))</x:f>
        <x:v>0.6</x:v>
      </x:c>
      <x:c r="J19" s="114" t="str"/>
      <x:c r="K19" s="114" t="str">
        <x:v>Critical untreated threat.</x:v>
      </x:c>
      <x:c r="L19" s="115" t="str"/>
    </x:row>
    <x:row r="20">
      <x:c r="A20" s="119" t="str">
        <x:v>G0-16</x:v>
      </x:c>
      <x:c r="B20" s="120" t="str">
        <x:v>Stage 0</x:v>
      </x:c>
      <x:c r="C20" s="120" t="str">
        <x:v>Pilot protection</x:v>
      </x:c>
      <x:c r="D20" s="120" t="str">
        <x:v>Yes</x:v>
      </x:c>
      <x:c r="E20" s="120" t="str">
        <x:v>Pilot output cannot independently create adverse employment consequences.</x:v>
      </x:c>
      <x:c r="F20" s="120" t="str">
        <x:v>Participant terms and HR policy.</x:v>
      </x:c>
      <x:c r="G20" s="120" t="str">
        <x:v>Executive Sponsor / HR</x:v>
      </x:c>
      <x:c r="H20" s="120" t="str">
        <x:v>Draft Ready</x:v>
      </x:c>
      <x:c r="I20" s="134" t="n">
        <x:f>IF(H20="Met",1,IF(H20="Draft Ready",0.8,IF(H20="In Review",0.6,IF(H20="Owner Input",0.3,IF(H20="Blocked",0,0)))))</x:f>
        <x:v>0.8</x:v>
      </x:c>
      <x:c r="J20" s="120" t="str"/>
      <x:c r="K20" s="120" t="str">
        <x:v>Pilot used as unvalidated disciplinary mechanism.</x:v>
      </x:c>
      <x:c r="L20" s="121" t="str"/>
    </x:row>
    <x:row r="21">
      <x:c r="A21" s="113" t="str">
        <x:v>G0-17</x:v>
      </x:c>
      <x:c r="B21" s="114" t="str">
        <x:v>Stage 0</x:v>
      </x:c>
      <x:c r="C21" s="114" t="str">
        <x:v>Stop criteria</x:v>
      </x:c>
      <x:c r="D21" s="114" t="str">
        <x:v>Yes</x:v>
      </x:c>
      <x:c r="E21" s="114" t="str">
        <x:v>Pilot hold/stop conditions and authority are measurable and operational.</x:v>
      </x:c>
      <x:c r="F21" s="114" t="str">
        <x:v>Pilot Definition and incident path.</x:v>
      </x:c>
      <x:c r="G21" s="114" t="str">
        <x:v>Executive Sponsor / CISO / DPO</x:v>
      </x:c>
      <x:c r="H21" s="114" t="str">
        <x:v>Draft Ready</x:v>
      </x:c>
      <x:c r="I21" s="135" t="n">
        <x:f>IF(H21="Met",1,IF(H21="Draft Ready",0.8,IF(H21="In Review",0.6,IF(H21="Owner Input",0.3,IF(H21="Blocked",0,0)))))</x:f>
        <x:v>0.8</x:v>
      </x:c>
      <x:c r="J21" s="114" t="str"/>
      <x:c r="K21" s="114" t="str">
        <x:v>No rapid stop mechanism.</x:v>
      </x:c>
      <x:c r="L21" s="115" t="str"/>
    </x:row>
    <x:row r="22">
      <x:c r="A22" s="119" t="str">
        <x:v>G0-18</x:v>
      </x:c>
      <x:c r="B22" s="120" t="str">
        <x:v>Stage 0</x:v>
      </x:c>
      <x:c r="C22" s="120" t="str">
        <x:v>Decision</x:v>
      </x:c>
      <x:c r="D22" s="120" t="str">
        <x:v>Yes</x:v>
      </x:c>
      <x:c r="E22" s="120" t="str">
        <x:v>Cross-functional review completed and Stage 0 decision recorded.</x:v>
      </x:c>
      <x:c r="F22" s="120" t="str">
        <x:v>Meeting minutes, conditions and decision.</x:v>
      </x:c>
      <x:c r="G22" s="120" t="str">
        <x:v>Executive Sponsor</x:v>
      </x:c>
      <x:c r="H22" s="120" t="str">
        <x:v>Not Started</x:v>
      </x:c>
      <x:c r="I22" s="134" t="n">
        <x:f>IF(H22="Met",1,IF(H22="Draft Ready",0.8,IF(H22="In Review",0.6,IF(H22="Owner Input",0.3,IF(H22="Blocked",0,0)))))</x:f>
        <x:v>0</x:v>
      </x:c>
      <x:c r="J22" s="120" t="str"/>
      <x:c r="K22" s="120" t="str">
        <x:v>No formal gate decision.</x:v>
      </x:c>
      <x:c r="L22" s="121" t="str"/>
    </x:row>
    <x:row r="23">
      <x:c r="A23" s="113" t="str">
        <x:v>G1-01</x:v>
      </x:c>
      <x:c r="B23" s="114" t="str">
        <x:v>Stage 1</x:v>
      </x:c>
      <x:c r="C23" s="114" t="str">
        <x:v>Market evidence</x:v>
      </x:c>
      <x:c r="D23" s="114" t="str">
        <x:v>Yes</x:v>
      </x:c>
      <x:c r="E23" s="114" t="str">
        <x:v>Commercial category research and strategic gap analysis are complete and source-backed.</x:v>
      </x:c>
      <x:c r="F23" s="114" t="str">
        <x:v>Market Landscape and Gap Matrix.</x:v>
      </x:c>
      <x:c r="G23" s="114" t="str">
        <x:v>Product Owner</x:v>
      </x:c>
      <x:c r="H23" s="114" t="str">
        <x:v>Met</x:v>
      </x:c>
      <x:c r="I23" s="135" t="n">
        <x:f>IF(H23="Met",1,IF(H23="Draft Ready",0.8,IF(H23="In Review",0.6,IF(H23="Owner Input",0.3,IF(H23="Blocked",0,0)))))</x:f>
        <x:v>1</x:v>
      </x:c>
      <x:c r="J23" s="114" t="str"/>
      <x:c r="K23" s="114" t="str">
        <x:v>Differentiation rests on unsupported novelty claims.</x:v>
      </x:c>
      <x:c r="L23" s="115" t="str"/>
    </x:row>
    <x:row r="24">
      <x:c r="A24" s="119" t="str">
        <x:v>G1-02</x:v>
      </x:c>
      <x:c r="B24" s="120" t="str">
        <x:v>Stage 1</x:v>
      </x:c>
      <x:c r="C24" s="120" t="str">
        <x:v>OSS evidence</x:v>
      </x:c>
      <x:c r="D24" s="120" t="str">
        <x:v>Yes</x:v>
      </x:c>
      <x:c r="E24" s="120" t="str">
        <x:v>Relevant GitHub projects have maturity, licence, architecture and reuse notes.</x:v>
      </x:c>
      <x:c r="F24" s="120" t="str">
        <x:v>GitHub OSS Scan.</x:v>
      </x:c>
      <x:c r="G24" s="120" t="str">
        <x:v>Architecture / Legal</x:v>
      </x:c>
      <x:c r="H24" s="120" t="str">
        <x:v>Met</x:v>
      </x:c>
      <x:c r="I24" s="134" t="n">
        <x:f>IF(H24="Met",1,IF(H24="Draft Ready",0.8,IF(H24="In Review",0.6,IF(H24="Owner Input",0.3,IF(H24="Blocked",0,0)))))</x:f>
        <x:v>1</x:v>
      </x:c>
      <x:c r="J24" s="120" t="str"/>
      <x:c r="K24" s="120" t="str">
        <x:v>Third-party code used without due diligence.</x:v>
      </x:c>
      <x:c r="L24" s="121" t="str"/>
    </x:row>
    <x:row r="25">
      <x:c r="A25" s="113" t="str">
        <x:v>G1-03</x:v>
      </x:c>
      <x:c r="B25" s="114" t="str">
        <x:v>Stage 1</x:v>
      </x:c>
      <x:c r="C25" s="114" t="str">
        <x:v>Licence</x:v>
      </x:c>
      <x:c r="D25" s="114" t="str">
        <x:v>Yes</x:v>
      </x:c>
      <x:c r="E25" s="114" t="str">
        <x:v>Formal commercial/OSS licence review completed for intended dependencies.</x:v>
      </x:c>
      <x:c r="F25" s="114" t="str">
        <x:v>Approved licence register.</x:v>
      </x:c>
      <x:c r="G25" s="114" t="str">
        <x:v>Legal / Procurement</x:v>
      </x:c>
      <x:c r="H25" s="114" t="str">
        <x:v>Owner Input</x:v>
      </x:c>
      <x:c r="I25" s="135" t="n">
        <x:f>IF(H25="Met",1,IF(H25="Draft Ready",0.8,IF(H25="In Review",0.6,IF(H25="Owner Input",0.3,IF(H25="Blocked",0,0)))))</x:f>
        <x:v>0.3</x:v>
      </x:c>
      <x:c r="J25" s="114" t="str"/>
      <x:c r="K25" s="114" t="str">
        <x:v>Commercial rights unclear.</x:v>
      </x:c>
      <x:c r="L25" s="115" t="str"/>
    </x:row>
    <x:row r="26">
      <x:c r="A26" s="119" t="str">
        <x:v>G1-04</x:v>
      </x:c>
      <x:c r="B26" s="120" t="str">
        <x:v>Stage 1</x:v>
      </x:c>
      <x:c r="C26" s="120" t="str">
        <x:v>Build/buy</x:v>
      </x:c>
      <x:c r="D26" s="120" t="str">
        <x:v>Yes</x:v>
      </x:c>
      <x:c r="E26" s="120" t="str">
        <x:v>Component decisions separate proprietary core from commodity infrastructure.</x:v>
      </x:c>
      <x:c r="F26" s="120" t="str">
        <x:v>Build Buy Decisions approved.</x:v>
      </x:c>
      <x:c r="G26" s="120" t="str">
        <x:v>CTO / Product</x:v>
      </x:c>
      <x:c r="H26" s="120" t="str">
        <x:v>Draft Ready</x:v>
      </x:c>
      <x:c r="I26" s="134" t="n">
        <x:f>IF(H26="Met",1,IF(H26="Draft Ready",0.8,IF(H26="In Review",0.6,IF(H26="Owner Input",0.3,IF(H26="Blocked",0,0)))))</x:f>
        <x:v>0.8</x:v>
      </x:c>
      <x:c r="J26" s="120" t="str"/>
      <x:c r="K26" s="120" t="str">
        <x:v>Core differentiation outsourced or commodity components rebuilt without reason.</x:v>
      </x:c>
      <x:c r="L26" s="121" t="str"/>
    </x:row>
    <x:row r="27">
      <x:c r="A27" s="113" t="str">
        <x:v>G1-05</x:v>
      </x:c>
      <x:c r="B27" s="114" t="str">
        <x:v>Stage 1</x:v>
      </x:c>
      <x:c r="C27" s="114" t="str">
        <x:v>HumanOS fit</x:v>
      </x:c>
      <x:c r="D27" s="114" t="str">
        <x:v>Yes</x:v>
      </x:c>
      <x:c r="E27" s="114" t="str">
        <x:v>Reference architecture reuses existing HumanOS foundations and avoids duplicate systems.</x:v>
      </x:c>
      <x:c r="F27" s="114" t="str">
        <x:v>Reference architecture and capability assessment.</x:v>
      </x:c>
      <x:c r="G27" s="114" t="str">
        <x:v>Enterprise Architect</x:v>
      </x:c>
      <x:c r="H27" s="114" t="str">
        <x:v>Draft Ready</x:v>
      </x:c>
      <x:c r="I27" s="135" t="n">
        <x:f>IF(H27="Met",1,IF(H27="Draft Ready",0.8,IF(H27="In Review",0.6,IF(H27="Owner Input",0.3,IF(H27="Blocked",0,0)))))</x:f>
        <x:v>0.8</x:v>
      </x:c>
      <x:c r="J27" s="114" t="str"/>
      <x:c r="K27" s="114" t="str">
        <x:v>Unjustified duplicate identity/task/workflow/policy/audit service.</x:v>
      </x:c>
      <x:c r="L27" s="115" t="str"/>
    </x:row>
    <x:row r="28">
      <x:c r="A28" s="119" t="str">
        <x:v>G1-06</x:v>
      </x:c>
      <x:c r="B28" s="120" t="str">
        <x:v>Stage 1</x:v>
      </x:c>
      <x:c r="C28" s="120" t="str">
        <x:v>Service boundaries</x:v>
      </x:c>
      <x:c r="D28" s="120" t="str">
        <x:v>Yes</x:v>
      </x:c>
      <x:c r="E28" s="120" t="str">
        <x:v>Initial deployables have security, scale, ownership or transactional justification.</x:v>
      </x:c>
      <x:c r="F28" s="120" t="str">
        <x:v>Accepted ADR-012 and service map.</x:v>
      </x:c>
      <x:c r="G28" s="120" t="str">
        <x:v>Architecture Board</x:v>
      </x:c>
      <x:c r="H28" s="120" t="str">
        <x:v>In Review</x:v>
      </x:c>
      <x:c r="I28" s="134" t="n">
        <x:f>IF(H28="Met",1,IF(H28="Draft Ready",0.8,IF(H28="In Review",0.6,IF(H28="Owner Input",0.3,IF(H28="Blocked",0,0)))))</x:f>
        <x:v>0.6</x:v>
      </x:c>
      <x:c r="J28" s="120" t="str"/>
      <x:c r="K28" s="120" t="str">
        <x:v>Premature nano-services create unmanageable distributed complexity.</x:v>
      </x:c>
      <x:c r="L28" s="121" t="str"/>
    </x:row>
    <x:row r="29">
      <x:c r="A29" s="113" t="str">
        <x:v>G1-07</x:v>
      </x:c>
      <x:c r="B29" s="114" t="str">
        <x:v>Stage 1</x:v>
      </x:c>
      <x:c r="C29" s="114" t="str">
        <x:v>Technology baseline</x:v>
      </x:c>
      <x:c r="D29" s="114" t="str">
        <x:v>Yes</x:v>
      </x:c>
      <x:c r="E29" s="114" t="str">
        <x:v>Java/Spring, Python and native responsibilities are approved; current HumanOS baseline is inventoried.</x:v>
      </x:c>
      <x:c r="F29" s="114" t="str">
        <x:v>Runtime ADRs and platform inventory.</x:v>
      </x:c>
      <x:c r="G29" s="114" t="str">
        <x:v>CTO / Platform Lead</x:v>
      </x:c>
      <x:c r="H29" s="114" t="str">
        <x:v>Owner Input</x:v>
      </x:c>
      <x:c r="I29" s="135" t="n">
        <x:f>IF(H29="Met",1,IF(H29="Draft Ready",0.8,IF(H29="In Review",0.6,IF(H29="Owner Input",0.3,IF(H29="Blocked",0,0)))))</x:f>
        <x:v>0.3</x:v>
      </x:c>
      <x:c r="J29" s="114" t="str"/>
      <x:c r="K29" s="114" t="str">
        <x:v>Unsupported runtime or forced migration without evidence.</x:v>
      </x:c>
      <x:c r="L29" s="115" t="str"/>
    </x:row>
    <x:row r="30">
      <x:c r="A30" s="119" t="str">
        <x:v>G1-08</x:v>
      </x:c>
      <x:c r="B30" s="120" t="str">
        <x:v>Stage 1</x:v>
      </x:c>
      <x:c r="C30" s="120" t="str">
        <x:v>Event and data architecture</x:v>
      </x:c>
      <x:c r="D30" s="120" t="str">
        <x:v>Yes</x:v>
      </x:c>
      <x:c r="E30" s="120" t="str">
        <x:v>Event, schema, store, search, retention and sensitive-content boundaries are defined.</x:v>
      </x:c>
      <x:c r="F30" s="120" t="str">
        <x:v>Accepted event/data ADRs.</x:v>
      </x:c>
      <x:c r="G30" s="120" t="str">
        <x:v>Data / Platform Architect</x:v>
      </x:c>
      <x:c r="H30" s="120" t="str">
        <x:v>In Review</x:v>
      </x:c>
      <x:c r="I30" s="134" t="n">
        <x:f>IF(H30="Met",1,IF(H30="Draft Ready",0.8,IF(H30="In Review",0.6,IF(H30="Owner Input",0.3,IF(H30="Blocked",0,0)))))</x:f>
        <x:v>0.6</x:v>
      </x:c>
      <x:c r="J30" s="120" t="str"/>
      <x:c r="K30" s="120" t="str">
        <x:v>Raw content copied into observability or analytics without purpose.</x:v>
      </x:c>
      <x:c r="L30" s="121" t="str"/>
    </x:row>
    <x:row r="31">
      <x:c r="A31" s="113" t="str">
        <x:v>G1-09</x:v>
      </x:c>
      <x:c r="B31" s="114" t="str">
        <x:v>Stage 1</x:v>
      </x:c>
      <x:c r="C31" s="114" t="str">
        <x:v>Security architecture</x:v>
      </x:c>
      <x:c r="D31" s="114" t="str">
        <x:v>Yes</x:v>
      </x:c>
      <x:c r="E31" s="114" t="str">
        <x:v>Endpoint, ingestion, evidence, access, model and supply-chain threats have controls and spikes.</x:v>
      </x:c>
      <x:c r="F31" s="114" t="str">
        <x:v>Security architecture review.</x:v>
      </x:c>
      <x:c r="G31" s="114" t="str">
        <x:v>CISO</x:v>
      </x:c>
      <x:c r="H31" s="114" t="str">
        <x:v>In Review</x:v>
      </x:c>
      <x:c r="I31" s="135" t="n">
        <x:f>IF(H31="Met",1,IF(H31="Draft Ready",0.8,IF(H31="In Review",0.6,IF(H31="Owner Input",0.3,IF(H31="Blocked",0,0)))))</x:f>
        <x:v>0.6</x:v>
      </x:c>
      <x:c r="J31" s="114" t="str"/>
      <x:c r="K31" s="114" t="str">
        <x:v>Critical architecture threat untreated.</x:v>
      </x:c>
      <x:c r="L31" s="115" t="str"/>
    </x:row>
    <x:row r="32">
      <x:c r="A32" s="119" t="str">
        <x:v>G1-10</x:v>
      </x:c>
      <x:c r="B32" s="120" t="str">
        <x:v>Stage 1</x:v>
      </x:c>
      <x:c r="C32" s="120" t="str">
        <x:v>AI governance</x:v>
      </x:c>
      <x:c r="D32" s="120" t="str">
        <x:v>Yes</x:v>
      </x:c>
      <x:c r="E32" s="120" t="str">
        <x:v>Evaluator architecture separates evidence, inference, confidence, model/skill version and human decision.</x:v>
      </x:c>
      <x:c r="F32" s="120" t="str">
        <x:v>AI architecture and evaluation plan.</x:v>
      </x:c>
      <x:c r="G32" s="120" t="str">
        <x:v>AI Architect / DPO</x:v>
      </x:c>
      <x:c r="H32" s="120" t="str">
        <x:v>Draft Ready</x:v>
      </x:c>
      <x:c r="I32" s="134" t="n">
        <x:f>IF(H32="Met",1,IF(H32="Draft Ready",0.8,IF(H32="In Review",0.6,IF(H32="Owner Input",0.3,IF(H32="Blocked",0,0)))))</x:f>
        <x:v>0.8</x:v>
      </x:c>
      <x:c r="J32" s="120" t="str"/>
      <x:c r="K32" s="120" t="str">
        <x:v>AI writes final high-impact state without review.</x:v>
      </x:c>
      <x:c r="L32" s="121" t="str"/>
    </x:row>
    <x:row r="33">
      <x:c r="A33" s="113" t="str">
        <x:v>G1-11</x:v>
      </x:c>
      <x:c r="B33" s="114" t="str">
        <x:v>Stage 1</x:v>
      </x:c>
      <x:c r="C33" s="114" t="str">
        <x:v>Technical spikes</x:v>
      </x:c>
      <x:c r="D33" s="114" t="str">
        <x:v>Yes</x:v>
      </x:c>
      <x:c r="E33" s="114" t="str">
        <x:v>Highest-risk Stage 2–3 hypotheses have measurable spike plans and decision thresholds.</x:v>
      </x:c>
      <x:c r="F33" s="114" t="str">
        <x:v>Spike backlog and next-stage prompts.</x:v>
      </x:c>
      <x:c r="G33" s="114" t="str">
        <x:v>Programme / Architecture</x:v>
      </x:c>
      <x:c r="H33" s="114" t="str">
        <x:v>Draft Ready</x:v>
      </x:c>
      <x:c r="I33" s="135" t="n">
        <x:f>IF(H33="Met",1,IF(H33="Draft Ready",0.8,IF(H33="In Review",0.6,IF(H33="Owner Input",0.3,IF(H33="Blocked",0,0)))))</x:f>
        <x:v>0.8</x:v>
      </x:c>
      <x:c r="J33" s="114" t="str"/>
      <x:c r="K33" s="114" t="str">
        <x:v>Implementation begins without validating endpoint/privacy feasibility.</x:v>
      </x:c>
      <x:c r="L33" s="115" t="str"/>
    </x:row>
    <x:row r="34">
      <x:c r="A34" s="119" t="str">
        <x:v>G1-12</x:v>
      </x:c>
      <x:c r="B34" s="120" t="str">
        <x:v>Stage 1</x:v>
      </x:c>
      <x:c r="C34" s="120" t="str">
        <x:v>Cost model</x:v>
      </x:c>
      <x:c r="D34" s="120" t="str">
        <x:v>Yes</x:v>
      </x:c>
      <x:c r="E34" s="120" t="str">
        <x:v>Pilot and scale usage assumptions and low/base/high cost model are approved.</x:v>
      </x:c>
      <x:c r="F34" s="120" t="str">
        <x:v>Cost model and assumptions.</x:v>
      </x:c>
      <x:c r="G34" s="120" t="str">
        <x:v>CFO / FinOps</x:v>
      </x:c>
      <x:c r="H34" s="120" t="str">
        <x:v>Not Started</x:v>
      </x:c>
      <x:c r="I34" s="134" t="n">
        <x:f>IF(H34="Met",1,IF(H34="Draft Ready",0.8,IF(H34="In Review",0.6,IF(H34="Owner Input",0.3,IF(H34="Blocked",0,0)))))</x:f>
        <x:v>0</x:v>
      </x:c>
      <x:c r="J34" s="120" t="str"/>
      <x:c r="K34" s="120" t="str">
        <x:v>No cost or storage/inference sensitivity.</x:v>
      </x:c>
      <x:c r="L34" s="121" t="str"/>
    </x:row>
    <x:row r="35">
      <x:c r="A35" s="113" t="str">
        <x:v>G1-13</x:v>
      </x:c>
      <x:c r="B35" s="114" t="str">
        <x:v>Stage 1</x:v>
      </x:c>
      <x:c r="C35" s="114" t="str">
        <x:v>Resourcing</x:v>
      </x:c>
      <x:c r="D35" s="114" t="str">
        <x:v>Yes</x:v>
      </x:c>
      <x:c r="E35" s="114" t="str">
        <x:v>Stage 2–3 team, devices, environments, budget and review capacity are committed.</x:v>
      </x:c>
      <x:c r="F35" s="114" t="str">
        <x:v>Resource plan.</x:v>
      </x:c>
      <x:c r="G35" s="114" t="str">
        <x:v>CEO / CTO / CFO</x:v>
      </x:c>
      <x:c r="H35" s="114" t="str">
        <x:v>Owner Input</x:v>
      </x:c>
      <x:c r="I35" s="135" t="n">
        <x:f>IF(H35="Met",1,IF(H35="Draft Ready",0.8,IF(H35="In Review",0.6,IF(H35="Owner Input",0.3,IF(H35="Blocked",0,0)))))</x:f>
        <x:v>0.3</x:v>
      </x:c>
      <x:c r="J35" s="114" t="str"/>
      <x:c r="K35" s="114" t="str">
        <x:v>No assigned delivery capacity.</x:v>
      </x:c>
      <x:c r="L35" s="115" t="str"/>
    </x:row>
    <x:row r="36">
      <x:c r="A36" s="119" t="str">
        <x:v>G1-14</x:v>
      </x:c>
      <x:c r="B36" s="120" t="str">
        <x:v>Stage 1</x:v>
      </x:c>
      <x:c r="C36" s="120" t="str">
        <x:v>Architecture decisions</x:v>
      </x:c>
      <x:c r="D36" s="120" t="str">
        <x:v>Yes</x:v>
      </x:c>
      <x:c r="E36" s="120" t="str">
        <x:v>Architecture Board accepts, rejects or conditions the ADR set.</x:v>
      </x:c>
      <x:c r="F36" s="120" t="str">
        <x:v>ADR review record.</x:v>
      </x:c>
      <x:c r="G36" s="120" t="str">
        <x:v>Architecture Board</x:v>
      </x:c>
      <x:c r="H36" s="120" t="str">
        <x:v>In Review</x:v>
      </x:c>
      <x:c r="I36" s="134" t="n">
        <x:f>IF(H36="Met",1,IF(H36="Draft Ready",0.8,IF(H36="In Review",0.6,IF(H36="Owner Input",0.3,IF(H36="Blocked",0,0)))))</x:f>
        <x:v>0.6</x:v>
      </x:c>
      <x:c r="J36" s="120" t="str"/>
      <x:c r="K36" s="120" t="str">
        <x:v>Core architecture remains ambiguous.</x:v>
      </x:c>
      <x:c r="L36" s="121" t="str"/>
    </x:row>
    <x:row r="37">
      <x:c r="A37" s="116" t="str">
        <x:v>G1-15</x:v>
      </x:c>
      <x:c r="B37" s="117" t="str">
        <x:v>Stage 1</x:v>
      </x:c>
      <x:c r="C37" s="117" t="str">
        <x:v>Decision</x:v>
      </x:c>
      <x:c r="D37" s="117" t="str">
        <x:v>Yes</x:v>
      </x:c>
      <x:c r="E37" s="117" t="str">
        <x:v>Stage 1 review completed and decision to enter Stages 2 and 3 recorded.</x:v>
      </x:c>
      <x:c r="F37" s="117" t="str">
        <x:v>Meeting minutes, conditions and decision.</x:v>
      </x:c>
      <x:c r="G37" s="117" t="str">
        <x:v>CTO / Executive Sponsor</x:v>
      </x:c>
      <x:c r="H37" s="117" t="str">
        <x:v>Not Started</x:v>
      </x:c>
      <x:c r="I37" s="136" t="n">
        <x:f>IF(H37="Met",1,IF(H37="Draft Ready",0.8,IF(H37="In Review",0.6,IF(H37="Owner Input",0.3,IF(H37="Blocked",0,0)))))</x:f>
        <x:v>0</x:v>
      </x:c>
      <x:c r="J37" s="117" t="str"/>
      <x:c r="K37" s="117" t="str">
        <x:v>No formal gate decision.</x:v>
      </x:c>
      <x:c r="L37" s="118" t="str"/>
    </x:row>
  </x:sheetData>
  <x:mergeCells>
    <x:mergeCell ref="A1:P1"/>
    <x:mergeCell ref="A2:P2"/>
    <x:mergeCell ref="N4:P4"/>
  </x:mergeCells>
  <x:conditionalFormatting sqref="H5:H37">
    <x:cfRule type="expression" dxfId="9" priority="1">
      <x:formula>H5="Met"</x:formula>
    </x:cfRule>
    <x:cfRule type="expression" dxfId="10" priority="2">
      <x:formula>H5="Draft Ready"</x:formula>
    </x:cfRule>
    <x:cfRule type="expression" dxfId="11" priority="3">
      <x:formula>H5="In Review"</x:formula>
    </x:cfRule>
    <x:cfRule type="expression" dxfId="12" priority="4">
      <x:formula>H5="Owner Input"</x:formula>
    </x:cfRule>
    <x:cfRule type="expression" dxfId="13" priority="5">
      <x:formula>H5="Blocked"</x:formula>
    </x:cfRule>
  </x:conditionalFormatting>
  <x:dataValidations count="2">
    <x:dataValidation type="list" sqref="H5:H37">
      <x:formula1>"Met,Draft Ready,In Review,Owner Input,Not Started,Blocked,Not Applicable"</x:formula1>
    </x:dataValidation>
    <x:dataValidation type="list" sqref="J5:J37">
      <x:formula1>",Approve,Conditional Approve,Hold,Reject"</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42" hidden="0" customWidth="1"/>
    <x:col min="5" max="5" width="40" hidden="0" customWidth="1"/>
    <x:col min="6" max="6" width="24" hidden="0" customWidth="1"/>
    <x:col min="7" max="7" width="15" hidden="0" customWidth="1"/>
    <x:col min="8" max="8" width="16" hidden="0" customWidth="1"/>
    <x:col min="9" max="9" width="34" hidden="0" customWidth="1"/>
    <x:col min="10" max="10" width="34" hidden="0" customWidth="1"/>
  </x:cols>
  <x:sheetData>
    <x:row r="1" ht="30" customHeight="1">
      <x:c r="A1" s="72" t="str">
        <x:v>Assumptions and Open Questions</x:v>
      </x:c>
      <x:c r="B1" s="72"/>
      <x:c r="C1" s="72"/>
      <x:c r="D1" s="72"/>
      <x:c r="E1" s="72"/>
      <x:c r="F1" s="72"/>
      <x:c r="G1" s="72"/>
      <x:c r="H1" s="72"/>
      <x:c r="I1" s="72"/>
      <x:c r="J1" s="72"/>
    </x:row>
    <x:row r="2" ht="34" customHeight="1">
      <x:c r="A2" s="76" t="str">
        <x:v>Items that require Nessovo owners, platform inventories, legal advice or pilot evidence. Current assumptions are temporary and must not be treated as confirmed facts.</x:v>
      </x:c>
      <x:c r="B2" s="76"/>
      <x:c r="C2" s="76"/>
      <x:c r="D2" s="76"/>
      <x:c r="E2" s="76"/>
      <x:c r="F2" s="76"/>
      <x:c r="G2" s="76"/>
      <x:c r="H2" s="76"/>
      <x:c r="I2" s="76"/>
      <x:c r="J2" s="76"/>
    </x:row>
    <x:row r="4" ht="28" customHeight="1">
      <x:c r="A4" s="88" t="str">
        <x:v>ID</x:v>
      </x:c>
      <x:c r="B4" s="89" t="str">
        <x:v>Category</x:v>
      </x:c>
      <x:c r="C4" s="89" t="str">
        <x:v>Question / decision needed</x:v>
      </x:c>
      <x:c r="D4" s="89" t="str">
        <x:v>Current working assumption</x:v>
      </x:c>
      <x:c r="E4" s="89" t="str">
        <x:v>Impact if assumption is wrong</x:v>
      </x:c>
      <x:c r="F4" s="89" t="str">
        <x:v>Accountable owner</x:v>
      </x:c>
      <x:c r="G4" s="89" t="str">
        <x:v>Required by stage</x:v>
      </x:c>
      <x:c r="H4" s="89" t="str">
        <x:v>Status</x:v>
      </x:c>
      <x:c r="I4" s="89" t="str">
        <x:v>Resolution / evidence</x:v>
      </x:c>
      <x:c r="J4" s="90" t="str">
        <x:v>Source / note</x:v>
      </x:c>
    </x:row>
    <x:row r="5">
      <x:c r="A5" s="110" t="str">
        <x:v>AQ-001</x:v>
      </x:c>
      <x:c r="B5" s="111" t="str">
        <x:v>HumanOS platform</x:v>
      </x:c>
      <x:c r="C5" s="111" t="str">
        <x:v>What Java and Spring Boot/Spring Cloud versions are currently supported in HumanOS?</x:v>
      </x:c>
      <x:c r="D5" s="111" t="str">
        <x:v>Java 21+ and a supported Spring Boot 3.x/4.x baseline.</x:v>
      </x:c>
      <x:c r="E5" s="111" t="str">
        <x:v>May change runtime ADR, libraries, migration effort and support policy.</x:v>
      </x:c>
      <x:c r="F5" s="111" t="str">
        <x:v>Java Platform Lead</x:v>
      </x:c>
      <x:c r="G5" s="111" t="str">
        <x:v>1</x:v>
      </x:c>
      <x:c r="H5" s="111" t="str">
        <x:v>Open</x:v>
      </x:c>
      <x:c r="I5" s="111" t="str"/>
      <x:c r="J5" s="112" t="str">
        <x:v>Inventory current repositories and BOMs.</x:v>
      </x:c>
    </x:row>
    <x:row r="6">
      <x:c r="A6" s="119" t="str">
        <x:v>AQ-002</x:v>
      </x:c>
      <x:c r="B6" s="120" t="str">
        <x:v>HumanOS platform</x:v>
      </x:c>
      <x:c r="C6" s="120" t="str">
        <x:v>Which foundation microservices are production-ready versus partially built?</x:v>
      </x:c>
      <x:c r="D6" s="120" t="str">
        <x:v>Identity, organisation, task/project, workflow, policy, audit, notification, secrets, object and model gateway largely exist.</x:v>
      </x:c>
      <x:c r="E6" s="120" t="str">
        <x:v>May require additional Stage 1 architecture and delivery work.</x:v>
      </x:c>
      <x:c r="F6" s="120" t="str">
        <x:v>Enterprise Architect</x:v>
      </x:c>
      <x:c r="G6" s="120" t="str">
        <x:v>1</x:v>
      </x:c>
      <x:c r="H6" s="120" t="str">
        <x:v>Open</x:v>
      </x:c>
      <x:c r="I6" s="120" t="str"/>
      <x:c r="J6" s="121" t="str">
        <x:v>User states base services are mostly built.</x:v>
      </x:c>
    </x:row>
    <x:row r="7">
      <x:c r="A7" s="113" t="str">
        <x:v>AQ-003</x:v>
      </x:c>
      <x:c r="B7" s="114" t="str">
        <x:v>HumanOS platform</x:v>
      </x:c>
      <x:c r="C7" s="114" t="str">
        <x:v>Does HumanOS already operate Kafka or a compatible event bus with schema governance?</x:v>
      </x:c>
      <x:c r="D7" s="114" t="str">
        <x:v>A reusable event infrastructure exists or can be extended.</x:v>
      </x:c>
      <x:c r="E7" s="114" t="str">
        <x:v>Could change ingestion architecture, cost and Stage 4 scope.</x:v>
      </x:c>
      <x:c r="F7" s="114" t="str">
        <x:v>Platform/Data Architect</x:v>
      </x:c>
      <x:c r="G7" s="114" t="str">
        <x:v>1</x:v>
      </x:c>
      <x:c r="H7" s="114" t="str">
        <x:v>Open</x:v>
      </x:c>
      <x:c r="I7" s="114" t="str"/>
      <x:c r="J7" s="115" t="str">
        <x:v>Platform capability assessment required.</x:v>
      </x:c>
    </x:row>
    <x:row r="8">
      <x:c r="A8" s="119" t="str">
        <x:v>AQ-004</x:v>
      </x:c>
      <x:c r="B8" s="120" t="str">
        <x:v>HumanOS platform</x:v>
      </x:c>
      <x:c r="C8" s="120" t="str">
        <x:v>Can the current policy service express device capture, jurisdiction, task, time, exclusion and evidence-access decisions?</x:v>
      </x:c>
      <x:c r="D8" s="120" t="str">
        <x:v>It handles core authorisation but may need OPA-style policy capabilities.</x:v>
      </x:c>
      <x:c r="E8" s="120" t="str">
        <x:v>May create a new policy component or larger extension.</x:v>
      </x:c>
      <x:c r="F8" s="120" t="str">
        <x:v>Security Architect</x:v>
      </x:c>
      <x:c r="G8" s="120" t="str">
        <x:v>1/3</x:v>
      </x:c>
      <x:c r="H8" s="120" t="str">
        <x:v>Open</x:v>
      </x:c>
      <x:c r="I8" s="120" t="str"/>
      <x:c r="J8" s="121" t="str">
        <x:v>Run policy capability matrix.</x:v>
      </x:c>
    </x:row>
    <x:row r="9">
      <x:c r="A9" s="113" t="str">
        <x:v>AQ-005</x:v>
      </x:c>
      <x:c r="B9" s="114" t="str">
        <x:v>HumanOS platform</x:v>
      </x:c>
      <x:c r="C9" s="114" t="str">
        <x:v>Can the Workflow Runtime support long-running human review, disputes, coaching and skill approval?</x:v>
      </x:c>
      <x:c r="D9" s="114" t="str">
        <x:v>It is the default orchestrator.</x:v>
      </x:c>
      <x:c r="E9" s="114" t="str">
        <x:v>Could require Temporal or another workflow engine.</x:v>
      </x:c>
      <x:c r="F9" s="114" t="str">
        <x:v>Workflow Platform Lead</x:v>
      </x:c>
      <x:c r="G9" s="114" t="str">
        <x:v>2/3</x:v>
      </x:c>
      <x:c r="H9" s="114" t="str">
        <x:v>Open</x:v>
      </x:c>
      <x:c r="I9" s="114" t="str"/>
      <x:c r="J9" s="115" t="str">
        <x:v>Do not add another orchestrator without gap evidence.</x:v>
      </x:c>
    </x:row>
    <x:row r="10">
      <x:c r="A10" s="119" t="str">
        <x:v>AQ-006</x:v>
      </x:c>
      <x:c r="B10" s="120" t="str">
        <x:v>HumanOS platform</x:v>
      </x:c>
      <x:c r="C10" s="120" t="str">
        <x:v>Does the audit service support immutable, high-volume evidence-access and AI-decision records?</x:v>
      </x:c>
      <x:c r="D10" s="120" t="str">
        <x:v>It can be extended.</x:v>
      </x:c>
      <x:c r="E10" s="120" t="str">
        <x:v>A separate append-only audit stream may be needed.</x:v>
      </x:c>
      <x:c r="F10" s="120" t="str">
        <x:v>Audit/Security Lead</x:v>
      </x:c>
      <x:c r="G10" s="120" t="str">
        <x:v>1/4</x:v>
      </x:c>
      <x:c r="H10" s="120" t="str">
        <x:v>Open</x:v>
      </x:c>
      <x:c r="I10" s="120" t="str"/>
      <x:c r="J10" s="121" t="str">
        <x:v>Security and scale assessment.</x:v>
      </x:c>
    </x:row>
    <x:row r="11">
      <x:c r="A11" s="113" t="str">
        <x:v>AQ-007</x:v>
      </x:c>
      <x:c r="B11" s="114" t="str">
        <x:v>HumanOS platform</x:v>
      </x:c>
      <x:c r="C11" s="114" t="str">
        <x:v>Does the object service support regional routing, per-object policy, legal hold, secure deletion and short retention?</x:v>
      </x:c>
      <x:c r="D11" s="114" t="str">
        <x:v>Basic object storage exists; policy features may need extension.</x:v>
      </x:c>
      <x:c r="E11" s="114" t="str">
        <x:v>Could create evidence-specific storage boundary.</x:v>
      </x:c>
      <x:c r="F11" s="114" t="str">
        <x:v>Platform/Data Lead</x:v>
      </x:c>
      <x:c r="G11" s="114" t="str">
        <x:v>1/4</x:v>
      </x:c>
      <x:c r="H11" s="114" t="str">
        <x:v>Open</x:v>
      </x:c>
      <x:c r="I11" s="114" t="str"/>
      <x:c r="J11" s="115" t="str"/>
    </x:row>
    <x:row r="12">
      <x:c r="A12" s="119" t="str">
        <x:v>AQ-008</x:v>
      </x:c>
      <x:c r="B12" s="120" t="str">
        <x:v>Deployment</x:v>
      </x:c>
      <x:c r="C12" s="120" t="str">
        <x:v>What cloud, Kubernetes, database and observability platforms does HumanOS standardise on?</x:v>
      </x:c>
      <x:c r="D12" s="120" t="str">
        <x:v>Existing platform standards should be reused.</x:v>
      </x:c>
      <x:c r="E12" s="120" t="str">
        <x:v>Affects reference architecture, cost and CI/CD.</x:v>
      </x:c>
      <x:c r="F12" s="120" t="str">
        <x:v>CTO/SRE</x:v>
      </x:c>
      <x:c r="G12" s="120" t="str">
        <x:v>1</x:v>
      </x:c>
      <x:c r="H12" s="120" t="str">
        <x:v>Open</x:v>
      </x:c>
      <x:c r="I12" s="120" t="str"/>
      <x:c r="J12" s="121" t="str"/>
    </x:row>
    <x:row r="13">
      <x:c r="A13" s="113" t="str">
        <x:v>AQ-009</x:v>
      </x:c>
      <x:c r="B13" s="114" t="str">
        <x:v>Deployment</x:v>
      </x:c>
      <x:c r="C13" s="114" t="str">
        <x:v>Which regions and data-residency zones are required for UK and Pakistan operations?</x:v>
      </x:c>
      <x:c r="D13" s="114" t="str">
        <x:v>UK and Pakistan-related data will require explicit regional/transfer design.</x:v>
      </x:c>
      <x:c r="E13" s="114" t="str">
        <x:v>Changes storage, support and cross-border controls.</x:v>
      </x:c>
      <x:c r="F13" s="114" t="str">
        <x:v>DPO/Security</x:v>
      </x:c>
      <x:c r="G13" s="114" t="str">
        <x:v>0/1</x:v>
      </x:c>
      <x:c r="H13" s="114" t="str">
        <x:v>Open</x:v>
      </x:c>
      <x:c r="I13" s="114" t="str"/>
      <x:c r="J13" s="115" t="str">
        <x:v>Legal review required.</x:v>
      </x:c>
    </x:row>
    <x:row r="14">
      <x:c r="A14" s="119" t="str">
        <x:v>AQ-010</x:v>
      </x:c>
      <x:c r="B14" s="120" t="str">
        <x:v>Pilot</x:v>
      </x:c>
      <x:c r="C14" s="120" t="str">
        <x:v>How many pilot employees and teams will participate?</x:v>
      </x:c>
      <x:c r="D14" s="120" t="str">
        <x:v>10–30 employees across one or two technical teams.</x:v>
      </x:c>
      <x:c r="E14" s="120" t="str">
        <x:v>Changes event volume, support load, consultation and evaluation power.</x:v>
      </x:c>
      <x:c r="F14" s="120" t="str">
        <x:v>Product/HR</x:v>
      </x:c>
      <x:c r="G14" s="120" t="str">
        <x:v>0/1</x:v>
      </x:c>
      <x:c r="H14" s="120" t="str">
        <x:v>Open</x:v>
      </x:c>
      <x:c r="I14" s="120" t="str"/>
      <x:c r="J14" s="121" t="str">
        <x:v>Used only as provisional planning range.</x:v>
      </x:c>
    </x:row>
    <x:row r="15">
      <x:c r="A15" s="113" t="str">
        <x:v>AQ-011</x:v>
      </x:c>
      <x:c r="B15" s="114" t="str">
        <x:v>Pilot</x:v>
      </x:c>
      <x:c r="C15" s="114" t="str">
        <x:v>Which managed device mix is available?</x:v>
      </x:c>
      <x:c r="D15" s="114" t="str">
        <x:v>Windows 11 and recent macOS; Linux excluded initially.</x:v>
      </x:c>
      <x:c r="E15" s="114" t="str">
        <x:v>Changes Stage 3 engineering and test matrix.</x:v>
      </x:c>
      <x:c r="F15" s="114" t="str">
        <x:v>IT/Desktop Lead</x:v>
      </x:c>
      <x:c r="G15" s="114" t="str">
        <x:v>1/3</x:v>
      </x:c>
      <x:c r="H15" s="114" t="str">
        <x:v>Open</x:v>
      </x:c>
      <x:c r="I15" s="114" t="str"/>
      <x:c r="J15" s="115" t="str"/>
    </x:row>
    <x:row r="16">
      <x:c r="A16" s="119" t="str">
        <x:v>AQ-012</x:v>
      </x:c>
      <x:c r="B16" s="120" t="str">
        <x:v>Pilot</x:v>
      </x:c>
      <x:c r="C16" s="120" t="str">
        <x:v>Is MDM/endpoint management available for certificate, policy and signed-agent deployment?</x:v>
      </x:c>
      <x:c r="D16" s="120" t="str">
        <x:v>An enterprise endpoint-management path exists.</x:v>
      </x:c>
      <x:c r="E16" s="120" t="str">
        <x:v>Manual installation could undermine trust, updates and rollback.</x:v>
      </x:c>
      <x:c r="F16" s="120" t="str">
        <x:v>IT/Security</x:v>
      </x:c>
      <x:c r="G16" s="120" t="str">
        <x:v>1/3</x:v>
      </x:c>
      <x:c r="H16" s="120" t="str">
        <x:v>Open</x:v>
      </x:c>
      <x:c r="I16" s="120" t="str"/>
      <x:c r="J16" s="121" t="str"/>
    </x:row>
    <x:row r="17">
      <x:c r="A17" s="113" t="str">
        <x:v>AQ-013</x:v>
      </x:c>
      <x:c r="B17" s="114" t="str">
        <x:v>Pilot</x:v>
      </x:c>
      <x:c r="C17" s="114" t="str">
        <x:v>Which development tools must the first pilot support?</x:v>
      </x:c>
      <x:c r="D17" s="114" t="str">
        <x:v>Chrome/Edge, common terminals, Git, GitHub, Codex CLI, Claude Code, VS Code/JetBrains, Xcode/Android Studio as applicable.</x:v>
      </x:c>
      <x:c r="E17" s="114" t="str">
        <x:v>Adapter backlog and coverage could expand materially.</x:v>
      </x:c>
      <x:c r="F17" s="114" t="str">
        <x:v>Engineering Leads</x:v>
      </x:c>
      <x:c r="G17" s="114" t="str">
        <x:v>1/3</x:v>
      </x:c>
      <x:c r="H17" s="114" t="str">
        <x:v>Open</x:v>
      </x:c>
      <x:c r="I17" s="114" t="str"/>
      <x:c r="J17" s="115" t="str">
        <x:v>Confirm actual Nessovo tool inventory.</x:v>
      </x:c>
    </x:row>
    <x:row r="18">
      <x:c r="A18" s="119" t="str">
        <x:v>AQ-014</x:v>
      </x:c>
      <x:c r="B18" s="120" t="str">
        <x:v>Pilot</x:v>
      </x:c>
      <x:c r="C18" s="120" t="str">
        <x:v>Will participants be office-based, remote or hybrid?</x:v>
      </x:c>
      <x:c r="D18" s="120" t="str">
        <x:v>Mixed/hybrid work is possible.</x:v>
      </x:c>
      <x:c r="E18" s="120" t="str">
        <x:v>Homeworking increases private-life capture risk and policy complexity.</x:v>
      </x:c>
      <x:c r="F18" s="120" t="str">
        <x:v>HR/DPO</x:v>
      </x:c>
      <x:c r="G18" s="120" t="str">
        <x:v>0</x:v>
      </x:c>
      <x:c r="H18" s="120" t="str">
        <x:v>Open</x:v>
      </x:c>
      <x:c r="I18" s="120" t="str"/>
      <x:c r="J18" s="121" t="str">
        <x:v>ICO notes higher privacy risk at home.</x:v>
      </x:c>
    </x:row>
    <x:row r="19">
      <x:c r="A19" s="113" t="str">
        <x:v>AQ-015</x:v>
      </x:c>
      <x:c r="B19" s="114" t="str">
        <x:v>Pilot</x:v>
      </x:c>
      <x:c r="C19" s="114" t="str">
        <x:v>Can work devices be used for limited personal activity?</x:v>
      </x:c>
      <x:c r="D19" s="114" t="str">
        <x:v>Some personal use may occur and must be excluded/paused.</x:v>
      </x:c>
      <x:c r="E19" s="114" t="str">
        <x:v>Changes exclusions, notice, private mode and evidence policy.</x:v>
      </x:c>
      <x:c r="F19" s="114" t="str">
        <x:v>HR/Legal/IT</x:v>
      </x:c>
      <x:c r="G19" s="114" t="str">
        <x:v>0</x:v>
      </x:c>
      <x:c r="H19" s="114" t="str">
        <x:v>Open</x:v>
      </x:c>
      <x:c r="I19" s="114" t="str"/>
      <x:c r="J19" s="115" t="str"/>
    </x:row>
    <x:row r="20">
      <x:c r="A20" s="119" t="str">
        <x:v>AQ-016</x:v>
      </x:c>
      <x:c r="B20" s="120" t="str">
        <x:v>Pilot</x:v>
      </x:c>
      <x:c r="C20" s="120" t="str">
        <x:v>Will BYOD ever be allowed?</x:v>
      </x:c>
      <x:c r="D20" s="120" t="str">
        <x:v>No BYOD in the initial pilot.</x:v>
      </x:c>
      <x:c r="E20" s="120" t="str">
        <x:v>BYOD would materially increase legal, privacy and technical risk.</x:v>
      </x:c>
      <x:c r="F20" s="120" t="str">
        <x:v>Executive Sponsor/DPO</x:v>
      </x:c>
      <x:c r="G20" s="120" t="str">
        <x:v>0</x:v>
      </x:c>
      <x:c r="H20" s="120" t="str">
        <x:v>Assumed</x:v>
      </x:c>
      <x:c r="I20" s="120" t="str"/>
      <x:c r="J20" s="121" t="str">
        <x:v>Reassess only with a new DPIA.</x:v>
      </x:c>
    </x:row>
    <x:row r="21">
      <x:c r="A21" s="113" t="str">
        <x:v>AQ-017</x:v>
      </x:c>
      <x:c r="B21" s="114" t="str">
        <x:v>Employment</x:v>
      </x:c>
      <x:c r="C21" s="114" t="str">
        <x:v>Which employee contracts, handbooks and policies currently address monitoring and personal use?</x:v>
      </x:c>
      <x:c r="D21" s="114" t="str">
        <x:v>Existing documents require amendment.</x:v>
      </x:c>
      <x:c r="E21" s="114" t="str">
        <x:v>Could delay pilot and change consultation process.</x:v>
      </x:c>
      <x:c r="F21" s="114" t="str">
        <x:v>HR/Legal</x:v>
      </x:c>
      <x:c r="G21" s="114" t="str">
        <x:v>0</x:v>
      </x:c>
      <x:c r="H21" s="114" t="str">
        <x:v>Open</x:v>
      </x:c>
      <x:c r="I21" s="114" t="str"/>
      <x:c r="J21" s="115" t="str"/>
    </x:row>
    <x:row r="22">
      <x:c r="A22" s="119" t="str">
        <x:v>AQ-018</x:v>
      </x:c>
      <x:c r="B22" s="120" t="str">
        <x:v>Employment</x:v>
      </x:c>
      <x:c r="C22" s="120" t="str">
        <x:v>Are trade unions, works councils or other worker representatives relevant?</x:v>
      </x:c>
      <x:c r="D22" s="120" t="str">
        <x:v>Employee representatives should be involved even if no formal body exists.</x:v>
      </x:c>
      <x:c r="E22" s="120" t="str">
        <x:v>Could impose consultation/collective requirements.</x:v>
      </x:c>
      <x:c r="F22" s="120" t="str">
        <x:v>HR/Legal</x:v>
      </x:c>
      <x:c r="G22" s="120" t="str">
        <x:v>0</x:v>
      </x:c>
      <x:c r="H22" s="120" t="str">
        <x:v>Open</x:v>
      </x:c>
      <x:c r="I22" s="120" t="str"/>
      <x:c r="J22" s="121" t="str"/>
    </x:row>
    <x:row r="23">
      <x:c r="A23" s="113" t="str">
        <x:v>AQ-019</x:v>
      </x:c>
      <x:c r="B23" s="114" t="str">
        <x:v>Employment</x:v>
      </x:c>
      <x:c r="C23" s="114" t="str">
        <x:v>Will the internal pilot use volunteers, selected participants or a whole team?</x:v>
      </x:c>
      <x:c r="D23" s="114" t="str">
        <x:v>A controlled cohort with appropriate consultation and protection.</x:v>
      </x:c>
      <x:c r="E23" s="114" t="str">
        <x:v>Voluntariness, bias and team dynamics differ.</x:v>
      </x:c>
      <x:c r="F23" s="114" t="str">
        <x:v>HR/DPO/Product</x:v>
      </x:c>
      <x:c r="G23" s="114" t="str">
        <x:v>0</x:v>
      </x:c>
      <x:c r="H23" s="114" t="str">
        <x:v>Open</x:v>
      </x:c>
      <x:c r="I23" s="114" t="str"/>
      <x:c r="J23" s="115" t="str"/>
    </x:row>
    <x:row r="24">
      <x:c r="A24" s="119" t="str">
        <x:v>AQ-020</x:v>
      </x:c>
      <x:c r="B24" s="120" t="str">
        <x:v>Employment</x:v>
      </x:c>
      <x:c r="C24" s="120" t="str">
        <x:v>Can any pilot output enter formal performance-management records?</x:v>
      </x:c>
      <x:c r="D24" s="120" t="str">
        <x:v>No adverse employment action based solely or primarily on pilot output.</x:v>
      </x:c>
      <x:c r="E24" s="120" t="str">
        <x:v>Directly affects participant safety and legal risk.</x:v>
      </x:c>
      <x:c r="F24" s="120" t="str">
        <x:v>HR/Legal/Executive Sponsor</x:v>
      </x:c>
      <x:c r="G24" s="120" t="str">
        <x:v>0</x:v>
      </x:c>
      <x:c r="H24" s="120" t="str">
        <x:v>Draft decision</x:v>
      </x:c>
      <x:c r="I24" s="120" t="str"/>
      <x:c r="J24" s="121" t="str">
        <x:v>Pilot Definition and ADR-020.</x:v>
      </x:c>
    </x:row>
    <x:row r="25">
      <x:c r="A25" s="113" t="str">
        <x:v>AQ-021</x:v>
      </x:c>
      <x:c r="B25" s="114" t="str">
        <x:v>Privacy</x:v>
      </x:c>
      <x:c r="C25" s="114" t="str">
        <x:v>What raw and derived retention periods will legal/DPO approve?</x:v>
      </x:c>
      <x:c r="D25" s="114" t="str">
        <x:v>Raw visual/text evidence 7–30 days; metadata 30–90 days; derived task/capability records longer when justified.</x:v>
      </x:c>
      <x:c r="E25" s="114" t="str">
        <x:v>Changes storage cost, evidence availability and rights workflows.</x:v>
      </x:c>
      <x:c r="F25" s="114" t="str">
        <x:v>DPO/Data Governance</x:v>
      </x:c>
      <x:c r="G25" s="114" t="str">
        <x:v>0/1</x:v>
      </x:c>
      <x:c r="H25" s="114" t="str">
        <x:v>Open</x:v>
      </x:c>
      <x:c r="I25" s="114" t="str"/>
      <x:c r="J25" s="115" t="str">
        <x:v>Purpose Policy Matrix proposals only.</x:v>
      </x:c>
    </x:row>
    <x:row r="26">
      <x:c r="A26" s="119" t="str">
        <x:v>AQ-022</x:v>
      </x:c>
      <x:c r="B26" s="120" t="str">
        <x:v>Privacy</x:v>
      </x:c>
      <x:c r="C26" s="120" t="str">
        <x:v>Which applications, domains, monitors and secure controls must be excluded?</x:v>
      </x:c>
      <x:c r="D26" s="120" t="str">
        <x:v>Passwords, authentication, personal email, banking, health, private messaging and configured apps/domains are excluded.</x:v>
      </x:c>
      <x:c r="E26" s="120" t="str">
        <x:v>Incomplete exclusions could block pilot.</x:v>
      </x:c>
      <x:c r="F26" s="120" t="str">
        <x:v>DPO/Security/HR</x:v>
      </x:c>
      <x:c r="G26" s="120" t="str">
        <x:v>0/3</x:v>
      </x:c>
      <x:c r="H26" s="120" t="str">
        <x:v>Open</x:v>
      </x:c>
      <x:c r="I26" s="120" t="str"/>
      <x:c r="J26" s="121" t="str"/>
    </x:row>
    <x:row r="27">
      <x:c r="A27" s="113" t="str">
        <x:v>AQ-023</x:v>
      </x:c>
      <x:c r="B27" s="114" t="str">
        <x:v>Privacy</x:v>
      </x:c>
      <x:c r="C27" s="114" t="str">
        <x:v>Is clipboard content ever necessary?</x:v>
      </x:c>
      <x:c r="D27" s="114" t="str">
        <x:v>No; only paste metadata by default.</x:v>
      </x:c>
      <x:c r="E27" s="114" t="str">
        <x:v>Content capture would add major DLP/privacy risk.</x:v>
      </x:c>
      <x:c r="F27" s="114" t="str">
        <x:v>DPO/CISO/Product</x:v>
      </x:c>
      <x:c r="G27" s="114" t="str">
        <x:v>0</x:v>
      </x:c>
      <x:c r="H27" s="114" t="str">
        <x:v>Draft decision</x:v>
      </x:c>
      <x:c r="I27" s="114" t="str"/>
      <x:c r="J27" s="115" t="str">
        <x:v>Purpose Policy Matrix.</x:v>
      </x:c>
    </x:row>
    <x:row r="28">
      <x:c r="A28" s="119" t="str">
        <x:v>AQ-024</x:v>
      </x:c>
      <x:c r="B28" s="120" t="str">
        <x:v>Privacy</x:v>
      </x:c>
      <x:c r="C28" s="120" t="str">
        <x:v>Is audio required for the initial vertical?</x:v>
      </x:c>
      <x:c r="D28" s="120" t="str">
        <x:v>No audio in v1.</x:v>
      </x:c>
      <x:c r="E28" s="120" t="str">
        <x:v>Including audio would materially expand scope and DPIA.</x:v>
      </x:c>
      <x:c r="F28" s="120" t="str">
        <x:v>DPO/Product</x:v>
      </x:c>
      <x:c r="G28" s="120" t="str">
        <x:v>0</x:v>
      </x:c>
      <x:c r="H28" s="120" t="str">
        <x:v>Draft decision</x:v>
      </x:c>
      <x:c r="I28" s="120" t="str"/>
      <x:c r="J28" s="121" t="str">
        <x:v>ADR-022.</x:v>
      </x:c>
    </x:row>
    <x:row r="29">
      <x:c r="A29" s="113" t="str">
        <x:v>AQ-025</x:v>
      </x:c>
      <x:c r="B29" s="114" t="str">
        <x:v>AI</x:v>
      </x:c>
      <x:c r="C29" s="114" t="str">
        <x:v>Which model providers and hosting modes are approved for employee evidence?</x:v>
      </x:c>
      <x:c r="D29" s="114" t="str">
        <x:v>Only approved Model Gateway routes; sensitive evidence may require regional/private models.</x:v>
      </x:c>
      <x:c r="E29" s="114" t="str">
        <x:v>Changes latency, cost, data processing and model availability.</x:v>
      </x:c>
      <x:c r="F29" s="114" t="str">
        <x:v>AI Platform/DPO/Security</x:v>
      </x:c>
      <x:c r="G29" s="114" t="str">
        <x:v>1/7</x:v>
      </x:c>
      <x:c r="H29" s="114" t="str">
        <x:v>Open</x:v>
      </x:c>
      <x:c r="I29" s="114" t="str"/>
      <x:c r="J29" s="115" t="str"/>
    </x:row>
    <x:row r="30">
      <x:c r="A30" s="119" t="str">
        <x:v>AQ-026</x:v>
      </x:c>
      <x:c r="B30" s="120" t="str">
        <x:v>AI</x:v>
      </x:c>
      <x:c r="C30" s="120" t="str">
        <x:v>Do model/provider contracts allow retention-free processing and no training on submitted data?</x:v>
      </x:c>
      <x:c r="D30" s="120" t="str">
        <x:v>This must be contractually controlled.</x:v>
      </x:c>
      <x:c r="E30" s="120" t="str">
        <x:v>Could prohibit use of certain providers for raw evidence.</x:v>
      </x:c>
      <x:c r="F30" s="120" t="str">
        <x:v>Legal/Procurement/AI</x:v>
      </x:c>
      <x:c r="G30" s="120" t="str">
        <x:v>1/7</x:v>
      </x:c>
      <x:c r="H30" s="120" t="str">
        <x:v>Open</x:v>
      </x:c>
      <x:c r="I30" s="120" t="str"/>
      <x:c r="J30" s="121" t="str"/>
    </x:row>
    <x:row r="31">
      <x:c r="A31" s="113" t="str">
        <x:v>AQ-027</x:v>
      </x:c>
      <x:c r="B31" s="114" t="str">
        <x:v>AI</x:v>
      </x:c>
      <x:c r="C31" s="114" t="str">
        <x:v>What confidence thresholds are acceptable for task alignment, idle and capability findings?</x:v>
      </x:c>
      <x:c r="D31" s="114" t="str">
        <x:v>Thresholds must be calibrated through pilot data and vary by consequence.</x:v>
      </x:c>
      <x:c r="E31" s="114" t="str">
        <x:v>Too low creates false allegations; too high reduces usefulness.</x:v>
      </x:c>
      <x:c r="F31" s="114" t="str">
        <x:v>AI Evaluation Lead/DPO</x:v>
      </x:c>
      <x:c r="G31" s="114" t="str">
        <x:v>7/8</x:v>
      </x:c>
      <x:c r="H31" s="114" t="str">
        <x:v>Open</x:v>
      </x:c>
      <x:c r="I31" s="114" t="str"/>
      <x:c r="J31" s="115" t="str"/>
    </x:row>
    <x:row r="32">
      <x:c r="A32" s="119" t="str">
        <x:v>AQ-028</x:v>
      </x:c>
      <x:c r="B32" s="120" t="str">
        <x:v>AI</x:v>
      </x:c>
      <x:c r="C32" s="120" t="str">
        <x:v>Who will label and review pilot evaluation datasets?</x:v>
      </x:c>
      <x:c r="D32" s="120" t="str">
        <x:v>Domain experts plus employee-context review.</x:v>
      </x:c>
      <x:c r="E32" s="120" t="str">
        <x:v>Poor labels will invalidate model metrics.</x:v>
      </x:c>
      <x:c r="F32" s="120" t="str">
        <x:v>AI Evaluation Lead/Engineering Leads</x:v>
      </x:c>
      <x:c r="G32" s="120" t="str">
        <x:v>1/7</x:v>
      </x:c>
      <x:c r="H32" s="120" t="str">
        <x:v>Open</x:v>
      </x:c>
      <x:c r="I32" s="120" t="str"/>
      <x:c r="J32" s="121" t="str"/>
    </x:row>
    <x:row r="33">
      <x:c r="A33" s="113" t="str">
        <x:v>AQ-029</x:v>
      </x:c>
      <x:c r="B33" s="114" t="str">
        <x:v>Capability</x:v>
      </x:c>
      <x:c r="C33" s="114" t="str">
        <x:v>Which role families and job descriptions are first in scope?</x:v>
      </x:c>
      <x:c r="D33" s="114" t="str">
        <x:v>Software engineer, QA engineer, DevOps/platform engineer and technical lead.</x:v>
      </x:c>
      <x:c r="E33" s="114" t="str">
        <x:v>Changes Stage 2 ontology examples and assessments.</x:v>
      </x:c>
      <x:c r="F33" s="114" t="str">
        <x:v>HR/Product/CTO</x:v>
      </x:c>
      <x:c r="G33" s="114" t="str">
        <x:v>2</x:v>
      </x:c>
      <x:c r="H33" s="114" t="str">
        <x:v>Open</x:v>
      </x:c>
      <x:c r="I33" s="114" t="str"/>
      <x:c r="J33" s="115" t="str"/>
    </x:row>
    <x:row r="34">
      <x:c r="A34" s="119" t="str">
        <x:v>AQ-030</x:v>
      </x:c>
      <x:c r="B34" s="120" t="str">
        <x:v>Capability</x:v>
      </x:c>
      <x:c r="C34" s="120" t="str">
        <x:v>Will Nessovo adopt an external framework such as SFIA as a reference?</x:v>
      </x:c>
      <x:c r="D34" s="120" t="str">
        <x:v>Use external frameworks as mappings, not the sole ontology.</x:v>
      </x:c>
      <x:c r="E34" s="120" t="str">
        <x:v>May affect language, licence and customer interoperability.</x:v>
      </x:c>
      <x:c r="F34" s="120" t="str">
        <x:v>HR/L&amp;D/Product</x:v>
      </x:c>
      <x:c r="G34" s="120" t="str">
        <x:v>2</x:v>
      </x:c>
      <x:c r="H34" s="120" t="str">
        <x:v>Open</x:v>
      </x:c>
      <x:c r="I34" s="120" t="str"/>
      <x:c r="J34" s="121" t="str"/>
    </x:row>
    <x:row r="35">
      <x:c r="A35" s="113" t="str">
        <x:v>AQ-031</x:v>
      </x:c>
      <x:c r="B35" s="114" t="str">
        <x:v>Capability</x:v>
      </x:c>
      <x:c r="C35" s="114" t="str">
        <x:v>Which HRIS/LMS systems must HumanOS integrate with?</x:v>
      </x:c>
      <x:c r="D35" s="114" t="str">
        <x:v>HumanOS may remain the capability system while integrating employment and content systems.</x:v>
      </x:c>
      <x:c r="E35" s="114" t="str">
        <x:v>Changes APIs and source-of-truth decisions.</x:v>
      </x:c>
      <x:c r="F35" s="114" t="str">
        <x:v>HRIS/L&amp;D Architect</x:v>
      </x:c>
      <x:c r="G35" s="114" t="str">
        <x:v>2/9</x:v>
      </x:c>
      <x:c r="H35" s="114" t="str">
        <x:v>Open</x:v>
      </x:c>
      <x:c r="I35" s="114" t="str"/>
      <x:c r="J35" s="115" t="str"/>
    </x:row>
    <x:row r="36">
      <x:c r="A36" s="119" t="str">
        <x:v>AQ-032</x:v>
      </x:c>
      <x:c r="B36" s="120" t="str">
        <x:v>Manager access</x:v>
      </x:c>
      <x:c r="C36" s="120" t="str">
        <x:v>Which managers may see raw evidence, and under what approval?</x:v>
      </x:c>
      <x:c r="D36" s="120" t="str">
        <x:v>Managers receive summaries; raw access requires task scope, reason code and audit.</x:v>
      </x:c>
      <x:c r="E36" s="120" t="str">
        <x:v>Access model could undermine trust or operations.</x:v>
      </x:c>
      <x:c r="F36" s="120" t="str">
        <x:v>DPO/HR/Security</x:v>
      </x:c>
      <x:c r="G36" s="120" t="str">
        <x:v>0/10</x:v>
      </x:c>
      <x:c r="H36" s="120" t="str">
        <x:v>Open</x:v>
      </x:c>
      <x:c r="I36" s="120" t="str"/>
      <x:c r="J36" s="121" t="str"/>
    </x:row>
    <x:row r="37">
      <x:c r="A37" s="113" t="str">
        <x:v>AQ-033</x:v>
      </x:c>
      <x:c r="B37" s="114" t="str">
        <x:v>Commercial</x:v>
      </x:c>
      <x:c r="C37" s="114" t="str">
        <x:v>Will the product be internal-only initially or prepared for external multi-tenant customers?</x:v>
      </x:c>
      <x:c r="D37" s="114" t="str">
        <x:v>Internal pilot first, architecture remains multi-tenant.</x:v>
      </x:c>
      <x:c r="E37" s="114" t="str">
        <x:v>Changes compliance, product packaging, support and isolation.</x:v>
      </x:c>
      <x:c r="F37" s="114" t="str">
        <x:v>CEO/Product</x:v>
      </x:c>
      <x:c r="G37" s="114" t="str">
        <x:v>1</x:v>
      </x:c>
      <x:c r="H37" s="114" t="str">
        <x:v>Open</x:v>
      </x:c>
      <x:c r="I37" s="114" t="str"/>
      <x:c r="J37" s="115" t="str"/>
    </x:row>
    <x:row r="38">
      <x:c r="A38" s="119" t="str">
        <x:v>AQ-034</x:v>
      </x:c>
      <x:c r="B38" s="120" t="str">
        <x:v>Commercial</x:v>
      </x:c>
      <x:c r="C38" s="120" t="str">
        <x:v>Will enterprise on-premises or sovereign deployment be required?</x:v>
      </x:c>
      <x:c r="D38" s="120" t="str">
        <x:v>Possible later; not an initial pilot requirement.</x:v>
      </x:c>
      <x:c r="E38" s="120" t="str">
        <x:v>Could change dependencies and SaaS architecture.</x:v>
      </x:c>
      <x:c r="F38" s="120" t="str">
        <x:v>Product/CTO</x:v>
      </x:c>
      <x:c r="G38" s="120" t="str">
        <x:v>1</x:v>
      </x:c>
      <x:c r="H38" s="120" t="str">
        <x:v>Open</x:v>
      </x:c>
      <x:c r="I38" s="120" t="str"/>
      <x:c r="J38" s="121" t="str"/>
    </x:row>
    <x:row r="39">
      <x:c r="A39" s="113" t="str">
        <x:v>AQ-035</x:v>
      </x:c>
      <x:c r="B39" s="114" t="str">
        <x:v>Economics</x:v>
      </x:c>
      <x:c r="C39" s="114" t="str">
        <x:v>What endpoint CPU, memory, storage, bandwidth and AI cost limits are acceptable?</x:v>
      </x:c>
      <x:c r="D39" s="114" t="str">
        <x:v>Target &lt;7% typical CPU, &lt;750 MB memory and bounded configurable local storage.</x:v>
      </x:c>
      <x:c r="E39" s="114" t="str">
        <x:v>Determines capture design and model placement.</x:v>
      </x:c>
      <x:c r="F39" s="114" t="str">
        <x:v>CTO/SRE/Product</x:v>
      </x:c>
      <x:c r="G39" s="114" t="str">
        <x:v>1/3</x:v>
      </x:c>
      <x:c r="H39" s="114" t="str">
        <x:v>Open</x:v>
      </x:c>
      <x:c r="I39" s="114" t="str"/>
      <x:c r="J39" s="115" t="str">
        <x:v>Targets require validation.</x:v>
      </x:c>
    </x:row>
    <x:row r="40">
      <x:c r="A40" s="119" t="str">
        <x:v>AQ-036</x:v>
      </x:c>
      <x:c r="B40" s="120" t="str">
        <x:v>Economics</x:v>
      </x:c>
      <x:c r="C40" s="120" t="str">
        <x:v>What raw screenshot/event rate and retention assumptions should drive cost modelling?</x:v>
      </x:c>
      <x:c r="D40" s="120" t="str">
        <x:v>Event-driven capture; approximately 20–100 meaningful visual states/hour as a scenario range.</x:v>
      </x:c>
      <x:c r="E40" s="120" t="str">
        <x:v>Cost estimates are unreliable without workload assumptions.</x:v>
      </x:c>
      <x:c r="F40" s="120" t="str">
        <x:v>FinOps/Data/Desktop</x:v>
      </x:c>
      <x:c r="G40" s="120" t="str">
        <x:v>1</x:v>
      </x:c>
      <x:c r="H40" s="120" t="str">
        <x:v>Open</x:v>
      </x:c>
      <x:c r="I40" s="120" t="str"/>
      <x:c r="J40" s="121" t="str">
        <x:v>Must be measured in technical spikes.</x:v>
      </x:c>
    </x:row>
    <x:row r="41">
      <x:c r="A41" s="113" t="str">
        <x:v>AQ-037</x:v>
      </x:c>
      <x:c r="B41" s="114" t="str">
        <x:v>Security</x:v>
      </x:c>
      <x:c r="C41" s="114" t="str">
        <x:v>Which security certifications or customer assurance frameworks are strategic?</x:v>
      </x:c>
      <x:c r="D41" s="114" t="str">
        <x:v>ISO 27001/SOC 2-style controls may be future requirements.</x:v>
      </x:c>
      <x:c r="E41" s="114" t="str">
        <x:v>Could change SDLC, evidence and vendor choices.</x:v>
      </x:c>
      <x:c r="F41" s="114" t="str">
        <x:v>CISO/CEO</x:v>
      </x:c>
      <x:c r="G41" s="114" t="str">
        <x:v>1</x:v>
      </x:c>
      <x:c r="H41" s="114" t="str">
        <x:v>Open</x:v>
      </x:c>
      <x:c r="I41" s="114" t="str"/>
      <x:c r="J41" s="115" t="str"/>
    </x:row>
    <x:row r="42">
      <x:c r="A42" s="119" t="str">
        <x:v>AQ-038</x:v>
      </x:c>
      <x:c r="B42" s="120" t="str">
        <x:v>Security</x:v>
      </x:c>
      <x:c r="C42" s="120" t="str">
        <x:v>What is the acceptable response when the endpoint agent detects tampering or policy expiry?</x:v>
      </x:c>
      <x:c r="D42" s="120" t="str">
        <x:v>Stop sensitive capture, preserve audit, notify user/admin and recover securely.</x:v>
      </x:c>
      <x:c r="E42" s="120" t="str">
        <x:v>Too permissive risks unlawful collection; too strict may lose work evidence.</x:v>
      </x:c>
      <x:c r="F42" s="120" t="str">
        <x:v>CISO/Desktop/Product</x:v>
      </x:c>
      <x:c r="G42" s="120" t="str">
        <x:v>3</x:v>
      </x:c>
      <x:c r="H42" s="120" t="str">
        <x:v>Open</x:v>
      </x:c>
      <x:c r="I42" s="120" t="str"/>
      <x:c r="J42" s="121" t="str"/>
    </x:row>
    <x:row r="43">
      <x:c r="A43" s="113" t="str">
        <x:v>AQ-039</x:v>
      </x:c>
      <x:c r="B43" s="114" t="str">
        <x:v>Data</x:v>
      </x:c>
      <x:c r="C43" s="114" t="str">
        <x:v>When should a dedicated graph database be introduced?</x:v>
      </x:c>
      <x:c r="D43" s="114" t="str">
        <x:v>Only after Stage 7/8 query benchmarks show PostgreSQL is insufficient.</x:v>
      </x:c>
      <x:c r="E43" s="114" t="str">
        <x:v>Premature adoption adds cost; delayed adoption may limit graph analytics.</x:v>
      </x:c>
      <x:c r="F43" s="114" t="str">
        <x:v>Data Architect</x:v>
      </x:c>
      <x:c r="G43" s="114" t="str">
        <x:v>7/8</x:v>
      </x:c>
      <x:c r="H43" s="114" t="str">
        <x:v>Assumed</x:v>
      </x:c>
      <x:c r="I43" s="114" t="str"/>
      <x:c r="J43" s="115" t="str">
        <x:v>ADR-013.</x:v>
      </x:c>
    </x:row>
    <x:row r="44">
      <x:c r="A44" s="122" t="str">
        <x:v>AQ-040</x:v>
      </x:c>
      <x:c r="B44" s="123" t="str">
        <x:v>Governance</x:v>
      </x:c>
      <x:c r="C44" s="123" t="str">
        <x:v>Who can approve a HumanOS skill/evaluator update that affects employee assessments?</x:v>
      </x:c>
      <x:c r="D44" s="123" t="str">
        <x:v>Named domain expert plus AI governance/security review; high-impact changes require DPO/HR review.</x:v>
      </x:c>
      <x:c r="E44" s="123" t="str">
        <x:v>Weak approval could cause harmful regression.</x:v>
      </x:c>
      <x:c r="F44" s="123" t="str">
        <x:v>AI Platform/HR/DPO</x:v>
      </x:c>
      <x:c r="G44" s="123" t="str">
        <x:v>11</x:v>
      </x:c>
      <x:c r="H44" s="123" t="str">
        <x:v>Open</x:v>
      </x:c>
      <x:c r="I44" s="123" t="str"/>
      <x:c r="J44" s="124" t="str"/>
    </x:row>
  </x:sheetData>
  <x:mergeCells>
    <x:mergeCell ref="A1:J1"/>
    <x:mergeCell ref="A2:J2"/>
  </x:mergeCells>
  <x:dataValidations count="1">
    <x:dataValidation type="list" sqref="H5:H44">
      <x:formula1>"Open,Assumed,Draft decision,Resolved,Deferred"</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32" hidden="0" customWidth="1"/>
    <x:col min="5" max="5" width="12" hidden="0" customWidth="1"/>
    <x:col min="6" max="6" width="12" hidden="0" customWidth="1"/>
    <x:col min="7" max="7" width="12" hidden="0" customWidth="1"/>
    <x:col min="8" max="8" width="54" hidden="0" customWidth="1"/>
    <x:col min="9" max="9" width="12" hidden="0" customWidth="1"/>
    <x:col min="10" max="10" width="12" hidden="0" customWidth="1"/>
    <x:col min="11" max="11" width="12" hidden="0" customWidth="1"/>
    <x:col min="12" max="12" width="24" hidden="0" customWidth="1"/>
    <x:col min="13" max="13" width="38" hidden="0" customWidth="1"/>
    <x:col min="14" max="14" width="18" hidden="0" customWidth="1"/>
  </x:cols>
  <x:sheetData>
    <x:row r="1" ht="30" customHeight="1">
      <x:c r="A1" s="72" t="str">
        <x:v>Foundation Threat Model and Control Register</x:v>
      </x:c>
      <x:c r="B1" s="72"/>
      <x:c r="C1" s="72"/>
      <x:c r="D1" s="72"/>
      <x:c r="E1" s="72"/>
      <x:c r="F1" s="72"/>
      <x:c r="G1" s="72"/>
      <x:c r="H1" s="72"/>
      <x:c r="I1" s="72"/>
      <x:c r="J1" s="72"/>
      <x:c r="K1" s="72"/>
      <x:c r="L1" s="72"/>
      <x:c r="M1" s="72"/>
      <x:c r="N1" s="72"/>
    </x:row>
    <x:row r="2" ht="34" customHeight="1">
      <x:c r="A2" s="76" t="str">
        <x:v>Initial Stage 0–1 threat register. Scores use 1–5 likelihood and impact. Residual scores are provisional until controls are implemented and tested.</x:v>
      </x:c>
      <x:c r="B2" s="76"/>
      <x:c r="C2" s="76"/>
      <x:c r="D2" s="76"/>
      <x:c r="E2" s="76"/>
      <x:c r="F2" s="76"/>
      <x:c r="G2" s="76"/>
      <x:c r="H2" s="76"/>
      <x:c r="I2" s="76"/>
      <x:c r="J2" s="76"/>
      <x:c r="K2" s="76"/>
      <x:c r="L2" s="76"/>
      <x:c r="M2" s="76"/>
      <x:c r="N2" s="76"/>
    </x:row>
    <x:row r="4" ht="28" customHeight="1">
      <x:c r="A4" s="88" t="str">
        <x:v>ID</x:v>
      </x:c>
      <x:c r="B4" s="89" t="str">
        <x:v>Threat category</x:v>
      </x:c>
      <x:c r="C4" s="89" t="str">
        <x:v>Threat scenario</x:v>
      </x:c>
      <x:c r="D4" s="89" t="str">
        <x:v>Affected asset / people</x:v>
      </x:c>
      <x:c r="E4" s="89" t="str">
        <x:v>Inherent likelihood</x:v>
      </x:c>
      <x:c r="F4" s="89" t="str">
        <x:v>Inherent impact</x:v>
      </x:c>
      <x:c r="G4" s="89" t="str">
        <x:v>Inherent score</x:v>
      </x:c>
      <x:c r="H4" s="89" t="str">
        <x:v>Required controls</x:v>
      </x:c>
      <x:c r="I4" s="89" t="str">
        <x:v>Residual likelihood</x:v>
      </x:c>
      <x:c r="J4" s="89" t="str">
        <x:v>Residual impact</x:v>
      </x:c>
      <x:c r="K4" s="89" t="str">
        <x:v>Residual score</x:v>
      </x:c>
      <x:c r="L4" s="89" t="str">
        <x:v>Accountable owner</x:v>
      </x:c>
      <x:c r="M4" s="89" t="str">
        <x:v>Validation / test</x:v>
      </x:c>
      <x:c r="N4" s="90" t="str">
        <x:v>Gate status</x:v>
      </x:c>
    </x:row>
    <x:row r="5">
      <x:c r="A5" s="110" t="str">
        <x:v>THR-001</x:v>
      </x:c>
      <x:c r="B5" s="111" t="str">
        <x:v>Privacy</x:v>
      </x:c>
      <x:c r="C5" s="111" t="str">
        <x:v>Passwords, authentication codes or secrets are captured in keys, text, terminal output or screenshots.</x:v>
      </x:c>
      <x:c r="D5" s="111" t="str">
        <x:v>Employees, source code, credentials, customers</x:v>
      </x:c>
      <x:c r="E5" s="111" t="n">
        <x:v>4</x:v>
      </x:c>
      <x:c r="F5" s="111" t="n">
        <x:v>5</x:v>
      </x:c>
      <x:c r="G5" s="111" t="n">
        <x:f>E5*F5</x:f>
        <x:v>20</x:v>
      </x:c>
      <x:c r="H5" s="111" t="str">
        <x:v>Secure-field blocking; local secret detection/redaction; excluded apps/domains; zero-retention suppression; DLP tests; emergency disable.</x:v>
      </x:c>
      <x:c r="I5" s="111" t="n">
        <x:v>2</x:v>
      </x:c>
      <x:c r="J5" s="111" t="n">
        <x:v>5</x:v>
      </x:c>
      <x:c r="K5" s="111" t="n">
        <x:f>I5*J5</x:f>
        <x:v>10</x:v>
      </x:c>
      <x:c r="L5" s="111" t="str">
        <x:v>CISO/Desktop Lead</x:v>
      </x:c>
      <x:c r="M5" s="111" t="str">
        <x:v>Adversarial secure-field and secret-corpus test; zero known-secret retention.</x:v>
      </x:c>
      <x:c r="N5" s="112" t="str">
        <x:v>Blocking</x:v>
      </x:c>
    </x:row>
    <x:row r="6">
      <x:c r="A6" s="119" t="str">
        <x:v>THR-002</x:v>
      </x:c>
      <x:c r="B6" s="120" t="str">
        <x:v>Privacy</x:v>
      </x:c>
      <x:c r="C6" s="120" t="str">
        <x:v>Homeworking capture includes household, family or personal content.</x:v>
      </x:c>
      <x:c r="D6" s="120" t="str">
        <x:v>Employees and household members</x:v>
      </x:c>
      <x:c r="E6" s="120" t="n">
        <x:v>4</x:v>
      </x:c>
      <x:c r="F6" s="120" t="n">
        <x:v>5</x:v>
      </x:c>
      <x:c r="G6" s="120" t="n">
        <x:f>E6*F6</x:f>
        <x:v>20</x:v>
      </x:c>
      <x:c r="H6" s="120" t="str">
        <x:v>Company-managed devices; defined hours; visible status; private pause; monitor/app exclusions; minimal visual capture; worker notice.</x:v>
      </x:c>
      <x:c r="I6" s="120" t="n">
        <x:v>2</x:v>
      </x:c>
      <x:c r="J6" s="120" t="n">
        <x:v>4</x:v>
      </x:c>
      <x:c r="K6" s="120" t="n">
        <x:f>I6*J6</x:f>
        <x:v>8</x:v>
      </x:c>
      <x:c r="L6" s="120" t="str">
        <x:v>DPO/HR</x:v>
      </x:c>
      <x:c r="M6" s="120" t="str">
        <x:v>Remote-work scenario tests and employee consultation.</x:v>
      </x:c>
      <x:c r="N6" s="121" t="str">
        <x:v>Blocking</x:v>
      </x:c>
    </x:row>
    <x:row r="7">
      <x:c r="A7" s="113" t="str">
        <x:v>THR-003</x:v>
      </x:c>
      <x:c r="B7" s="114" t="str">
        <x:v>Governance</x:v>
      </x:c>
      <x:c r="C7" s="114" t="str">
        <x:v>Capture policy is too broad, vague or used 'just in case'.</x:v>
      </x:c>
      <x:c r="D7" s="114" t="str">
        <x:v>All employees</x:v>
      </x:c>
      <x:c r="E7" s="114" t="n">
        <x:v>4</x:v>
      </x:c>
      <x:c r="F7" s="114" t="n">
        <x:v>5</x:v>
      </x:c>
      <x:c r="G7" s="114" t="n">
        <x:f>E7*F7</x:f>
        <x:v>20</x:v>
      </x:c>
      <x:c r="H7" s="114" t="str">
        <x:v>Purpose Policy Matrix; policy versioning; task/session scope; DPO approval; periodic review; policy-as-code.</x:v>
      </x:c>
      <x:c r="I7" s="114" t="n">
        <x:v>1</x:v>
      </x:c>
      <x:c r="J7" s="114" t="n">
        <x:v>5</x:v>
      </x:c>
      <x:c r="K7" s="114" t="n">
        <x:f>I7*J7</x:f>
        <x:v>5</x:v>
      </x:c>
      <x:c r="L7" s="114" t="str">
        <x:v>DPO/Product</x:v>
      </x:c>
      <x:c r="M7" s="114" t="str">
        <x:v>Policy review against approved purposes and less-intrusive alternatives.</x:v>
      </x:c>
      <x:c r="N7" s="115" t="str">
        <x:v>Blocking</x:v>
      </x:c>
    </x:row>
    <x:row r="8">
      <x:c r="A8" s="119" t="str">
        <x:v>THR-004</x:v>
      </x:c>
      <x:c r="B8" s="120" t="str">
        <x:v>Governance</x:v>
      </x:c>
      <x:c r="C8" s="120" t="str">
        <x:v>Managers misuse raw evidence for curiosity, live surveillance or unsupported allegations.</x:v>
      </x:c>
      <x:c r="D8" s="120" t="str">
        <x:v>Employees and organisational trust</x:v>
      </x:c>
      <x:c r="E8" s="120" t="n">
        <x:v>4</x:v>
      </x:c>
      <x:c r="F8" s="120" t="n">
        <x:v>5</x:v>
      </x:c>
      <x:c r="G8" s="120" t="n">
        <x:f>E8*F8</x:f>
        <x:v>20</x:v>
      </x:c>
      <x:c r="H8" s="120" t="str">
        <x:v>Summary-first reports; purpose codes; role/task/time limits; approval for raw access; immutable audit; misuse sanctions.</x:v>
      </x:c>
      <x:c r="I8" s="120" t="n">
        <x:v>2</x:v>
      </x:c>
      <x:c r="J8" s="120" t="n">
        <x:v>4</x:v>
      </x:c>
      <x:c r="K8" s="120" t="n">
        <x:f>I8*J8</x:f>
        <x:v>8</x:v>
      </x:c>
      <x:c r="L8" s="120" t="str">
        <x:v>HR/DPO/Security</x:v>
      </x:c>
      <x:c r="M8" s="120" t="str">
        <x:v>Access-control penetration test and audit review exercise.</x:v>
      </x:c>
      <x:c r="N8" s="121" t="str">
        <x:v>Blocking</x:v>
      </x:c>
    </x:row>
    <x:row r="9">
      <x:c r="A9" s="113" t="str">
        <x:v>THR-005</x:v>
      </x:c>
      <x:c r="B9" s="114" t="str">
        <x:v>AI fairness</x:v>
      </x:c>
      <x:c r="C9" s="114" t="str">
        <x:v>Legitimate thinking, reading, meetings or automated waits are classified as idle.</x:v>
      </x:c>
      <x:c r="D9" s="114" t="str">
        <x:v>Employees, performance records</x:v>
      </x:c>
      <x:c r="E9" s="114" t="n">
        <x:v>4</x:v>
      </x:c>
      <x:c r="F9" s="114" t="n">
        <x:v>4</x:v>
      </x:c>
      <x:c r="G9" s="114" t="n">
        <x:f>E9*F9</x:f>
        <x:v>16</x:v>
      </x:c>
      <x:c r="H9" s="114" t="str">
        <x:v>Contextual process/meeting signals; employee correction; confidence; alternative explanation; no automatic adverse action.</x:v>
      </x:c>
      <x:c r="I9" s="114" t="n">
        <x:v>2</x:v>
      </x:c>
      <x:c r="J9" s="114" t="n">
        <x:v>3</x:v>
      </x:c>
      <x:c r="K9" s="114" t="n">
        <x:f>I9*J9</x:f>
        <x:v>6</x:v>
      </x:c>
      <x:c r="L9" s="114" t="str">
        <x:v>AI Evaluation Lead</x:v>
      </x:c>
      <x:c r="M9" s="114" t="str">
        <x:v>Pilot false-idle rate by work pattern and accommodation group.</x:v>
      </x:c>
      <x:c r="N9" s="115" t="str">
        <x:v>Pilot metric</x:v>
      </x:c>
    </x:row>
    <x:row r="10">
      <x:c r="A10" s="119" t="str">
        <x:v>THR-006</x:v>
      </x:c>
      <x:c r="B10" s="120" t="str">
        <x:v>AI fairness</x:v>
      </x:c>
      <x:c r="C10" s="120" t="str">
        <x:v>Supportive research or another assigned task is classified as off-task.</x:v>
      </x:c>
      <x:c r="D10" s="120" t="str">
        <x:v>Employees and task reports</x:v>
      </x:c>
      <x:c r="E10" s="120" t="n">
        <x:v>4</x:v>
      </x:c>
      <x:c r="F10" s="120" t="n">
        <x:v>4</x:v>
      </x:c>
      <x:c r="G10" s="120" t="n">
        <x:f>E10*F10</x:f>
        <x:v>16</x:v>
      </x:c>
      <x:c r="H10" s="120" t="str">
        <x:v>Multiple task context; supporting-task class; employee correction; threshold calibration; human review.</x:v>
      </x:c>
      <x:c r="I10" s="120" t="n">
        <x:v>2</x:v>
      </x:c>
      <x:c r="J10" s="120" t="n">
        <x:v>3</x:v>
      </x:c>
      <x:c r="K10" s="120" t="n">
        <x:f>I10*J10</x:f>
        <x:v>6</x:v>
      </x:c>
      <x:c r="L10" s="120" t="str">
        <x:v>AI/Product</x:v>
      </x:c>
      <x:c r="M10" s="120" t="str">
        <x:v>Labelled task-alignment evaluation with confusion matrix.</x:v>
      </x:c>
      <x:c r="N10" s="121" t="str">
        <x:v>Pilot metric</x:v>
      </x:c>
    </x:row>
    <x:row r="11">
      <x:c r="A11" s="113" t="str">
        <x:v>THR-007</x:v>
      </x:c>
      <x:c r="B11" s="114" t="str">
        <x:v>AI reliability</x:v>
      </x:c>
      <x:c r="C11" s="114" t="str">
        <x:v>Model generates a confident narrative unsupported by evidence.</x:v>
      </x:c>
      <x:c r="D11" s="114" t="str">
        <x:v>Employees, managers, decisions</x:v>
      </x:c>
      <x:c r="E11" s="114" t="n">
        <x:v>4</x:v>
      </x:c>
      <x:c r="F11" s="114" t="n">
        <x:v>5</x:v>
      </x:c>
      <x:c r="G11" s="114" t="n">
        <x:f>E11*F11</x:f>
        <x:v>20</x:v>
      </x:c>
      <x:c r="H11" s="114" t="str">
        <x:v>Evidence citations; fact/inference separation; calibrated confidence; missing-evidence flags; deterministic validators; human review.</x:v>
      </x:c>
      <x:c r="I11" s="114" t="n">
        <x:v>2</x:v>
      </x:c>
      <x:c r="J11" s="114" t="n">
        <x:v>4</x:v>
      </x:c>
      <x:c r="K11" s="114" t="n">
        <x:f>I11*J11</x:f>
        <x:v>8</x:v>
      </x:c>
      <x:c r="L11" s="114" t="str">
        <x:v>AI Architect/DPO</x:v>
      </x:c>
      <x:c r="M11" s="114" t="str">
        <x:v>Hallucination/evidence-grounding evaluation suite.</x:v>
      </x:c>
      <x:c r="N11" s="115" t="str">
        <x:v>Blocking</x:v>
      </x:c>
    </x:row>
    <x:row r="12">
      <x:c r="A12" s="119" t="str">
        <x:v>THR-008</x:v>
      </x:c>
      <x:c r="B12" s="120" t="str">
        <x:v>Capability fairness</x:v>
      </x:c>
      <x:c r="C12" s="120" t="str">
        <x:v>One failed task permanently lowers a capability or implies deception.</x:v>
      </x:c>
      <x:c r="D12" s="120" t="str">
        <x:v>Employees, careers</x:v>
      </x:c>
      <x:c r="E12" s="120" t="n">
        <x:v>4</x:v>
      </x:c>
      <x:c r="F12" s="120" t="n">
        <x:v>5</x:v>
      </x:c>
      <x:c r="G12" s="120" t="n">
        <x:f>E12*F12</x:f>
        <x:v>20</x:v>
      </x:c>
      <x:c r="H12" s="120" t="str">
        <x:v>Multiple evidence requirement; context and task difficulty; contradiction; recency; human review; neutral claim-discrepancy language.</x:v>
      </x:c>
      <x:c r="I12" s="120" t="n">
        <x:v>1</x:v>
      </x:c>
      <x:c r="J12" s="120" t="n">
        <x:v>4</x:v>
      </x:c>
      <x:c r="K12" s="120" t="n">
        <x:f>I12*J12</x:f>
        <x:v>4</x:v>
      </x:c>
      <x:c r="L12" s="120" t="str">
        <x:v>Capability Lead/HR</x:v>
      </x:c>
      <x:c r="M12" s="120" t="str">
        <x:v>Synthetic and pilot cases; reviewer agreement; appeal outcomes.</x:v>
      </x:c>
      <x:c r="N12" s="121" t="str">
        <x:v>Blocking</x:v>
      </x:c>
    </x:row>
    <x:row r="13">
      <x:c r="A13" s="113" t="str">
        <x:v>THR-009</x:v>
      </x:c>
      <x:c r="B13" s="114" t="str">
        <x:v>Capability fairness</x:v>
      </x:c>
      <x:c r="C13" s="114" t="str">
        <x:v>Accessibility accommodations or different valid working styles are treated as poor performance.</x:v>
      </x:c>
      <x:c r="D13" s="114" t="str">
        <x:v>Disabled/neurodivergent employees</x:v>
      </x:c>
      <x:c r="E13" s="114" t="n">
        <x:v>3</x:v>
      </x:c>
      <x:c r="F13" s="114" t="n">
        <x:v>5</x:v>
      </x:c>
      <x:c r="G13" s="114" t="n">
        <x:f>E13*F13</x:f>
        <x:v>15</x:v>
      </x:c>
      <x:c r="H13" s="114" t="str">
        <x:v>Outcome-based criteria; reasonable-adjustment context; worker input; fairness tests; no activity-volume scoring.</x:v>
      </x:c>
      <x:c r="I13" s="114" t="n">
        <x:v>1</x:v>
      </x:c>
      <x:c r="J13" s="114" t="n">
        <x:v>5</x:v>
      </x:c>
      <x:c r="K13" s="114" t="n">
        <x:f>I13*J13</x:f>
        <x:v>5</x:v>
      </x:c>
      <x:c r="L13" s="114" t="str">
        <x:v>HR/DPO/Product</x:v>
      </x:c>
      <x:c r="M13" s="114" t="str">
        <x:v>Accessibility review and subgroup error analysis.</x:v>
      </x:c>
      <x:c r="N13" s="115" t="str">
        <x:v>Blocking</x:v>
      </x:c>
    </x:row>
    <x:row r="14">
      <x:c r="A14" s="119" t="str">
        <x:v>THR-010</x:v>
      </x:c>
      <x:c r="B14" s="120" t="str">
        <x:v>Employment</x:v>
      </x:c>
      <x:c r="C14" s="120" t="str">
        <x:v>Unvalidated pilot outputs influence discipline, dismissal, pay, promotion or probation.</x:v>
      </x:c>
      <x:c r="D14" s="120" t="str">
        <x:v>Pilot participants</x:v>
      </x:c>
      <x:c r="E14" s="120" t="n">
        <x:v>3</x:v>
      </x:c>
      <x:c r="F14" s="120" t="n">
        <x:v>5</x:v>
      </x:c>
      <x:c r="G14" s="120" t="n">
        <x:f>E14*F14</x:f>
        <x:v>15</x:v>
      </x:c>
      <x:c r="H14" s="120" t="str">
        <x:v>Participant terms; HR policy; system label 'pilot/non-consequential'; human review; audit; executive stop authority.</x:v>
      </x:c>
      <x:c r="I14" s="120" t="n">
        <x:v>1</x:v>
      </x:c>
      <x:c r="J14" s="120" t="n">
        <x:v>5</x:v>
      </x:c>
      <x:c r="K14" s="120" t="n">
        <x:f>I14*J14</x:f>
        <x:v>5</x:v>
      </x:c>
      <x:c r="L14" s="120" t="str">
        <x:v>Executive Sponsor/HR</x:v>
      </x:c>
      <x:c r="M14" s="120" t="str">
        <x:v>Decision-audit sampling and manager training test.</x:v>
      </x:c>
      <x:c r="N14" s="121" t="str">
        <x:v>Blocking</x:v>
      </x:c>
    </x:row>
    <x:row r="15">
      <x:c r="A15" s="113" t="str">
        <x:v>THR-011</x:v>
      </x:c>
      <x:c r="B15" s="114" t="str">
        <x:v>Insider threat</x:v>
      </x:c>
      <x:c r="C15" s="114" t="str">
        <x:v>Privileged administrator or reviewer accesses sensitive evidence outside purpose.</x:v>
      </x:c>
      <x:c r="D15" s="114" t="str">
        <x:v>Employees, customers, IP</x:v>
      </x:c>
      <x:c r="E15" s="114" t="n">
        <x:v>3</x:v>
      </x:c>
      <x:c r="F15" s="114" t="n">
        <x:v>5</x:v>
      </x:c>
      <x:c r="G15" s="114" t="n">
        <x:f>E15*F15</x:f>
        <x:v>15</x:v>
      </x:c>
      <x:c r="H15" s="114" t="str">
        <x:v>Separation of duties; just-in-time access; purpose codes; dual approval for sensitive classes; immutable audit; anomaly alerts.</x:v>
      </x:c>
      <x:c r="I15" s="114" t="n">
        <x:v>1</x:v>
      </x:c>
      <x:c r="J15" s="114" t="n">
        <x:v>4</x:v>
      </x:c>
      <x:c r="K15" s="114" t="n">
        <x:f>I15*J15</x:f>
        <x:v>4</x:v>
      </x:c>
      <x:c r="L15" s="114" t="str">
        <x:v>CISO</x:v>
      </x:c>
      <x:c r="M15" s="114" t="str">
        <x:v>Privilege abuse simulation and audit review.</x:v>
      </x:c>
      <x:c r="N15" s="115" t="str">
        <x:v>Blocking</x:v>
      </x:c>
    </x:row>
    <x:row r="16">
      <x:c r="A16" s="119" t="str">
        <x:v>THR-012</x:v>
      </x:c>
      <x:c r="B16" s="120" t="str">
        <x:v>Cloud security</x:v>
      </x:c>
      <x:c r="C16" s="120" t="str">
        <x:v>Central evidence store is breached or misconfigured.</x:v>
      </x:c>
      <x:c r="D16" s="120" t="str">
        <x:v>Screens, text, code, employee data</x:v>
      </x:c>
      <x:c r="E16" s="120" t="n">
        <x:v>3</x:v>
      </x:c>
      <x:c r="F16" s="120" t="n">
        <x:v>5</x:v>
      </x:c>
      <x:c r="G16" s="120" t="n">
        <x:f>E16*F16</x:f>
        <x:v>15</x:v>
      </x:c>
      <x:c r="H16" s="120" t="str">
        <x:v>Regional tenant isolation; encryption; per-tenant keys; object policy; short retention; DLP; monitoring; incident response.</x:v>
      </x:c>
      <x:c r="I16" s="120" t="n">
        <x:v>1</x:v>
      </x:c>
      <x:c r="J16" s="120" t="n">
        <x:v>5</x:v>
      </x:c>
      <x:c r="K16" s="120" t="n">
        <x:f>I16*J16</x:f>
        <x:v>5</x:v>
      </x:c>
      <x:c r="L16" s="120" t="str">
        <x:v>CISO/Platform</x:v>
      </x:c>
      <x:c r="M16" s="120" t="str">
        <x:v>Threat modelling, pen test, configuration audit and recovery test.</x:v>
      </x:c>
      <x:c r="N16" s="121" t="str">
        <x:v>Blocking</x:v>
      </x:c>
    </x:row>
    <x:row r="17">
      <x:c r="A17" s="113" t="str">
        <x:v>THR-013</x:v>
      </x:c>
      <x:c r="B17" s="114" t="str">
        <x:v>Endpoint security</x:v>
      </x:c>
      <x:c r="C17" s="114" t="str">
        <x:v>Agent is compromised, tampered with or used for privilege escalation.</x:v>
      </x:c>
      <x:c r="D17" s="114" t="str">
        <x:v>Device, credentials, evidence integrity</x:v>
      </x:c>
      <x:c r="E17" s="114" t="n">
        <x:v>3</x:v>
      </x:c>
      <x:c r="F17" s="114" t="n">
        <x:v>5</x:v>
      </x:c>
      <x:c r="G17" s="114" t="n">
        <x:f>E17*F17</x:f>
        <x:v>15</x:v>
      </x:c>
      <x:c r="H17" s="114" t="str">
        <x:v>Least privilege; signed binaries; sandboxing; code review; device attestation; tamper evidence; rapid revoke/update.</x:v>
      </x:c>
      <x:c r="I17" s="114" t="n">
        <x:v>1</x:v>
      </x:c>
      <x:c r="J17" s="114" t="n">
        <x:v>4</x:v>
      </x:c>
      <x:c r="K17" s="114" t="n">
        <x:f>I17*J17</x:f>
        <x:v>4</x:v>
      </x:c>
      <x:c r="L17" s="114" t="str">
        <x:v>Desktop Security Lead</x:v>
      </x:c>
      <x:c r="M17" s="114" t="str">
        <x:v>Endpoint penetration test and tamper laboratory.</x:v>
      </x:c>
      <x:c r="N17" s="115" t="str">
        <x:v>Stage 3 gate</x:v>
      </x:c>
    </x:row>
    <x:row r="18">
      <x:c r="A18" s="119" t="str">
        <x:v>THR-014</x:v>
      </x:c>
      <x:c r="B18" s="120" t="str">
        <x:v>Evidence integrity</x:v>
      </x:c>
      <x:c r="C18" s="120" t="str">
        <x:v>Employee, malware or service fabricates, deletes or reorders events.</x:v>
      </x:c>
      <x:c r="D18" s="120" t="str">
        <x:v>Task/provenance reports</x:v>
      </x:c>
      <x:c r="E18" s="120" t="n">
        <x:v>3</x:v>
      </x:c>
      <x:c r="F18" s="120" t="n">
        <x:v>4</x:v>
      </x:c>
      <x:c r="G18" s="120" t="n">
        <x:f>E18*F18</x:f>
        <x:v>12</x:v>
      </x:c>
      <x:c r="H18" s="120" t="str">
        <x:v>Signed batches; device/session sequence; hash chains; idempotency; gap events; authoritative artefact corroboration.</x:v>
      </x:c>
      <x:c r="I18" s="120" t="n">
        <x:v>1</x:v>
      </x:c>
      <x:c r="J18" s="120" t="n">
        <x:v>3</x:v>
      </x:c>
      <x:c r="K18" s="120" t="n">
        <x:f>I18*J18</x:f>
        <x:v>3</x:v>
      </x:c>
      <x:c r="L18" s="120" t="str">
        <x:v>Data/Security</x:v>
      </x:c>
      <x:c r="M18" s="120" t="str">
        <x:v>Replay, deletion, duplicate and spoofed-event tests.</x:v>
      </x:c>
      <x:c r="N18" s="121" t="str">
        <x:v>Stage 4 gate</x:v>
      </x:c>
    </x:row>
    <x:row r="19">
      <x:c r="A19" s="113" t="str">
        <x:v>THR-015</x:v>
      </x:c>
      <x:c r="B19" s="114" t="str">
        <x:v>Supply chain</x:v>
      </x:c>
      <x:c r="C19" s="114" t="str">
        <x:v>Malicious or compromised update reaches endpoint agents.</x:v>
      </x:c>
      <x:c r="D19" s="114" t="str">
        <x:v>All managed devices</x:v>
      </x:c>
      <x:c r="E19" s="114" t="n">
        <x:v>3</x:v>
      </x:c>
      <x:c r="F19" s="114" t="n">
        <x:v>5</x:v>
      </x:c>
      <x:c r="G19" s="114" t="n">
        <x:f>E19*F19</x:f>
        <x:v>15</x:v>
      </x:c>
      <x:c r="H19" s="114" t="str">
        <x:v>Code signing; reproducible/provenance builds; staged rollout; update signatures; rollback; SBOM; dependency scanning.</x:v>
      </x:c>
      <x:c r="I19" s="114" t="n">
        <x:v>1</x:v>
      </x:c>
      <x:c r="J19" s="114" t="n">
        <x:v>5</x:v>
      </x:c>
      <x:c r="K19" s="114" t="n">
        <x:f>I19*J19</x:f>
        <x:v>5</x:v>
      </x:c>
      <x:c r="L19" s="114" t="str">
        <x:v>CISO/Desktop/DevSecOps</x:v>
      </x:c>
      <x:c r="M19" s="114" t="str">
        <x:v>Update attack simulation and signing-key incident exercise.</x:v>
      </x:c>
      <x:c r="N19" s="115" t="str">
        <x:v>Stage 3 gate</x:v>
      </x:c>
    </x:row>
    <x:row r="20">
      <x:c r="A20" s="119" t="str">
        <x:v>THR-016</x:v>
      </x:c>
      <x:c r="B20" s="120" t="str">
        <x:v>Performance</x:v>
      </x:c>
      <x:c r="C20" s="120" t="str">
        <x:v>Capture causes keyboard/mouse latency, high CPU, battery drain or application instability.</x:v>
      </x:c>
      <x:c r="D20" s="120" t="str">
        <x:v>Employees and delivery</x:v>
      </x:c>
      <x:c r="E20" s="120" t="n">
        <x:v>4</x:v>
      </x:c>
      <x:c r="F20" s="120" t="n">
        <x:v>4</x:v>
      </x:c>
      <x:c r="G20" s="120" t="n">
        <x:f>E20*F20</x:f>
        <x:v>16</x:v>
      </x:c>
      <x:c r="H20" s="120" t="str">
        <x:v>Event-driven capture; budgets; native profiling; backpressure; adaptive throttling; kill switch; benchmark matrix.</x:v>
      </x:c>
      <x:c r="I20" s="120" t="n">
        <x:v>2</x:v>
      </x:c>
      <x:c r="J20" s="120" t="n">
        <x:v>3</x:v>
      </x:c>
      <x:c r="K20" s="120" t="n">
        <x:f>I20*J20</x:f>
        <x:v>6</x:v>
      </x:c>
      <x:c r="L20" s="120" t="str">
        <x:v>Desktop/SRE</x:v>
      </x:c>
      <x:c r="M20" s="120" t="str">
        <x:v>Long-duration endpoint performance and application compatibility tests.</x:v>
      </x:c>
      <x:c r="N20" s="121" t="str">
        <x:v>Pilot metric</x:v>
      </x:c>
    </x:row>
    <x:row r="21">
      <x:c r="A21" s="113" t="str">
        <x:v>THR-017</x:v>
      </x:c>
      <x:c r="B21" s="114" t="str">
        <x:v>Reliability</x:v>
      </x:c>
      <x:c r="C21" s="114" t="str">
        <x:v>Offline queue is lost, corrupted or grows without bound.</x:v>
      </x:c>
      <x:c r="D21" s="114" t="str">
        <x:v>Evidence completeness and device storage</x:v>
      </x:c>
      <x:c r="E21" s="114" t="n">
        <x:v>3</x:v>
      </x:c>
      <x:c r="F21" s="114" t="n">
        <x:v>4</x:v>
      </x:c>
      <x:c r="G21" s="114" t="n">
        <x:f>E21*F21</x:f>
        <x:v>12</x:v>
      </x:c>
      <x:c r="H21" s="114" t="str">
        <x:v>Encrypted WAL; checksums; bounded quota; priority retention; safe compaction; health alert; resumable upload.</x:v>
      </x:c>
      <x:c r="I21" s="114" t="n">
        <x:v>1</x:v>
      </x:c>
      <x:c r="J21" s="114" t="n">
        <x:v>3</x:v>
      </x:c>
      <x:c r="K21" s="114" t="n">
        <x:f>I21*J21</x:f>
        <x:v>3</x:v>
      </x:c>
      <x:c r="L21" s="114" t="str">
        <x:v>Desktop/Data</x:v>
      </x:c>
      <x:c r="M21" s="114" t="str">
        <x:v>72-hour offline, crash-recovery and disk-pressure tests.</x:v>
      </x:c>
      <x:c r="N21" s="115" t="str">
        <x:v>Stage 3 gate</x:v>
      </x:c>
    </x:row>
    <x:row r="22">
      <x:c r="A22" s="119" t="str">
        <x:v>THR-018</x:v>
      </x:c>
      <x:c r="B22" s="120" t="str">
        <x:v>Distributed systems</x:v>
      </x:c>
      <x:c r="C22" s="120" t="str">
        <x:v>Duplicate, late or out-of-order events create incorrect timelines and assessments.</x:v>
      </x:c>
      <x:c r="D22" s="120" t="str">
        <x:v>Evidence and AI findings</x:v>
      </x:c>
      <x:c r="E22" s="120" t="n">
        <x:v>4</x:v>
      </x:c>
      <x:c r="F22" s="120" t="n">
        <x:v>4</x:v>
      </x:c>
      <x:c r="G22" s="120" t="n">
        <x:f>E22*F22</x:f>
        <x:v>16</x:v>
      </x:c>
      <x:c r="H22" s="120" t="str">
        <x:v>Idempotency keys; device sequence; event-time/watermarks; late correction; deterministic replay.</x:v>
      </x:c>
      <x:c r="I22" s="120" t="n">
        <x:v>2</x:v>
      </x:c>
      <x:c r="J22" s="120" t="n">
        <x:v>2</x:v>
      </x:c>
      <x:c r="K22" s="120" t="n">
        <x:f>I22*J22</x:f>
        <x:v>4</x:v>
      </x:c>
      <x:c r="L22" s="120" t="str">
        <x:v>Data Architect</x:v>
      </x:c>
      <x:c r="M22" s="120" t="str">
        <x:v>Chaos and replay tests with duplicates/out-of-order batches.</x:v>
      </x:c>
      <x:c r="N22" s="121" t="str">
        <x:v>Stage 4 gate</x:v>
      </x:c>
    </x:row>
    <x:row r="23">
      <x:c r="A23" s="113" t="str">
        <x:v>THR-019</x:v>
      </x:c>
      <x:c r="B23" s="114" t="str">
        <x:v>Legal/data transfer</x:v>
      </x:c>
      <x:c r="C23" s="114" t="str">
        <x:v>Employee evidence crosses borders or processors without valid assessment/contracts.</x:v>
      </x:c>
      <x:c r="D23" s="114" t="str">
        <x:v>Employees and Nessovo compliance</x:v>
      </x:c>
      <x:c r="E23" s="114" t="n">
        <x:v>3</x:v>
      </x:c>
      <x:c r="F23" s="114" t="n">
        <x:v>5</x:v>
      </x:c>
      <x:c r="G23" s="114" t="n">
        <x:f>E23*F23</x:f>
        <x:v>15</x:v>
      </x:c>
      <x:c r="H23" s="114" t="str">
        <x:v>Data-flow map; regional storage/routing; transfer mechanism; processor due diligence; model-provider controls.</x:v>
      </x:c>
      <x:c r="I23" s="114" t="n">
        <x:v>1</x:v>
      </x:c>
      <x:c r="J23" s="114" t="n">
        <x:v>5</x:v>
      </x:c>
      <x:c r="K23" s="114" t="n">
        <x:f>I23*J23</x:f>
        <x:v>5</x:v>
      </x:c>
      <x:c r="L23" s="114" t="str">
        <x:v>DPO/Legal</x:v>
      </x:c>
      <x:c r="M23" s="114" t="str">
        <x:v>Data-flow audit and contract register.</x:v>
      </x:c>
      <x:c r="N23" s="115" t="str">
        <x:v>Blocking</x:v>
      </x:c>
    </x:row>
    <x:row r="24">
      <x:c r="A24" s="119" t="str">
        <x:v>THR-020</x:v>
      </x:c>
      <x:c r="B24" s="120" t="str">
        <x:v>Third-party AI</x:v>
      </x:c>
      <x:c r="C24" s="120" t="str">
        <x:v>Model provider retains, trains on or exposes employee evidence.</x:v>
      </x:c>
      <x:c r="D24" s="120" t="str">
        <x:v>Employees, IP, customers</x:v>
      </x:c>
      <x:c r="E24" s="120" t="n">
        <x:v>3</x:v>
      </x:c>
      <x:c r="F24" s="120" t="n">
        <x:v>5</x:v>
      </x:c>
      <x:c r="G24" s="120" t="n">
        <x:f>E24*F24</x:f>
        <x:v>15</x:v>
      </x:c>
      <x:c r="H24" s="120" t="str">
        <x:v>Approved Model Gateway; no-training/retention terms; regional/private models; minimised prompts; content filters; vendor review.</x:v>
      </x:c>
      <x:c r="I24" s="120" t="n">
        <x:v>1</x:v>
      </x:c>
      <x:c r="J24" s="120" t="n">
        <x:v>5</x:v>
      </x:c>
      <x:c r="K24" s="120" t="n">
        <x:f>I24*J24</x:f>
        <x:v>5</x:v>
      </x:c>
      <x:c r="L24" s="120" t="str">
        <x:v>AI Platform/Legal/CISO</x:v>
      </x:c>
      <x:c r="M24" s="120" t="str">
        <x:v>Provider contract review and technical egress test.</x:v>
      </x:c>
      <x:c r="N24" s="121" t="str">
        <x:v>Blocking</x:v>
      </x:c>
    </x:row>
    <x:row r="25">
      <x:c r="A25" s="113" t="str">
        <x:v>THR-021</x:v>
      </x:c>
      <x:c r="B25" s="114" t="str">
        <x:v>Prompt injection</x:v>
      </x:c>
      <x:c r="C25" s="114" t="str">
        <x:v>Text visible on screen, webpages or repositories manipulates AI evaluators or coaching agents.</x:v>
      </x:c>
      <x:c r="D25" s="114" t="str">
        <x:v>Assessment integrity, data access</x:v>
      </x:c>
      <x:c r="E25" s="114" t="n">
        <x:v>4</x:v>
      </x:c>
      <x:c r="F25" s="114" t="n">
        <x:v>4</x:v>
      </x:c>
      <x:c r="G25" s="114" t="n">
        <x:f>E25*F25</x:f>
        <x:v>16</x:v>
      </x:c>
      <x:c r="H25" s="114" t="str">
        <x:v>Treat observed content as data; tool/capability restrictions; prompt isolation; allowlisted retrieval; output validation; adversarial tests.</x:v>
      </x:c>
      <x:c r="I25" s="114" t="n">
        <x:v>2</x:v>
      </x:c>
      <x:c r="J25" s="114" t="n">
        <x:v>3</x:v>
      </x:c>
      <x:c r="K25" s="114" t="n">
        <x:f>I25*J25</x:f>
        <x:v>6</x:v>
      </x:c>
      <x:c r="L25" s="114" t="str">
        <x:v>AI Security Lead</x:v>
      </x:c>
      <x:c r="M25" s="114" t="str">
        <x:v>Indirect prompt-injection benchmark using captured-screen scenarios.</x:v>
      </x:c>
      <x:c r="N25" s="115" t="str">
        <x:v>Stage 7 gate</x:v>
      </x:c>
    </x:row>
    <x:row r="26">
      <x:c r="A26" s="119" t="str">
        <x:v>THR-022</x:v>
      </x:c>
      <x:c r="B26" s="120" t="str">
        <x:v>Self-improvement</x:v>
      </x:c>
      <x:c r="C26" s="120" t="str">
        <x:v>Skill Forge automatically deploys a harmful or biased prompt/evaluator update.</x:v>
      </x:c>
      <x:c r="D26" s="120" t="str">
        <x:v>Employees and system quality</x:v>
      </x:c>
      <x:c r="E26" s="120" t="n">
        <x:v>3</x:v>
      </x:c>
      <x:c r="F26" s="120" t="n">
        <x:v>5</x:v>
      </x:c>
      <x:c r="G26" s="120" t="n">
        <x:f>E26*F26</x:f>
        <x:v>15</x:v>
      </x:c>
      <x:c r="H26" s="120" t="str">
        <x:v>Proposal-only observation; offline eval; domain/security/DPO review; canary; version pinning; rollback; impact classification.</x:v>
      </x:c>
      <x:c r="I26" s="120" t="n">
        <x:v>1</x:v>
      </x:c>
      <x:c r="J26" s="120" t="n">
        <x:v>4</x:v>
      </x:c>
      <x:c r="K26" s="120" t="n">
        <x:f>I26*J26</x:f>
        <x:v>4</x:v>
      </x:c>
      <x:c r="L26" s="120" t="str">
        <x:v>AI Platform/Governance</x:v>
      </x:c>
      <x:c r="M26" s="120" t="str">
        <x:v>Regression, red-team and rollback tests.</x:v>
      </x:c>
      <x:c r="N26" s="121" t="str">
        <x:v>Stage 11 gate</x:v>
      </x:c>
    </x:row>
    <x:row r="27">
      <x:c r="A27" s="113" t="str">
        <x:v>THR-023</x:v>
      </x:c>
      <x:c r="B27" s="114" t="str">
        <x:v>Confidentiality</x:v>
      </x:c>
      <x:c r="C27" s="114" t="str">
        <x:v>Employee/project details leak into reusable or open-source skills.</x:v>
      </x:c>
      <x:c r="D27" s="114" t="str">
        <x:v>IP, customers, employees</x:v>
      </x:c>
      <x:c r="E27" s="114" t="n">
        <x:v>3</x:v>
      </x:c>
      <x:c r="F27" s="114" t="n">
        <x:v>5</x:v>
      </x:c>
      <x:c r="G27" s="114" t="n">
        <x:f>E27*F27</x:f>
        <x:v>15</x:v>
      </x:c>
      <x:c r="H27" s="114" t="str">
        <x:v>Internal/open-source classification; generalisation; redaction; source linkage; approval; publication scanning.</x:v>
      </x:c>
      <x:c r="I27" s="114" t="n">
        <x:v>1</x:v>
      </x:c>
      <x:c r="J27" s="114" t="n">
        <x:v>4</x:v>
      </x:c>
      <x:c r="K27" s="114" t="n">
        <x:f>I27*J27</x:f>
        <x:v>4</x:v>
      </x:c>
      <x:c r="L27" s="114" t="str">
        <x:v>Skill Forge/Legal</x:v>
      </x:c>
      <x:c r="M27" s="114" t="str">
        <x:v>Confidentiality test corpus and publication review.</x:v>
      </x:c>
      <x:c r="N27" s="115" t="str">
        <x:v>Stage 11 gate</x:v>
      </x:c>
    </x:row>
    <x:row r="28">
      <x:c r="A28" s="119" t="str">
        <x:v>THR-024</x:v>
      </x:c>
      <x:c r="B28" s="120" t="str">
        <x:v>Licensing</x:v>
      </x:c>
      <x:c r="C28" s="120" t="str">
        <x:v>Source-available or OSS code is used beyond licence terms.</x:v>
      </x:c>
      <x:c r="D28" s="120" t="str">
        <x:v>Nessovo IP and commercial product</x:v>
      </x:c>
      <x:c r="E28" s="120" t="n">
        <x:v>3</x:v>
      </x:c>
      <x:c r="F28" s="120" t="n">
        <x:v>4</x:v>
      </x:c>
      <x:c r="G28" s="120" t="n">
        <x:f>E28*F28</x:f>
        <x:v>12</x:v>
      </x:c>
      <x:c r="H28" s="120" t="str">
        <x:v>Licence register; legal approval; SBOM; provenance; clean-room implementation when needed.</x:v>
      </x:c>
      <x:c r="I28" s="120" t="n">
        <x:v>1</x:v>
      </x:c>
      <x:c r="J28" s="120" t="n">
        <x:v>3</x:v>
      </x:c>
      <x:c r="K28" s="120" t="n">
        <x:f>I28*J28</x:f>
        <x:v>3</x:v>
      </x:c>
      <x:c r="L28" s="120" t="str">
        <x:v>Legal/Architecture</x:v>
      </x:c>
      <x:c r="M28" s="120" t="str">
        <x:v>Dependency and source-provenance audit.</x:v>
      </x:c>
      <x:c r="N28" s="121" t="str">
        <x:v>Stage 1 gate</x:v>
      </x:c>
    </x:row>
    <x:row r="29">
      <x:c r="A29" s="113" t="str">
        <x:v>THR-025</x:v>
      </x:c>
      <x:c r="B29" s="114" t="str">
        <x:v>Architecture</x:v>
      </x:c>
      <x:c r="C29" s="114" t="str">
        <x:v>Premature nano-services increase failure modes, latency and operational burden.</x:v>
      </x:c>
      <x:c r="D29" s="114" t="str">
        <x:v>Delivery speed and reliability</x:v>
      </x:c>
      <x:c r="E29" s="114" t="n">
        <x:v>4</x:v>
      </x:c>
      <x:c r="F29" s="114" t="n">
        <x:v>3</x:v>
      </x:c>
      <x:c r="G29" s="114" t="n">
        <x:f>E29*F29</x:f>
        <x:v>12</x:v>
      </x:c>
      <x:c r="H29" s="114" t="str">
        <x:v>Bounded contexts; approximately eight initial deployables; split triggers; architecture board review.</x:v>
      </x:c>
      <x:c r="I29" s="114" t="n">
        <x:v>2</x:v>
      </x:c>
      <x:c r="J29" s="114" t="n">
        <x:v>2</x:v>
      </x:c>
      <x:c r="K29" s="114" t="n">
        <x:f>I29*J29</x:f>
        <x:v>4</x:v>
      </x:c>
      <x:c r="L29" s="114" t="str">
        <x:v>Enterprise Architect</x:v>
      </x:c>
      <x:c r="M29" s="114" t="str">
        <x:v>Deployment dependency and change-coupling review.</x:v>
      </x:c>
      <x:c r="N29" s="115" t="str">
        <x:v>Stage 1 gate</x:v>
      </x:c>
    </x:row>
    <x:row r="30">
      <x:c r="A30" s="119" t="str">
        <x:v>THR-026</x:v>
      </x:c>
      <x:c r="B30" s="120" t="str">
        <x:v>Economics</x:v>
      </x:c>
      <x:c r="C30" s="120" t="str">
        <x:v>Screenshot, event, embedding and model costs scale beyond the product value.</x:v>
      </x:c>
      <x:c r="D30" s="120" t="str">
        <x:v>Business viability</x:v>
      </x:c>
      <x:c r="E30" s="120" t="n">
        <x:v>4</x:v>
      </x:c>
      <x:c r="F30" s="120" t="n">
        <x:v>4</x:v>
      </x:c>
      <x:c r="G30" s="120" t="n">
        <x:f>E30*F30</x:f>
        <x:v>16</x:v>
      </x:c>
      <x:c r="H30" s="120" t="str">
        <x:v>Event-driven capture; dedup; tiered retention; edge summaries; sampling; low/base/high model; budgets/quotas.</x:v>
      </x:c>
      <x:c r="I30" s="120" t="n">
        <x:v>2</x:v>
      </x:c>
      <x:c r="J30" s="120" t="n">
        <x:v>3</x:v>
      </x:c>
      <x:c r="K30" s="120" t="n">
        <x:f>I30*J30</x:f>
        <x:v>6</x:v>
      </x:c>
      <x:c r="L30" s="120" t="str">
        <x:v>FinOps/Product/Data</x:v>
      </x:c>
      <x:c r="M30" s="120" t="str">
        <x:v>Pilot cost per employee/task and scale sensitivity.</x:v>
      </x:c>
      <x:c r="N30" s="121" t="str">
        <x:v>Stage 1/pilot</x:v>
      </x:c>
    </x:row>
    <x:row r="31">
      <x:c r="A31" s="113" t="str">
        <x:v>THR-027</x:v>
      </x:c>
      <x:c r="B31" s="114" t="str">
        <x:v>Trust</x:v>
      </x:c>
      <x:c r="C31" s="114" t="str">
        <x:v>Employees perceive the product as punitive surveillance and withhold honest feedback or leave.</x:v>
      </x:c>
      <x:c r="D31" s="114" t="str">
        <x:v>Adoption, culture and data quality</x:v>
      </x:c>
      <x:c r="E31" s="114" t="n">
        <x:v>4</x:v>
      </x:c>
      <x:c r="F31" s="114" t="n">
        <x:v>5</x:v>
      </x:c>
      <x:c r="G31" s="114" t="n">
        <x:f>E31*F31</x:f>
        <x:v>20</x:v>
      </x:c>
      <x:c r="H31" s="114" t="str">
        <x:v>Employee value; consultation; transparent evidence; correction; coaching; no pilot adverse action; manager training.</x:v>
      </x:c>
      <x:c r="I31" s="114" t="n">
        <x:v>2</x:v>
      </x:c>
      <x:c r="J31" s="114" t="n">
        <x:v>4</x:v>
      </x:c>
      <x:c r="K31" s="114" t="n">
        <x:f>I31*J31</x:f>
        <x:v>8</x:v>
      </x:c>
      <x:c r="L31" s="114" t="str">
        <x:v>HR/Product/Executive Sponsor</x:v>
      </x:c>
      <x:c r="M31" s="114" t="str">
        <x:v>Pre/post trust survey, interviews and dispute analysis.</x:v>
      </x:c>
      <x:c r="N31" s="115" t="str">
        <x:v>Pilot metric</x:v>
      </x:c>
    </x:row>
    <x:row r="32">
      <x:c r="A32" s="119" t="str">
        <x:v>THR-028</x:v>
      </x:c>
      <x:c r="B32" s="120" t="str">
        <x:v>Gaming</x:v>
      </x:c>
      <x:c r="C32" s="120" t="str">
        <x:v>Employees optimise visible activity or route work through unmonitored devices/tools.</x:v>
      </x:c>
      <x:c r="D32" s="120" t="str">
        <x:v>Evidence validity and culture</x:v>
      </x:c>
      <x:c r="E32" s="120" t="n">
        <x:v>3</x:v>
      </x:c>
      <x:c r="F32" s="120" t="n">
        <x:v>4</x:v>
      </x:c>
      <x:c r="G32" s="120" t="n">
        <x:f>E32*F32</x:f>
        <x:v>12</x:v>
      </x:c>
      <x:c r="H32" s="120" t="str">
        <x:v>Outcome-based assessment; clear policy; legitimate workflows; employee benefit; evidence triangulation; no activity scores.</x:v>
      </x:c>
      <x:c r="I32" s="120" t="n">
        <x:v>2</x:v>
      </x:c>
      <x:c r="J32" s="120" t="n">
        <x:v>3</x:v>
      </x:c>
      <x:c r="K32" s="120" t="n">
        <x:f>I32*J32</x:f>
        <x:v>6</x:v>
      </x:c>
      <x:c r="L32" s="120" t="str">
        <x:v>Product/HR</x:v>
      </x:c>
      <x:c r="M32" s="120" t="str">
        <x:v>Pilot anomaly review without punitive assumptions.</x:v>
      </x:c>
      <x:c r="N32" s="121" t="str">
        <x:v>Pilot metric</x:v>
      </x:c>
    </x:row>
    <x:row r="33">
      <x:c r="A33" s="113" t="str">
        <x:v>THR-029</x:v>
      </x:c>
      <x:c r="B33" s="114" t="str">
        <x:v>Management quality</x:v>
      </x:c>
      <x:c r="C33" s="114" t="str">
        <x:v>System flags employee gaps when the real cause is poor requirements, access, workload or management.</x:v>
      </x:c>
      <x:c r="D33" s="114" t="str">
        <x:v>Employees and organisational decisions</x:v>
      </x:c>
      <x:c r="E33" s="114" t="n">
        <x:v>4</x:v>
      </x:c>
      <x:c r="F33" s="114" t="n">
        <x:v>5</x:v>
      </x:c>
      <x:c r="G33" s="114" t="n">
        <x:f>E33*F33</x:f>
        <x:v>20</x:v>
      </x:c>
      <x:c r="H33" s="114" t="str">
        <x:v>Task contract quality; blocker classes; environment and manager context; team-level process analysis; employee response.</x:v>
      </x:c>
      <x:c r="I33" s="114" t="n">
        <x:v>2</x:v>
      </x:c>
      <x:c r="J33" s="114" t="n">
        <x:v>3</x:v>
      </x:c>
      <x:c r="K33" s="114" t="n">
        <x:f>I33*J33</x:f>
        <x:v>6</x:v>
      </x:c>
      <x:c r="L33" s="114" t="str">
        <x:v>Product/HR/Operations</x:v>
      </x:c>
      <x:c r="M33" s="114" t="str">
        <x:v>Root-cause review and manager/employee agreement metrics.</x:v>
      </x:c>
      <x:c r="N33" s="115" t="str">
        <x:v>Stage 7/8</x:v>
      </x:c>
    </x:row>
    <x:row r="34">
      <x:c r="A34" s="122" t="str">
        <x:v>THR-030</x:v>
      </x:c>
      <x:c r="B34" s="123" t="str">
        <x:v>Scope</x:v>
      </x:c>
      <x:c r="C34" s="123" t="str">
        <x:v>Platform tries to support every HumanOS vertical before proving the core.</x:v>
      </x:c>
      <x:c r="D34" s="123" t="str">
        <x:v>Programme cost and quality</x:v>
      </x:c>
      <x:c r="E34" s="123" t="n">
        <x:v>4</x:v>
      </x:c>
      <x:c r="F34" s="123" t="n">
        <x:v>4</x:v>
      </x:c>
      <x:c r="G34" s="123" t="n">
        <x:f>E34*F34</x:f>
        <x:v>16</x:v>
      </x:c>
      <x:c r="H34" s="123" t="str">
        <x:v>Initial software-development vertical; domain-neutral ontology; explicit expansion gates.</x:v>
      </x:c>
      <x:c r="I34" s="123" t="n">
        <x:v>1</x:v>
      </x:c>
      <x:c r="J34" s="123" t="n">
        <x:v>3</x:v>
      </x:c>
      <x:c r="K34" s="123" t="n">
        <x:f>I34*J34</x:f>
        <x:v>3</x:v>
      </x:c>
      <x:c r="L34" s="123" t="str">
        <x:v>CEO/Product/CTO</x:v>
      </x:c>
      <x:c r="M34" s="123" t="str">
        <x:v>Pilot outcome and next-vertical business case.</x:v>
      </x:c>
      <x:c r="N34" s="124" t="str">
        <x:v>Programme gate</x:v>
      </x:c>
    </x:row>
  </x:sheetData>
  <x:mergeCells>
    <x:mergeCell ref="A1:N1"/>
    <x:mergeCell ref="A2:N2"/>
  </x:mergeCells>
  <x:conditionalFormatting sqref="G5:G34">
    <x:cfRule type="colorScale" priority="1">
      <x:colorScale>
        <x:cfvo type="min"/>
        <x:cfvo type="percentile" val="50"/>
        <x:cfvo type="max"/>
        <x:color rgb="FFE2F0D9"/>
        <x:color rgb="FFFFF2CC"/>
        <x:color rgb="FFFCE4D6"/>
      </x:colorScale>
    </x:cfRule>
  </x:conditionalFormatting>
  <x:conditionalFormatting sqref="K5:K34">
    <x:cfRule type="colorScale" priority="2">
      <x:colorScale>
        <x:cfvo type="min"/>
        <x:cfvo type="percentile" val="50"/>
        <x:cfvo type="max"/>
        <x:color rgb="FFE2F0D9"/>
        <x:color rgb="FFFFF2CC"/>
        <x:color rgb="FFFCE4D6"/>
      </x:colorScale>
    </x:cfRule>
  </x:conditionalFormatting>
  <x:dataValidations count="4">
    <x:dataValidation operator="between" sqref="E5:E34">
      <x:formula1>1</x:formula1>
      <x:formula2>5</x:formula2>
    </x:dataValidation>
    <x:dataValidation operator="between" sqref="F5:F34">
      <x:formula1>1</x:formula1>
      <x:formula2>5</x:formula2>
    </x:dataValidation>
    <x:dataValidation operator="between" sqref="I5:I34">
      <x:formula1>1</x:formula1>
      <x:formula2>5</x:formula2>
    </x:dataValidation>
    <x:dataValidation operator="between" sqref="J5:J34">
      <x:formula1>1</x:formula1>
      <x:formula2>5</x:formula2>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 hidden="0" customWidth="1"/>
    <x:col min="2" max="2" width="24" hidden="0" customWidth="1"/>
    <x:col min="3" max="3" width="54" hidden="0" customWidth="1"/>
    <x:col min="4" max="4" width="42" hidden="0" customWidth="1"/>
    <x:col min="5" max="5" width="24" hidden="0" customWidth="1"/>
    <x:col min="6" max="6" width="34" hidden="0" customWidth="1"/>
    <x:col min="7" max="7" width="18" hidden="0" customWidth="1"/>
    <x:col min="8" max="8" width="34" hidden="0" customWidth="1"/>
  </x:cols>
  <x:sheetData>
    <x:row r="1" ht="30" customHeight="1">
      <x:c r="A1" s="72" t="str">
        <x:v>Internal Pilot Definition — Foundation Draft</x:v>
      </x:c>
      <x:c r="B1" s="72"/>
      <x:c r="C1" s="72"/>
      <x:c r="D1" s="72"/>
      <x:c r="E1" s="72"/>
      <x:c r="F1" s="72"/>
      <x:c r="G1" s="72"/>
      <x:c r="H1" s="72"/>
    </x:row>
    <x:row r="2" ht="34" customHeight="1">
      <x:c r="A2" s="76" t="str">
        <x:v>Controlled Nessovo pilot for AI-assisted software-development work. All targets are initial hypotheses until owners, legal reviewers and employee representatives approve them.</x:v>
      </x:c>
      <x:c r="B2" s="76"/>
      <x:c r="C2" s="76"/>
      <x:c r="D2" s="76"/>
      <x:c r="E2" s="76"/>
      <x:c r="F2" s="76"/>
      <x:c r="G2" s="76"/>
      <x:c r="H2" s="76"/>
    </x:row>
    <x:row r="4" ht="28" customHeight="1">
      <x:c r="A4" s="88" t="str">
        <x:v>ID</x:v>
      </x:c>
      <x:c r="B4" s="89" t="str">
        <x:v>Pilot element</x:v>
      </x:c>
      <x:c r="C4" s="89" t="str">
        <x:v>Draft definition / rule</x:v>
      </x:c>
      <x:c r="D4" s="89" t="str">
        <x:v>Rationale</x:v>
      </x:c>
      <x:c r="E4" s="89" t="str">
        <x:v>Accountable owner</x:v>
      </x:c>
      <x:c r="F4" s="89" t="str">
        <x:v>Evidence / metric</x:v>
      </x:c>
      <x:c r="G4" s="89" t="str">
        <x:v>Status</x:v>
      </x:c>
      <x:c r="H4" s="90" t="str">
        <x:v>Approval / note</x:v>
      </x:c>
    </x:row>
    <x:row r="5">
      <x:c r="A5" s="110" t="str">
        <x:v>PIL-001</x:v>
      </x:c>
      <x:c r="B5" s="111" t="str">
        <x:v>Pilot purpose</x:v>
      </x:c>
      <x:c r="C5" s="111" t="str">
        <x:v>Validate technical capture, task/provenance accuracy, employee benefit, manager usefulness, privacy controls and endpoint feasibility.</x:v>
      </x:c>
      <x:c r="D5" s="111" t="str">
        <x:v>The pilot is a product and governance evaluation, not a disciplinary programme.</x:v>
      </x:c>
      <x:c r="E5" s="111" t="str">
        <x:v>Executive Sponsor/Product</x:v>
      </x:c>
      <x:c r="F5" s="111" t="str">
        <x:v>Approved pilot protocol.</x:v>
      </x:c>
      <x:c r="G5" s="111" t="str">
        <x:v>Draft Complete</x:v>
      </x:c>
      <x:c r="H5" s="112" t="str"/>
    </x:row>
    <x:row r="6">
      <x:c r="A6" s="119" t="str">
        <x:v>PIL-002</x:v>
      </x:c>
      <x:c r="B6" s="120" t="str">
        <x:v>Pilot vertical</x:v>
      </x:c>
      <x:c r="C6" s="120" t="str">
        <x:v>AI-assisted software engineering, QA and platform/DevOps work.</x:v>
      </x:c>
      <x:c r="D6" s="120" t="str">
        <x:v>Git, tests, builds, reviews and agent hooks provide comparatively objective evidence.</x:v>
      </x:c>
      <x:c r="E6" s="120" t="str">
        <x:v>CTO/Product</x:v>
      </x:c>
      <x:c r="F6" s="120" t="str">
        <x:v>Selected teams and role list.</x:v>
      </x:c>
      <x:c r="G6" s="120" t="str">
        <x:v>Draft Complete</x:v>
      </x:c>
      <x:c r="H6" s="121" t="str"/>
    </x:row>
    <x:row r="7">
      <x:c r="A7" s="113" t="str">
        <x:v>PIL-003</x:v>
      </x:c>
      <x:c r="B7" s="114" t="str">
        <x:v>Participant range</x:v>
      </x:c>
      <x:c r="C7" s="114" t="str">
        <x:v>Planning assumption: 10–30 employees across one or two technical teams.</x:v>
      </x:c>
      <x:c r="D7" s="114" t="str">
        <x:v>Enough variety for workflow and trust learning while keeping support manageable.</x:v>
      </x:c>
      <x:c r="E7" s="114" t="str">
        <x:v>HR/Product</x:v>
      </x:c>
      <x:c r="F7" s="114" t="str">
        <x:v>Final participant roster.</x:v>
      </x:c>
      <x:c r="G7" s="114" t="str">
        <x:v>Owner Input</x:v>
      </x:c>
      <x:c r="H7" s="115" t="str">
        <x:v>Confirm through consultation and capacity.</x:v>
      </x:c>
    </x:row>
    <x:row r="8">
      <x:c r="A8" s="119" t="str">
        <x:v>PIL-004</x:v>
      </x:c>
      <x:c r="B8" s="120" t="str">
        <x:v>Participant selection</x:v>
      </x:c>
      <x:c r="C8" s="120" t="str">
        <x:v>Use an appropriately consulted and protected cohort; document voluntariness/selection logic and bias.</x:v>
      </x:c>
      <x:c r="D8" s="120" t="str">
        <x:v>Selection method affects trust and evaluation validity.</x:v>
      </x:c>
      <x:c r="E8" s="120" t="str">
        <x:v>HR/DPO</x:v>
      </x:c>
      <x:c r="F8" s="120" t="str">
        <x:v>Selection and consultation record.</x:v>
      </x:c>
      <x:c r="G8" s="120" t="str">
        <x:v>Draft Complete</x:v>
      </x:c>
      <x:c r="H8" s="121" t="str"/>
    </x:row>
    <x:row r="9">
      <x:c r="A9" s="113" t="str">
        <x:v>PIL-005</x:v>
      </x:c>
      <x:c r="B9" s="114" t="str">
        <x:v>Locations</x:v>
      </x:c>
      <x:c r="C9" s="114" t="str">
        <x:v>UK and Lahore participation only after separate jurisdiction-specific legal approval; otherwise restrict pilot to the approved location.</x:v>
      </x:c>
      <x:c r="D9" s="114" t="str">
        <x:v>Legal and cross-border conditions differ.</x:v>
      </x:c>
      <x:c r="E9" s="114" t="str">
        <x:v>Legal/DPO</x:v>
      </x:c>
      <x:c r="F9" s="114" t="str">
        <x:v>UK and Pakistan legal memoranda.</x:v>
      </x:c>
      <x:c r="G9" s="114" t="str">
        <x:v>Owner Input</x:v>
      </x:c>
      <x:c r="H9" s="115" t="str">
        <x:v>Blocking for each jurisdiction.</x:v>
      </x:c>
    </x:row>
    <x:row r="10">
      <x:c r="A10" s="119" t="str">
        <x:v>PIL-006</x:v>
      </x:c>
      <x:c r="B10" s="120" t="str">
        <x:v>Devices</x:v>
      </x:c>
      <x:c r="C10" s="120" t="str">
        <x:v>Company-managed Windows 11 and recent macOS devices; no BYOD; Linux deferred.</x:v>
      </x:c>
      <x:c r="D10" s="120" t="str">
        <x:v>Limits permissions, privacy and support uncertainty.</x:v>
      </x:c>
      <x:c r="E10" s="120" t="str">
        <x:v>IT/Desktop</x:v>
      </x:c>
      <x:c r="F10" s="120" t="str">
        <x:v>Device inventory and MDM readiness.</x:v>
      </x:c>
      <x:c r="G10" s="120" t="str">
        <x:v>Draft Complete</x:v>
      </x:c>
      <x:c r="H10" s="121" t="str"/>
    </x:row>
    <x:row r="11">
      <x:c r="A11" s="113" t="str">
        <x:v>PIL-007</x:v>
      </x:c>
      <x:c r="B11" s="114" t="str">
        <x:v>Duration</x:v>
      </x:c>
      <x:c r="C11" s="114" t="str">
        <x:v>Technical dry run 2–4 weeks followed by controlled work pilot 6–8 weeks.</x:v>
      </x:c>
      <x:c r="D11" s="114" t="str">
        <x:v>Separates system defects from employee-facing evaluation.</x:v>
      </x:c>
      <x:c r="E11" s="114" t="str">
        <x:v>Programme Lead</x:v>
      </x:c>
      <x:c r="F11" s="114" t="str">
        <x:v>Approved schedule.</x:v>
      </x:c>
      <x:c r="G11" s="114" t="str">
        <x:v>Draft Complete</x:v>
      </x:c>
      <x:c r="H11" s="115" t="str">
        <x:v>Duration may change after Stage 3–7.</x:v>
      </x:c>
    </x:row>
    <x:row r="12">
      <x:c r="A12" s="119" t="str">
        <x:v>PIL-008</x:v>
      </x:c>
      <x:c r="B12" s="120" t="str">
        <x:v>Working hours</x:v>
      </x:c>
      <x:c r="C12" s="120" t="str">
        <x:v>Capture only within approved work-session/task-session states and policy hours.</x:v>
      </x:c>
      <x:c r="D12" s="120" t="str">
        <x:v>Prevents continuous out-of-hours monitoring.</x:v>
      </x:c>
      <x:c r="E12" s="120" t="str">
        <x:v>HR/DPO/Product</x:v>
      </x:c>
      <x:c r="F12" s="120" t="str">
        <x:v>Session-state audit and worker notice.</x:v>
      </x:c>
      <x:c r="G12" s="120" t="str">
        <x:v>Draft Complete</x:v>
      </x:c>
      <x:c r="H12" s="121" t="str"/>
    </x:row>
    <x:row r="13">
      <x:c r="A13" s="113" t="str">
        <x:v>PIL-009</x:v>
      </x:c>
      <x:c r="B13" s="114" t="str">
        <x:v>Visible status</x:v>
      </x:c>
      <x:c r="C13" s="114" t="str">
        <x:v>Persistent tray/menu status, current task, sensors active, last upload and pause/stop controls.</x:v>
      </x:c>
      <x:c r="D13" s="114" t="str">
        <x:v>Employees must understand when and what is active.</x:v>
      </x:c>
      <x:c r="E13" s="114" t="str">
        <x:v>Desktop/Product</x:v>
      </x:c>
      <x:c r="F13" s="114" t="str">
        <x:v>UX test and screenshots.</x:v>
      </x:c>
      <x:c r="G13" s="114" t="str">
        <x:v>Draft Complete</x:v>
      </x:c>
      <x:c r="H13" s="115" t="str">
        <x:v>Stage 3 blocking control.</x:v>
      </x:c>
    </x:row>
    <x:row r="14">
      <x:c r="A14" s="119" t="str">
        <x:v>PIL-010</x:v>
      </x:c>
      <x:c r="B14" s="120" t="str">
        <x:v>Task scope</x:v>
      </x:c>
      <x:c r="C14" s="120" t="str">
        <x:v>Only approved project tasks with a Task Execution Contract are used for task assurance.</x:v>
      </x:c>
      <x:c r="D14" s="120" t="str">
        <x:v>Prevents arbitrary evaluation without agreed criteria.</x:v>
      </x:c>
      <x:c r="E14" s="120" t="str">
        <x:v>Product/Engineering Leads</x:v>
      </x:c>
      <x:c r="F14" s="120" t="str">
        <x:v>Task contract register.</x:v>
      </x:c>
      <x:c r="G14" s="120" t="str">
        <x:v>Draft Complete</x:v>
      </x:c>
      <x:c r="H14" s="121" t="str">
        <x:v>Stage 2 dependency.</x:v>
      </x:c>
    </x:row>
    <x:row r="15">
      <x:c r="A15" s="113" t="str">
        <x:v>PIL-011</x:v>
      </x:c>
      <x:c r="B15" s="114" t="str">
        <x:v>Excluded work</x:v>
      </x:c>
      <x:c r="C15" s="114" t="str">
        <x:v>Personal activity, HR/medical/legal conversations, authentication, banking, personal email/messages and specifically excluded applications/domains.</x:v>
      </x:c>
      <x:c r="D15" s="114" t="str">
        <x:v>High sensitivity and not necessary for pilot purpose.</x:v>
      </x:c>
      <x:c r="E15" s="114" t="str">
        <x:v>DPO/HR/Security</x:v>
      </x:c>
      <x:c r="F15" s="114" t="str">
        <x:v>Exclusion policy and tests.</x:v>
      </x:c>
      <x:c r="G15" s="114" t="str">
        <x:v>Draft Complete</x:v>
      </x:c>
      <x:c r="H15" s="115" t="str"/>
    </x:row>
    <x:row r="16">
      <x:c r="A16" s="119" t="str">
        <x:v>PIL-012</x:v>
      </x:c>
      <x:c r="B16" s="120" t="str">
        <x:v>Audio</x:v>
      </x:c>
      <x:c r="C16" s="120" t="str">
        <x:v>No microphone or system-audio recording.</x:v>
      </x:c>
      <x:c r="D16" s="120" t="str">
        <x:v>Not required for initial vertical and materially increases intrusion.</x:v>
      </x:c>
      <x:c r="E16" s="120" t="str">
        <x:v>DPO/Product</x:v>
      </x:c>
      <x:c r="F16" s="120" t="str">
        <x:v>Agent capability disabled and audited.</x:v>
      </x:c>
      <x:c r="G16" s="120" t="str">
        <x:v>Draft Complete</x:v>
      </x:c>
      <x:c r="H16" s="121" t="str"/>
    </x:row>
    <x:row r="17">
      <x:c r="A17" s="113" t="str">
        <x:v>PIL-013</x:v>
      </x:c>
      <x:c r="B17" s="114" t="str">
        <x:v>Visual capture</x:v>
      </x:c>
      <x:c r="C17" s="114" t="str">
        <x:v>Event-driven screenshots/changed regions only; no default continuous manager live view.</x:v>
      </x:c>
      <x:c r="D17" s="114" t="str">
        <x:v>Supports evidence while reducing volume and intrusion.</x:v>
      </x:c>
      <x:c r="E17" s="114" t="str">
        <x:v>Desktop/DPO</x:v>
      </x:c>
      <x:c r="F17" s="114" t="str">
        <x:v>Capture-rate, dedup and access tests.</x:v>
      </x:c>
      <x:c r="G17" s="114" t="str">
        <x:v>Draft Complete</x:v>
      </x:c>
      <x:c r="H17" s="115" t="str"/>
    </x:row>
    <x:row r="18">
      <x:c r="A18" s="119" t="str">
        <x:v>PIL-014</x:v>
      </x:c>
      <x:c r="B18" s="120" t="str">
        <x:v>Keyboard capture</x:v>
      </x:c>
      <x:c r="C18" s="120" t="str">
        <x:v>Metadata and approved-control text deltas; raw key values narrowly scoped and never from secure/excluded controls.</x:v>
      </x:c>
      <x:c r="D18" s="120" t="str">
        <x:v>Exact work reconstruction requires provenance but unrestricted keylogging is unacceptable.</x:v>
      </x:c>
      <x:c r="E18" s="120" t="str">
        <x:v>DPO/Desktop/Security</x:v>
      </x:c>
      <x:c r="F18" s="120" t="str">
        <x:v>Secure-field and text-reconciliation evaluation.</x:v>
      </x:c>
      <x:c r="G18" s="120" t="str">
        <x:v>Draft Complete</x:v>
      </x:c>
      <x:c r="H18" s="121" t="str">
        <x:v>DPIA approval required.</x:v>
      </x:c>
    </x:row>
    <x:row r="19">
      <x:c r="A19" s="113" t="str">
        <x:v>PIL-015</x:v>
      </x:c>
      <x:c r="B19" s="114" t="str">
        <x:v>Manager experience</x:v>
      </x:c>
      <x:c r="C19" s="114" t="str">
        <x:v>Exception-led task outcome, quality, blocker and support report; raw evidence drill-down requires purpose and scope.</x:v>
      </x:c>
      <x:c r="D19" s="114" t="str">
        <x:v>Managers need usable information, not surveillance firehose.</x:v>
      </x:c>
      <x:c r="E19" s="114" t="str">
        <x:v>Product/HR</x:v>
      </x:c>
      <x:c r="F19" s="114" t="str">
        <x:v>Manager usability study and access logs.</x:v>
      </x:c>
      <x:c r="G19" s="114" t="str">
        <x:v>Draft Complete</x:v>
      </x:c>
      <x:c r="H19" s="115" t="str"/>
    </x:row>
    <x:row r="20">
      <x:c r="A20" s="119" t="str">
        <x:v>PIL-016</x:v>
      </x:c>
      <x:c r="B20" s="120" t="str">
        <x:v>Employee experience</x:v>
      </x:c>
      <x:c r="C20" s="120" t="str">
        <x:v>Own timeline, task alignment, evidence, coaching, capability observations, corrections and dispute access.</x:v>
      </x:c>
      <x:c r="D20" s="120" t="str">
        <x:v>Employee agency improves fairness and data quality.</x:v>
      </x:c>
      <x:c r="E20" s="120" t="str">
        <x:v>Product/HR/DPO</x:v>
      </x:c>
      <x:c r="F20" s="120" t="str">
        <x:v>Employee UX study and correction workflow.</x:v>
      </x:c>
      <x:c r="G20" s="120" t="str">
        <x:v>Draft Complete</x:v>
      </x:c>
      <x:c r="H20" s="121" t="str"/>
    </x:row>
    <x:row r="21">
      <x:c r="A21" s="113" t="str">
        <x:v>PIL-017</x:v>
      </x:c>
      <x:c r="B21" s="114" t="str">
        <x:v>Human review</x:v>
      </x:c>
      <x:c r="C21" s="114" t="str">
        <x:v>Material negative findings and all capability changes require qualified human review during pilot.</x:v>
      </x:c>
      <x:c r="D21" s="114" t="str">
        <x:v>Models and policies are not yet validated for high-impact use.</x:v>
      </x:c>
      <x:c r="E21" s="114" t="str">
        <x:v>HR/Domain Reviewers</x:v>
      </x:c>
      <x:c r="F21" s="114" t="str">
        <x:v>Review record and override rate.</x:v>
      </x:c>
      <x:c r="G21" s="114" t="str">
        <x:v>Draft Complete</x:v>
      </x:c>
      <x:c r="H21" s="115" t="str"/>
    </x:row>
    <x:row r="22">
      <x:c r="A22" s="119" t="str">
        <x:v>PIL-018</x:v>
      </x:c>
      <x:c r="B22" s="120" t="str">
        <x:v>Employment boundary</x:v>
      </x:c>
      <x:c r="C22" s="120" t="str">
        <x:v>No adverse employment action may be based solely or primarily on pilot output.</x:v>
      </x:c>
      <x:c r="D22" s="120" t="str">
        <x:v>Participant protection and honest feedback are required.</x:v>
      </x:c>
      <x:c r="E22" s="120" t="str">
        <x:v>Executive Sponsor/HR/Legal</x:v>
      </x:c>
      <x:c r="F22" s="120" t="str">
        <x:v>Signed participant/policy terms.</x:v>
      </x:c>
      <x:c r="G22" s="120" t="str">
        <x:v>Draft Complete</x:v>
      </x:c>
      <x:c r="H22" s="121" t="str">
        <x:v>Formal approval required.</x:v>
      </x:c>
    </x:row>
    <x:row r="23">
      <x:c r="A23" s="113" t="str">
        <x:v>PIL-019</x:v>
      </x:c>
      <x:c r="B23" s="114" t="str">
        <x:v>Coaching</x:v>
      </x:c>
      <x:c r="C23" s="114" t="str">
        <x:v>Begin with observe mode; add opt-in or controlled nudge/assist interventions after baseline evaluation.</x:v>
      </x:c>
      <x:c r="D23" s="114" t="str">
        <x:v>Avoids contaminating baseline and over-interrupting employees.</x:v>
      </x:c>
      <x:c r="E23" s="114" t="str">
        <x:v>AI/Product/L&amp;D</x:v>
      </x:c>
      <x:c r="F23" s="114" t="str">
        <x:v>Intervention experiment design.</x:v>
      </x:c>
      <x:c r="G23" s="114" t="str">
        <x:v>Draft Complete</x:v>
      </x:c>
      <x:c r="H23" s="115" t="str"/>
    </x:row>
    <x:row r="24">
      <x:c r="A24" s="119" t="str">
        <x:v>PIL-020</x:v>
      </x:c>
      <x:c r="B24" s="120" t="str">
        <x:v>Capability use</x:v>
      </x:c>
      <x:c r="C24" s="120" t="str">
        <x:v>Pilot capability results are developmental and provisional; no permanent role-fit label from a single task.</x:v>
      </x:c>
      <x:c r="D24" s="120" t="str">
        <x:v>Capability model needs repeated evidence and fairness review.</x:v>
      </x:c>
      <x:c r="E24" s="120" t="str">
        <x:v>HR/Capability Lead</x:v>
      </x:c>
      <x:c r="F24" s="120" t="str">
        <x:v>Capability review protocol.</x:v>
      </x:c>
      <x:c r="G24" s="120" t="str">
        <x:v>Draft Complete</x:v>
      </x:c>
      <x:c r="H24" s="121" t="str">
        <x:v>Stage 8 dependency.</x:v>
      </x:c>
    </x:row>
    <x:row r="25">
      <x:c r="A25" s="113" t="str">
        <x:v>PIL-021</x:v>
      </x:c>
      <x:c r="B25" s="114" t="str">
        <x:v>Raw retention</x:v>
      </x:c>
      <x:c r="C25" s="114" t="str">
        <x:v>Planning proposal: 7–30 days for screenshots/text, 30–90 days for event metadata, subject to DPIA/legal decision.</x:v>
      </x:c>
      <x:c r="D25" s="114" t="str">
        <x:v>Supports debugging and disputes while limiting exposure.</x:v>
      </x:c>
      <x:c r="E25" s="114" t="str">
        <x:v>DPO/Data Governance</x:v>
      </x:c>
      <x:c r="F25" s="114" t="str">
        <x:v>Approved retention schedule.</x:v>
      </x:c>
      <x:c r="G25" s="114" t="str">
        <x:v>Owner Input</x:v>
      </x:c>
      <x:c r="H25" s="115" t="str">
        <x:v>Not final.</x:v>
      </x:c>
    </x:row>
    <x:row r="26">
      <x:c r="A26" s="119" t="str">
        <x:v>PIL-022</x:v>
      </x:c>
      <x:c r="B26" s="120" t="str">
        <x:v>Derived retention</x:v>
      </x:c>
      <x:c r="C26" s="120" t="str">
        <x:v>Task assessments, corrections and validated capability evidence retained only for approved project/employment purpose and review periods.</x:v>
      </x:c>
      <x:c r="D26" s="120" t="str">
        <x:v>Derived records may have longer value but higher employment impact.</x:v>
      </x:c>
      <x:c r="E26" s="120" t="str">
        <x:v>DPO/HR</x:v>
      </x:c>
      <x:c r="F26" s="120" t="str">
        <x:v>Retention and deletion policy.</x:v>
      </x:c>
      <x:c r="G26" s="120" t="str">
        <x:v>Owner Input</x:v>
      </x:c>
      <x:c r="H26" s="121" t="str"/>
    </x:row>
    <x:row r="27">
      <x:c r="A27" s="113" t="str">
        <x:v>PIL-023</x:v>
      </x:c>
      <x:c r="B27" s="114" t="str">
        <x:v>Model routing</x:v>
      </x:c>
      <x:c r="C27" s="114" t="str">
        <x:v>Only approved HumanOS Model Gateway routes; sensitive raw evidence uses permitted regional/private configurations.</x:v>
      </x:c>
      <x:c r="D27" s="114" t="str">
        <x:v>Prevents uncontrolled third-party processing.</x:v>
      </x:c>
      <x:c r="E27" s="114" t="str">
        <x:v>AI Platform/CISO/DPO</x:v>
      </x:c>
      <x:c r="F27" s="114" t="str">
        <x:v>Provider contract and egress tests.</x:v>
      </x:c>
      <x:c r="G27" s="114" t="str">
        <x:v>Owner Input</x:v>
      </x:c>
      <x:c r="H27" s="115" t="str"/>
    </x:row>
    <x:row r="28">
      <x:c r="A28" s="119" t="str">
        <x:v>PIL-024</x:v>
      </x:c>
      <x:c r="B28" s="120" t="str">
        <x:v>Support model</x:v>
      </x:c>
      <x:c r="C28" s="120" t="str">
        <x:v>Named employee support contact, technical support, DPO/privacy contact and rapid agent-disable path.</x:v>
      </x:c>
      <x:c r="D28" s="120" t="str">
        <x:v>Employees need immediate resolution and safe escalation.</x:v>
      </x:c>
      <x:c r="E28" s="120" t="str">
        <x:v>Programme/HR/Security</x:v>
      </x:c>
      <x:c r="F28" s="120" t="str">
        <x:v>Support rota and SLA.</x:v>
      </x:c>
      <x:c r="G28" s="120" t="str">
        <x:v>Owner Input</x:v>
      </x:c>
      <x:c r="H28" s="121" t="str"/>
    </x:row>
    <x:row r="29">
      <x:c r="A29" s="113" t="str">
        <x:v>PIL-025</x:v>
      </x:c>
      <x:c r="B29" s="114" t="str">
        <x:v>Stop authority</x:v>
      </x:c>
      <x:c r="C29" s="114" t="str">
        <x:v>Executive sponsor, DPO and CISO each have authority to pause affected capture or the pilot for blocking risk.</x:v>
      </x:c>
      <x:c r="D29" s="114" t="str">
        <x:v>Safety action must not depend on commercial pressure.</x:v>
      </x:c>
      <x:c r="E29" s="114" t="str">
        <x:v>Executive Sponsor/DPO/CISO</x:v>
      </x:c>
      <x:c r="F29" s="114" t="str">
        <x:v>Incident and stop procedure.</x:v>
      </x:c>
      <x:c r="G29" s="114" t="str">
        <x:v>Draft Complete</x:v>
      </x:c>
      <x:c r="H29" s="115" t="str"/>
    </x:row>
    <x:row r="30">
      <x:c r="A30" s="119" t="str">
        <x:v>PIL-026</x:v>
      </x:c>
      <x:c r="B30" s="120" t="str">
        <x:v>Stop trigger</x:v>
      </x:c>
      <x:c r="C30" s="120" t="str">
        <x:v>Any retained password/secret, unauthorised capture, critical breach, unsupported legal basis, persistent high false-classification, unacceptable endpoint impact or inability to operate employee rights.</x:v>
      </x:c>
      <x:c r="D30" s="120" t="str">
        <x:v>Defines non-negotiable pilot boundaries.</x:v>
      </x:c>
      <x:c r="E30" s="120" t="str">
        <x:v>Executive Sponsor/DPO/CISO</x:v>
      </x:c>
      <x:c r="F30" s="120" t="str">
        <x:v>Automated/manual trigger records.</x:v>
      </x:c>
      <x:c r="G30" s="120" t="str">
        <x:v>Draft Complete</x:v>
      </x:c>
      <x:c r="H30" s="121" t="str"/>
    </x:row>
    <x:row r="31">
      <x:c r="A31" s="113" t="str">
        <x:v>PIL-027</x:v>
      </x:c>
      <x:c r="B31" s="114" t="str">
        <x:v>Capture completeness target</x:v>
      </x:c>
      <x:c r="C31" s="114" t="str">
        <x:v>≥99% foreground application changes on supported systems.</x:v>
      </x:c>
      <x:c r="D31" s="114" t="str">
        <x:v>Measures technical reliability rather than employee productivity.</x:v>
      </x:c>
      <x:c r="E31" s="114" t="str">
        <x:v>Desktop/QA</x:v>
      </x:c>
      <x:c r="F31" s="114" t="str">
        <x:v>Controlled benchmark result.</x:v>
      </x:c>
      <x:c r="G31" s="114" t="str">
        <x:v>Target Draft</x:v>
      </x:c>
      <x:c r="H31" s="115" t="str">
        <x:v>Validate in Stage 5.</x:v>
      </x:c>
    </x:row>
    <x:row r="32">
      <x:c r="A32" s="119" t="str">
        <x:v>PIL-028</x:v>
      </x:c>
      <x:c r="B32" s="120" t="str">
        <x:v>Click/state correlation target</x:v>
      </x:c>
      <x:c r="C32" s="120" t="str">
        <x:v>≥98% clicks linked to correct before/after visual state for supported apps.</x:v>
      </x:c>
      <x:c r="D32" s="120" t="str">
        <x:v>Core evidence-graph quality target.</x:v>
      </x:c>
      <x:c r="E32" s="120" t="str">
        <x:v>Desktop/QA</x:v>
      </x:c>
      <x:c r="F32" s="120" t="str">
        <x:v>Labelled interaction benchmark.</x:v>
      </x:c>
      <x:c r="G32" s="120" t="str">
        <x:v>Target Draft</x:v>
      </x:c>
      <x:c r="H32" s="121" t="str"/>
    </x:row>
    <x:row r="33">
      <x:c r="A33" s="113" t="str">
        <x:v>PIL-029</x:v>
      </x:c>
      <x:c r="B33" s="114" t="str">
        <x:v>Text reconstruction target</x:v>
      </x:c>
      <x:c r="C33" s="114" t="str">
        <x:v>≥95% resulting-text reconstruction in supported non-secure controls; zero known secure-field content retained.</x:v>
      </x:c>
      <x:c r="D33" s="114" t="str">
        <x:v>Supports provenance while making secret leakage a zero-tolerance metric.</x:v>
      </x:c>
      <x:c r="E33" s="114" t="str">
        <x:v>Desktop/Security/QA</x:v>
      </x:c>
      <x:c r="F33" s="114" t="str">
        <x:v>Adversarial corpus and supported-app benchmark.</x:v>
      </x:c>
      <x:c r="G33" s="114" t="str">
        <x:v>Target Draft</x:v>
      </x:c>
      <x:c r="H33" s="115" t="str"/>
    </x:row>
    <x:row r="34">
      <x:c r="A34" s="119" t="str">
        <x:v>PIL-030</x:v>
      </x:c>
      <x:c r="B34" s="120" t="str">
        <x:v>Agent provenance target</x:v>
      </x:c>
      <x:c r="C34" s="120" t="str">
        <x:v>≥95% actor attribution accuracy for instrumented Codex/Claude/tool events.</x:v>
      </x:c>
      <x:c r="D34" s="120" t="str">
        <x:v>Fairly separates human direction, AI generation and automation.</x:v>
      </x:c>
      <x:c r="E34" s="120" t="str">
        <x:v>AI Integrations/QA</x:v>
      </x:c>
      <x:c r="F34" s="120" t="str">
        <x:v>Labelled session benchmark.</x:v>
      </x:c>
      <x:c r="G34" s="120" t="str">
        <x:v>Target Draft</x:v>
      </x:c>
      <x:c r="H34" s="121" t="str"/>
    </x:row>
    <x:row r="35">
      <x:c r="A35" s="113" t="str">
        <x:v>PIL-031</x:v>
      </x:c>
      <x:c r="B35" s="114" t="str">
        <x:v>Task alignment target</x:v>
      </x:c>
      <x:c r="C35" s="114" t="str">
        <x:v>≥90% precision for defined pilot task categories, with confidence and correction.</x:v>
      </x:c>
      <x:c r="D35" s="114" t="str">
        <x:v>Prevents overclaiming general task understanding.</x:v>
      </x:c>
      <x:c r="E35" s="114" t="str">
        <x:v>AI Evaluation/Product</x:v>
      </x:c>
      <x:c r="F35" s="114" t="str">
        <x:v>Holdout task-alignment dataset.</x:v>
      </x:c>
      <x:c r="G35" s="114" t="str">
        <x:v>Target Draft</x:v>
      </x:c>
      <x:c r="H35" s="115" t="str"/>
    </x:row>
    <x:row r="36">
      <x:c r="A36" s="119" t="str">
        <x:v>PIL-032</x:v>
      </x:c>
      <x:c r="B36" s="120" t="str">
        <x:v>False-idle target</x:v>
      </x:c>
      <x:c r="C36" s="120" t="str">
        <x:v>&lt;5% false-idle rate in labelled pilot periods, including builds, reviews, reading and meetings.</x:v>
      </x:c>
      <x:c r="D36" s="120" t="str">
        <x:v>Idle errors are high-impact and damage trust.</x:v>
      </x:c>
      <x:c r="E36" s="120" t="str">
        <x:v>AI Evaluation/DPO</x:v>
      </x:c>
      <x:c r="F36" s="120" t="str">
        <x:v>Context-labelled sample.</x:v>
      </x:c>
      <x:c r="G36" s="120" t="str">
        <x:v>Target Draft</x:v>
      </x:c>
      <x:c r="H36" s="121" t="str"/>
    </x:row>
    <x:row r="37">
      <x:c r="A37" s="113" t="str">
        <x:v>PIL-033</x:v>
      </x:c>
      <x:c r="B37" s="114" t="str">
        <x:v>Endpoint budget</x:v>
      </x:c>
      <x:c r="C37" s="114" t="str">
        <x:v>Typical CPU &lt;7%, memory &lt;750 MB, no perceptible keyboard/mouse latency; storage and battery budgets configurable.</x:v>
      </x:c>
      <x:c r="D37" s="114" t="str">
        <x:v>Agent cannot harm work it is intended to support.</x:v>
      </x:c>
      <x:c r="E37" s="114" t="str">
        <x:v>Desktop/SRE</x:v>
      </x:c>
      <x:c r="F37" s="114" t="str">
        <x:v>Long-duration performance tests.</x:v>
      </x:c>
      <x:c r="G37" s="114" t="str">
        <x:v>Target Draft</x:v>
      </x:c>
      <x:c r="H37" s="115" t="str"/>
    </x:row>
    <x:row r="38">
      <x:c r="A38" s="119" t="str">
        <x:v>PIL-034</x:v>
      </x:c>
      <x:c r="B38" s="120" t="str">
        <x:v>Employee usefulness</x:v>
      </x:c>
      <x:c r="C38" s="120" t="str">
        <x:v>≥70% of participants rate at least one coaching/report feature as useful, with qualitative explanation.</x:v>
      </x:c>
      <x:c r="D38" s="120" t="str">
        <x:v>Direct employee benefit is a core product condition.</x:v>
      </x:c>
      <x:c r="E38" s="120" t="str">
        <x:v>Product/HR/L&amp;D</x:v>
      </x:c>
      <x:c r="F38" s="120" t="str">
        <x:v>Survey/interviews.</x:v>
      </x:c>
      <x:c r="G38" s="120" t="str">
        <x:v>Target Draft</x:v>
      </x:c>
      <x:c r="H38" s="121" t="str">
        <x:v>Threshold subject to research design.</x:v>
      </x:c>
    </x:row>
    <x:row r="39">
      <x:c r="A39" s="113" t="str">
        <x:v>PIL-035</x:v>
      </x:c>
      <x:c r="B39" s="114" t="str">
        <x:v>Manager usefulness</x:v>
      </x:c>
      <x:c r="C39" s="114" t="str">
        <x:v>≥80% of pilot managers find task/blocker reports more actionable than current status reporting.</x:v>
      </x:c>
      <x:c r="D39" s="114" t="str">
        <x:v>Tests operational value.</x:v>
      </x:c>
      <x:c r="E39" s="114" t="str">
        <x:v>Product/Operations</x:v>
      </x:c>
      <x:c r="F39" s="114" t="str">
        <x:v>Structured manager evaluation.</x:v>
      </x:c>
      <x:c r="G39" s="114" t="str">
        <x:v>Target Draft</x:v>
      </x:c>
      <x:c r="H39" s="115" t="str"/>
    </x:row>
    <x:row r="40">
      <x:c r="A40" s="119" t="str">
        <x:v>PIL-036</x:v>
      </x:c>
      <x:c r="B40" s="120" t="str">
        <x:v>Trust and fairness</x:v>
      </x:c>
      <x:c r="C40" s="120" t="str">
        <x:v>No material decline in trust attributable to opaque capture; disputes resolved with evidence and measured overturn rate.</x:v>
      </x:c>
      <x:c r="D40" s="120" t="str">
        <x:v>Trust is both a governance and product-quality metric.</x:v>
      </x:c>
      <x:c r="E40" s="120" t="str">
        <x:v>HR/DPO/Product</x:v>
      </x:c>
      <x:c r="F40" s="120" t="str">
        <x:v>Pre/post survey, interviews, dispute data.</x:v>
      </x:c>
      <x:c r="G40" s="120" t="str">
        <x:v>Target Draft</x:v>
      </x:c>
      <x:c r="H40" s="121" t="str">
        <x:v>Use independent/facilitated feedback.</x:v>
      </x:c>
    </x:row>
    <x:row r="41">
      <x:c r="A41" s="113" t="str">
        <x:v>PIL-037</x:v>
      </x:c>
      <x:c r="B41" s="114" t="str">
        <x:v>Data incident target</x:v>
      </x:c>
      <x:c r="C41" s="114" t="str">
        <x:v>Zero unauthorised raw-evidence access and zero known secret/secure-field retention.</x:v>
      </x:c>
      <x:c r="D41" s="114" t="str">
        <x:v>Any occurrence is a major control failure.</x:v>
      </x:c>
      <x:c r="E41" s="114" t="str">
        <x:v>CISO/DPO</x:v>
      </x:c>
      <x:c r="F41" s="114" t="str">
        <x:v>Audit and incident log.</x:v>
      </x:c>
      <x:c r="G41" s="114" t="str">
        <x:v>Target Draft</x:v>
      </x:c>
      <x:c r="H41" s="115" t="str">
        <x:v>Blocking.</x:v>
      </x:c>
    </x:row>
    <x:row r="42">
      <x:c r="A42" s="122" t="str">
        <x:v>PIL-038</x:v>
      </x:c>
      <x:c r="B42" s="123" t="str">
        <x:v>Decision after pilot</x:v>
      </x:c>
      <x:c r="C42" s="123" t="str">
        <x:v>Proceed, modify, restrict or stop based on technical metrics, employee/manager evidence, legal review, cost and strategic value.</x:v>
      </x:c>
      <x:c r="D42" s="123" t="str">
        <x:v>Prevents rollout based on enthusiasm alone.</x:v>
      </x:c>
      <x:c r="E42" s="123" t="str">
        <x:v>Executive Sponsor/CTO/DPO/CISO</x:v>
      </x:c>
      <x:c r="F42" s="123" t="str">
        <x:v>Pilot report and gate decision.</x:v>
      </x:c>
      <x:c r="G42" s="123" t="str">
        <x:v>Draft Complete</x:v>
      </x:c>
      <x:c r="H42" s="124" t="str"/>
    </x:row>
  </x:sheetData>
  <x:mergeCells>
    <x:mergeCell ref="A1:H1"/>
    <x:mergeCell ref="A2:H2"/>
  </x:mergeCells>
  <x:dataValidations count="1">
    <x:dataValidation type="list" sqref="G5:G42">
      <x:formula1>"Draft Complete,Owner Input,Not Started,In Review,Target Draft,Approved,Rejected"</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294" t="str">
        <x:v>Stage 2–3 Dashboard — Ontology and Device-Agent Foundation</x:v>
      </x:c>
      <x:c r="B1" s="294"/>
      <x:c r="C1" s="294"/>
      <x:c r="D1" s="294"/>
      <x:c r="E1" s="294"/>
      <x:c r="F1" s="294"/>
      <x:c r="G1" s="294"/>
      <x:c r="H1" s="294"/>
      <x:c r="I1" s="294"/>
      <x:c r="J1" s="294"/>
    </x:row>
    <x:row r="2" ht="36" customHeight="1">
      <x:c r="A2" s="298" t="str">
        <x:v>Execution status for Stage 2 Role/Task/Capability Ontology and Stage 3 Device Agent Foundation. This workbook provides implementation-ready specifications; code implementation remains backlog work.</x:v>
      </x:c>
      <x:c r="B2" s="298"/>
      <x:c r="C2" s="298"/>
      <x:c r="D2" s="298"/>
      <x:c r="E2" s="298"/>
      <x:c r="F2" s="298"/>
      <x:c r="G2" s="298"/>
      <x:c r="H2" s="298"/>
      <x:c r="I2" s="298"/>
      <x:c r="J2" s="298"/>
    </x:row>
    <x:row r="4" ht="30" customHeight="1">
      <x:c r="A4" s="310" t="str">
        <x:v>Metric</x:v>
      </x:c>
      <x:c r="B4" s="312" t="str">
        <x:v>Value</x:v>
      </x:c>
      <x:c r="D4" s="310" t="str">
        <x:v>Workstream</x:v>
      </x:c>
      <x:c r="E4" s="312" t="str">
        <x:v>Readiness %</x:v>
      </x:c>
    </x:row>
    <x:row r="5">
      <x:c r="A5" s="329" t="str">
        <x:v>Stage 2 gate readiness</x:v>
      </x:c>
      <x:c r="B5" s="350" t="n">
        <x:f>'Stage 2 Gate'!L5</x:f>
        <x:v>0.7571428571428572</x:v>
      </x:c>
      <x:c r="D5" s="329" t="str">
        <x:v>Stage 2 gate</x:v>
      </x:c>
      <x:c r="E5" s="360" t="n">
        <x:f>B5*100</x:f>
        <x:v>75.71428571428572</x:v>
      </x:c>
    </x:row>
    <x:row r="6">
      <x:c r="A6" s="332" t="str">
        <x:v>Stage 3 gate readiness</x:v>
      </x:c>
      <x:c r="B6" s="352" t="n">
        <x:f>'Stage 3 Gate'!L5</x:f>
        <x:v>0.7333333333333333</x:v>
      </x:c>
      <x:c r="D6" s="332" t="str">
        <x:v>Stage 3 gate</x:v>
      </x:c>
      <x:c r="E6" s="361" t="n">
        <x:f>B6*100</x:f>
        <x:v>73.33333333333333</x:v>
      </x:c>
    </x:row>
    <x:row r="7">
      <x:c r="A7" s="332" t="str">
        <x:v>Stage 2 backlog maturity</x:v>
      </x:c>
      <x:c r="B7" s="352" t="n">
        <x:f>AVERAGE('Stage 2 Backlog'!J5:J18)</x:f>
        <x:v>0</x:v>
      </x:c>
      <x:c r="D7" s="332" t="str">
        <x:v>Stage 2 backlog</x:v>
      </x:c>
      <x:c r="E7" s="361" t="n">
        <x:f>B7*100</x:f>
        <x:v>0</x:v>
      </x:c>
    </x:row>
    <x:row r="8">
      <x:c r="A8" s="332" t="str">
        <x:v>Stage 3 backlog maturity</x:v>
      </x:c>
      <x:c r="B8" s="352" t="n">
        <x:f>AVERAGE('Stage 3 Backlog'!J5:J20)</x:f>
        <x:v>0</x:v>
      </x:c>
      <x:c r="D8" s="334" t="str">
        <x:v>Stage 3 backlog</x:v>
      </x:c>
      <x:c r="E8" s="362" t="n">
        <x:f>B8*100</x:f>
        <x:v>0</x:v>
      </x:c>
    </x:row>
    <x:row r="9">
      <x:c r="A9" s="332" t="str">
        <x:v>Stage 2 mandatory not started/blocked</x:v>
      </x:c>
      <x:c r="B9" s="333" t="n">
        <x:f>'Stage 2 Gate'!L6</x:f>
        <x:v>1</x:v>
      </x:c>
    </x:row>
    <x:row r="10">
      <x:c r="A10" s="332" t="str">
        <x:v>Stage 3 mandatory not started/blocked</x:v>
      </x:c>
      <x:c r="B10" s="333" t="n">
        <x:f>'Stage 3 Gate'!L6</x:f>
        <x:v>1</x:v>
      </x:c>
    </x:row>
    <x:row r="11">
      <x:c r="A11" s="332" t="str">
        <x:v>Stage 2 risks open</x:v>
      </x:c>
      <x:c r="B11" s="333" t="n">
        <x:f>COUNTIF('Stage 2 Risks'!I5:I12,"Open")+COUNTIF('Stage 2 Risks'!I5:I12,"Mitigating")</x:f>
        <x:v>8</x:v>
      </x:c>
    </x:row>
    <x:row r="12">
      <x:c r="A12" s="332" t="str">
        <x:v>Stage 3 threats open</x:v>
      </x:c>
      <x:c r="B12" s="333" t="n">
        <x:f>COUNTIF('Stage 3 Threat Model'!I5:I18,"Open")+COUNTIF('Stage 3 Threat Model'!I5:I18,"Mitigating")</x:f>
        <x:v>14</x:v>
      </x:c>
    </x:row>
    <x:row r="13">
      <x:c r="A13" s="332" t="str">
        <x:v>Stage 2 source count</x:v>
      </x:c>
      <x:c r="B13" s="333" t="n">
        <x:f>COUNTA('Stage 2 Sources'!A5:A100)</x:f>
        <x:v>12</x:v>
      </x:c>
    </x:row>
    <x:row r="14">
      <x:c r="A14" s="332" t="str">
        <x:v>Stage 3 source count</x:v>
      </x:c>
      <x:c r="B14" s="333" t="n">
        <x:f>COUNTA('Stage 3 Sources'!A5:A100)</x:f>
        <x:v>20</x:v>
      </x:c>
    </x:row>
    <x:row r="15">
      <x:c r="A15" s="332" t="str">
        <x:v>Stage 2 decisions accepted/in principle</x:v>
      </x:c>
      <x:c r="B15" s="333" t="n">
        <x:f>COUNTIF('Stage 2 Decisions'!C5:C11,"Accepted in principle")+COUNTIF('Stage 2 Decisions'!C5:C11,"Accepted")</x:f>
        <x:v>7</x:v>
      </x:c>
    </x:row>
    <x:row r="16">
      <x:c r="A16" s="334" t="str">
        <x:v>Stage 3 decisions accepted/in principle</x:v>
      </x:c>
      <x:c r="B16" s="336" t="n">
        <x:f>COUNTIF('Stage 3 ADRs'!C5:C14,"Accepted in principle")+COUNTIF('Stage 3 ADRs'!C5:C14,"Accepted")</x:f>
        <x:v>10</x:v>
      </x:c>
    </x:row>
    <x:row r="20" ht="24" customHeight="1">
      <x:c r="A20" s="364" t="str">
        <x:v>Current interpretation</x:v>
      </x:c>
      <x:c r="B20" s="364"/>
      <x:c r="C20" s="364"/>
      <x:c r="D20" s="364"/>
      <x:c r="E20" s="364"/>
      <x:c r="F20" s="364"/>
      <x:c r="G20" s="364"/>
      <x:c r="H20" s="364"/>
      <x:c r="I20" s="364"/>
      <x:c r="J20" s="364"/>
    </x:row>
    <x:row r="21" ht="30" customHeight="1">
      <x:c r="A21" s="310" t="str">
        <x:v>#</x:v>
      </x:c>
      <x:c r="B21" s="312" t="str">
        <x:v>Interpretation</x:v>
      </x:c>
    </x:row>
    <x:row r="22">
      <x:c r="A22" s="329" t="str">
        <x:v>1</x:v>
      </x:c>
      <x:c r="B22" s="331" t="str">
        <x:v>Stage 2 is specification-complete in the workbook: ontology, entities, relationships, rubrics, role templates, task templates, evidence scoring, examples, APIs/events, backlog, risks, decisions and gate criteria.</x:v>
      </x:c>
      <x:c r="C22" s="279"/>
      <x:c r="D22" s="279"/>
      <x:c r="E22" s="279"/>
      <x:c r="F22" s="279"/>
      <x:c r="G22" s="279"/>
      <x:c r="H22" s="279"/>
      <x:c r="I22" s="279"/>
      <x:c r="J22" s="279"/>
    </x:row>
    <x:row r="23">
      <x:c r="A23" s="332" t="str">
        <x:v>2</x:v>
      </x:c>
      <x:c r="B23" s="333" t="str">
        <x:v>Stage 3 is specification-complete in the workbook: endpoint architecture, OS matrix, modules, state machine, identity/key model, policy bundle, local journal, APIs/events, spikes, performance budgets, threat model, tests, CI/CD, backlog, ADRs and gate criteria.</x:v>
      </x:c>
      <x:c r="C23" s="279"/>
      <x:c r="D23" s="279"/>
      <x:c r="E23" s="279"/>
      <x:c r="F23" s="279"/>
      <x:c r="G23" s="279"/>
      <x:c r="H23" s="279"/>
      <x:c r="I23" s="279"/>
      <x:c r="J23" s="279"/>
    </x:row>
    <x:row r="24">
      <x:c r="A24" s="332" t="str">
        <x:v>3</x:v>
      </x:c>
      <x:c r="B24" s="333" t="str">
        <x:v>Neither Stage 2 nor Stage 3 is organisationally approved until Nessovo records the gate decisions and assigns named owners.</x:v>
      </x:c>
      <x:c r="C24" s="279"/>
      <x:c r="D24" s="279"/>
      <x:c r="E24" s="279"/>
      <x:c r="F24" s="279"/>
      <x:c r="G24" s="279"/>
      <x:c r="H24" s="279"/>
      <x:c r="I24" s="279"/>
      <x:c r="J24" s="279"/>
    </x:row>
    <x:row r="25">
      <x:c r="A25" s="332" t="str">
        <x:v>4</x:v>
      </x:c>
      <x:c r="B25" s="333" t="str">
        <x:v>Stage 3 does not approve unrestricted keylogging or full screenshot capture. It approves only the secure foundation and technical spikes required before Stage 5 capture.</x:v>
      </x:c>
      <x:c r="C25" s="279"/>
      <x:c r="D25" s="279"/>
      <x:c r="E25" s="279"/>
      <x:c r="F25" s="279"/>
      <x:c r="G25" s="279"/>
      <x:c r="H25" s="279"/>
      <x:c r="I25" s="279"/>
      <x:c r="J25" s="279"/>
    </x:row>
    <x:row r="26">
      <x:c r="A26" s="334" t="str">
        <x:v>5</x:v>
      </x:c>
      <x:c r="B26" s="336" t="str">
        <x:v>The next execution prompts are Stage 4 Telemetry Ingestion &amp; Evidence Storage and Stage 5 Universal Capture MVP.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{4B8A0F0B-57B8-8A23-7E96-77AB7EE673E8}</x14:id>
        </x:ext>
      </x:extLst>
    </x:cfRule>
  </x:conditionalFormatting>
  <x:pageMargins left="0.7" right="0.7" top="0.75" bottom="0.75" header="0.3" footer="0.3"/>
  <x:drawing xmlns:r="http://schemas.openxmlformats.org/officeDocument/2006/relationships" r:id="Rcd3cc6fa51064052"/>
  <x:extLst>
    <x:ext xmlns:x14="http://schemas.microsoft.com/office/spreadsheetml/2009/9/main" xmlns:xm="http://schemas.microsoft.com/office/excel/2006/main" uri="{78C0D931-6437-407d-A8EE-F0AAD7539E65}">
      <x14:conditionalFormattings>
        <x14:conditionalFormatting>
          <x14:cfRule type="dataBar" priority="1" id="{4B8A0F0B-57B8-8A23-7E96-77AB7EE673E8}">
            <x14:dataBar gradient="1">
              <x14:cfvo type="min"/>
              <x14:cfvo type="max"/>
              <x14:fillColor rgb="FFA02B93"/>
            </x14:dataBar>
          </x14:cfRule>
          <xm:sqref>B5:B8</xm:sqref>
        </x14:conditionalFormatting>
      </x14:conditionalFormattings>
    </x:ext>
  </x:extLst>
</x:worksheet>
</file>

<file path=xl/worksheets/sheet29.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8" hidden="0" customWidth="1"/>
    <x:col min="5" max="5" width="42" hidden="0" customWidth="1"/>
    <x:col min="6" max="6" width="22" hidden="0" customWidth="1"/>
    <x:col min="7" max="7" width="18" hidden="0" customWidth="1"/>
    <x:col min="8" max="8" width="22" hidden="0" customWidth="1"/>
    <x:col min="9" max="9" width="36" hidden="0" customWidth="1"/>
  </x:cols>
  <x:sheetData>
    <x:row r="1" ht="30" customHeight="1">
      <x:c r="A1" s="294" t="str">
        <x:v>Stage 2 — Ontology Overview</x:v>
      </x:c>
      <x:c r="B1" s="294"/>
      <x:c r="C1" s="294"/>
      <x:c r="D1" s="294"/>
      <x:c r="E1" s="294"/>
      <x:c r="F1" s="294"/>
      <x:c r="G1" s="294"/>
      <x:c r="H1" s="294"/>
      <x:c r="I1" s="294"/>
    </x:row>
    <x:row r="2" ht="36" customHeight="1">
      <x:c r="A2" s="298" t="str">
        <x:v>Core model for role requirements, employee claims, task contracts, evidence, capability states, learning and review. The core is domain-neutral; software-development examples are specialisations.</x:v>
      </x:c>
      <x:c r="B2" s="298"/>
      <x:c r="C2" s="298"/>
      <x:c r="D2" s="298"/>
      <x:c r="E2" s="298"/>
      <x:c r="F2" s="298"/>
      <x:c r="G2" s="298"/>
      <x:c r="H2" s="298"/>
      <x:c r="I2" s="298"/>
    </x:row>
    <x:row r="4" ht="30" customHeight="1">
      <x:c r="A4" s="310" t="str">
        <x:v>ID</x:v>
      </x:c>
      <x:c r="B4" s="311" t="str">
        <x:v>Type</x:v>
      </x:c>
      <x:c r="C4" s="311" t="str">
        <x:v>Concept / rule</x:v>
      </x:c>
      <x:c r="D4" s="311" t="str">
        <x:v>Definition</x:v>
      </x:c>
      <x:c r="E4" s="311" t="str">
        <x:v>Purpose</x:v>
      </x:c>
      <x:c r="F4" s="311" t="str">
        <x:v>Accountable owner</x:v>
      </x:c>
      <x:c r="G4" s="311" t="str">
        <x:v>Status</x:v>
      </x:c>
      <x:c r="H4" s="311" t="str">
        <x:v>Acceptance / gate</x:v>
      </x:c>
      <x:c r="I4" s="312" t="str">
        <x:v>Source / basis</x:v>
      </x:c>
    </x:row>
    <x:row r="5">
      <x:c r="A5" s="329" t="str">
        <x:v>ONT-001</x:v>
      </x:c>
      <x:c r="B5" s="330" t="str">
        <x:v>Design principle</x:v>
      </x:c>
      <x:c r="C5" s="330" t="str">
        <x:v>Requirement is not evidence</x:v>
      </x:c>
      <x:c r="D5" s="330" t="str">
        <x:v>A role/job-description statement creates a requirement; an employee CV or self-assessment creates a claim; neither proves capability.</x:v>
      </x:c>
      <x:c r="E5" s="330" t="str">
        <x:v>Prevents unsupported role-fit or honesty conclusions.</x:v>
      </x:c>
      <x:c r="F5" s="330" t="str">
        <x:v>Capability Lead</x:v>
      </x:c>
      <x:c r="G5" s="330" t="str">
        <x:v>Draft Complete</x:v>
      </x:c>
      <x:c r="H5" s="330" t="str">
        <x:v>Stage 2 Gate</x:v>
      </x:c>
      <x:c r="I5" s="331" t="str">
        <x:v>User non-negotiable rule</x:v>
      </x:c>
    </x:row>
    <x:row r="6">
      <x:c r="A6" s="337" t="str">
        <x:v>ONT-002</x:v>
      </x:c>
      <x:c r="B6" s="338" t="str">
        <x:v>Design principle</x:v>
      </x:c>
      <x:c r="C6" s="338" t="str">
        <x:v>Task outcome over activity volume</x:v>
      </x:c>
      <x:c r="D6" s="338" t="str">
        <x:v>Capability evidence depends on task outcome, quality, independence, context and verification—not hours, clicks, key count or code volume.</x:v>
      </x:c>
      <x:c r="E6" s="338" t="str">
        <x:v>Keeps the system developmental and evidence-based.</x:v>
      </x:c>
      <x:c r="F6" s="338" t="str">
        <x:v>Product/HR</x:v>
      </x:c>
      <x:c r="G6" s="338" t="str">
        <x:v>Draft Complete</x:v>
      </x:c>
      <x:c r="H6" s="338" t="str">
        <x:v>Stage 2 Gate</x:v>
      </x:c>
      <x:c r="I6" s="339" t="str">
        <x:v>Stage 0 charter</x:v>
      </x:c>
    </x:row>
    <x:row r="7">
      <x:c r="A7" s="332" t="str">
        <x:v>ONT-003</x:v>
      </x:c>
      <x:c r="B7" s="114" t="str">
        <x:v>Design principle</x:v>
      </x:c>
      <x:c r="C7" s="114" t="str">
        <x:v>Repeated, context-qualified capability evidence</x:v>
      </x:c>
      <x:c r="D7" s="114" t="str">
        <x:v>Capability states update only through qualified evidence items across tasks, difficulty levels, contexts and review outcomes.</x:v>
      </x:c>
      <x:c r="E7" s="114" t="str">
        <x:v>Prevents permanent conclusions from one success/failure.</x:v>
      </x:c>
      <x:c r="F7" s="114" t="str">
        <x:v>Capability Lead</x:v>
      </x:c>
      <x:c r="G7" s="114" t="str">
        <x:v>Draft Complete</x:v>
      </x:c>
      <x:c r="H7" s="114" t="str">
        <x:v>Stage 2 Gate</x:v>
      </x:c>
      <x:c r="I7" s="333" t="str">
        <x:v>SFIA/NICE patterns</x:v>
      </x:c>
    </x:row>
    <x:row r="8">
      <x:c r="A8" s="337" t="str">
        <x:v>ONT-004</x:v>
      </x:c>
      <x:c r="B8" s="338" t="str">
        <x:v>Design principle</x:v>
      </x:c>
      <x:c r="C8" s="338" t="str">
        <x:v>Human review for high-impact conclusions</x:v>
      </x:c>
      <x:c r="D8" s="338" t="str">
        <x:v>AI scoring and extraction produce recommendations; domain reviewers own high-impact capability, employment or remediation decisions.</x:v>
      </x:c>
      <x:c r="E8" s="338" t="str">
        <x:v>Maintains meaningful human review and challenge.</x:v>
      </x:c>
      <x:c r="F8" s="338" t="str">
        <x:v>DPO/HR</x:v>
      </x:c>
      <x:c r="G8" s="338" t="str">
        <x:v>Draft Complete</x:v>
      </x:c>
      <x:c r="H8" s="338" t="str">
        <x:v>Stage 2 Gate</x:v>
      </x:c>
      <x:c r="I8" s="339" t="str">
        <x:v>ICO/NIST AI RMF</x:v>
      </x:c>
    </x:row>
    <x:row r="9">
      <x:c r="A9" s="332" t="str">
        <x:v>ONT-005</x:v>
      </x:c>
      <x:c r="B9" s="114" t="str">
        <x:v>Design principle</x:v>
      </x:c>
      <x:c r="C9" s="114" t="str">
        <x:v>Domain-neutral core</x:v>
      </x:c>
      <x:c r="D9" s="114" t="str">
        <x:v>The ontology separates Role, Capability, TaskContract, EvidenceRequirement and Artefact from software-specific task/evidence subtypes.</x:v>
      </x:c>
      <x:c r="E9" s="114" t="str">
        <x:v>Allows future HumanOS verticals without redesign.</x:v>
      </x:c>
      <x:c r="F9" s="114" t="str">
        <x:v>Enterprise Architect</x:v>
      </x:c>
      <x:c r="G9" s="114" t="str">
        <x:v>Draft Complete</x:v>
      </x:c>
      <x:c r="H9" s="114" t="str">
        <x:v>Stage 2 Gate</x:v>
      </x:c>
      <x:c r="I9" s="333" t="str">
        <x:v>ESCO/O*NET/NICE</x:v>
      </x:c>
    </x:row>
    <x:row r="10">
      <x:c r="A10" s="337" t="str">
        <x:v>ONT-006</x:v>
      </x:c>
      <x:c r="B10" s="338" t="str">
        <x:v>Design principle</x:v>
      </x:c>
      <x:c r="C10" s="338" t="str">
        <x:v>Multiple valid methods</x:v>
      </x:c>
      <x:c r="D10" s="338" t="str">
        <x:v>Task contracts define objectives, constraints, evidence and quality gates rather than one rigid execution path unless the task itself requires a fixed process.</x:v>
      </x:c>
      <x:c r="E10" s="338" t="str">
        <x:v>Avoids penalising valid alternate methods.</x:v>
      </x:c>
      <x:c r="F10" s="338" t="str">
        <x:v>Product/Domain Experts</x:v>
      </x:c>
      <x:c r="G10" s="338" t="str">
        <x:v>Draft Complete</x:v>
      </x:c>
      <x:c r="H10" s="338" t="str">
        <x:v>Stage 2 Gate</x:v>
      </x:c>
      <x:c r="I10" s="339" t="str">
        <x:v>Fairness control</x:v>
      </x:c>
    </x:row>
    <x:row r="11">
      <x:c r="A11" s="332" t="str">
        <x:v>ONT-007</x:v>
      </x:c>
      <x:c r="B11" s="114" t="str">
        <x:v>Core flow</x:v>
      </x:c>
      <x:c r="C11" s="114" t="str">
        <x:v>Job description to role contract</x:v>
      </x:c>
      <x:c r="D11" s="114" t="str">
        <x:v>A JobDescriptionVersion is converted into a RoleVersion containing outcomes, responsibilities, capability requirements, tools and review rules.</x:v>
      </x:c>
      <x:c r="E11" s="114" t="str">
        <x:v>Makes vague job descriptions measurable while versioning changes.</x:v>
      </x:c>
      <x:c r="F11" s="114" t="str">
        <x:v>HR/Product</x:v>
      </x:c>
      <x:c r="G11" s="114" t="str">
        <x:v>Draft Complete</x:v>
      </x:c>
      <x:c r="H11" s="114" t="str">
        <x:v>Stage 2</x:v>
      </x:c>
      <x:c r="I11" s="333" t="str">
        <x:v>SFIA/O*NET reference</x:v>
      </x:c>
    </x:row>
    <x:row r="12">
      <x:c r="A12" s="337" t="str">
        <x:v>ONT-008</x:v>
      </x:c>
      <x:c r="B12" s="338" t="str">
        <x:v>Core flow</x:v>
      </x:c>
      <x:c r="C12" s="338" t="str">
        <x:v>Employee claim to observed evidence</x:v>
      </x:c>
      <x:c r="D12" s="338" t="str">
        <x:v>An EmployeeClaim starts as Declared/Not Yet Observed and changes only through reviewed capability evidence.</x:v>
      </x:c>
      <x:c r="E12" s="338" t="str">
        <x:v>Supports fair role readiness and honest development.</x:v>
      </x:c>
      <x:c r="F12" s="338" t="str">
        <x:v>HR/Capability</x:v>
      </x:c>
      <x:c r="G12" s="338" t="str">
        <x:v>Draft Complete</x:v>
      </x:c>
      <x:c r="H12" s="338" t="str">
        <x:v>Stage 2</x:v>
      </x:c>
      <x:c r="I12" s="339" t="str">
        <x:v>User requirement</x:v>
      </x:c>
    </x:row>
    <x:row r="13">
      <x:c r="A13" s="332" t="str">
        <x:v>ONT-009</x:v>
      </x:c>
      <x:c r="B13" s="114" t="str">
        <x:v>Core flow</x:v>
      </x:c>
      <x:c r="C13" s="114" t="str">
        <x:v>Task assignment to execution contract</x:v>
      </x:c>
      <x:c r="D13" s="114" t="str">
        <x:v>A HumanOS task is compiled into a TaskContract containing objective, acceptance criteria, evidence requirements, quality gates and required capabilities.</x:v>
      </x:c>
      <x:c r="E13" s="114" t="str">
        <x:v>Creates the basis for task assurance.</x:v>
      </x:c>
      <x:c r="F13" s="114" t="str">
        <x:v>Task/Product</x:v>
      </x:c>
      <x:c r="G13" s="114" t="str">
        <x:v>Draft Complete</x:v>
      </x:c>
      <x:c r="H13" s="114" t="str">
        <x:v>Stage 2</x:v>
      </x:c>
      <x:c r="I13" s="333" t="str">
        <x:v>Internal architecture</x:v>
      </x:c>
    </x:row>
    <x:row r="14">
      <x:c r="A14" s="337" t="str">
        <x:v>ONT-010</x:v>
      </x:c>
      <x:c r="B14" s="338" t="str">
        <x:v>Core flow</x:v>
      </x:c>
      <x:c r="C14" s="338" t="str">
        <x:v>Observed work to evidence graph</x:v>
      </x:c>
      <x:c r="D14" s="338" t="str">
        <x:v>WorkEpisodes, Artefacts and EvidenceRequirements link observed activity to the current task, actor provenance and capability evidence.</x:v>
      </x:c>
      <x:c r="E14" s="338" t="str">
        <x:v>Maintains traceability from screen/tool evidence to decisions.</x:v>
      </x:c>
      <x:c r="F14" s="338" t="str">
        <x:v>Data/AI</x:v>
      </x:c>
      <x:c r="G14" s="338" t="str">
        <x:v>Draft Complete</x:v>
      </x:c>
      <x:c r="H14" s="338" t="str">
        <x:v>Stage 2</x:v>
      </x:c>
      <x:c r="I14" s="339" t="str">
        <x:v>Evidence architecture</x:v>
      </x:c>
    </x:row>
    <x:row r="15">
      <x:c r="A15" s="332" t="str">
        <x:v>ONT-011</x:v>
      </x:c>
      <x:c r="B15" s="114" t="str">
        <x:v>Core flow</x:v>
      </x:c>
      <x:c r="C15" s="114" t="str">
        <x:v>Evidence to capability update</x:v>
      </x:c>
      <x:c r="D15" s="114" t="str">
        <x:v>CapabilityEvidence is weighted by task difficulty, quality, independence, guidance, confidence, recency and consistency before a PersonCapabilityState changes.</x:v>
      </x:c>
      <x:c r="E15" s="114" t="str">
        <x:v>Prevents simplistic scoring.</x:v>
      </x:c>
      <x:c r="F15" s="114" t="str">
        <x:v>Capability/Data</x:v>
      </x:c>
      <x:c r="G15" s="114" t="str">
        <x:v>Draft Complete</x:v>
      </x:c>
      <x:c r="H15" s="114" t="str">
        <x:v>Stage 2</x:v>
      </x:c>
      <x:c r="I15" s="333" t="str">
        <x:v>NICE TKS and assessment logic</x:v>
      </x:c>
    </x:row>
    <x:row r="16">
      <x:c r="A16" s="337" t="str">
        <x:v>ONT-012</x:v>
      </x:c>
      <x:c r="B16" s="338" t="str">
        <x:v>Core flow</x:v>
      </x:c>
      <x:c r="C16" s="338" t="str">
        <x:v>Gap to learning to reassessment</x:v>
      </x:c>
      <x:c r="D16" s="338" t="str">
        <x:v>A Gap produces a LearningIntervention; capability improves only when subsequent work evidence shows improved application.</x:v>
      </x:c>
      <x:c r="E16" s="338" t="str">
        <x:v>Avoids training-completion inflation.</x:v>
      </x:c>
      <x:c r="F16" s="338" t="str">
        <x:v>L&amp;D/Capability</x:v>
      </x:c>
      <x:c r="G16" s="338" t="str">
        <x:v>Draft Complete</x:v>
      </x:c>
      <x:c r="H16" s="338" t="str">
        <x:v>Stage 2</x:v>
      </x:c>
      <x:c r="I16" s="339" t="str">
        <x:v>xAPI/learning evidence</x:v>
      </x:c>
    </x:row>
    <x:row r="17">
      <x:c r="A17" s="332" t="str">
        <x:v>ONT-013</x:v>
      </x:c>
      <x:c r="B17" s="114" t="str">
        <x:v>Evidence classes</x:v>
      </x:c>
      <x:c r="C17" s="114" t="str">
        <x:v>Authoritative artefact</x:v>
      </x:c>
      <x:c r="D17" s="114" t="str">
        <x:v>Git commits, test results, build logs, PR review decisions, deployment outcomes or domain-system transactions.</x:v>
      </x:c>
      <x:c r="E17" s="114" t="str">
        <x:v>Highest-value outcome evidence.</x:v>
      </x:c>
      <x:c r="F17" s="114" t="str">
        <x:v>Data Architect</x:v>
      </x:c>
      <x:c r="G17" s="114" t="str">
        <x:v>Draft Complete</x:v>
      </x:c>
      <x:c r="H17" s="114" t="str">
        <x:v>Stage 2</x:v>
      </x:c>
      <x:c r="I17" s="333" t="str">
        <x:v>Stage 0 evidence hierarchy</x:v>
      </x:c>
    </x:row>
    <x:row r="18">
      <x:c r="A18" s="337" t="str">
        <x:v>ONT-014</x:v>
      </x:c>
      <x:c r="B18" s="338" t="str">
        <x:v>Evidence classes</x:v>
      </x:c>
      <x:c r="C18" s="338" t="str">
        <x:v>Semantic tool event</x:v>
      </x:c>
      <x:c r="D18" s="338" t="str">
        <x:v>AI-agent hook events, shell commands, IDE diagnostics, browser/domain metadata and file-system events.</x:v>
      </x:c>
      <x:c r="E18" s="338" t="str">
        <x:v>Explains how artefacts were produced.</x:v>
      </x:c>
      <x:c r="F18" s="338" t="str">
        <x:v>AI/Integrations</x:v>
      </x:c>
      <x:c r="G18" s="338" t="str">
        <x:v>Draft Complete</x:v>
      </x:c>
      <x:c r="H18" s="338" t="str">
        <x:v>Stage 2</x:v>
      </x:c>
      <x:c r="I18" s="339" t="str">
        <x:v>Codex hooks/OpenTelemetry</x:v>
      </x:c>
    </x:row>
    <x:row r="19">
      <x:c r="A19" s="332" t="str">
        <x:v>ONT-015</x:v>
      </x:c>
      <x:c r="B19" s="114" t="str">
        <x:v>Evidence classes</x:v>
      </x:c>
      <x:c r="C19" s="114" t="str">
        <x:v>Visual/UI evidence</x:v>
      </x:c>
      <x:c r="D19" s="114" t="str">
        <x:v>Screenshots, changed regions, OCR/accessibility states and user interactions.</x:v>
      </x:c>
      <x:c r="E19" s="114" t="str">
        <x:v>Supports opaque-app reconstruction but remains more privacy-sensitive.</x:v>
      </x:c>
      <x:c r="F19" s="114" t="str">
        <x:v>Evidence Product</x:v>
      </x:c>
      <x:c r="G19" s="114" t="str">
        <x:v>Draft Complete</x:v>
      </x:c>
      <x:c r="H19" s="114" t="str">
        <x:v>Stage 2</x:v>
      </x:c>
      <x:c r="I19" s="333" t="str">
        <x:v>Screenpipe/OpenAdapt patterns</x:v>
      </x:c>
    </x:row>
    <x:row r="20">
      <x:c r="A20" s="337" t="str">
        <x:v>ONT-016</x:v>
      </x:c>
      <x:c r="B20" s="338" t="str">
        <x:v>Evidence classes</x:v>
      </x:c>
      <x:c r="C20" s="338" t="str">
        <x:v>Human statement</x:v>
      </x:c>
      <x:c r="D20" s="338" t="str">
        <x:v>Employee explanation, manager review, mentor note, peer feedback or reviewer decision.</x:v>
      </x:c>
      <x:c r="E20" s="338" t="str">
        <x:v>Contextual evidence; must be distinguished from captured system facts.</x:v>
      </x:c>
      <x:c r="F20" s="338" t="str">
        <x:v>HR/Governance</x:v>
      </x:c>
      <x:c r="G20" s="338" t="str">
        <x:v>Draft Complete</x:v>
      </x:c>
      <x:c r="H20" s="338" t="str">
        <x:v>Stage 2</x:v>
      </x:c>
      <x:c r="I20" s="339" t="str">
        <x:v>Review workflow</x:v>
      </x:c>
    </x:row>
    <x:row r="21">
      <x:c r="A21" s="332" t="str">
        <x:v>ONT-017</x:v>
      </x:c>
      <x:c r="B21" s="114" t="str">
        <x:v>Evidence classes</x:v>
      </x:c>
      <x:c r="C21" s="114" t="str">
        <x:v>AI inference</x:v>
      </x:c>
      <x:c r="D21" s="114" t="str">
        <x:v>Model-produced alignment, gap, quality or coaching recommendation with evidence links and confidence.</x:v>
      </x:c>
      <x:c r="E21" s="114" t="str">
        <x:v>Useful but never final for high-impact decisions.</x:v>
      </x:c>
      <x:c r="F21" s="114" t="str">
        <x:v>AI Governance</x:v>
      </x:c>
      <x:c r="G21" s="114" t="str">
        <x:v>Draft Complete</x:v>
      </x:c>
      <x:c r="H21" s="114" t="str">
        <x:v>Stage 2</x:v>
      </x:c>
      <x:c r="I21" s="333" t="str">
        <x:v>NIST AI RMF</x:v>
      </x:c>
    </x:row>
    <x:row r="22">
      <x:c r="A22" s="337" t="str">
        <x:v>ONT-018</x:v>
      </x:c>
      <x:c r="B22" s="338" t="str">
        <x:v>Capability dimensions</x:v>
      </x:c>
      <x:c r="C22" s="338" t="str">
        <x:v>Knowledge</x:v>
      </x:c>
      <x:c r="D22" s="338" t="str">
        <x:v>Can explain concepts, constraints, terminology and risks relevant to the capability.</x:v>
      </x:c>
      <x:c r="E22" s="338" t="str">
        <x:v>Supports learning diagnosis.</x:v>
      </x:c>
      <x:c r="F22" s="338" t="str">
        <x:v>Capability Lead</x:v>
      </x:c>
      <x:c r="G22" s="338" t="str">
        <x:v>Draft Complete</x:v>
      </x:c>
      <x:c r="H22" s="338" t="str">
        <x:v>Stage 2</x:v>
      </x:c>
      <x:c r="I22" s="339" t="str">
        <x:v>NICE knowledge statements</x:v>
      </x:c>
    </x:row>
    <x:row r="23">
      <x:c r="A23" s="332" t="str">
        <x:v>ONT-019</x:v>
      </x:c>
      <x:c r="B23" s="114" t="str">
        <x:v>Capability dimensions</x:v>
      </x:c>
      <x:c r="C23" s="114" t="str">
        <x:v>Execution</x:v>
      </x:c>
      <x:c r="D23" s="114" t="str">
        <x:v>Can perform the required work steps or outcomes with correct tool use.</x:v>
      </x:c>
      <x:c r="E23" s="114" t="str">
        <x:v>Core ability dimension.</x:v>
      </x:c>
      <x:c r="F23" s="114" t="str">
        <x:v>Capability Lead</x:v>
      </x:c>
      <x:c r="G23" s="114" t="str">
        <x:v>Draft Complete</x:v>
      </x:c>
      <x:c r="H23" s="114" t="str">
        <x:v>Stage 2</x:v>
      </x:c>
      <x:c r="I23" s="333" t="str">
        <x:v>NICE skill/task statements</x:v>
      </x:c>
    </x:row>
    <x:row r="24">
      <x:c r="A24" s="337" t="str">
        <x:v>ONT-020</x:v>
      </x:c>
      <x:c r="B24" s="338" t="str">
        <x:v>Capability dimensions</x:v>
      </x:c>
      <x:c r="C24" s="338" t="str">
        <x:v>Autonomy</x:v>
      </x:c>
      <x:c r="D24" s="338" t="str">
        <x:v>Can complete the work with appropriate level of guidance and escalation.</x:v>
      </x:c>
      <x:c r="E24" s="338" t="str">
        <x:v>Critical to role-readiness.</x:v>
      </x:c>
      <x:c r="F24" s="338" t="str">
        <x:v>Capability Lead</x:v>
      </x:c>
      <x:c r="G24" s="338" t="str">
        <x:v>Draft Complete</x:v>
      </x:c>
      <x:c r="H24" s="338" t="str">
        <x:v>Stage 2</x:v>
      </x:c>
      <x:c r="I24" s="339" t="str">
        <x:v>SFIA responsibility levels</x:v>
      </x:c>
    </x:row>
    <x:row r="25">
      <x:c r="A25" s="332" t="str">
        <x:v>ONT-021</x:v>
      </x:c>
      <x:c r="B25" s="114" t="str">
        <x:v>Capability dimensions</x:v>
      </x:c>
      <x:c r="C25" s="114" t="str">
        <x:v>Quality and verification</x:v>
      </x:c>
      <x:c r="D25" s="114" t="str">
        <x:v>Produces correct, secure, maintainable and verified outcomes.</x:v>
      </x:c>
      <x:c r="E25" s="114" t="str">
        <x:v>Prevents output without quality from being overcredited.</x:v>
      </x:c>
      <x:c r="F25" s="114" t="str">
        <x:v>Domain Expert</x:v>
      </x:c>
      <x:c r="G25" s="114" t="str">
        <x:v>Draft Complete</x:v>
      </x:c>
      <x:c r="H25" s="114" t="str">
        <x:v>Stage 2</x:v>
      </x:c>
      <x:c r="I25" s="333" t="str">
        <x:v>Engineering standards</x:v>
      </x:c>
    </x:row>
    <x:row r="26">
      <x:c r="A26" s="337" t="str">
        <x:v>ONT-022</x:v>
      </x:c>
      <x:c r="B26" s="338" t="str">
        <x:v>Capability dimensions</x:v>
      </x:c>
      <x:c r="C26" s="338" t="str">
        <x:v>Transfer</x:v>
      </x:c>
      <x:c r="D26" s="338" t="str">
        <x:v>Can apply the capability across tools, domains or contexts rather than only copying a single worked example.</x:v>
      </x:c>
      <x:c r="E26" s="338" t="str">
        <x:v>Differentiates memorised procedure from capability.</x:v>
      </x:c>
      <x:c r="F26" s="338" t="str">
        <x:v>Capability Lead</x:v>
      </x:c>
      <x:c r="G26" s="338" t="str">
        <x:v>Draft Complete</x:v>
      </x:c>
      <x:c r="H26" s="338" t="str">
        <x:v>Stage 2</x:v>
      </x:c>
      <x:c r="I26" s="339" t="str">
        <x:v>Learning transfer principle</x:v>
      </x:c>
    </x:row>
    <x:row r="27">
      <x:c r="A27" s="332" t="str">
        <x:v>ONT-023</x:v>
      </x:c>
      <x:c r="B27" s="114" t="str">
        <x:v>Capability dimensions</x:v>
      </x:c>
      <x:c r="C27" s="114" t="str">
        <x:v>Recovery</x:v>
      </x:c>
      <x:c r="D27" s="114" t="str">
        <x:v>Can detect, explain and recover from mistakes or unexpected results.</x:v>
      </x:c>
      <x:c r="E27" s="114" t="str">
        <x:v>Validates mature capability under uncertainty.</x:v>
      </x:c>
      <x:c r="F27" s="114" t="str">
        <x:v>Capability Lead</x:v>
      </x:c>
      <x:c r="G27" s="114" t="str">
        <x:v>Draft Complete</x:v>
      </x:c>
      <x:c r="H27" s="114" t="str">
        <x:v>Stage 2</x:v>
      </x:c>
      <x:c r="I27" s="333" t="str">
        <x:v>Incident/debugging tasks</x:v>
      </x:c>
    </x:row>
    <x:row r="28">
      <x:c r="A28" s="340" t="str">
        <x:v>ONT-024</x:v>
      </x:c>
      <x:c r="B28" s="341" t="str">
        <x:v>Capability dimensions</x:v>
      </x:c>
      <x:c r="C28" s="341" t="str">
        <x:v>Mentoring</x:v>
      </x:c>
      <x:c r="D28" s="341" t="str">
        <x:v>Can help others perform the capability and improve team standards.</x:v>
      </x:c>
      <x:c r="E28" s="341" t="str">
        <x:v>Supports advanced/mastery levels.</x:v>
      </x:c>
      <x:c r="F28" s="341" t="str">
        <x:v>HR/L&amp;D</x:v>
      </x:c>
      <x:c r="G28" s="341" t="str">
        <x:v>Draft Complete</x:v>
      </x:c>
      <x:c r="H28" s="341" t="str">
        <x:v>Stage 2</x:v>
      </x:c>
      <x:c r="I28" s="342" t="str">
        <x:v>SFIA levels and L&amp;D design</x:v>
      </x:c>
    </x:row>
  </x:sheetData>
  <x:mergeCells>
    <x:mergeCell ref="A1:I1"/>
    <x:mergeCell ref="A2:I2"/>
  </x:mergeCells>
  <x:dataValidations count="1">
    <x:dataValidation type="list" sqref="G5:G28">
      <x:formula1>"Draft Complete,Needs Review,Approved,Deferred"</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26" hidden="0" customWidth="1"/>
    <x:col min="3" max="3" width="20" hidden="0" customWidth="1"/>
    <x:col min="4" max="4" width="50" hidden="0" customWidth="1"/>
    <x:col min="5" max="5" width="48" hidden="0" customWidth="1"/>
    <x:col min="6" max="6" width="28" hidden="0" customWidth="1"/>
    <x:col min="7" max="7" width="34" hidden="0" customWidth="1"/>
    <x:col min="8" max="8" width="40" hidden="0" customWidth="1"/>
    <x:col min="9" max="9" width="44" hidden="0" customWidth="1"/>
    <x:col min="10" max="10" width="12" hidden="0" customWidth="1"/>
    <x:col min="11" max="11" width="18" hidden="0" customWidth="1"/>
    <x:col min="12" max="12" width="32" hidden="0" customWidth="1"/>
  </x:cols>
  <x:sheetData>
    <x:row r="1" ht="30" customHeight="1">
      <x:c r="A1" s="294" t="str">
        <x:v>Stage 2 — Entity Dictionary</x:v>
      </x:c>
      <x:c r="B1" s="294"/>
      <x:c r="C1" s="294"/>
      <x:c r="D1" s="294"/>
      <x:c r="E1" s="294"/>
      <x:c r="F1" s="294"/>
      <x:c r="G1" s="294"/>
      <x:c r="H1" s="294"/>
      <x:c r="I1" s="294"/>
      <x:c r="J1" s="294"/>
      <x:c r="K1" s="294"/>
      <x:c r="L1" s="294"/>
    </x:row>
    <x:row r="2" ht="36" customHeight="1">
      <x:c r="A2" s="298" t="str">
        <x:v>Canonical entities for the Role Capability Contract, Task Execution Contract and evidence ontology. These are logical/domain entities, not necessarily one table per microservice.</x:v>
      </x:c>
      <x:c r="B2" s="298"/>
      <x:c r="C2" s="298"/>
      <x:c r="D2" s="298"/>
      <x:c r="E2" s="298"/>
      <x:c r="F2" s="298"/>
      <x:c r="G2" s="298"/>
      <x:c r="H2" s="298"/>
      <x:c r="I2" s="298"/>
      <x:c r="J2" s="298"/>
      <x:c r="K2" s="298"/>
      <x:c r="L2" s="298"/>
    </x:row>
    <x:row r="4" ht="30" customHeight="1">
      <x:c r="A4" s="310" t="str">
        <x:v>ID</x:v>
      </x:c>
      <x:c r="B4" s="311" t="str">
        <x:v>Entity</x:v>
      </x:c>
      <x:c r="C4" s="311" t="str">
        <x:v>Kind</x:v>
      </x:c>
      <x:c r="D4" s="311" t="str">
        <x:v>Definition</x:v>
      </x:c>
      <x:c r="E4" s="311" t="str">
        <x:v>Key attributes</x:v>
      </x:c>
      <x:c r="F4" s="311" t="str">
        <x:v>System of record</x:v>
      </x:c>
      <x:c r="G4" s="311" t="str">
        <x:v>Implementation contract</x:v>
      </x:c>
      <x:c r="H4" s="311" t="str">
        <x:v>Primary relationships</x:v>
      </x:c>
      <x:c r="I4" s="311" t="str">
        <x:v>Governance rule</x:v>
      </x:c>
      <x:c r="J4" s="311" t="str">
        <x:v>Priority</x:v>
      </x:c>
      <x:c r="K4" s="311" t="str">
        <x:v>Status</x:v>
      </x:c>
      <x:c r="L4" s="312" t="str">
        <x:v>Source / basis</x:v>
      </x:c>
    </x:row>
    <x:row r="5">
      <x:c r="A5" s="329" t="str">
        <x:v>ENT-001</x:v>
      </x:c>
      <x:c r="B5" s="330" t="str">
        <x:v>Role</x:v>
      </x:c>
      <x:c r="C5" s="330" t="str">
        <x:v>Aggregate root</x:v>
      </x:c>
      <x:c r="D5" s="330" t="str">
        <x:v>A named work role family such as Software Engineer or QA Engineer.</x:v>
      </x:c>
      <x:c r="E5" s="330" t="str">
        <x:v>role_id, tenant_id, name, family, domain, active_version_id</x:v>
      </x:c>
      <x:c r="F5" s="330" t="str">
        <x:v>Organisation/Role Service; Capability Domain</x:v>
      </x:c>
      <x:c r="G5" s="330" t="str">
        <x:v>Java entity + PostgreSQL table roles</x:v>
      </x:c>
      <x:c r="H5" s="330" t="str">
        <x:v>RoleVersion</x:v>
      </x:c>
      <x:c r="I5" s="330" t="str">
        <x:v>Role name itself is not a capability level.</x:v>
      </x:c>
      <x:c r="J5" s="330" t="str">
        <x:v>High</x:v>
      </x:c>
      <x:c r="K5" s="330" t="str">
        <x:v>Draft Complete</x:v>
      </x:c>
      <x:c r="L5" s="331" t="str">
        <x:v>SFIA/ESCO/O*NET</x:v>
      </x:c>
    </x:row>
    <x:row r="6">
      <x:c r="A6" s="337" t="str">
        <x:v>ENT-002</x:v>
      </x:c>
      <x:c r="B6" s="338" t="str">
        <x:v>RoleVersion</x:v>
      </x:c>
      <x:c r="C6" s="338" t="str">
        <x:v>Versioned aggregate</x:v>
      </x:c>
      <x:c r="D6" s="338" t="str">
        <x:v>A time-bound structured version of a role with outcomes, responsibilities, capabilities and evidence rubrics.</x:v>
      </x:c>
      <x:c r="E6" s="338" t="str">
        <x:v>role_version_id, role_id, version, effective_from, effective_to, status, approval_workflow_id</x:v>
      </x:c>
      <x:c r="F6" s="338" t="str">
        <x:v>Capability Domain</x:v>
      </x:c>
      <x:c r="G6" s="338" t="str">
        <x:v>Java entity + role_versions</x:v>
      </x:c>
      <x:c r="H6" s="338" t="str">
        <x:v>Role, Responsibility, Outcome, RoleCapabilityRequirement</x:v>
      </x:c>
      <x:c r="I6" s="338" t="str">
        <x:v>Assessment uses the version active at task assignment time.</x:v>
      </x:c>
      <x:c r="J6" s="338" t="str">
        <x:v>Critical</x:v>
      </x:c>
      <x:c r="K6" s="338" t="str">
        <x:v>Draft Complete</x:v>
      </x:c>
      <x:c r="L6" s="339" t="str">
        <x:v>Versioned role governance</x:v>
      </x:c>
    </x:row>
    <x:row r="7">
      <x:c r="A7" s="332" t="str">
        <x:v>ENT-003</x:v>
      </x:c>
      <x:c r="B7" s="114" t="str">
        <x:v>Responsibility</x:v>
      </x:c>
      <x:c r="C7" s="114" t="str">
        <x:v>Child entity</x:v>
      </x:c>
      <x:c r="D7" s="114" t="str">
        <x:v>A recurring area of accountability in a role.</x:v>
      </x:c>
      <x:c r="E7" s="114" t="str">
        <x:v>responsibility_id, role_version_id, statement, domain_area, criticality</x:v>
      </x:c>
      <x:c r="F7" s="114" t="str">
        <x:v>Capability Domain</x:v>
      </x:c>
      <x:c r="G7" s="114" t="str">
        <x:v>role_responsibilities</x:v>
      </x:c>
      <x:c r="H7" s="114" t="str">
        <x:v>RoleVersion, Outcome, Capability</x:v>
      </x:c>
      <x:c r="I7" s="114" t="str">
        <x:v>Must be observable or explicitly marked non-observable.</x:v>
      </x:c>
      <x:c r="J7" s="114" t="str">
        <x:v>High</x:v>
      </x:c>
      <x:c r="K7" s="114" t="str">
        <x:v>Draft Complete</x:v>
      </x:c>
      <x:c r="L7" s="333" t="str">
        <x:v>Job description transformation</x:v>
      </x:c>
    </x:row>
    <x:row r="8">
      <x:c r="A8" s="337" t="str">
        <x:v>ENT-004</x:v>
      </x:c>
      <x:c r="B8" s="338" t="str">
        <x:v>Outcome</x:v>
      </x:c>
      <x:c r="C8" s="338" t="str">
        <x:v>Child entity</x:v>
      </x:c>
      <x:c r="D8" s="338" t="str">
        <x:v>A result the role is expected to produce.</x:v>
      </x:c>
      <x:c r="E8" s="338" t="str">
        <x:v>outcome_id, role_version_id, description, quality_standard, evidence_type</x:v>
      </x:c>
      <x:c r="F8" s="338" t="str">
        <x:v>Capability Domain</x:v>
      </x:c>
      <x:c r="G8" s="338" t="str">
        <x:v>role_outcomes</x:v>
      </x:c>
      <x:c r="H8" s="338" t="str">
        <x:v>RoleVersion, TaskContract</x:v>
      </x:c>
      <x:c r="I8" s="338" t="str">
        <x:v>Outcome must connect to task types or review evidence.</x:v>
      </x:c>
      <x:c r="J8" s="338" t="str">
        <x:v>High</x:v>
      </x:c>
      <x:c r="K8" s="338" t="str">
        <x:v>Draft Complete</x:v>
      </x:c>
      <x:c r="L8" s="339" t="str">
        <x:v>Outcome-based assessment</x:v>
      </x:c>
    </x:row>
    <x:row r="9">
      <x:c r="A9" s="332" t="str">
        <x:v>ENT-005</x:v>
      </x:c>
      <x:c r="B9" s="114" t="str">
        <x:v>Capability</x:v>
      </x:c>
      <x:c r="C9" s="114" t="str">
        <x:v>Reference aggregate</x:v>
      </x:c>
      <x:c r="D9" s="114" t="str">
        <x:v>A demonstrable ability to perform a type of work at defined levels.</x:v>
      </x:c>
      <x:c r="E9" s="114" t="str">
        <x:v>capability_id, domain, name, description, parent_id, version, status</x:v>
      </x:c>
      <x:c r="F9" s="114" t="str">
        <x:v>Capability Domain</x:v>
      </x:c>
      <x:c r="G9" s="114" t="str">
        <x:v>capabilities</x:v>
      </x:c>
      <x:c r="H9" s="114" t="str">
        <x:v>CapabilityLevel, RoleCapabilityRequirement, CapabilityEvidence</x:v>
      </x:c>
      <x:c r="I9" s="114" t="str">
        <x:v>Capabilities are not personality traits.</x:v>
      </x:c>
      <x:c r="J9" s="114" t="str">
        <x:v>Critical</x:v>
      </x:c>
      <x:c r="K9" s="114" t="str">
        <x:v>Draft Complete</x:v>
      </x:c>
      <x:c r="L9" s="333" t="str">
        <x:v>SFIA/ESCO/NICE</x:v>
      </x:c>
    </x:row>
    <x:row r="10">
      <x:c r="A10" s="337" t="str">
        <x:v>ENT-006</x:v>
      </x:c>
      <x:c r="B10" s="338" t="str">
        <x:v>CapabilityLevel</x:v>
      </x:c>
      <x:c r="C10" s="338" t="str">
        <x:v>Reference entity</x:v>
      </x:c>
      <x:c r="D10" s="338" t="str">
        <x:v>Observable level descriptor from 0 Unverified to 5 Mastery.</x:v>
      </x:c>
      <x:c r="E10" s="338" t="str">
        <x:v>level_id, capability_id, level_number, label, descriptors_json</x:v>
      </x:c>
      <x:c r="F10" s="338" t="str">
        <x:v>Capability Domain</x:v>
      </x:c>
      <x:c r="G10" s="338" t="str">
        <x:v>capability_levels</x:v>
      </x:c>
      <x:c r="H10" s="338" t="str">
        <x:v>Capability</x:v>
      </x:c>
      <x:c r="I10" s="338" t="str">
        <x:v>Level requires descriptors for all required dimensions.</x:v>
      </x:c>
      <x:c r="J10" s="338" t="str">
        <x:v>Critical</x:v>
      </x:c>
      <x:c r="K10" s="338" t="str">
        <x:v>Draft Complete</x:v>
      </x:c>
      <x:c r="L10" s="339" t="str">
        <x:v>SFIA/NICE adapted</x:v>
      </x:c>
    </x:row>
    <x:row r="11">
      <x:c r="A11" s="332" t="str">
        <x:v>ENT-007</x:v>
      </x:c>
      <x:c r="B11" s="114" t="str">
        <x:v>BehaviouralIndicator</x:v>
      </x:c>
      <x:c r="C11" s="114" t="str">
        <x:v>Rubric entity</x:v>
      </x:c>
      <x:c r="D11" s="114" t="str">
        <x:v>Observable behaviour showing a capability dimension at a level.</x:v>
      </x:c>
      <x:c r="E11" s="114" t="str">
        <x:v>indicator_id, capability_level_id, dimension, positive_indicator, negative_indicator, evidence_examples</x:v>
      </x:c>
      <x:c r="F11" s="114" t="str">
        <x:v>Capability Domain</x:v>
      </x:c>
      <x:c r="G11" s="114" t="str">
        <x:v>capability_indicators</x:v>
      </x:c>
      <x:c r="H11" s="114" t="str">
        <x:v>CapabilityLevel</x:v>
      </x:c>
      <x:c r="I11" s="114" t="str">
        <x:v>Indicators must be role-relevant and non-discriminatory.</x:v>
      </x:c>
      <x:c r="J11" s="114" t="str">
        <x:v>High</x:v>
      </x:c>
      <x:c r="K11" s="114" t="str">
        <x:v>Draft Complete</x:v>
      </x:c>
      <x:c r="L11" s="333" t="str">
        <x:v>Rubric design</x:v>
      </x:c>
    </x:row>
    <x:row r="12">
      <x:c r="A12" s="337" t="str">
        <x:v>ENT-008</x:v>
      </x:c>
      <x:c r="B12" s="338" t="str">
        <x:v>ToolEnvironment</x:v>
      </x:c>
      <x:c r="C12" s="338" t="str">
        <x:v>Reference entity</x:v>
      </x:c>
      <x:c r="D12" s="338" t="str">
        <x:v>Tool, platform, language, framework, system or environment relevant to tasks or capabilities.</x:v>
      </x:c>
      <x:c r="E12" s="338" t="str">
        <x:v>tool_env_id, type, name, version_range, criticality, evidence_rules</x:v>
      </x:c>
      <x:c r="F12" s="338" t="str">
        <x:v>Capability + Task domains</x:v>
      </x:c>
      <x:c r="G12" s="338" t="str">
        <x:v>tool_environments</x:v>
      </x:c>
      <x:c r="H12" s="338" t="str">
        <x:v>RoleRequirement, TaskContract, EvidenceRequirement</x:v>
      </x:c>
      <x:c r="I12" s="338" t="str">
        <x:v>Tool familiarity is not the same as capability.</x:v>
      </x:c>
      <x:c r="J12" s="338" t="str">
        <x:v>Medium</x:v>
      </x:c>
      <x:c r="K12" s="338" t="str">
        <x:v>Draft Complete</x:v>
      </x:c>
      <x:c r="L12" s="339" t="str">
        <x:v>Software-dev specialisation</x:v>
      </x:c>
    </x:row>
    <x:row r="13">
      <x:c r="A13" s="332" t="str">
        <x:v>ENT-009</x:v>
      </x:c>
      <x:c r="B13" s="114" t="str">
        <x:v>RoleCapabilityRequirement</x:v>
      </x:c>
      <x:c r="C13" s="114" t="str">
        <x:v>Join/rule entity</x:v>
      </x:c>
      <x:c r="D13" s="114" t="str">
        <x:v>Required capability level, evidence and autonomy expectations for a role version.</x:v>
      </x:c>
      <x:c r="E13" s="114" t="str">
        <x:v>requirement_id, role_version_id, capability_id, required_level, autonomy_required, evidence_minimum, review_required</x:v>
      </x:c>
      <x:c r="F13" s="114" t="str">
        <x:v>Capability Domain</x:v>
      </x:c>
      <x:c r="G13" s="114" t="str">
        <x:v>role_capability_requirements</x:v>
      </x:c>
      <x:c r="H13" s="114" t="str">
        <x:v>RoleVersion, Capability</x:v>
      </x:c>
      <x:c r="I13" s="114" t="str">
        <x:v>This creates role requirement; it does not prove employee skill.</x:v>
      </x:c>
      <x:c r="J13" s="114" t="str">
        <x:v>Critical</x:v>
      </x:c>
      <x:c r="K13" s="114" t="str">
        <x:v>Draft Complete</x:v>
      </x:c>
      <x:c r="L13" s="333" t="str">
        <x:v>Core traceability</x:v>
      </x:c>
    </x:row>
    <x:row r="14">
      <x:c r="A14" s="337" t="str">
        <x:v>ENT-010</x:v>
      </x:c>
      <x:c r="B14" s="338" t="str">
        <x:v>PersonCapabilityState</x:v>
      </x:c>
      <x:c r="C14" s="338" t="str">
        <x:v>Aggregate</x:v>
      </x:c>
      <x:c r="D14" s="338" t="str">
        <x:v>Current evidence-backed capability state for a person in a capability.</x:v>
      </x:c>
      <x:c r="E14" s="338" t="str">
        <x:v>state_id, person_id, capability_id, current_level, confidence, consistency, recency, status, reviewer_id</x:v>
      </x:c>
      <x:c r="F14" s="338" t="str">
        <x:v>Capability Domain</x:v>
      </x:c>
      <x:c r="G14" s="338" t="str">
        <x:v>person_capability_states</x:v>
      </x:c>
      <x:c r="H14" s="338" t="str">
        <x:v>CapabilityEvidence, EmployeeClaim, ReviewDecision</x:v>
      </x:c>
      <x:c r="I14" s="338" t="str">
        <x:v>Must show confidence and evidence count.</x:v>
      </x:c>
      <x:c r="J14" s="338" t="str">
        <x:v>Critical</x:v>
      </x:c>
      <x:c r="K14" s="338" t="str">
        <x:v>Draft Complete</x:v>
      </x:c>
      <x:c r="L14" s="339" t="str">
        <x:v>Employee growth model</x:v>
      </x:c>
    </x:row>
    <x:row r="15">
      <x:c r="A15" s="332" t="str">
        <x:v>ENT-011</x:v>
      </x:c>
      <x:c r="B15" s="114" t="str">
        <x:v>EmployeeClaim</x:v>
      </x:c>
      <x:c r="C15" s="114" t="str">
        <x:v>Claim entity</x:v>
      </x:c>
      <x:c r="D15" s="114" t="str">
        <x:v>A self-declared or CV/interview-declared capability or experience claim.</x:v>
      </x:c>
      <x:c r="E15" s="114" t="str">
        <x:v>claim_id, person_id, capability_id, claimed_level, claim_source, claim_status, declared_at</x:v>
      </x:c>
      <x:c r="F15" s="114" t="str">
        <x:v>Capability Domain</x:v>
      </x:c>
      <x:c r="G15" s="114" t="str">
        <x:v>employee_claims</x:v>
      </x:c>
      <x:c r="H15" s="114" t="str">
        <x:v>Person, Capability, CapabilityEvidence</x:v>
      </x:c>
      <x:c r="I15" s="114" t="str">
        <x:v>Claim discrepancy is neutral; not dishonesty.</x:v>
      </x:c>
      <x:c r="J15" s="114" t="str">
        <x:v>Critical</x:v>
      </x:c>
      <x:c r="K15" s="114" t="str">
        <x:v>Draft Complete</x:v>
      </x:c>
      <x:c r="L15" s="333" t="str">
        <x:v>User requirement</x:v>
      </x:c>
    </x:row>
    <x:row r="16">
      <x:c r="A16" s="337" t="str">
        <x:v>ENT-012</x:v>
      </x:c>
      <x:c r="B16" s="338" t="str">
        <x:v>BaselineAssessment</x:v>
      </x:c>
      <x:c r="C16" s="338" t="str">
        <x:v>Assessment aggregate</x:v>
      </x:c>
      <x:c r="D16" s="338" t="str">
        <x:v>Structured initial evaluation before or during onboarding.</x:v>
      </x:c>
      <x:c r="E16" s="338" t="str">
        <x:v>assessment_id, person_id, role_version_id, method, tasks, assessor_id, result_status</x:v>
      </x:c>
      <x:c r="F16" s="338" t="str">
        <x:v>Capability/L&amp;D</x:v>
      </x:c>
      <x:c r="G16" s="338" t="str">
        <x:v>baseline_assessments</x:v>
      </x:c>
      <x:c r="H16" s="338" t="str">
        <x:v>EmployeeClaim, CapabilityEvidence</x:v>
      </x:c>
      <x:c r="I16" s="338" t="str">
        <x:v>Baseline starts a profile but is not permanent.</x:v>
      </x:c>
      <x:c r="J16" s="338" t="str">
        <x:v>High</x:v>
      </x:c>
      <x:c r="K16" s="338" t="str">
        <x:v>Draft Complete</x:v>
      </x:c>
      <x:c r="L16" s="339" t="str">
        <x:v>Onboarding model</x:v>
      </x:c>
    </x:row>
    <x:row r="17">
      <x:c r="A17" s="332" t="str">
        <x:v>ENT-013</x:v>
      </x:c>
      <x:c r="B17" s="114" t="str">
        <x:v>TaskContract</x:v>
      </x:c>
      <x:c r="C17" s="114" t="str">
        <x:v>Versioned aggregate</x:v>
      </x:c>
      <x:c r="D17" s="114" t="str">
        <x:v>Structured execution contract compiled from a HumanOS task.</x:v>
      </x:c>
      <x:c r="E17" s="114" t="str">
        <x:v>task_contract_id, task_id, version, objective, required_capabilities, status, approved_by, effective_at</x:v>
      </x:c>
      <x:c r="F17" s="114" t="str">
        <x:v>Task Assurance Domain</x:v>
      </x:c>
      <x:c r="G17" s="114" t="str">
        <x:v>task_contracts</x:v>
      </x:c>
      <x:c r="H17" s="114" t="str">
        <x:v>HumanOS Task, AcceptanceCriterion, EvidenceRequirement, QualityGate</x:v>
      </x:c>
      <x:c r="I17" s="114" t="str">
        <x:v>No task assurance without contract.</x:v>
      </x:c>
      <x:c r="J17" s="114" t="str">
        <x:v>Critical</x:v>
      </x:c>
      <x:c r="K17" s="114" t="str">
        <x:v>Draft Complete</x:v>
      </x:c>
      <x:c r="L17" s="333" t="str">
        <x:v>Task assurance model</x:v>
      </x:c>
    </x:row>
    <x:row r="18">
      <x:c r="A18" s="337" t="str">
        <x:v>ENT-014</x:v>
      </x:c>
      <x:c r="B18" s="338" t="str">
        <x:v>AcceptanceCriterion</x:v>
      </x:c>
      <x:c r="C18" s="338" t="str">
        <x:v>Child entity</x:v>
      </x:c>
      <x:c r="D18" s="338" t="str">
        <x:v>Specific condition that must be met to consider a task complete.</x:v>
      </x:c>
      <x:c r="E18" s="338" t="str">
        <x:v>criterion_id, task_contract_id, description, verification_method, required_evidence, status</x:v>
      </x:c>
      <x:c r="F18" s="338" t="str">
        <x:v>Task Assurance Domain</x:v>
      </x:c>
      <x:c r="G18" s="338" t="str">
        <x:v>acceptance_criteria</x:v>
      </x:c>
      <x:c r="H18" s="338" t="str">
        <x:v>TaskContract, EvidenceRequirement</x:v>
      </x:c>
      <x:c r="I18" s="338" t="str">
        <x:v>Criteria can be deterministic, reviewer-verified or AI-assisted.</x:v>
      </x:c>
      <x:c r="J18" s="338" t="str">
        <x:v>Critical</x:v>
      </x:c>
      <x:c r="K18" s="338" t="str">
        <x:v>Draft Complete</x:v>
      </x:c>
      <x:c r="L18" s="339" t="str">
        <x:v>Quality gate</x:v>
      </x:c>
    </x:row>
    <x:row r="19">
      <x:c r="A19" s="332" t="str">
        <x:v>ENT-015</x:v>
      </x:c>
      <x:c r="B19" s="114" t="str">
        <x:v>QualityGate</x:v>
      </x:c>
      <x:c r="C19" s="114" t="str">
        <x:v>Child entity</x:v>
      </x:c>
      <x:c r="D19" s="114" t="str">
        <x:v>Required check before completion, such as tests, review, security scan or customer validation.</x:v>
      </x:c>
      <x:c r="E19" s="114" t="str">
        <x:v>quality_gate_id, task_contract_id, gate_type, threshold, owner, blocking</x:v>
      </x:c>
      <x:c r="F19" s="114" t="str">
        <x:v>Task Assurance Domain</x:v>
      </x:c>
      <x:c r="G19" s="114" t="str">
        <x:v>quality_gates</x:v>
      </x:c>
      <x:c r="H19" s="114" t="str">
        <x:v>TaskContract, Artefact</x:v>
      </x:c>
      <x:c r="I19" s="114" t="str">
        <x:v>Gates can block completion when required.</x:v>
      </x:c>
      <x:c r="J19" s="114" t="str">
        <x:v>High</x:v>
      </x:c>
      <x:c r="K19" s="114" t="str">
        <x:v>Draft Complete</x:v>
      </x:c>
      <x:c r="L19" s="333" t="str">
        <x:v>Task quality model</x:v>
      </x:c>
    </x:row>
    <x:row r="20">
      <x:c r="A20" s="337" t="str">
        <x:v>ENT-016</x:v>
      </x:c>
      <x:c r="B20" s="338" t="str">
        <x:v>EvidenceRequirement</x:v>
      </x:c>
      <x:c r="C20" s="338" t="str">
        <x:v>Child entity</x:v>
      </x:c>
      <x:c r="D20" s="338" t="str">
        <x:v>Specifies what evidence proves or supports a criterion or capability.</x:v>
      </x:c>
      <x:c r="E20" s="338" t="str">
        <x:v>evidence_requirement_id, target_type, target_id, evidence_class, minimum_quality, privacy_class</x:v>
      </x:c>
      <x:c r="F20" s="338" t="str">
        <x:v>Task/Capability</x:v>
      </x:c>
      <x:c r="G20" s="338" t="str">
        <x:v>evidence_requirements</x:v>
      </x:c>
      <x:c r="H20" s="338" t="str">
        <x:v>AcceptanceCriterion, RoleRequirement, Capability</x:v>
      </x:c>
      <x:c r="I20" s="338" t="str">
        <x:v>Must state evidence class and minimum reliability.</x:v>
      </x:c>
      <x:c r="J20" s="338" t="str">
        <x:v>Critical</x:v>
      </x:c>
      <x:c r="K20" s="338" t="str">
        <x:v>Draft Complete</x:v>
      </x:c>
      <x:c r="L20" s="339" t="str">
        <x:v>Evidence hierarchy</x:v>
      </x:c>
    </x:row>
    <x:row r="21">
      <x:c r="A21" s="332" t="str">
        <x:v>ENT-017</x:v>
      </x:c>
      <x:c r="B21" s="114" t="str">
        <x:v>WorkEpisode</x:v>
      </x:c>
      <x:c r="C21" s="114" t="str">
        <x:v>Derived entity</x:v>
      </x:c>
      <x:c r="D21" s="114" t="str">
        <x:v>A time-bounded sequence of observed activity classified against a task.</x:v>
      </x:c>
      <x:c r="E21" s="114" t="str">
        <x:v>episode_id, session_id, task_id, start_at, end_at, classification, confidence, evidence_refs</x:v>
      </x:c>
      <x:c r="F21" s="114" t="str">
        <x:v>Evidence &amp; Task AI</x:v>
      </x:c>
      <x:c r="G21" s="114" t="str">
        <x:v>work_episodes</x:v>
      </x:c>
      <x:c r="H21" s="114" t="str">
        <x:v>ActivityEvent, TaskContract</x:v>
      </x:c>
      <x:c r="I21" s="114" t="str">
        <x:v>AI-derived and always challengeable.</x:v>
      </x:c>
      <x:c r="J21" s="114" t="str">
        <x:v>High</x:v>
      </x:c>
      <x:c r="K21" s="114" t="str">
        <x:v>Draft Complete</x:v>
      </x:c>
      <x:c r="L21" s="333" t="str">
        <x:v>Stage 7 dependency</x:v>
      </x:c>
    </x:row>
    <x:row r="22">
      <x:c r="A22" s="337" t="str">
        <x:v>ENT-018</x:v>
      </x:c>
      <x:c r="B22" s="338" t="str">
        <x:v>Artefact</x:v>
      </x:c>
      <x:c r="C22" s="338" t="str">
        <x:v>Evidence entity</x:v>
      </x:c>
      <x:c r="D22" s="338" t="str">
        <x:v>A produced or modified item such as code file, test result, document, build, PR or deployment record.</x:v>
      </x:c>
      <x:c r="E22" s="338" t="str">
        <x:v>artefact_id, type, source_system, uri, hash, classification, created_by_actor</x:v>
      </x:c>
      <x:c r="F22" s="338" t="str">
        <x:v>Evidence Domain</x:v>
      </x:c>
      <x:c r="G22" s="338" t="str">
        <x:v>artefacts</x:v>
      </x:c>
      <x:c r="H22" s="338" t="str">
        <x:v>EvidenceRequirement, CapabilityEvidence</x:v>
      </x:c>
      <x:c r="I22" s="338" t="str">
        <x:v>Artefact may be sensitive; store reference not content where possible.</x:v>
      </x:c>
      <x:c r="J22" s="338" t="str">
        <x:v>Critical</x:v>
      </x:c>
      <x:c r="K22" s="338" t="str">
        <x:v>Draft Complete</x:v>
      </x:c>
      <x:c r="L22" s="339" t="str">
        <x:v>Evidence model</x:v>
      </x:c>
    </x:row>
    <x:row r="23">
      <x:c r="A23" s="332" t="str">
        <x:v>ENT-019</x:v>
      </x:c>
      <x:c r="B23" s="114" t="str">
        <x:v>CapabilityEvidence</x:v>
      </x:c>
      <x:c r="C23" s="114" t="str">
        <x:v>Evidence aggregate</x:v>
      </x:c>
      <x:c r="D23" s="114" t="str">
        <x:v>Qualified evidence item used to update capability state.</x:v>
      </x:c>
      <x:c r="E23" s="114" t="str">
        <x:v>capability_evidence_id, person_id, capability_id, task_id, evidence_refs, score_vector, confidence, reviewer_status</x:v>
      </x:c>
      <x:c r="F23" s="114" t="str">
        <x:v>Capability Domain</x:v>
      </x:c>
      <x:c r="G23" s="114" t="str">
        <x:v>capability_evidence</x:v>
      </x:c>
      <x:c r="H23" s="114" t="str">
        <x:v>Artefact, WorkEpisode, ReviewDecision</x:v>
      </x:c>
      <x:c r="I23" s="114" t="str">
        <x:v>Requires context and lineage.</x:v>
      </x:c>
      <x:c r="J23" s="114" t="str">
        <x:v>Critical</x:v>
      </x:c>
      <x:c r="K23" s="114" t="str">
        <x:v>Draft Complete</x:v>
      </x:c>
      <x:c r="L23" s="333" t="str">
        <x:v>Capability update rule</x:v>
      </x:c>
    </x:row>
    <x:row r="24">
      <x:c r="A24" s="337" t="str">
        <x:v>ENT-020</x:v>
      </x:c>
      <x:c r="B24" s="338" t="str">
        <x:v>Gap</x:v>
      </x:c>
      <x:c r="C24" s="338" t="str">
        <x:v>Derived/review entity</x:v>
      </x:c>
      <x:c r="D24" s="338" t="str">
        <x:v>A potential capability or process gap explaining poor task progress or quality.</x:v>
      </x:c>
      <x:c r="E24" s="338" t="str">
        <x:v>gap_id, person_id, capability_id, task_id, gap_type, severity, confidence, review_status</x:v>
      </x:c>
      <x:c r="F24" s="338" t="str">
        <x:v>Capability/L&amp;D</x:v>
      </x:c>
      <x:c r="G24" s="338" t="str">
        <x:v>gaps</x:v>
      </x:c>
      <x:c r="H24" s="338" t="str">
        <x:v>CapabilityEvidence, TaskAssessment</x:v>
      </x:c>
      <x:c r="I24" s="338" t="str">
        <x:v>Gap is not a permanent label.</x:v>
      </x:c>
      <x:c r="J24" s="338" t="str">
        <x:v>High</x:v>
      </x:c>
      <x:c r="K24" s="338" t="str">
        <x:v>Draft Complete</x:v>
      </x:c>
      <x:c r="L24" s="339" t="str">
        <x:v>Learning loop</x:v>
      </x:c>
    </x:row>
    <x:row r="25">
      <x:c r="A25" s="332" t="str">
        <x:v>ENT-021</x:v>
      </x:c>
      <x:c r="B25" s="114" t="str">
        <x:v>LearningIntervention</x:v>
      </x:c>
      <x:c r="C25" s="114" t="str">
        <x:v>Learning entity</x:v>
      </x:c>
      <x:c r="D25" s="114" t="str">
        <x:v>A coaching, lesson, simulation, practice task or mentor action assigned to address a gap.</x:v>
      </x:c>
      <x:c r="E25" s="114" t="str">
        <x:v>intervention_id, gap_id, type, content_ref, assigned_at, completion_status, outcome_evidence_id</x:v>
      </x:c>
      <x:c r="F25" s="114" t="str">
        <x:v>Learning Domain</x:v>
      </x:c>
      <x:c r="G25" s="114" t="str">
        <x:v>learning_interventions</x:v>
      </x:c>
      <x:c r="H25" s="114" t="str">
        <x:v>Gap, CapabilityEvidence</x:v>
      </x:c>
      <x:c r="I25" s="114" t="str">
        <x:v>Completion does not equal capability improvement.</x:v>
      </x:c>
      <x:c r="J25" s="114" t="str">
        <x:v>High</x:v>
      </x:c>
      <x:c r="K25" s="114" t="str">
        <x:v>Draft Complete</x:v>
      </x:c>
      <x:c r="L25" s="333" t="str">
        <x:v>xAPI-inspired</x:v>
      </x:c>
    </x:row>
    <x:row r="26">
      <x:c r="A26" s="337" t="str">
        <x:v>ENT-022</x:v>
      </x:c>
      <x:c r="B26" s="338" t="str">
        <x:v>ReviewDecision</x:v>
      </x:c>
      <x:c r="C26" s="338" t="str">
        <x:v>Governance entity</x:v>
      </x:c>
      <x:c r="D26" s="338" t="str">
        <x:v>Human decision on an assessment, dispute, capability update or task-completion finding.</x:v>
      </x:c>
      <x:c r="E26" s="338" t="str">
        <x:v>review_decision_id, subject_type, subject_id, reviewer_id, decision, rationale, evidence_refs</x:v>
      </x:c>
      <x:c r="F26" s="338" t="str">
        <x:v>Governance &amp; Review</x:v>
      </x:c>
      <x:c r="G26" s="338" t="str">
        <x:v>review_decisions</x:v>
      </x:c>
      <x:c r="H26" s="338" t="str">
        <x:v>TaskAssessment, CapabilityState, Dispute</x:v>
      </x:c>
      <x:c r="I26" s="338" t="str">
        <x:v>Required for high-impact outcomes.</x:v>
      </x:c>
      <x:c r="J26" s="338" t="str">
        <x:v>Critical</x:v>
      </x:c>
      <x:c r="K26" s="338" t="str">
        <x:v>Draft Complete</x:v>
      </x:c>
      <x:c r="L26" s="339" t="str">
        <x:v>ICO human review</x:v>
      </x:c>
    </x:row>
    <x:row r="27">
      <x:c r="A27" s="334" t="str">
        <x:v>ENT-023</x:v>
      </x:c>
      <x:c r="B27" s="335" t="str">
        <x:v>RoleReadiness</x:v>
      </x:c>
      <x:c r="C27" s="335" t="str">
        <x:v>Derived entity</x:v>
      </x:c>
      <x:c r="D27" s="335" t="str">
        <x:v>Fit/progress state comparing a person's evidence-backed capability to a role version.</x:v>
      </x:c>
      <x:c r="E27" s="335" t="str">
        <x:v>role_readiness_id, person_id, role_version_id, readiness_percent, gaps, status, review_status</x:v>
      </x:c>
      <x:c r="F27" s="335" t="str">
        <x:v>Capability Domain</x:v>
      </x:c>
      <x:c r="G27" s="335" t="str">
        <x:v>role_readiness</x:v>
      </x:c>
      <x:c r="H27" s="335" t="str">
        <x:v>PersonCapabilityState, RoleRequirement</x:v>
      </x:c>
      <x:c r="I27" s="335" t="str">
        <x:v>Developmental in pilot; not automatic employment decision.</x:v>
      </x:c>
      <x:c r="J27" s="335" t="str">
        <x:v>Critical</x:v>
      </x:c>
      <x:c r="K27" s="335" t="str">
        <x:v>Draft Complete</x:v>
      </x:c>
      <x:c r="L27" s="336" t="str">
        <x:v>Role progression</x:v>
      </x:c>
    </x:row>
  </x:sheetData>
  <x:mergeCells>
    <x:mergeCell ref="A1:L1"/>
    <x:mergeCell ref="A2:L2"/>
  </x:mergeCells>
  <x:dataValidations count="2">
    <x:dataValidation type="list" sqref="J5:J27">
      <x:formula1>"Critical,High,Medium,Low"</x:formula1>
    </x:dataValidation>
    <x:dataValidation type="list" sqref="K5:K27">
      <x:formula1>"Draft Complete,Needs Review,Approved,Deferred"</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32" hidden="0" customWidth="1"/>
    <x:col min="5" max="5" width="16" hidden="0" customWidth="1"/>
    <x:col min="6" max="6" width="30" hidden="0" customWidth="1"/>
    <x:col min="7" max="7" width="48" hidden="0" customWidth="1"/>
    <x:col min="8" max="8" width="38" hidden="0" customWidth="1"/>
    <x:col min="9" max="9" width="12" hidden="0" customWidth="1"/>
    <x:col min="10" max="10" width="18" hidden="0" customWidth="1"/>
    <x:col min="11" max="11" width="28" hidden="0" customWidth="1"/>
  </x:cols>
  <x:sheetData>
    <x:row r="1" ht="30" customHeight="1">
      <x:c r="A1" s="294" t="str">
        <x:v>Stage 2 — Relationship Model</x:v>
      </x:c>
      <x:c r="B1" s="294"/>
      <x:c r="C1" s="294"/>
      <x:c r="D1" s="294"/>
      <x:c r="E1" s="294"/>
      <x:c r="F1" s="294"/>
      <x:c r="G1" s="294"/>
      <x:c r="H1" s="294"/>
      <x:c r="I1" s="294"/>
      <x:c r="J1" s="294"/>
      <x:c r="K1" s="294"/>
    </x:row>
    <x:row r="2" ht="36" customHeight="1">
      <x:c r="A2" s="298" t="str">
        <x:v>Traceability model connecting roles, capabilities, task contracts, evidence, learning and review. This is the spine of Role → Task → Evidence → Capability → Readiness.</x:v>
      </x:c>
      <x:c r="B2" s="298"/>
      <x:c r="C2" s="298"/>
      <x:c r="D2" s="298"/>
      <x:c r="E2" s="298"/>
      <x:c r="F2" s="298"/>
      <x:c r="G2" s="298"/>
      <x:c r="H2" s="298"/>
      <x:c r="I2" s="298"/>
      <x:c r="J2" s="298"/>
      <x:c r="K2" s="298"/>
    </x:row>
    <x:row r="4" ht="30" customHeight="1">
      <x:c r="A4" s="310" t="str">
        <x:v>ID</x:v>
      </x:c>
      <x:c r="B4" s="311" t="str">
        <x:v>Subject</x:v>
      </x:c>
      <x:c r="C4" s="311" t="str">
        <x:v>Relationship</x:v>
      </x:c>
      <x:c r="D4" s="311" t="str">
        <x:v>Object</x:v>
      </x:c>
      <x:c r="E4" s="311" t="str">
        <x:v>Cardinality</x:v>
      </x:c>
      <x:c r="F4" s="311" t="str">
        <x:v>Purpose</x:v>
      </x:c>
      <x:c r="G4" s="311" t="str">
        <x:v>Rule / constraint</x:v>
      </x:c>
      <x:c r="H4" s="311" t="str">
        <x:v>Implementation note</x:v>
      </x:c>
      <x:c r="I4" s="311" t="str">
        <x:v>Priority</x:v>
      </x:c>
      <x:c r="J4" s="311" t="str">
        <x:v>Status</x:v>
      </x:c>
      <x:c r="K4" s="312" t="str">
        <x:v>Source / basis</x:v>
      </x:c>
    </x:row>
    <x:row r="5">
      <x:c r="A5" s="329" t="str">
        <x:v>REL-001</x:v>
      </x:c>
      <x:c r="B5" s="330" t="str">
        <x:v>Role</x:v>
      </x:c>
      <x:c r="C5" s="330" t="str">
        <x:v>has versions</x:v>
      </x:c>
      <x:c r="D5" s="330" t="str">
        <x:v>RoleVersion</x:v>
      </x:c>
      <x:c r="E5" s="330" t="str">
        <x:v>1:N</x:v>
      </x:c>
      <x:c r="F5" s="330" t="str">
        <x:v>Role versioning</x:v>
      </x:c>
      <x:c r="G5" s="330" t="str">
        <x:v>Role is stable label; RoleVersion owns current requirements.</x:v>
      </x:c>
      <x:c r="H5" s="330" t="str">
        <x:v>Java FK role_versions.role_id</x:v>
      </x:c>
      <x:c r="I5" s="330" t="str">
        <x:v>Critical</x:v>
      </x:c>
      <x:c r="J5" s="330" t="str">
        <x:v>Draft Complete</x:v>
      </x:c>
      <x:c r="K5" s="331" t="str">
        <x:v>Core domain</x:v>
      </x:c>
    </x:row>
    <x:row r="6">
      <x:c r="A6" s="337" t="str">
        <x:v>REL-002</x:v>
      </x:c>
      <x:c r="B6" s="338" t="str">
        <x:v>RoleVersion</x:v>
      </x:c>
      <x:c r="C6" s="338" t="str">
        <x:v>contains</x:v>
      </x:c>
      <x:c r="D6" s="338" t="str">
        <x:v>Responsibility</x:v>
      </x:c>
      <x:c r="E6" s="338" t="str">
        <x:v>1:N</x:v>
      </x:c>
      <x:c r="F6" s="338" t="str">
        <x:v>Role requirement decomposition</x:v>
      </x:c>
      <x:c r="G6" s="338" t="str">
        <x:v>Responsibilities must trace to outcomes or capabilities.</x:v>
      </x:c>
      <x:c r="H6" s="338" t="str">
        <x:v>role_responsibilities.role_version_id</x:v>
      </x:c>
      <x:c r="I6" s="338" t="str">
        <x:v>High</x:v>
      </x:c>
      <x:c r="J6" s="338" t="str">
        <x:v>Draft Complete</x:v>
      </x:c>
      <x:c r="K6" s="339" t="str"/>
    </x:row>
    <x:row r="7">
      <x:c r="A7" s="332" t="str">
        <x:v>REL-003</x:v>
      </x:c>
      <x:c r="B7" s="114" t="str">
        <x:v>RoleVersion</x:v>
      </x:c>
      <x:c r="C7" s="114" t="str">
        <x:v>expects</x:v>
      </x:c>
      <x:c r="D7" s="114" t="str">
        <x:v>Outcome</x:v>
      </x:c>
      <x:c r="E7" s="114" t="str">
        <x:v>1:N</x:v>
      </x:c>
      <x:c r="F7" s="114" t="str">
        <x:v>Outcome basis</x:v>
      </x:c>
      <x:c r="G7" s="114" t="str">
        <x:v>Outcomes can link to task templates and review standards.</x:v>
      </x:c>
      <x:c r="H7" s="114" t="str">
        <x:v>role_outcomes.role_version_id</x:v>
      </x:c>
      <x:c r="I7" s="114" t="str">
        <x:v>High</x:v>
      </x:c>
      <x:c r="J7" s="114" t="str">
        <x:v>Draft Complete</x:v>
      </x:c>
      <x:c r="K7" s="333" t="str"/>
    </x:row>
    <x:row r="8">
      <x:c r="A8" s="337" t="str">
        <x:v>REL-004</x:v>
      </x:c>
      <x:c r="B8" s="338" t="str">
        <x:v>RoleVersion</x:v>
      </x:c>
      <x:c r="C8" s="338" t="str">
        <x:v>requires</x:v>
      </x:c>
      <x:c r="D8" s="338" t="str">
        <x:v>Capability via RoleCapabilityRequirement</x:v>
      </x:c>
      <x:c r="E8" s="338" t="str">
        <x:v>M:N</x:v>
      </x:c>
      <x:c r="F8" s="338" t="str">
        <x:v>Capability requirement</x:v>
      </x:c>
      <x:c r="G8" s="338" t="str">
        <x:v>Creates required level and evidence rule.</x:v>
      </x:c>
      <x:c r="H8" s="338" t="str">
        <x:v>role_capability_requirements</x:v>
      </x:c>
      <x:c r="I8" s="338" t="str">
        <x:v>Critical</x:v>
      </x:c>
      <x:c r="J8" s="338" t="str">
        <x:v>Draft Complete</x:v>
      </x:c>
      <x:c r="K8" s="339" t="str"/>
    </x:row>
    <x:row r="9">
      <x:c r="A9" s="332" t="str">
        <x:v>REL-005</x:v>
      </x:c>
      <x:c r="B9" s="114" t="str">
        <x:v>Capability</x:v>
      </x:c>
      <x:c r="C9" s="114" t="str">
        <x:v>has levels</x:v>
      </x:c>
      <x:c r="D9" s="114" t="str">
        <x:v>CapabilityLevel</x:v>
      </x:c>
      <x:c r="E9" s="114" t="str">
        <x:v>1:N</x:v>
      </x:c>
      <x:c r="F9" s="114" t="str">
        <x:v>Rubric</x:v>
      </x:c>
      <x:c r="G9" s="114" t="str">
        <x:v>Each level has observable descriptors and indicators.</x:v>
      </x:c>
      <x:c r="H9" s="114" t="str">
        <x:v>capability_levels.capability_id</x:v>
      </x:c>
      <x:c r="I9" s="114" t="str">
        <x:v>Critical</x:v>
      </x:c>
      <x:c r="J9" s="114" t="str">
        <x:v>Draft Complete</x:v>
      </x:c>
      <x:c r="K9" s="333" t="str"/>
    </x:row>
    <x:row r="10">
      <x:c r="A10" s="337" t="str">
        <x:v>REL-006</x:v>
      </x:c>
      <x:c r="B10" s="338" t="str">
        <x:v>CapabilityLevel</x:v>
      </x:c>
      <x:c r="C10" s="338" t="str">
        <x:v>has</x:v>
      </x:c>
      <x:c r="D10" s="338" t="str">
        <x:v>BehaviouralIndicator</x:v>
      </x:c>
      <x:c r="E10" s="338" t="str">
        <x:v>1:N</x:v>
      </x:c>
      <x:c r="F10" s="338" t="str">
        <x:v>Assessment detail</x:v>
      </x:c>
      <x:c r="G10" s="338" t="str">
        <x:v>Indicators are evidence prompts, not deterministic proof alone.</x:v>
      </x:c>
      <x:c r="H10" s="338" t="str">
        <x:v>capability_indicators.level_id</x:v>
      </x:c>
      <x:c r="I10" s="338" t="str">
        <x:v>High</x:v>
      </x:c>
      <x:c r="J10" s="338" t="str">
        <x:v>Draft Complete</x:v>
      </x:c>
      <x:c r="K10" s="339" t="str"/>
    </x:row>
    <x:row r="11">
      <x:c r="A11" s="332" t="str">
        <x:v>REL-007</x:v>
      </x:c>
      <x:c r="B11" s="114" t="str">
        <x:v>Person</x:v>
      </x:c>
      <x:c r="C11" s="114" t="str">
        <x:v>declares</x:v>
      </x:c>
      <x:c r="D11" s="114" t="str">
        <x:v>EmployeeClaim</x:v>
      </x:c>
      <x:c r="E11" s="114" t="str">
        <x:v>1:N</x:v>
      </x:c>
      <x:c r="F11" s="114" t="str">
        <x:v>Claim capture</x:v>
      </x:c>
      <x:c r="G11" s="114" t="str">
        <x:v>Claim remains a claim until evidence changes status.</x:v>
      </x:c>
      <x:c r="H11" s="114" t="str">
        <x:v>employee_claims.person_id</x:v>
      </x:c>
      <x:c r="I11" s="114" t="str">
        <x:v>Critical</x:v>
      </x:c>
      <x:c r="J11" s="114" t="str">
        <x:v>Draft Complete</x:v>
      </x:c>
      <x:c r="K11" s="333" t="str"/>
    </x:row>
    <x:row r="12">
      <x:c r="A12" s="337" t="str">
        <x:v>REL-008</x:v>
      </x:c>
      <x:c r="B12" s="338" t="str">
        <x:v>EmployeeClaim</x:v>
      </x:c>
      <x:c r="C12" s="338" t="str">
        <x:v>references</x:v>
      </x:c>
      <x:c r="D12" s="338" t="str">
        <x:v>Capability</x:v>
      </x:c>
      <x:c r="E12" s="338" t="str">
        <x:v>N:1</x:v>
      </x:c>
      <x:c r="F12" s="338" t="str">
        <x:v>Claim capability mapping</x:v>
      </x:c>
      <x:c r="G12" s="338" t="str">
        <x:v>Unmapped claims require taxonomy review.</x:v>
      </x:c>
      <x:c r="H12" s="338" t="str">
        <x:v>employee_claims.capability_id</x:v>
      </x:c>
      <x:c r="I12" s="338" t="str">
        <x:v>High</x:v>
      </x:c>
      <x:c r="J12" s="338" t="str">
        <x:v>Draft Complete</x:v>
      </x:c>
      <x:c r="K12" s="339" t="str"/>
    </x:row>
    <x:row r="13">
      <x:c r="A13" s="332" t="str">
        <x:v>REL-009</x:v>
      </x:c>
      <x:c r="B13" s="114" t="str">
        <x:v>BaselineAssessment</x:v>
      </x:c>
      <x:c r="C13" s="114" t="str">
        <x:v>produces</x:v>
      </x:c>
      <x:c r="D13" s="114" t="str">
        <x:v>CapabilityEvidence</x:v>
      </x:c>
      <x:c r="E13" s="114" t="str">
        <x:v>1:N</x:v>
      </x:c>
      <x:c r="F13" s="114" t="str">
        <x:v>Initial evidence</x:v>
      </x:c>
      <x:c r="G13" s="114" t="str">
        <x:v>Baseline evidence has lower weight until confirmed in live work.</x:v>
      </x:c>
      <x:c r="H13" s="114" t="str">
        <x:v>capability_evidence.assessment_id nullable</x:v>
      </x:c>
      <x:c r="I13" s="114" t="str">
        <x:v>High</x:v>
      </x:c>
      <x:c r="J13" s="114" t="str">
        <x:v>Draft Complete</x:v>
      </x:c>
      <x:c r="K13" s="333" t="str"/>
    </x:row>
    <x:row r="14">
      <x:c r="A14" s="337" t="str">
        <x:v>REL-010</x:v>
      </x:c>
      <x:c r="B14" s="338" t="str">
        <x:v>HumanOS Task</x:v>
      </x:c>
      <x:c r="C14" s="338" t="str">
        <x:v>compiled into</x:v>
      </x:c>
      <x:c r="D14" s="338" t="str">
        <x:v>TaskContract</x:v>
      </x:c>
      <x:c r="E14" s="338" t="str">
        <x:v>1:N versions</x:v>
      </x:c>
      <x:c r="F14" s="338" t="str">
        <x:v>Task assurance</x:v>
      </x:c>
      <x:c r="G14" s="338" t="str">
        <x:v>Assessment uses active contract version.</x:v>
      </x:c>
      <x:c r="H14" s="338" t="str">
        <x:v>task_contracts.task_id</x:v>
      </x:c>
      <x:c r="I14" s="338" t="str">
        <x:v>Critical</x:v>
      </x:c>
      <x:c r="J14" s="338" t="str">
        <x:v>Draft Complete</x:v>
      </x:c>
      <x:c r="K14" s="339" t="str"/>
    </x:row>
    <x:row r="15">
      <x:c r="A15" s="332" t="str">
        <x:v>REL-011</x:v>
      </x:c>
      <x:c r="B15" s="114" t="str">
        <x:v>TaskContract</x:v>
      </x:c>
      <x:c r="C15" s="114" t="str">
        <x:v>contains</x:v>
      </x:c>
      <x:c r="D15" s="114" t="str">
        <x:v>AcceptanceCriterion</x:v>
      </x:c>
      <x:c r="E15" s="114" t="str">
        <x:v>1:N</x:v>
      </x:c>
      <x:c r="F15" s="114" t="str">
        <x:v>Completion criteria</x:v>
      </x:c>
      <x:c r="G15" s="114" t="str">
        <x:v>Criterion must define verification method.</x:v>
      </x:c>
      <x:c r="H15" s="114" t="str">
        <x:v>acceptance_criteria.task_contract_id</x:v>
      </x:c>
      <x:c r="I15" s="114" t="str">
        <x:v>Critical</x:v>
      </x:c>
      <x:c r="J15" s="114" t="str">
        <x:v>Draft Complete</x:v>
      </x:c>
      <x:c r="K15" s="333" t="str"/>
    </x:row>
    <x:row r="16">
      <x:c r="A16" s="337" t="str">
        <x:v>REL-012</x:v>
      </x:c>
      <x:c r="B16" s="338" t="str">
        <x:v>TaskContract</x:v>
      </x:c>
      <x:c r="C16" s="338" t="str">
        <x:v>requires</x:v>
      </x:c>
      <x:c r="D16" s="338" t="str">
        <x:v>Capability</x:v>
      </x:c>
      <x:c r="E16" s="338" t="str">
        <x:v>M:N</x:v>
      </x:c>
      <x:c r="F16" s="338" t="str">
        <x:v>Capability trace</x:v>
      </x:c>
      <x:c r="G16" s="338" t="str">
        <x:v>Required capability does not imply evidence will be produced.</x:v>
      </x:c>
      <x:c r="H16" s="338" t="str">
        <x:v>task_required_capabilities</x:v>
      </x:c>
      <x:c r="I16" s="338" t="str">
        <x:v>Critical</x:v>
      </x:c>
      <x:c r="J16" s="338" t="str">
        <x:v>Draft Complete</x:v>
      </x:c>
      <x:c r="K16" s="339" t="str"/>
    </x:row>
    <x:row r="17">
      <x:c r="A17" s="332" t="str">
        <x:v>REL-013</x:v>
      </x:c>
      <x:c r="B17" s="114" t="str">
        <x:v>AcceptanceCriterion</x:v>
      </x:c>
      <x:c r="C17" s="114" t="str">
        <x:v>requires</x:v>
      </x:c>
      <x:c r="D17" s="114" t="str">
        <x:v>EvidenceRequirement</x:v>
      </x:c>
      <x:c r="E17" s="114" t="str">
        <x:v>1:N</x:v>
      </x:c>
      <x:c r="F17" s="114" t="str">
        <x:v>Evidence rule</x:v>
      </x:c>
      <x:c r="G17" s="114" t="str">
        <x:v>Criteria with no evidence requirement are not machine-assessable.</x:v>
      </x:c>
      <x:c r="H17" s="114" t="str">
        <x:v>evidence_requirements.target_type/id</x:v>
      </x:c>
      <x:c r="I17" s="114" t="str">
        <x:v>Critical</x:v>
      </x:c>
      <x:c r="J17" s="114" t="str">
        <x:v>Draft Complete</x:v>
      </x:c>
      <x:c r="K17" s="333" t="str"/>
    </x:row>
    <x:row r="18">
      <x:c r="A18" s="337" t="str">
        <x:v>REL-014</x:v>
      </x:c>
      <x:c r="B18" s="338" t="str">
        <x:v>QualityGate</x:v>
      </x:c>
      <x:c r="C18" s="338" t="str">
        <x:v>blocks or supports</x:v>
      </x:c>
      <x:c r="D18" s="338" t="str">
        <x:v>TaskContract completion</x:v>
      </x:c>
      <x:c r="E18" s="338" t="str">
        <x:v>N:1</x:v>
      </x:c>
      <x:c r="F18" s="338" t="str">
        <x:v>Completion state</x:v>
      </x:c>
      <x:c r="G18" s="338" t="str">
        <x:v>Blocking gates prevent verified completion.</x:v>
      </x:c>
      <x:c r="H18" s="338" t="str">
        <x:v>quality_gates.task_contract_id</x:v>
      </x:c>
      <x:c r="I18" s="338" t="str">
        <x:v>High</x:v>
      </x:c>
      <x:c r="J18" s="338" t="str">
        <x:v>Draft Complete</x:v>
      </x:c>
      <x:c r="K18" s="339" t="str"/>
    </x:row>
    <x:row r="19">
      <x:c r="A19" s="332" t="str">
        <x:v>REL-015</x:v>
      </x:c>
      <x:c r="B19" s="114" t="str">
        <x:v>ActivityEvent</x:v>
      </x:c>
      <x:c r="C19" s="114" t="str">
        <x:v>groups into</x:v>
      </x:c>
      <x:c r="D19" s="114" t="str">
        <x:v>WorkEpisode</x:v>
      </x:c>
      <x:c r="E19" s="114" t="str">
        <x:v>N:1 derived</x:v>
      </x:c>
      <x:c r="F19" s="114" t="str">
        <x:v>Episode segmentation</x:v>
      </x:c>
      <x:c r="G19" s="114" t="str">
        <x:v>Episodes are derived and challengeable.</x:v>
      </x:c>
      <x:c r="H19" s="114" t="str">
        <x:v>episode_event_links</x:v>
      </x:c>
      <x:c r="I19" s="114" t="str">
        <x:v>High</x:v>
      </x:c>
      <x:c r="J19" s="114" t="str">
        <x:v>Draft Complete</x:v>
      </x:c>
      <x:c r="K19" s="333" t="str">
        <x:v>Stage 7</x:v>
      </x:c>
    </x:row>
    <x:row r="20">
      <x:c r="A20" s="337" t="str">
        <x:v>REL-016</x:v>
      </x:c>
      <x:c r="B20" s="338" t="str">
        <x:v>WorkEpisode</x:v>
      </x:c>
      <x:c r="C20" s="338" t="str">
        <x:v>aligned to</x:v>
      </x:c>
      <x:c r="D20" s="338" t="str">
        <x:v>TaskContract</x:v>
      </x:c>
      <x:c r="E20" s="338" t="str">
        <x:v>N:1</x:v>
      </x:c>
      <x:c r="F20" s="338" t="str">
        <x:v>Task alignment</x:v>
      </x:c>
      <x:c r="G20" s="338" t="str">
        <x:v>May be on-task, supporting, blocked, unrelated or insufficient evidence.</x:v>
      </x:c>
      <x:c r="H20" s="338" t="str">
        <x:v>work_episodes.task_contract_id</x:v>
      </x:c>
      <x:c r="I20" s="338" t="str">
        <x:v>High</x:v>
      </x:c>
      <x:c r="J20" s="338" t="str">
        <x:v>Draft Complete</x:v>
      </x:c>
      <x:c r="K20" s="339" t="str"/>
    </x:row>
    <x:row r="21">
      <x:c r="A21" s="332" t="str">
        <x:v>REL-017</x:v>
      </x:c>
      <x:c r="B21" s="114" t="str">
        <x:v>Artefact</x:v>
      </x:c>
      <x:c r="C21" s="114" t="str">
        <x:v>satisfies</x:v>
      </x:c>
      <x:c r="D21" s="114" t="str">
        <x:v>EvidenceRequirement</x:v>
      </x:c>
      <x:c r="E21" s="114" t="str">
        <x:v>M:N</x:v>
      </x:c>
      <x:c r="F21" s="114" t="str">
        <x:v>Evidence satisfaction</x:v>
      </x:c>
      <x:c r="G21" s="114" t="str">
        <x:v>Evidence can satisfy a criterion with confidence and review status.</x:v>
      </x:c>
      <x:c r="H21" s="114" t="str">
        <x:v>evidence_satisfactions</x:v>
      </x:c>
      <x:c r="I21" s="114" t="str">
        <x:v>Critical</x:v>
      </x:c>
      <x:c r="J21" s="114" t="str">
        <x:v>Draft Complete</x:v>
      </x:c>
      <x:c r="K21" s="333" t="str"/>
    </x:row>
    <x:row r="22">
      <x:c r="A22" s="337" t="str">
        <x:v>REL-018</x:v>
      </x:c>
      <x:c r="B22" s="338" t="str">
        <x:v>WorkEpisode</x:v>
      </x:c>
      <x:c r="C22" s="338" t="str">
        <x:v>contributes to</x:v>
      </x:c>
      <x:c r="D22" s="338" t="str">
        <x:v>CapabilityEvidence</x:v>
      </x:c>
      <x:c r="E22" s="338" t="str">
        <x:v>M:N</x:v>
      </x:c>
      <x:c r="F22" s="338" t="str">
        <x:v>Capability support</x:v>
      </x:c>
      <x:c r="G22" s="338" t="str">
        <x:v>Episode alone is insufficient; outcome/artefact evidence preferred.</x:v>
      </x:c>
      <x:c r="H22" s="338" t="str">
        <x:v>capability_evidence_refs</x:v>
      </x:c>
      <x:c r="I22" s="338" t="str">
        <x:v>High</x:v>
      </x:c>
      <x:c r="J22" s="338" t="str">
        <x:v>Draft Complete</x:v>
      </x:c>
      <x:c r="K22" s="339" t="str"/>
    </x:row>
    <x:row r="23">
      <x:c r="A23" s="332" t="str">
        <x:v>REL-019</x:v>
      </x:c>
      <x:c r="B23" s="114" t="str">
        <x:v>CapabilityEvidence</x:v>
      </x:c>
      <x:c r="C23" s="114" t="str">
        <x:v>updates</x:v>
      </x:c>
      <x:c r="D23" s="114" t="str">
        <x:v>PersonCapabilityState</x:v>
      </x:c>
      <x:c r="E23" s="114" t="str">
        <x:v>N:1</x:v>
      </x:c>
      <x:c r="F23" s="114" t="str">
        <x:v>Capability state update</x:v>
      </x:c>
      <x:c r="G23" s="114" t="str">
        <x:v>Update requires scoring, thresholds and review status.</x:v>
      </x:c>
      <x:c r="H23" s="114" t="str">
        <x:v>person_capability_states</x:v>
      </x:c>
      <x:c r="I23" s="114" t="str">
        <x:v>Critical</x:v>
      </x:c>
      <x:c r="J23" s="114" t="str">
        <x:v>Draft Complete</x:v>
      </x:c>
      <x:c r="K23" s="333" t="str"/>
    </x:row>
    <x:row r="24">
      <x:c r="A24" s="337" t="str">
        <x:v>REL-020</x:v>
      </x:c>
      <x:c r="B24" s="338" t="str">
        <x:v>CapabilityEvidence</x:v>
      </x:c>
      <x:c r="C24" s="338" t="str">
        <x:v>may confirm/challenge</x:v>
      </x:c>
      <x:c r="D24" s="338" t="str">
        <x:v>EmployeeClaim</x:v>
      </x:c>
      <x:c r="E24" s="338" t="str">
        <x:v>N:M</x:v>
      </x:c>
      <x:c r="F24" s="338" t="str">
        <x:v>Claim reconciliation</x:v>
      </x:c>
      <x:c r="G24" s="338" t="str">
        <x:v>Discrepancy must be neutral and context-aware.</x:v>
      </x:c>
      <x:c r="H24" s="338" t="str">
        <x:v>claim_evidence_links</x:v>
      </x:c>
      <x:c r="I24" s="338" t="str">
        <x:v>Critical</x:v>
      </x:c>
      <x:c r="J24" s="338" t="str">
        <x:v>Draft Complete</x:v>
      </x:c>
      <x:c r="K24" s="339" t="str"/>
    </x:row>
    <x:row r="25">
      <x:c r="A25" s="332" t="str">
        <x:v>REL-021</x:v>
      </x:c>
      <x:c r="B25" s="114" t="str">
        <x:v>Gap</x:v>
      </x:c>
      <x:c r="C25" s="114" t="str">
        <x:v>is inferred from</x:v>
      </x:c>
      <x:c r="D25" s="114" t="str">
        <x:v>TaskAssessment/CapabilityEvidence</x:v>
      </x:c>
      <x:c r="E25" s="114" t="str">
        <x:v>N:1</x:v>
      </x:c>
      <x:c r="F25" s="114" t="str">
        <x:v>Gap diagnosis</x:v>
      </x:c>
      <x:c r="G25" s="114" t="str">
        <x:v>Gap requires cause classification and review when high-impact.</x:v>
      </x:c>
      <x:c r="H25" s="114" t="str">
        <x:v>gaps.task_assessment_id</x:v>
      </x:c>
      <x:c r="I25" s="114" t="str">
        <x:v>High</x:v>
      </x:c>
      <x:c r="J25" s="114" t="str">
        <x:v>Draft Complete</x:v>
      </x:c>
      <x:c r="K25" s="333" t="str"/>
    </x:row>
    <x:row r="26">
      <x:c r="A26" s="337" t="str">
        <x:v>REL-022</x:v>
      </x:c>
      <x:c r="B26" s="338" t="str">
        <x:v>Gap</x:v>
      </x:c>
      <x:c r="C26" s="338" t="str">
        <x:v>triggers</x:v>
      </x:c>
      <x:c r="D26" s="338" t="str">
        <x:v>LearningIntervention</x:v>
      </x:c>
      <x:c r="E26" s="338" t="str">
        <x:v>1:N</x:v>
      </x:c>
      <x:c r="F26" s="338" t="str">
        <x:v>Learning loop</x:v>
      </x:c>
      <x:c r="G26" s="338" t="str">
        <x:v>Intervention chosen by gap type, severity and employee context.</x:v>
      </x:c>
      <x:c r="H26" s="338" t="str">
        <x:v>learning_interventions.gap_id</x:v>
      </x:c>
      <x:c r="I26" s="338" t="str">
        <x:v>High</x:v>
      </x:c>
      <x:c r="J26" s="338" t="str">
        <x:v>Draft Complete</x:v>
      </x:c>
      <x:c r="K26" s="339" t="str"/>
    </x:row>
    <x:row r="27">
      <x:c r="A27" s="332" t="str">
        <x:v>REL-023</x:v>
      </x:c>
      <x:c r="B27" s="114" t="str">
        <x:v>LearningIntervention</x:v>
      </x:c>
      <x:c r="C27" s="114" t="str">
        <x:v>requires applied proof through</x:v>
      </x:c>
      <x:c r="D27" s="114" t="str">
        <x:v>CapabilityEvidence</x:v>
      </x:c>
      <x:c r="E27" s="114" t="str">
        <x:v>N:1 optional</x:v>
      </x:c>
      <x:c r="F27" s="114" t="str">
        <x:v>Applied learning</x:v>
      </x:c>
      <x:c r="G27" s="114" t="str">
        <x:v>Completion cannot raise level unless subsequent evidence supports it.</x:v>
      </x:c>
      <x:c r="H27" s="114" t="str">
        <x:v>learning_interventions.outcome_evidence_id</x:v>
      </x:c>
      <x:c r="I27" s="114" t="str">
        <x:v>Critical</x:v>
      </x:c>
      <x:c r="J27" s="114" t="str">
        <x:v>Draft Complete</x:v>
      </x:c>
      <x:c r="K27" s="333" t="str"/>
    </x:row>
    <x:row r="28">
      <x:c r="A28" s="337" t="str">
        <x:v>REL-024</x:v>
      </x:c>
      <x:c r="B28" s="338" t="str">
        <x:v>ReviewDecision</x:v>
      </x:c>
      <x:c r="C28" s="338" t="str">
        <x:v>governs</x:v>
      </x:c>
      <x:c r="D28" s="338" t="str">
        <x:v>TaskAssessment/CapabilityState/Gaps/Disputes</x:v>
      </x:c>
      <x:c r="E28" s="338" t="str">
        <x:v>N:M</x:v>
      </x:c>
      <x:c r="F28" s="338" t="str">
        <x:v>Human review</x:v>
      </x:c>
      <x:c r="G28" s="338" t="str">
        <x:v>High-impact changes require review decision and rationale.</x:v>
      </x:c>
      <x:c r="H28" s="338" t="str">
        <x:v>review_subject_links</x:v>
      </x:c>
      <x:c r="I28" s="338" t="str">
        <x:v>Critical</x:v>
      </x:c>
      <x:c r="J28" s="338" t="str">
        <x:v>Draft Complete</x:v>
      </x:c>
      <x:c r="K28" s="339" t="str"/>
    </x:row>
    <x:row r="29">
      <x:c r="A29" s="334" t="str">
        <x:v>REL-025</x:v>
      </x:c>
      <x:c r="B29" s="335" t="str">
        <x:v>RoleReadiness</x:v>
      </x:c>
      <x:c r="C29" s="335" t="str">
        <x:v>compares</x:v>
      </x:c>
      <x:c r="D29" s="335" t="str">
        <x:v>PersonCapabilityState to RoleCapabilityRequirement</x:v>
      </x:c>
      <x:c r="E29" s="335" t="str">
        <x:v>Derived M:N</x:v>
      </x:c>
      <x:c r="F29" s="335" t="str">
        <x:v>Role fit/progression</x:v>
      </x:c>
      <x:c r="G29" s="335" t="str">
        <x:v>Readiness is developmental unless HR policy approves other use.</x:v>
      </x:c>
      <x:c r="H29" s="335" t="str">
        <x:v>materialized view or table</x:v>
      </x:c>
      <x:c r="I29" s="335" t="str">
        <x:v>Critical</x:v>
      </x:c>
      <x:c r="J29" s="335" t="str">
        <x:v>Draft Complete</x:v>
      </x:c>
      <x:c r="K29" s="336" t="str"/>
    </x:row>
  </x:sheetData>
  <x:mergeCells>
    <x:mergeCell ref="A1:K1"/>
    <x:mergeCell ref="A2:K2"/>
  </x:mergeCells>
  <x:dataValidations count="2">
    <x:dataValidation type="list" sqref="I5:I29">
      <x:formula1>"Critical,High,Medium,Low"</x:formula1>
    </x:dataValidation>
    <x:dataValidation type="list" sqref="J5:J29">
      <x:formula1>"Draft Complete,Needs Review,Approved,Deferred"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8" hidden="0" customWidth="1"/>
    <x:col min="3" max="3" width="16" hidden="0" customWidth="1"/>
    <x:col min="4" max="4" width="36" hidden="0" customWidth="1"/>
    <x:col min="5" max="5" width="36" hidden="0" customWidth="1"/>
    <x:col min="6" max="6" width="42" hidden="0" customWidth="1"/>
    <x:col min="7" max="7" width="30" hidden="0" customWidth="1"/>
    <x:col min="8" max="8" width="36" hidden="0" customWidth="1"/>
    <x:col min="9" max="9" width="38" hidden="0" customWidth="1"/>
    <x:col min="10" max="10" width="36" hidden="0" customWidth="1"/>
    <x:col min="11" max="11" width="36" hidden="0" customWidth="1"/>
    <x:col min="12" max="12" width="34" hidden="0" customWidth="1"/>
    <x:col min="13" max="13" width="34" hidden="0" customWidth="1"/>
    <x:col min="14" max="14" width="42" hidden="0" customWidth="1"/>
    <x:col min="15" max="15" width="18" hidden="0" customWidth="1"/>
  </x:cols>
  <x:sheetData>
    <x:row r="1" ht="30" customHeight="1">
      <x:c r="A1" s="294" t="str">
        <x:v>Stage 2 — Capability-Level Rubric</x:v>
      </x:c>
      <x:c r="B1" s="294"/>
      <x:c r="C1" s="294"/>
      <x:c r="D1" s="294"/>
      <x:c r="E1" s="294"/>
      <x:c r="F1" s="294"/>
      <x:c r="G1" s="294"/>
      <x:c r="H1" s="294"/>
      <x:c r="I1" s="294"/>
      <x:c r="J1" s="294"/>
      <x:c r="K1" s="294"/>
      <x:c r="L1" s="294"/>
      <x:c r="M1" s="294"/>
      <x:c r="N1" s="294"/>
      <x:c r="O1" s="294"/>
    </x:row>
    <x:row r="2" ht="36" customHeight="1">
      <x:c r="A2" s="298" t="str">
        <x:v>Observable developmental levels for every capability. Levels are evidence-backed, confidence-scored and contextual; they are not personality traits or permanent labels.</x:v>
      </x:c>
      <x:c r="B2" s="298"/>
      <x:c r="C2" s="298"/>
      <x:c r="D2" s="298"/>
      <x:c r="E2" s="298"/>
      <x:c r="F2" s="298"/>
      <x:c r="G2" s="298"/>
      <x:c r="H2" s="298"/>
      <x:c r="I2" s="298"/>
      <x:c r="J2" s="298"/>
      <x:c r="K2" s="298"/>
      <x:c r="L2" s="298"/>
      <x:c r="M2" s="298"/>
      <x:c r="N2" s="298"/>
      <x:c r="O2" s="298"/>
    </x:row>
    <x:row r="4" ht="30" customHeight="1">
      <x:c r="A4" s="310" t="str">
        <x:v>ID</x:v>
      </x:c>
      <x:c r="B4" s="311" t="str">
        <x:v>Level</x:v>
      </x:c>
      <x:c r="C4" s="311" t="str">
        <x:v>Label</x:v>
      </x:c>
      <x:c r="D4" s="311" t="str">
        <x:v>Summary</x:v>
      </x:c>
      <x:c r="E4" s="311" t="str">
        <x:v>Knowledge</x:v>
      </x:c>
      <x:c r="F4" s="311" t="str">
        <x:v>Execution</x:v>
      </x:c>
      <x:c r="G4" s="311" t="str">
        <x:v>Autonomy</x:v>
      </x:c>
      <x:c r="H4" s="311" t="str">
        <x:v>Complexity</x:v>
      </x:c>
      <x:c r="I4" s="311" t="str">
        <x:v>Quality</x:v>
      </x:c>
      <x:c r="J4" s="311" t="str">
        <x:v>Transfer</x:v>
      </x:c>
      <x:c r="K4" s="311" t="str">
        <x:v>Error recovery</x:v>
      </x:c>
      <x:c r="L4" s="311" t="str">
        <x:v>Mentoring</x:v>
      </x:c>
      <x:c r="M4" s="311" t="str">
        <x:v>Recommended use</x:v>
      </x:c>
      <x:c r="N4" s="311" t="str">
        <x:v>Misuse guardrail</x:v>
      </x:c>
      <x:c r="O4" s="312" t="str">
        <x:v>Status</x:v>
      </x:c>
    </x:row>
    <x:row r="5">
      <x:c r="A5" s="329" t="str">
        <x:v>CAPLVL-0</x:v>
      </x:c>
      <x:c r="B5" s="330" t="n">
        <x:v>0</x:v>
      </x:c>
      <x:c r="C5" s="330" t="str">
        <x:v>Unverified</x:v>
      </x:c>
      <x:c r="D5" s="330" t="str">
        <x:v>No reliable work evidence yet.</x:v>
      </x:c>
      <x:c r="E5" s="330" t="str">
        <x:v>May have declared interest or claim but no verified knowledge evidence.</x:v>
      </x:c>
      <x:c r="F5" s="330" t="str">
        <x:v>No verified execution evidence.</x:v>
      </x:c>
      <x:c r="G5" s="330" t="str">
        <x:v>No autonomy conclusion.</x:v>
      </x:c>
      <x:c r="H5" s="330" t="str">
        <x:v>No complexity conclusion.</x:v>
      </x:c>
      <x:c r="I5" s="330" t="str">
        <x:v>No quality conclusion.</x:v>
      </x:c>
      <x:c r="J5" s="330" t="str">
        <x:v>No transfer evidence.</x:v>
      </x:c>
      <x:c r="K5" s="330" t="str">
        <x:v>No recovery evidence.</x:v>
      </x:c>
      <x:c r="L5" s="330" t="str">
        <x:v>No mentoring expectation.</x:v>
      </x:c>
      <x:c r="M5" s="330" t="str">
        <x:v>Employee claim can remain Not Yet Observed.</x:v>
      </x:c>
      <x:c r="N5" s="330" t="str">
        <x:v>Do not treat as incapable; gather evidence.</x:v>
      </x:c>
      <x:c r="O5" s="331" t="str">
        <x:v>Draft Complete</x:v>
      </x:c>
    </x:row>
    <x:row r="6">
      <x:c r="A6" s="337" t="str">
        <x:v>CAPLVL-1</x:v>
      </x:c>
      <x:c r="B6" s="338" t="n">
        <x:v>1</x:v>
      </x:c>
      <x:c r="C6" s="338" t="str">
        <x:v>Learning</x:v>
      </x:c>
      <x:c r="D6" s="338" t="str">
        <x:v>Needs instruction and close guidance.</x:v>
      </x:c>
      <x:c r="E6" s="338" t="str">
        <x:v>Understands basic concepts after explanation; gaps are expected.</x:v>
      </x:c>
      <x:c r="F6" s="338" t="str">
        <x:v>Completes very small tasks or exercises with step-by-step guidance.</x:v>
      </x:c>
      <x:c r="G6" s="338" t="str">
        <x:v>Requires direct supervision and frequent correction.</x:v>
      </x:c>
      <x:c r="H6" s="338" t="str">
        <x:v>Handles simple controlled tasks only.</x:v>
      </x:c>
      <x:c r="I6" s="338" t="str">
        <x:v>Quality inconsistent; verification mostly guided.</x:v>
      </x:c>
      <x:c r="J6" s="338" t="str">
        <x:v>Limited to taught examples.</x:v>
      </x:c>
      <x:c r="K6" s="338" t="str">
        <x:v>Needs help diagnosing and recovering from errors.</x:v>
      </x:c>
      <x:c r="L6" s="338" t="str">
        <x:v>Can share learning notes but not coach others.</x:v>
      </x:c>
      <x:c r="M6" s="338" t="str">
        <x:v>Learning intervention and supported practice.</x:v>
      </x:c>
      <x:c r="N6" s="338" t="str">
        <x:v>Do not assign independent production-critical task.</x:v>
      </x:c>
      <x:c r="O6" s="339" t="str">
        <x:v>Draft Complete</x:v>
      </x:c>
    </x:row>
    <x:row r="7">
      <x:c r="A7" s="332" t="str">
        <x:v>CAPLVL-2</x:v>
      </x:c>
      <x:c r="B7" s="114" t="n">
        <x:v>2</x:v>
      </x:c>
      <x:c r="C7" s="114" t="str">
        <x:v>Assisted</x:v>
      </x:c>
      <x:c r="D7" s="114" t="str">
        <x:v>Can complete routine work with support.</x:v>
      </x:c>
      <x:c r="E7" s="114" t="str">
        <x:v>Explains common concepts and relevant constraints.</x:v>
      </x:c>
      <x:c r="F7" s="114" t="str">
        <x:v>Completes routine tasks with checklists, peer/AI help or reviewer support.</x:v>
      </x:c>
      <x:c r="G7" s="114" t="str">
        <x:v>Works with periodic guidance; escalates predictable blockers.</x:v>
      </x:c>
      <x:c r="H7" s="114" t="str">
        <x:v>Handles standard low-to-medium complexity tasks.</x:v>
      </x:c>
      <x:c r="I7" s="114" t="str">
        <x:v>Meets quality when criteria are clear and review is available.</x:v>
      </x:c>
      <x:c r="J7" s="114" t="str">
        <x:v>Transfers to closely related tools/contexts.</x:v>
      </x:c>
      <x:c r="K7" s="114" t="str">
        <x:v>Can recover from common errors using known guidance.</x:v>
      </x:c>
      <x:c r="L7" s="114" t="str">
        <x:v>Can help peers with narrow known routines.</x:v>
      </x:c>
      <x:c r="M7" s="114" t="str">
        <x:v>Routine tasks with review; training to increase independence.</x:v>
      </x:c>
      <x:c r="N7" s="114" t="str">
        <x:v>Do not interpret use of support as failure if role level is 2.</x:v>
      </x:c>
      <x:c r="O7" s="333" t="str">
        <x:v>Draft Complete</x:v>
      </x:c>
    </x:row>
    <x:row r="8">
      <x:c r="A8" s="337" t="str">
        <x:v>CAPLVL-3</x:v>
      </x:c>
      <x:c r="B8" s="338" t="n">
        <x:v>3</x:v>
      </x:c>
      <x:c r="C8" s="338" t="str">
        <x:v>Independent</x:v>
      </x:c>
      <x:c r="D8" s="338" t="str">
        <x:v>Reliably completes standard role work independently.</x:v>
      </x:c>
      <x:c r="E8" s="338" t="str">
        <x:v>Explains core concepts, trade-offs and risks.</x:v>
      </x:c>
      <x:c r="F8" s="338" t="str">
        <x:v>Completes standard tasks end-to-end with appropriate verification.</x:v>
      </x:c>
      <x:c r="G8" s="338" t="str">
        <x:v>Works independently; asks focused clarification when needed.</x:v>
      </x:c>
      <x:c r="H8" s="338" t="str">
        <x:v>Handles normal production complexity for the role.</x:v>
      </x:c>
      <x:c r="I8" s="338" t="str">
        <x:v>Consistently passes quality gates and documents residual risks.</x:v>
      </x:c>
      <x:c r="J8" s="338" t="str">
        <x:v>Transfers across related projects/tools with minimal support.</x:v>
      </x:c>
      <x:c r="K8" s="338" t="str">
        <x:v>Diagnoses and recovers from typical unexpected errors.</x:v>
      </x:c>
      <x:c r="L8" s="338" t="str">
        <x:v>Can guide peers on standard tasks.</x:v>
      </x:c>
      <x:c r="M8" s="338" t="str">
        <x:v>Eligible for role requirement requiring independent execution.</x:v>
      </x:c>
      <x:c r="N8" s="338" t="str">
        <x:v>One success is insufficient; require repeated evidence.</x:v>
      </x:c>
      <x:c r="O8" s="339" t="str">
        <x:v>Draft Complete</x:v>
      </x:c>
    </x:row>
    <x:row r="9">
      <x:c r="A9" s="332" t="str">
        <x:v>CAPLVL-4</x:v>
      </x:c>
      <x:c r="B9" s="114" t="n">
        <x:v>4</x:v>
      </x:c>
      <x:c r="C9" s="114" t="str">
        <x:v>Advanced</x:v>
      </x:c>
      <x:c r="D9" s="114" t="str">
        <x:v>Handles complex and non-routine work and improves team methods.</x:v>
      </x:c>
      <x:c r="E9" s="114" t="str">
        <x:v>Explains deeper system interactions, edge cases and risk trade-offs.</x:v>
      </x:c>
      <x:c r="F9" s="114" t="str">
        <x:v>Solves complex tasks, ambiguous problems and cross-system issues.</x:v>
      </x:c>
      <x:c r="G9" s="114" t="str">
        <x:v>Works independently and coordinates others or dependencies.</x:v>
      </x:c>
      <x:c r="H9" s="114" t="str">
        <x:v>Handles high complexity, ambiguity, partial information and high risk with appropriate escalation.</x:v>
      </x:c>
      <x:c r="I9" s="114" t="str">
        <x:v>Creates high-quality solutions and improves verification standards.</x:v>
      </x:c>
      <x:c r="J9" s="114" t="str">
        <x:v>Transfers capability to new domains, frameworks or teams.</x:v>
      </x:c>
      <x:c r="K9" s="114" t="str">
        <x:v>Diagnoses subtle failures and designs preventive controls.</x:v>
      </x:c>
      <x:c r="L9" s="114" t="str">
        <x:v>Coaches others and reviews complex work.</x:v>
      </x:c>
      <x:c r="M9" s="114" t="str">
        <x:v>Can own complex project areas and mentor.</x:v>
      </x:c>
      <x:c r="N9" s="114" t="str">
        <x:v>Requires evidence across varied contexts.</x:v>
      </x:c>
      <x:c r="O9" s="333" t="str">
        <x:v>Draft Complete</x:v>
      </x:c>
    </x:row>
    <x:row r="10">
      <x:c r="A10" s="340" t="str">
        <x:v>CAPLVL-5</x:v>
      </x:c>
      <x:c r="B10" s="341" t="n">
        <x:v>5</x:v>
      </x:c>
      <x:c r="C10" s="341" t="str">
        <x:v>Mastery</x:v>
      </x:c>
      <x:c r="D10" s="341" t="str">
        <x:v>Defines standards and advances organisational capability.</x:v>
      </x:c>
      <x:c r="E10" s="341" t="str">
        <x:v>Creates mental models, standards and teaching material for the organisation.</x:v>
      </x:c>
      <x:c r="F10" s="341" t="str">
        <x:v>Solves novel, strategic or critical problems; establishes reusable methods.</x:v>
      </x:c>
      <x:c r="G10" s="341" t="str">
        <x:v>Leads without routine supervision; sets direction and quality norms.</x:v>
      </x:c>
      <x:c r="H10" s="341" t="str">
        <x:v>Handles novel high-impact complexity and uncertainty.</x:v>
      </x:c>
      <x:c r="I10" s="341" t="str">
        <x:v>Defines and audits quality gates; reduces systemic failure modes.</x:v>
      </x:c>
      <x:c r="J10" s="341" t="str">
        <x:v>Transfers across domains and creates frameworks for others.</x:v>
      </x:c>
      <x:c r="K10" s="341" t="str">
        <x:v>Anticipates, prevents and recovers from systemic errors.</x:v>
      </x:c>
      <x:c r="L10" s="341" t="str">
        <x:v>Develops others, standards and reusable HumanOS skills.</x:v>
      </x:c>
      <x:c r="M10" s="341" t="str">
        <x:v>Candidate for Skill Forge contribution and expert reviewer role.</x:v>
      </x:c>
      <x:c r="N10" s="341" t="str">
        <x:v>Must not be awarded from volume or title alone.</x:v>
      </x:c>
      <x:c r="O10" s="342" t="str">
        <x:v>Draft Complete</x:v>
      </x:c>
    </x:row>
  </x:sheetData>
  <x:mergeCells>
    <x:mergeCell ref="A1:O1"/>
    <x:mergeCell ref="A2:O2"/>
  </x:mergeCells>
  <x:dataValidations count="1">
    <x:dataValidation type="list" sqref="O5:O10">
      <x:formula1>"Draft Complete,Needs Review,Approved,Deferred"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22" hidden="0" customWidth="1"/>
    <x:col min="5" max="5" width="44" hidden="0" customWidth="1"/>
    <x:col min="6" max="6" width="46" hidden="0" customWidth="1"/>
    <x:col min="7" max="7" width="42" hidden="0" customWidth="1"/>
    <x:col min="8" max="8" width="48" hidden="0" customWidth="1"/>
    <x:col min="9" max="9" width="44" hidden="0" customWidth="1"/>
    <x:col min="10" max="10" width="30" hidden="0" customWidth="1"/>
    <x:col min="11" max="11" width="46" hidden="0" customWidth="1"/>
    <x:col min="12" max="12" width="18" hidden="0" customWidth="1"/>
    <x:col min="13" max="13" width="28" hidden="0" customWidth="1"/>
  </x:cols>
  <x:sheetData>
    <x:row r="1" ht="30" customHeight="1">
      <x:c r="A1" s="294" t="str">
        <x:v>Stage 2 — Role Templates</x:v>
      </x:c>
      <x:c r="B1" s="294"/>
      <x:c r="C1" s="294"/>
      <x:c r="D1" s="294"/>
      <x:c r="E1" s="294"/>
      <x:c r="F1" s="294"/>
      <x:c r="G1" s="294"/>
      <x:c r="H1" s="294"/>
      <x:c r="I1" s="294"/>
      <x:c r="J1" s="294"/>
      <x:c r="K1" s="294"/>
      <x:c r="L1" s="294"/>
      <x:c r="M1" s="294"/>
    </x:row>
    <x:row r="2" ht="36" customHeight="1">
      <x:c r="A2" s="298" t="str">
        <x:v>Initial software-development role examples. These are not HR-approved job descriptions; they demonstrate how role requirements become capability contracts.</x:v>
      </x:c>
      <x:c r="B2" s="298"/>
      <x:c r="C2" s="298"/>
      <x:c r="D2" s="298"/>
      <x:c r="E2" s="298"/>
      <x:c r="F2" s="298"/>
      <x:c r="G2" s="298"/>
      <x:c r="H2" s="298"/>
      <x:c r="I2" s="298"/>
      <x:c r="J2" s="298"/>
      <x:c r="K2" s="298"/>
      <x:c r="L2" s="298"/>
      <x:c r="M2" s="298"/>
    </x:row>
    <x:row r="4" ht="30" customHeight="1">
      <x:c r="A4" s="310" t="str">
        <x:v>Role ID</x:v>
      </x:c>
      <x:c r="B4" s="311" t="str">
        <x:v>Role template</x:v>
      </x:c>
      <x:c r="C4" s="311" t="str">
        <x:v>Role family</x:v>
      </x:c>
      <x:c r="D4" s="311" t="str">
        <x:v>Target level</x:v>
      </x:c>
      <x:c r="E4" s="311" t="str">
        <x:v>Purpose / outcomes</x:v>
      </x:c>
      <x:c r="F4" s="311" t="str">
        <x:v>Responsibilities</x:v>
      </x:c>
      <x:c r="G4" s="311" t="str">
        <x:v>Tools / environments</x:v>
      </x:c>
      <x:c r="H4" s="311" t="str">
        <x:v>Evidence of readiness</x:v>
      </x:c>
      <x:c r="I4" s="311" t="str">
        <x:v>Required capabilities</x:v>
      </x:c>
      <x:c r="J4" s="311" t="str">
        <x:v>Task complexity</x:v>
      </x:c>
      <x:c r="K4" s="311" t="str">
        <x:v>Fairness / misuse guardrail</x:v>
      </x:c>
      <x:c r="L4" s="311" t="str">
        <x:v>Status</x:v>
      </x:c>
      <x:c r="M4" s="312" t="str">
        <x:v>Source / basis</x:v>
      </x:c>
    </x:row>
    <x:row r="5">
      <x:c r="A5" s="329" t="str">
        <x:v>ROLE-DEV-001</x:v>
      </x:c>
      <x:c r="B5" s="330" t="str">
        <x:v>Software Engineer I</x:v>
      </x:c>
      <x:c r="C5" s="330" t="str">
        <x:v>Software Engineering</x:v>
      </x:c>
      <x:c r="D5" s="330" t="str">
        <x:v>Level 2 Assisted → Level 3 Independent</x:v>
      </x:c>
      <x:c r="E5" s="330" t="str">
        <x:v>Implement scoped features/bug fixes; write tests; use Git; review AI output; escalate blockers.</x:v>
      </x:c>
      <x:c r="F5" s="330" t="str">
        <x:v>Backend/API, frontend implementation, tests, Git workflow, AI supervision basics</x:v>
      </x:c>
      <x:c r="G5" s="330" t="str">
        <x:v>Python/Java/TypeScript; IDE; GitHub; CI; Codex/Claude Code under supervision</x:v>
      </x:c>
      <x:c r="H5" s="330" t="str">
        <x:v>Completed routine tasks with tests; PRs approved with minor changes; safe AI use; evidence of responding to feedback.</x:v>
      </x:c>
      <x:c r="I5" s="330" t="str">
        <x:v>Feature implementation L2–3; test-driven debugging L2–3; Git workflow L2–3; AI-agent supervision L2.</x:v>
      </x:c>
      <x:c r="J5" s="330" t="str">
        <x:v>Low–medium complexity; direct team support available.</x:v>
      </x:c>
      <x:c r="K5" s="330" t="str">
        <x:v>Gaps first create coaching/training; no adverse claim from single task.</x:v>
      </x:c>
      <x:c r="L5" s="330" t="str">
        <x:v>Draft Complete</x:v>
      </x:c>
      <x:c r="M5" s="331" t="str">
        <x:v>Stage 2 examples</x:v>
      </x:c>
    </x:row>
    <x:row r="6">
      <x:c r="A6" s="337" t="str">
        <x:v>ROLE-DEV-002</x:v>
      </x:c>
      <x:c r="B6" s="338" t="str">
        <x:v>Software Engineer II</x:v>
      </x:c>
      <x:c r="C6" s="338" t="str">
        <x:v>Software Engineering</x:v>
      </x:c>
      <x:c r="D6" s="338" t="str">
        <x:v>Level 3 Independent</x:v>
      </x:c>
      <x:c r="E6" s="338" t="str">
        <x:v>Deliver standard production tasks independently; diagnose defects; use AI agents responsibly; document trade-offs.</x:v>
      </x:c>
      <x:c r="F6" s="338" t="str">
        <x:v>API design, debugging, test discipline, secure coding basics, review readiness</x:v>
      </x:c>
      <x:c r="G6" s="338" t="str">
        <x:v>Project stack; CI/CD; observability; AI agents</x:v>
      </x:c>
      <x:c r="H6" s="338" t="str">
        <x:v>Repeated independent completion; targeted/full tests; low rework; good task evidence; clear PR explanations.</x:v>
      </x:c>
      <x:c r="I6" s="338" t="str">
        <x:v>Feature implementation L3; debugging L3; secure coding L2–3; AI supervision L3; task decomposition L3.</x:v>
      </x:c>
      <x:c r="J6" s="338" t="str">
        <x:v>Medium complexity; some ambiguity.</x:v>
      </x:c>
      <x:c r="K6" s="338" t="str">
        <x:v>Support requests are valid when requirements/access are incomplete.</x:v>
      </x:c>
      <x:c r="L6" s="338" t="str">
        <x:v>Draft Complete</x:v>
      </x:c>
      <x:c r="M6" s="339" t="str">
        <x:v>Stage 2 examples</x:v>
      </x:c>
    </x:row>
    <x:row r="7">
      <x:c r="A7" s="332" t="str">
        <x:v>ROLE-DEV-003</x:v>
      </x:c>
      <x:c r="B7" s="114" t="str">
        <x:v>Senior Software Engineer</x:v>
      </x:c>
      <x:c r="C7" s="114" t="str">
        <x:v>Software Engineering</x:v>
      </x:c>
      <x:c r="D7" s="114" t="str">
        <x:v>Level 4 Advanced</x:v>
      </x:c>
      <x:c r="E7" s="114" t="str">
        <x:v>Own complex features, architecture decisions, mentoring and quality improvement.</x:v>
      </x:c>
      <x:c r="F7" s="114" t="str">
        <x:v>Architecture, cross-service debugging, security, performance, review leadership, AI governance</x:v>
      </x:c>
      <x:c r="G7" s="114" t="str">
        <x:v>Distributed services; Java/Spring; Python services; databases; CI/CD; observability</x:v>
      </x:c>
      <x:c r="H7" s="114" t="str">
        <x:v>Solves complex issues; improves standards; mentors; reduces defects; converts patterns into reusable skills/playbooks.</x:v>
      </x:c>
      <x:c r="I7" s="114" t="str">
        <x:v>Architecture L4; secure coding L4; debugging L4; mentorship L3–4; Skill Forge contribution L3–4.</x:v>
      </x:c>
      <x:c r="J7" s="114" t="str">
        <x:v>High complexity; ambiguous requirements.</x:v>
      </x:c>
      <x:c r="K7" s="114" t="str">
        <x:v>Advanced role still needs task context and cannot be judged from speed alone.</x:v>
      </x:c>
      <x:c r="L7" s="114" t="str">
        <x:v>Draft Complete</x:v>
      </x:c>
      <x:c r="M7" s="333" t="str">
        <x:v>Stage 2 examples</x:v>
      </x:c>
    </x:row>
    <x:row r="8">
      <x:c r="A8" s="337" t="str">
        <x:v>ROLE-QA-001</x:v>
      </x:c>
      <x:c r="B8" s="338" t="str">
        <x:v>QA / Test Automation Engineer</x:v>
      </x:c>
      <x:c r="C8" s="338" t="str">
        <x:v>Quality Engineering</x:v>
      </x:c>
      <x:c r="D8" s="338" t="str">
        <x:v>Level 3 Independent</x:v>
      </x:c>
      <x:c r="E8" s="338" t="str">
        <x:v>Create, maintain and execute automated/manual quality gates; reproduce defects; validate acceptance criteria.</x:v>
      </x:c>
      <x:c r="F8" s="338" t="str">
        <x:v>Test design, automation, defect triage, acceptance criteria, evidence documentation</x:v>
      </x:c>
      <x:c r="G8" s="338" t="str">
        <x:v>Test frameworks; CI; browsers/devices; issue tracker; AI-assisted test generation</x:v>
      </x:c>
      <x:c r="H8" s="338" t="str">
        <x:v>Reliable reproduction; clear failing/passing evidence; automation merged; defects classified; false positives controlled.</x:v>
      </x:c>
      <x:c r="I8" s="338" t="str">
        <x:v>Test design L3; debugging L2–3; evidence documentation L3; AI supervision L2–3.</x:v>
      </x:c>
      <x:c r="J8" s="338" t="str">
        <x:v>Medium complexity; cross-browser/tool variation.</x:v>
      </x:c>
      <x:c r="K8" s="338" t="str">
        <x:v>Exploratory testing and careful observation are valid work even with low code output.</x:v>
      </x:c>
      <x:c r="L8" s="338" t="str">
        <x:v>Draft Complete</x:v>
      </x:c>
      <x:c r="M8" s="339" t="str">
        <x:v>Stage 2 examples</x:v>
      </x:c>
    </x:row>
    <x:row r="9">
      <x:c r="A9" s="332" t="str">
        <x:v>ROLE-OPS-001</x:v>
      </x:c>
      <x:c r="B9" s="114" t="str">
        <x:v>DevOps / Platform Engineer</x:v>
      </x:c>
      <x:c r="C9" s="114" t="str">
        <x:v>Platform Engineering</x:v>
      </x:c>
      <x:c r="D9" s="114" t="str">
        <x:v>Level 3–4</x:v>
      </x:c>
      <x:c r="E9" s="114" t="str">
        <x:v>Maintain environments, pipelines, deployment reliability, infrastructure automation and incident support.</x:v>
      </x:c>
      <x:c r="F9" s="114" t="str">
        <x:v>CI/CD, containers, cloud, observability, scripting, security, incident response</x:v>
      </x:c>
      <x:c r="G9" s="114" t="str">
        <x:v>Docker/Kubernetes/cloud; CI; Terraform; logs/metrics/traces; shell; AI agents</x:v>
      </x:c>
      <x:c r="H9" s="114" t="str">
        <x:v>Successful deployment/pipeline changes; rollback readiness; incident evidence; infra tests; audit trail.</x:v>
      </x:c>
      <x:c r="I9" s="114" t="str">
        <x:v>CI/CD L3; automation L3; incident response L3–4; secure operations L3.</x:v>
      </x:c>
      <x:c r="J9" s="114" t="str">
        <x:v>Medium–high complexity; production risk.</x:v>
      </x:c>
      <x:c r="K9" s="114" t="str">
        <x:v>Waiting on deployments/builds must be classified as automated execution/wait, not idle.</x:v>
      </x:c>
      <x:c r="L9" s="114" t="str">
        <x:v>Draft Complete</x:v>
      </x:c>
      <x:c r="M9" s="333" t="str">
        <x:v>Stage 2 examples</x:v>
      </x:c>
    </x:row>
    <x:row r="10">
      <x:c r="A10" s="340" t="str">
        <x:v>ROLE-LEAD-001</x:v>
      </x:c>
      <x:c r="B10" s="341" t="str">
        <x:v>Technical Lead</x:v>
      </x:c>
      <x:c r="C10" s="341" t="str">
        <x:v>Engineering Leadership</x:v>
      </x:c>
      <x:c r="D10" s="341" t="str">
        <x:v>Level 4 Advanced → Level 5 Mastery</x:v>
      </x:c>
      <x:c r="E10" s="341" t="str">
        <x:v>Plan work, decompose tasks, review outcomes, mentor engineers, ensure quality and improve team standards.</x:v>
      </x:c>
      <x:c r="F10" s="341" t="str">
        <x:v>Technical judgement, planning, review, coaching, architecture, delivery risk, AI-work governance</x:v>
      </x:c>
      <x:c r="G10" s="341" t="str">
        <x:v>HumanOS project/task tools; Git/CI; architecture docs; AI agents; dashboards</x:v>
      </x:c>
      <x:c r="H10" s="341" t="str">
        <x:v>Clear task contracts; effective review; reduction in rework; improved team capability; reusable patterns in Skill Forge.</x:v>
      </x:c>
      <x:c r="I10" s="341" t="str">
        <x:v>Task decomposition L4; review L4; mentorship L4; architecture L4; skill creation L3–5.</x:v>
      </x:c>
      <x:c r="J10" s="341" t="str">
        <x:v>High ambiguity and multi-person coordination.</x:v>
      </x:c>
      <x:c r="K10" s="341" t="str">
        <x:v>Lead performance should not be assessed solely from their own keyboard/screen output.</x:v>
      </x:c>
      <x:c r="L10" s="341" t="str">
        <x:v>Draft Complete</x:v>
      </x:c>
      <x:c r="M10" s="342" t="str">
        <x:v>Stage 2 examples</x:v>
      </x:c>
    </x:row>
  </x:sheetData>
  <x:mergeCells>
    <x:mergeCell ref="A1:M1"/>
    <x:mergeCell ref="A2:M2"/>
  </x:mergeCells>
  <x:dataValidations count="1">
    <x:dataValidation type="list" sqref="L5:L10">
      <x:formula1>"Draft Complete,Needs Review,Approved,Deferred"</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5" hidden="0" customWidth="1"/>
    <x:col min="2" max="2" width="32" hidden="0" customWidth="1"/>
    <x:col min="3" max="3" width="20" hidden="0" customWidth="1"/>
    <x:col min="4" max="4" width="44" hidden="0" customWidth="1"/>
    <x:col min="5" max="5" width="48" hidden="0" customWidth="1"/>
    <x:col min="6" max="6" width="54" hidden="0" customWidth="1"/>
    <x:col min="7" max="7" width="50" hidden="0" customWidth="1"/>
    <x:col min="8" max="8" width="36" hidden="0" customWidth="1"/>
    <x:col min="9" max="9" width="14" hidden="0" customWidth="1"/>
    <x:col min="10" max="10" width="44" hidden="0" customWidth="1"/>
    <x:col min="11" max="11" width="48" hidden="0" customWidth="1"/>
    <x:col min="12" max="12" width="18" hidden="0" customWidth="1"/>
    <x:col min="13" max="13" width="28" hidden="0" customWidth="1"/>
  </x:cols>
  <x:sheetData>
    <x:row r="1" ht="30" customHeight="1">
      <x:c r="A1" s="294" t="str">
        <x:v>Stage 2 — Task Contract Templates</x:v>
      </x:c>
      <x:c r="B1" s="294"/>
      <x:c r="C1" s="294"/>
      <x:c r="D1" s="294"/>
      <x:c r="E1" s="294"/>
      <x:c r="F1" s="294"/>
      <x:c r="G1" s="294"/>
      <x:c r="H1" s="294"/>
      <x:c r="I1" s="294"/>
      <x:c r="J1" s="294"/>
      <x:c r="K1" s="294"/>
      <x:c r="L1" s="294"/>
      <x:c r="M1" s="294"/>
    </x:row>
    <x:row r="2" ht="36" customHeight="1">
      <x:c r="A2" s="298" t="str">
        <x:v>Representative Task Execution Contracts. These examples show how HumanOS tasks become objective, reviewable and evidence-linked.</x:v>
      </x:c>
      <x:c r="B2" s="298"/>
      <x:c r="C2" s="298"/>
      <x:c r="D2" s="298"/>
      <x:c r="E2" s="298"/>
      <x:c r="F2" s="298"/>
      <x:c r="G2" s="298"/>
      <x:c r="H2" s="298"/>
      <x:c r="I2" s="298"/>
      <x:c r="J2" s="298"/>
      <x:c r="K2" s="298"/>
      <x:c r="L2" s="298"/>
      <x:c r="M2" s="298"/>
    </x:row>
    <x:row r="4" ht="30" customHeight="1">
      <x:c r="A4" s="310" t="str">
        <x:v>Task template ID</x:v>
      </x:c>
      <x:c r="B4" s="311" t="str">
        <x:v>Task template</x:v>
      </x:c>
      <x:c r="C4" s="311" t="str">
        <x:v>Domain</x:v>
      </x:c>
      <x:c r="D4" s="311" t="str">
        <x:v>Objective</x:v>
      </x:c>
      <x:c r="E4" s="311" t="str">
        <x:v>Required capabilities</x:v>
      </x:c>
      <x:c r="F4" s="311" t="str">
        <x:v>Acceptance criteria</x:v>
      </x:c>
      <x:c r="G4" s="311" t="str">
        <x:v>Evidence requirements</x:v>
      </x:c>
      <x:c r="H4" s="311" t="str">
        <x:v>Quality gates</x:v>
      </x:c>
      <x:c r="I4" s="311" t="str">
        <x:v>Difficulty</x:v>
      </x:c>
      <x:c r="J4" s="311" t="str">
        <x:v>Valid work methods</x:v>
      </x:c>
      <x:c r="K4" s="311" t="str">
        <x:v>Invalid / weak evidence</x:v>
      </x:c>
      <x:c r="L4" s="311" t="str">
        <x:v>Status</x:v>
      </x:c>
      <x:c r="M4" s="312" t="str">
        <x:v>Source / basis</x:v>
      </x:c>
    </x:row>
    <x:row r="5">
      <x:c r="A5" s="329" t="str">
        <x:v>TASK-API-001</x:v>
      </x:c>
      <x:c r="B5" s="330" t="str">
        <x:v>Fix refresh-token reuse vulnerability</x:v>
      </x:c>
      <x:c r="C5" s="330" t="str">
        <x:v>Security/backend</x:v>
      </x:c>
      <x:c r="D5" s="330" t="str">
        <x:v>Reject token reuse while preserving valid refresh flow.</x:v>
      </x:c>
      <x:c r="E5" s="330" t="str">
        <x:v>Authentication debugging L3; secure coding L3; test-driven debugging L3; AI supervision L2–3</x:v>
      </x:c>
      <x:c r="F5" s="330" t="str">
        <x:v>Reproduce defect; root cause documented; token reuse rejected; valid refresh still works; tests pass; no secrets in logs; PR explanation.</x:v>
      </x:c>
      <x:c r="G5" s="330" t="str">
        <x:v>Failing test before fix; code diff; targeted tests; regression tests; security log review; PR.</x:v>
      </x:c>
      <x:c r="H5" s="330" t="str">
        <x:v>Unit/integration tests; security review; code review.</x:v>
      </x:c>
      <x:c r="I5" s="330" t="str">
        <x:v>Medium–high</x:v>
      </x:c>
      <x:c r="J5" s="330" t="str">
        <x:v>On-task debugging, supporting research, AI-assisted patch, automated test wait.</x:v>
      </x:c>
      <x:c r="K5" s="330" t="str">
        <x:v>Changing expiry only without invalidation evidence; no regression tests; secrets in logs.</x:v>
      </x:c>
      <x:c r="L5" s="330" t="str">
        <x:v>Draft Complete</x:v>
      </x:c>
      <x:c r="M5" s="331" t="str">
        <x:v>Software-dev pilot</x:v>
      </x:c>
    </x:row>
    <x:row r="6">
      <x:c r="A6" s="337" t="str">
        <x:v>TASK-API-002</x:v>
      </x:c>
      <x:c r="B6" s="338" t="str">
        <x:v>Implement paginated API endpoint</x:v>
      </x:c>
      <x:c r="C6" s="338" t="str">
        <x:v>Backend/API</x:v>
      </x:c>
      <x:c r="D6" s="338" t="str">
        <x:v>Deliver endpoint with pagination, validation, tests and docs.</x:v>
      </x:c>
      <x:c r="E6" s="338" t="str">
        <x:v>API design L2–3; Java/Spring L2–3; testing L2–3; Git workflow L2</x:v>
      </x:c>
      <x:c r="F6" s="338" t="str">
        <x:v>Endpoint returns correct page; invalid params handled; performance acceptable; docs updated; tests pass.</x:v>
      </x:c>
      <x:c r="G6" s="338" t="str">
        <x:v>OpenAPI diff; code diff; unit/controller tests; performance notes; PR.</x:v>
      </x:c>
      <x:c r="H6" s="338" t="str">
        <x:v>API contract validation; test suite; review.</x:v>
      </x:c>
      <x:c r="I6" s="338" t="str">
        <x:v>Medium</x:v>
      </x:c>
      <x:c r="J6" s="338" t="str">
        <x:v>Implementation, documentation, test execution.</x:v>
      </x:c>
      <x:c r="K6" s="338" t="str">
        <x:v>Only happy-path test; undocumented query params; breaking existing clients.</x:v>
      </x:c>
      <x:c r="L6" s="338" t="str">
        <x:v>Draft Complete</x:v>
      </x:c>
      <x:c r="M6" s="339" t="str">
        <x:v>OpenAPI</x:v>
      </x:c>
    </x:row>
    <x:row r="7">
      <x:c r="A7" s="332" t="str">
        <x:v>TASK-API-003</x:v>
      </x:c>
      <x:c r="B7" s="114" t="str">
        <x:v>Diagnose intermittent 500 error</x:v>
      </x:c>
      <x:c r="C7" s="114" t="str">
        <x:v>Backend/debugging</x:v>
      </x:c>
      <x:c r="D7" s="114" t="str">
        <x:v>Identify cause, reproduce and fix or create supported escalation evidence.</x:v>
      </x:c>
      <x:c r="E7" s="114" t="str">
        <x:v>Debugging L3; observability L2–3; incident analysis L3</x:v>
      </x:c>
      <x:c r="F7" s="114" t="str">
        <x:v>Reproduction or trace evidence; root cause or narrowed hypothesis; fix/tests or escalation package.</x:v>
      </x:c>
      <x:c r="G7" s="114" t="str">
        <x:v>Logs/traces; failing request; timeline; code diff or incident note; test result.</x:v>
      </x:c>
      <x:c r="H7" s="114" t="str">
        <x:v>Reviewer verifies diagnosis; no speculative conclusion.</x:v>
      </x:c>
      <x:c r="I7" s="114" t="str">
        <x:v>Medium–high</x:v>
      </x:c>
      <x:c r="J7" s="114" t="str">
        <x:v>Reading logs is work; waiting for reproduction is not idle.</x:v>
      </x:c>
      <x:c r="K7" s="114" t="str">
        <x:v>Confident fix without evidence; broad unrelated changes.</x:v>
      </x:c>
      <x:c r="L7" s="114" t="str">
        <x:v>Draft Complete</x:v>
      </x:c>
      <x:c r="M7" s="333" t="str">
        <x:v>NIST NICE task/evidence model</x:v>
      </x:c>
    </x:row>
    <x:row r="8">
      <x:c r="A8" s="337" t="str">
        <x:v>TASK-FE-001</x:v>
      </x:c>
      <x:c r="B8" s="338" t="str">
        <x:v>Implement accessible form validation</x:v>
      </x:c>
      <x:c r="C8" s="338" t="str">
        <x:v>Frontend/UI</x:v>
      </x:c>
      <x:c r="D8" s="338" t="str">
        <x:v>Add validation while preserving accessibility and UX.</x:v>
      </x:c>
      <x:c r="E8" s="338" t="str">
        <x:v>Frontend implementation L2–3; accessibility L2–3; testing L2</x:v>
      </x:c>
      <x:c r="F8" s="338" t="str">
        <x:v>Keyboard navigation; screen-reader labels; validation messages; tests; design match.</x:v>
      </x:c>
      <x:c r="G8" s="338" t="str">
        <x:v>UI diff; screenshots; accessibility check; component tests; review.</x:v>
      </x:c>
      <x:c r="H8" s="338" t="str">
        <x:v>A11y check; browser/device check; code review.</x:v>
      </x:c>
      <x:c r="I8" s="338" t="str">
        <x:v>Medium</x:v>
      </x:c>
      <x:c r="J8" s="338" t="str">
        <x:v>UI interaction/testing generates visual evidence.</x:v>
      </x:c>
      <x:c r="K8" s="338" t="str">
        <x:v>Visual-only validation; inaccessible error messages.</x:v>
      </x:c>
      <x:c r="L8" s="338" t="str">
        <x:v>Draft Complete</x:v>
      </x:c>
      <x:c r="M8" s="339" t="str">
        <x:v>Accessibility guardrail</x:v>
      </x:c>
    </x:row>
    <x:row r="9">
      <x:c r="A9" s="332" t="str">
        <x:v>TASK-QA-001</x:v>
      </x:c>
      <x:c r="B9" s="114" t="str">
        <x:v>Create regression tests for login flow</x:v>
      </x:c>
      <x:c r="C9" s="114" t="str">
        <x:v>QA/testing</x:v>
      </x:c>
      <x:c r="D9" s="114" t="str">
        <x:v>Automate login flow regression tests and document coverage.</x:v>
      </x:c>
      <x:c r="E9" s="114" t="str">
        <x:v>Test design L3; automation L3; evidence documentation L3</x:v>
      </x:c>
      <x:c r="F9" s="114" t="str">
        <x:v>Tests cover success/failure; deterministic; CI-ready; results attached.</x:v>
      </x:c>
      <x:c r="G9" s="114" t="str">
        <x:v>Test files; CI run; failure/success screenshots if applicable; coverage note.</x:v>
      </x:c>
      <x:c r="H9" s="114" t="str">
        <x:v>CI pass; flaky-test review.</x:v>
      </x:c>
      <x:c r="I9" s="114" t="str">
        <x:v>Medium</x:v>
      </x:c>
      <x:c r="J9" s="114" t="str">
        <x:v>Test writing, running, diagnosing failures.</x:v>
      </x:c>
      <x:c r="K9" s="114" t="str">
        <x:v>Flaky tests accepted; no negative case.</x:v>
      </x:c>
      <x:c r="L9" s="114" t="str">
        <x:v>Draft Complete</x:v>
      </x:c>
      <x:c r="M9" s="333" t="str">
        <x:v>QA role</x:v>
      </x:c>
    </x:row>
    <x:row r="10">
      <x:c r="A10" s="337" t="str">
        <x:v>TASK-QA-002</x:v>
      </x:c>
      <x:c r="B10" s="338" t="str">
        <x:v>Reproduce customer-reported defect</x:v>
      </x:c>
      <x:c r="C10" s="338" t="str">
        <x:v>QA/debugging</x:v>
      </x:c>
      <x:c r="D10" s="338" t="str">
        <x:v>Convert vague report into reproducible evidence or ruled-out reproduction package.</x:v>
      </x:c>
      <x:c r="E10" s="338" t="str">
        <x:v>Defect triage L3; communication L2–3; evidence documentation L3</x:v>
      </x:c>
      <x:c r="F10" s="338" t="str">
        <x:v>Steps, environment, expected/actual, logs/screens, severity, reproducibility state.</x:v>
      </x:c>
      <x:c r="G10" s="338" t="str">
        <x:v>Repro video/screenshot; browser/device metadata; issue update; logs.</x:v>
      </x:c>
      <x:c r="H10" s="338" t="str">
        <x:v>Reviewer validates steps.</x:v>
      </x:c>
      <x:c r="I10" s="338" t="str">
        <x:v>Low–medium</x:v>
      </x:c>
      <x:c r="J10" s="338" t="str">
        <x:v>Exploratory activity is valid when evidence is collected.</x:v>
      </x:c>
      <x:c r="K10" s="338" t="str">
        <x:v>Closing as unreproducible without environment evidence.</x:v>
      </x:c>
      <x:c r="L10" s="338" t="str">
        <x:v>Draft Complete</x:v>
      </x:c>
      <x:c r="M10" s="339" t="str">
        <x:v>Task mining/task evidence</x:v>
      </x:c>
    </x:row>
    <x:row r="11">
      <x:c r="A11" s="332" t="str">
        <x:v>TASK-OPS-001</x:v>
      </x:c>
      <x:c r="B11" s="114" t="str">
        <x:v>Repair failing CI pipeline</x:v>
      </x:c>
      <x:c r="C11" s="114" t="str">
        <x:v>DevOps/CI</x:v>
      </x:c>
      <x:c r="D11" s="114" t="str">
        <x:v>Restore CI with root-cause explanation and preventive evidence.</x:v>
      </x:c>
      <x:c r="E11" s="114" t="str">
        <x:v>CI/CD L3; shell/debugging L3; automation L3</x:v>
      </x:c>
      <x:c r="F11" s="114" t="str">
        <x:v>Failure identified; fix scoped; CI passes; no secrets exposed; rollback/impact note.</x:v>
      </x:c>
      <x:c r="G11" s="114" t="str">
        <x:v>CI logs; command history; config diff; passing run; PR.</x:v>
      </x:c>
      <x:c r="H11" s="114" t="str">
        <x:v>CI pass; reviewer verifies config.</x:v>
      </x:c>
      <x:c r="I11" s="114" t="str">
        <x:v>Medium</x:v>
      </x:c>
      <x:c r="J11" s="114" t="str">
        <x:v>Automated execution wait is a valid work episode.</x:v>
      </x:c>
      <x:c r="K11" s="114" t="str">
        <x:v>Random dependency upgrades without root-cause evidence.</x:v>
      </x:c>
      <x:c r="L11" s="114" t="str">
        <x:v>Draft Complete</x:v>
      </x:c>
      <x:c r="M11" s="333" t="str">
        <x:v>DevOps role</x:v>
      </x:c>
    </x:row>
    <x:row r="12">
      <x:c r="A12" s="337" t="str">
        <x:v>TASK-OPS-002</x:v>
      </x:c>
      <x:c r="B12" s="338" t="str">
        <x:v>Add deployment rollback runbook</x:v>
      </x:c>
      <x:c r="C12" s="338" t="str">
        <x:v>Operations/documentation</x:v>
      </x:c>
      <x:c r="D12" s="338" t="str">
        <x:v>Create actionable runbook and validate with dry run or peer review.</x:v>
      </x:c>
      <x:c r="E12" s="338" t="str">
        <x:v>Ops documentation L3; risk management L2–3; review L3</x:v>
      </x:c>
      <x:c r="F12" s="338" t="str">
        <x:v>Steps, preconditions, failure modes, contacts, validation, rollback evidence.</x:v>
      </x:c>
      <x:c r="G12" s="338" t="str">
        <x:v>Runbook diff; dry-run log; reviewer sign-off.</x:v>
      </x:c>
      <x:c r="H12" s="338" t="str">
        <x:v>Peer review; dry-run success.</x:v>
      </x:c>
      <x:c r="I12" s="338" t="str">
        <x:v>Medium</x:v>
      </x:c>
      <x:c r="J12" s="338" t="str">
        <x:v>Documentation is an artefact; no code output expected.</x:v>
      </x:c>
      <x:c r="K12" s="338" t="str">
        <x:v>Runbook lacks validation or owner.</x:v>
      </x:c>
      <x:c r="L12" s="338" t="str">
        <x:v>Draft Complete</x:v>
      </x:c>
      <x:c r="M12" s="339" t="str">
        <x:v>Operational evidence</x:v>
      </x:c>
    </x:row>
    <x:row r="13">
      <x:c r="A13" s="332" t="str">
        <x:v>TASK-AI-001</x:v>
      </x:c>
      <x:c r="B13" s="114" t="str">
        <x:v>Use Codex to propose test fix and review output</x:v>
      </x:c>
      <x:c r="C13" s="114" t="str">
        <x:v>AI-assisted development</x:v>
      </x:c>
      <x:c r="D13" s="114" t="str">
        <x:v>Direct agent to investigate, produce patch, review scope and verify.</x:v>
      </x:c>
      <x:c r="E13" s="114" t="str">
        <x:v>AI supervision L3; debugging L2–3; test verification L3</x:v>
      </x:c>
      <x:c r="F13" s="114" t="str">
        <x:v>Prompt bounded; agent inspected before editing; patch reviewed; unrelated changes rejected; tests run.</x:v>
      </x:c>
      <x:c r="G13" s="114" t="str">
        <x:v>Prompt/tool logs; diff review; rejected changes; test result; PR comment.</x:v>
      </x:c>
      <x:c r="H13" s="114" t="str">
        <x:v>Human review; tests; scope check.</x:v>
      </x:c>
      <x:c r="I13" s="114" t="str">
        <x:v>Medium</x:v>
      </x:c>
      <x:c r="J13" s="114" t="str">
        <x:v>Human value is direction/review, not manual typing volume.</x:v>
      </x:c>
      <x:c r="K13" s="114" t="str">
        <x:v>Accepting broad agent patch unreviewed.</x:v>
      </x:c>
      <x:c r="L13" s="114" t="str">
        <x:v>Draft Complete</x:v>
      </x:c>
      <x:c r="M13" s="333" t="str">
        <x:v>Codex hooks</x:v>
      </x:c>
    </x:row>
    <x:row r="14">
      <x:c r="A14" s="337" t="str">
        <x:v>TASK-AI-002</x:v>
      </x:c>
      <x:c r="B14" s="338" t="str">
        <x:v>Create reusable team prompt for API debugging</x:v>
      </x:c>
      <x:c r="C14" s="338" t="str">
        <x:v>Skill/process improvement</x:v>
      </x:c>
      <x:c r="D14" s="338" t="str">
        <x:v>Convert successful debugging workflow into draft reusable prompt/skill.</x:v>
      </x:c>
      <x:c r="E14" s="338" t="str">
        <x:v>Skill creation L2–3; domain knowledge L3; documentation L3</x:v>
      </x:c>
      <x:c r="F14" s="338" t="str">
        <x:v>Trigger, inputs, steps, verification, failure handling, examples.</x:v>
      </x:c>
      <x:c r="G14" s="338" t="str">
        <x:v>Prompt/skill document; sample application; review decision.</x:v>
      </x:c>
      <x:c r="H14" s="338" t="str">
        <x:v>Skill review; no confidential leakage.</x:v>
      </x:c>
      <x:c r="I14" s="338" t="str">
        <x:v>Medium</x:v>
      </x:c>
      <x:c r="J14" s="338" t="str">
        <x:v>Skill Forge candidate, not automatic production skill.</x:v>
      </x:c>
      <x:c r="K14" s="338" t="str">
        <x:v>Contains project secrets or over-specific instructions.</x:v>
      </x:c>
      <x:c r="L14" s="338" t="str">
        <x:v>Draft Complete</x:v>
      </x:c>
      <x:c r="M14" s="339" t="str">
        <x:v>Task Observer/Skill Forge</x:v>
      </x:c>
    </x:row>
    <x:row r="15">
      <x:c r="A15" s="332" t="str">
        <x:v>TASK-DATA-001</x:v>
      </x:c>
      <x:c r="B15" s="114" t="str">
        <x:v>Build metric reconciliation report</x:v>
      </x:c>
      <x:c r="C15" s="114" t="str">
        <x:v>Analytics/data</x:v>
      </x:c>
      <x:c r="D15" s="114" t="str">
        <x:v>Reconcile two metric sources and explain differences.</x:v>
      </x:c>
      <x:c r="E15" s="114" t="str">
        <x:v>Data analysis L3; evidence documentation L3; communication L3</x:v>
      </x:c>
      <x:c r="F15" s="114" t="str">
        <x:v>Definitions compared; query/source evidence; discrepancy quantified; caveats and recommendation.</x:v>
      </x:c>
      <x:c r="G15" s="114" t="str">
        <x:v>Queries; source links; calculations; report.</x:v>
      </x:c>
      <x:c r="H15" s="114" t="str">
        <x:v>Peer review; reproducibility check.</x:v>
      </x:c>
      <x:c r="I15" s="114" t="str">
        <x:v>Medium</x:v>
      </x:c>
      <x:c r="J15" s="114" t="str">
        <x:v>Future vertical example beyond software code.</x:v>
      </x:c>
      <x:c r="K15" s="114" t="str">
        <x:v>Uncited numbers; unsupported causal claims.</x:v>
      </x:c>
      <x:c r="L15" s="114" t="str">
        <x:v>Draft Complete</x:v>
      </x:c>
      <x:c r="M15" s="333" t="str">
        <x:v>Data-analysis extension</x:v>
      </x:c>
    </x:row>
    <x:row r="16">
      <x:c r="A16" s="340" t="str">
        <x:v>TASK-SUP-001</x:v>
      </x:c>
      <x:c r="B16" s="341" t="str">
        <x:v>Resolve escalated customer support issue</x:v>
      </x:c>
      <x:c r="C16" s="341" t="str">
        <x:v>Support/future vertical</x:v>
      </x:c>
      <x:c r="D16" s="341" t="str">
        <x:v>Diagnose issue, communicate update and close with evidence.</x:v>
      </x:c>
      <x:c r="E16" s="341" t="str">
        <x:v>Support diagnosis L3; communication L3; product knowledge L2–3</x:v>
      </x:c>
      <x:c r="F16" s="341" t="str">
        <x:v>Customer issue understood; correct action; clear response; evidence and escalation if needed.</x:v>
      </x:c>
      <x:c r="G16" s="341" t="str">
        <x:v>Ticket notes; system logs; customer response; closure reason.</x:v>
      </x:c>
      <x:c r="H16" s="341" t="str">
        <x:v>QA/reviewer audit.</x:v>
      </x:c>
      <x:c r="I16" s="341" t="str">
        <x:v>Low–medium</x:v>
      </x:c>
      <x:c r="J16" s="341" t="str">
        <x:v>Domain-neutral task contract model should support this later.</x:v>
      </x:c>
      <x:c r="K16" s="341" t="str">
        <x:v>Blaming employee without system/access context.</x:v>
      </x:c>
      <x:c r="L16" s="341" t="str">
        <x:v>Draft Complete</x:v>
      </x:c>
      <x:c r="M16" s="342" t="str">
        <x:v>Cross-vertical extension</x:v>
      </x:c>
    </x:row>
  </x:sheetData>
  <x:mergeCells>
    <x:mergeCell ref="A1:M1"/>
    <x:mergeCell ref="A2:M2"/>
  </x:mergeCells>
  <x:dataValidations count="2">
    <x:dataValidation type="list" sqref="I5:I16">
      <x:formula1>"Low,Low–medium,Medium,Medium–high,High"</x:formula1>
    </x:dataValidation>
    <x:dataValidation type="list" sqref="L5:L16">
      <x:formula1>"Draft Complete,Needs Review,Approved,Deferred"</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4" hidden="0" customWidth="1"/>
    <x:col min="5" max="5" width="52" hidden="0" customWidth="1"/>
    <x:col min="6" max="6" width="48" hidden="0" customWidth="1"/>
    <x:col min="7" max="7" width="24" hidden="0" customWidth="1"/>
    <x:col min="8" max="8" width="18" hidden="0" customWidth="1"/>
    <x:col min="9" max="9" width="30" hidden="0" customWidth="1"/>
  </x:cols>
  <x:sheetData>
    <x:row r="1" ht="30" customHeight="1">
      <x:c r="A1" s="294" t="str">
        <x:v>Stage 2 — Evidence Scoring and Capability Update Rules</x:v>
      </x:c>
      <x:c r="B1" s="294"/>
      <x:c r="C1" s="294"/>
      <x:c r="D1" s="294"/>
      <x:c r="E1" s="294"/>
      <x:c r="F1" s="294"/>
      <x:c r="G1" s="294"/>
      <x:c r="H1" s="294"/>
      <x:c r="I1" s="294"/>
    </x:row>
    <x:row r="2" ht="36" customHeight="1">
      <x:c r="A2" s="298" t="str">
        <x:v>Scoring model for evidence weighting, confidence, recency, independence and fairness. Numeric factors are planning defaults and must be calibrated in pilot data.</x:v>
      </x:c>
      <x:c r="B2" s="298"/>
      <x:c r="C2" s="298"/>
      <x:c r="D2" s="298"/>
      <x:c r="E2" s="298"/>
      <x:c r="F2" s="298"/>
      <x:c r="G2" s="298"/>
      <x:c r="H2" s="298"/>
      <x:c r="I2" s="298"/>
    </x:row>
    <x:row r="4" ht="30" customHeight="1">
      <x:c r="A4" s="310" t="str">
        <x:v>ID</x:v>
      </x:c>
      <x:c r="B4" s="311" t="str">
        <x:v>Scoring area</x:v>
      </x:c>
      <x:c r="C4" s="311" t="str">
        <x:v>Rule / factor</x:v>
      </x:c>
      <x:c r="D4" s="311" t="str">
        <x:v>Default weight</x:v>
      </x:c>
      <x:c r="E4" s="311" t="str">
        <x:v>Evidence examples</x:v>
      </x:c>
      <x:c r="F4" s="311" t="str">
        <x:v>Interpretation</x:v>
      </x:c>
      <x:c r="G4" s="311" t="str">
        <x:v>Used by</x:v>
      </x:c>
      <x:c r="H4" s="311" t="str">
        <x:v>Status</x:v>
      </x:c>
      <x:c r="I4" s="312" t="str">
        <x:v>Source / basis</x:v>
      </x:c>
    </x:row>
    <x:row r="5">
      <x:c r="A5" s="329" t="str">
        <x:v>SCORE-001</x:v>
      </x:c>
      <x:c r="B5" s="330" t="str">
        <x:v>Evidence class reliability</x:v>
      </x:c>
      <x:c r="C5" s="330" t="str">
        <x:v>Authoritative artefact/system result</x:v>
      </x:c>
      <x:c r="D5" s="343" t="n">
        <x:v>1</x:v>
      </x:c>
      <x:c r="E5" s="330" t="str">
        <x:v>Test pass/fail, commit hash, PR review, deployment result, database transaction.</x:v>
      </x:c>
      <x:c r="F5" s="330" t="str">
        <x:v>Strongest outcome evidence; still needs scope/context.</x:v>
      </x:c>
      <x:c r="G5" s="330" t="str">
        <x:v>Task Assurance / Capability</x:v>
      </x:c>
      <x:c r="H5" s="330" t="str">
        <x:v>Draft Complete</x:v>
      </x:c>
      <x:c r="I5" s="331" t="str">
        <x:v>Stage 0 evidence hierarchy</x:v>
      </x:c>
    </x:row>
    <x:row r="6">
      <x:c r="A6" s="337" t="str">
        <x:v>SCORE-002</x:v>
      </x:c>
      <x:c r="B6" s="338" t="str">
        <x:v>Evidence class reliability</x:v>
      </x:c>
      <x:c r="C6" s="338" t="str">
        <x:v>Tool-semantic event</x:v>
      </x:c>
      <x:c r="D6" s="344" t="n">
        <x:v>0.85</x:v>
      </x:c>
      <x:c r="E6" s="338" t="str">
        <x:v>Terminal command, IDE diagnostic, agent tool call, browser task metadata.</x:v>
      </x:c>
      <x:c r="F6" s="338" t="str">
        <x:v>Useful provenance; can be incomplete or spoofed without corroboration.</x:v>
      </x:c>
      <x:c r="G6" s="338" t="str">
        <x:v>Task Assurance</x:v>
      </x:c>
      <x:c r="H6" s="338" t="str">
        <x:v>Draft Complete</x:v>
      </x:c>
      <x:c r="I6" s="339" t="str">
        <x:v>Codex hooks/OTel</x:v>
      </x:c>
    </x:row>
    <x:row r="7">
      <x:c r="A7" s="332" t="str">
        <x:v>SCORE-003</x:v>
      </x:c>
      <x:c r="B7" s="114" t="str">
        <x:v>Evidence class reliability</x:v>
      </x:c>
      <x:c r="C7" s="114" t="str">
        <x:v>OS/device event</x:v>
      </x:c>
      <x:c r="D7" s="345" t="n">
        <x:v>0.7</x:v>
      </x:c>
      <x:c r="E7" s="114" t="str">
        <x:v>Foreground app, process, file event, input event metadata.</x:v>
      </x:c>
      <x:c r="F7" s="114" t="str">
        <x:v>Good context; weak for quality/intent by itself.</x:v>
      </x:c>
      <x:c r="G7" s="114" t="str">
        <x:v>Evidence graph</x:v>
      </x:c>
      <x:c r="H7" s="114" t="str">
        <x:v>Draft Complete</x:v>
      </x:c>
      <x:c r="I7" s="333" t="str">
        <x:v>ActivityWatch/OS APIs</x:v>
      </x:c>
    </x:row>
    <x:row r="8">
      <x:c r="A8" s="337" t="str">
        <x:v>SCORE-004</x:v>
      </x:c>
      <x:c r="B8" s="338" t="str">
        <x:v>Evidence class reliability</x:v>
      </x:c>
      <x:c r="C8" s="338" t="str">
        <x:v>Accessibility/UI text state</x:v>
      </x:c>
      <x:c r="D8" s="344" t="n">
        <x:v>0.65</x:v>
      </x:c>
      <x:c r="E8" s="338" t="str">
        <x:v>Focused control value, UI tree, visible labels.</x:v>
      </x:c>
      <x:c r="F8" s="338" t="str">
        <x:v>Useful for opaque apps; app support varies.</x:v>
      </x:c>
      <x:c r="G8" s="338" t="str">
        <x:v>Evidence graph</x:v>
      </x:c>
      <x:c r="H8" s="338" t="str">
        <x:v>Draft Complete</x:v>
      </x:c>
      <x:c r="I8" s="339" t="str">
        <x:v>UI Automation/AX</x:v>
      </x:c>
    </x:row>
    <x:row r="9">
      <x:c r="A9" s="332" t="str">
        <x:v>SCORE-005</x:v>
      </x:c>
      <x:c r="B9" s="114" t="str">
        <x:v>Evidence class reliability</x:v>
      </x:c>
      <x:c r="C9" s="114" t="str">
        <x:v>Visual/OCR evidence</x:v>
      </x:c>
      <x:c r="D9" s="345" t="n">
        <x:v>0.55</x:v>
      </x:c>
      <x:c r="E9" s="114" t="str">
        <x:v>Screenshot, changed region, OCR text.</x:v>
      </x:c>
      <x:c r="F9" s="114" t="str">
        <x:v>Supports reconstruction; privacy-sensitive and sometimes ambiguous.</x:v>
      </x:c>
      <x:c r="G9" s="114" t="str">
        <x:v>Evidence graph</x:v>
      </x:c>
      <x:c r="H9" s="114" t="str">
        <x:v>Draft Complete</x:v>
      </x:c>
      <x:c r="I9" s="333" t="str">
        <x:v>Screenpipe/OpenAdapt</x:v>
      </x:c>
    </x:row>
    <x:row r="10">
      <x:c r="A10" s="337" t="str">
        <x:v>SCORE-006</x:v>
      </x:c>
      <x:c r="B10" s="338" t="str">
        <x:v>Evidence class reliability</x:v>
      </x:c>
      <x:c r="C10" s="338" t="str">
        <x:v>Human statement/review</x:v>
      </x:c>
      <x:c r="D10" s="344" t="n">
        <x:v>0.6</x:v>
      </x:c>
      <x:c r="E10" s="338" t="str">
        <x:v>Employee explanation, peer review, manager note.</x:v>
      </x:c>
      <x:c r="F10" s="338" t="str">
        <x:v>High contextual value; subjective and needs source/rationale.</x:v>
      </x:c>
      <x:c r="G10" s="338" t="str">
        <x:v>Governance</x:v>
      </x:c>
      <x:c r="H10" s="338" t="str">
        <x:v>Draft Complete</x:v>
      </x:c>
      <x:c r="I10" s="339" t="str">
        <x:v>Human review</x:v>
      </x:c>
    </x:row>
    <x:row r="11">
      <x:c r="A11" s="332" t="str">
        <x:v>SCORE-007</x:v>
      </x:c>
      <x:c r="B11" s="114" t="str">
        <x:v>Evidence class reliability</x:v>
      </x:c>
      <x:c r="C11" s="114" t="str">
        <x:v>AI inference</x:v>
      </x:c>
      <x:c r="D11" s="345" t="n">
        <x:v>0.35</x:v>
      </x:c>
      <x:c r="E11" s="114" t="str">
        <x:v>Model task alignment, gap classification, quality assessment.</x:v>
      </x:c>
      <x:c r="F11" s="114" t="str">
        <x:v>Always requires evidence links and review for high impact.</x:v>
      </x:c>
      <x:c r="G11" s="114" t="str">
        <x:v>AI Evaluators</x:v>
      </x:c>
      <x:c r="H11" s="114" t="str">
        <x:v>Draft Complete</x:v>
      </x:c>
      <x:c r="I11" s="333" t="str">
        <x:v>NIST AI RMF</x:v>
      </x:c>
    </x:row>
    <x:row r="12">
      <x:c r="A12" s="337" t="str">
        <x:v>SCORE-008</x:v>
      </x:c>
      <x:c r="B12" s="338" t="str">
        <x:v>Task difficulty multiplier</x:v>
      </x:c>
      <x:c r="C12" s="338" t="str">
        <x:v>Low</x:v>
      </x:c>
      <x:c r="D12" s="344" t="n">
        <x:v>0.7</x:v>
      </x:c>
      <x:c r="E12" s="338" t="str">
        <x:v>Known routine task with clear inputs and low risk.</x:v>
      </x:c>
      <x:c r="F12" s="338" t="str">
        <x:v>Lower evidence weight for capability progression.</x:v>
      </x:c>
      <x:c r="G12" s="338" t="str">
        <x:v>Capability Scoring</x:v>
      </x:c>
      <x:c r="H12" s="338" t="str">
        <x:v>Draft Complete</x:v>
      </x:c>
      <x:c r="I12" s="339" t="str">
        <x:v>Assessment design</x:v>
      </x:c>
    </x:row>
    <x:row r="13">
      <x:c r="A13" s="332" t="str">
        <x:v>SCORE-009</x:v>
      </x:c>
      <x:c r="B13" s="114" t="str">
        <x:v>Task difficulty multiplier</x:v>
      </x:c>
      <x:c r="C13" s="114" t="str">
        <x:v>Medium</x:v>
      </x:c>
      <x:c r="D13" s="345" t="n">
        <x:v>1</x:v>
      </x:c>
      <x:c r="E13" s="114" t="str">
        <x:v>Standard role task with normal complexity.</x:v>
      </x:c>
      <x:c r="F13" s="114" t="str">
        <x:v>Default difficulty multiplier.</x:v>
      </x:c>
      <x:c r="G13" s="114" t="str">
        <x:v>Capability Scoring</x:v>
      </x:c>
      <x:c r="H13" s="114" t="str">
        <x:v>Draft Complete</x:v>
      </x:c>
      <x:c r="I13" s="333" t="str"/>
    </x:row>
    <x:row r="14">
      <x:c r="A14" s="337" t="str">
        <x:v>SCORE-010</x:v>
      </x:c>
      <x:c r="B14" s="338" t="str">
        <x:v>Task difficulty multiplier</x:v>
      </x:c>
      <x:c r="C14" s="338" t="str">
        <x:v>High</x:v>
      </x:c>
      <x:c r="D14" s="344" t="n">
        <x:v>1.3</x:v>
      </x:c>
      <x:c r="E14" s="338" t="str">
        <x:v>Ambiguous, cross-system, high-risk or novel task.</x:v>
      </x:c>
      <x:c r="F14" s="338" t="str">
        <x:v>Higher weight only when outcome quality is strong.</x:v>
      </x:c>
      <x:c r="G14" s="338" t="str">
        <x:v>Capability Scoring</x:v>
      </x:c>
      <x:c r="H14" s="338" t="str">
        <x:v>Draft Complete</x:v>
      </x:c>
      <x:c r="I14" s="339" t="str"/>
    </x:row>
    <x:row r="15">
      <x:c r="A15" s="332" t="str">
        <x:v>SCORE-011</x:v>
      </x:c>
      <x:c r="B15" s="114" t="str">
        <x:v>Outcome quality factor</x:v>
      </x:c>
      <x:c r="C15" s="114" t="str">
        <x:v>Verified complete</x:v>
      </x:c>
      <x:c r="D15" s="345" t="n">
        <x:v>1</x:v>
      </x:c>
      <x:c r="E15" s="114" t="str">
        <x:v>Required criteria and quality gates satisfied.</x:v>
      </x:c>
      <x:c r="F15" s="114" t="str">
        <x:v>Supports capability evidence.</x:v>
      </x:c>
      <x:c r="G15" s="114" t="str">
        <x:v>Capability Scoring</x:v>
      </x:c>
      <x:c r="H15" s="114" t="str">
        <x:v>Draft Complete</x:v>
      </x:c>
      <x:c r="I15" s="333" t="str"/>
    </x:row>
    <x:row r="16">
      <x:c r="A16" s="337" t="str">
        <x:v>SCORE-012</x:v>
      </x:c>
      <x:c r="B16" s="338" t="str">
        <x:v>Outcome quality factor</x:v>
      </x:c>
      <x:c r="C16" s="338" t="str">
        <x:v>Partially verified</x:v>
      </x:c>
      <x:c r="D16" s="344" t="n">
        <x:v>0.55</x:v>
      </x:c>
      <x:c r="E16" s="338" t="str">
        <x:v>Some criteria complete but missing important evidence.</x:v>
      </x:c>
      <x:c r="F16" s="338" t="str">
        <x:v>May show progress but not full capability.</x:v>
      </x:c>
      <x:c r="G16" s="338" t="str">
        <x:v>Capability Scoring</x:v>
      </x:c>
      <x:c r="H16" s="338" t="str">
        <x:v>Draft Complete</x:v>
      </x:c>
      <x:c r="I16" s="339" t="str"/>
    </x:row>
    <x:row r="17">
      <x:c r="A17" s="332" t="str">
        <x:v>SCORE-013</x:v>
      </x:c>
      <x:c r="B17" s="114" t="str">
        <x:v>Outcome quality factor</x:v>
      </x:c>
      <x:c r="C17" s="114" t="str">
        <x:v>Failed with useful diagnosis</x:v>
      </x:c>
      <x:c r="D17" s="345" t="n">
        <x:v>0.25</x:v>
      </x:c>
      <x:c r="E17" s="114" t="str">
        <x:v>Task not completed but root cause/blocker evidence is strong.</x:v>
      </x:c>
      <x:c r="F17" s="114" t="str">
        <x:v>Can show debugging/communication capability.</x:v>
      </x:c>
      <x:c r="G17" s="114" t="str">
        <x:v>Capability Scoring</x:v>
      </x:c>
      <x:c r="H17" s="114" t="str">
        <x:v>Draft Complete</x:v>
      </x:c>
      <x:c r="I17" s="333" t="str"/>
    </x:row>
    <x:row r="18">
      <x:c r="A18" s="337" t="str">
        <x:v>SCORE-014</x:v>
      </x:c>
      <x:c r="B18" s="338" t="str">
        <x:v>Outcome quality factor</x:v>
      </x:c>
      <x:c r="C18" s="338" t="str">
        <x:v>Failed without evidence</x:v>
      </x:c>
      <x:c r="D18" s="344" t="n">
        <x:v>-0.25</x:v>
      </x:c>
      <x:c r="E18" s="338" t="str">
        <x:v>No valid output, no diagnosis, repeated unsupported changes.</x:v>
      </x:c>
      <x:c r="F18" s="338" t="str">
        <x:v>Gap candidate; never permanent alone.</x:v>
      </x:c>
      <x:c r="G18" s="338" t="str">
        <x:v>Capability Scoring</x:v>
      </x:c>
      <x:c r="H18" s="338" t="str">
        <x:v>Draft Complete</x:v>
      </x:c>
      <x:c r="I18" s="339" t="str"/>
    </x:row>
    <x:row r="19">
      <x:c r="A19" s="332" t="str">
        <x:v>SCORE-015</x:v>
      </x:c>
      <x:c r="B19" s="114" t="str">
        <x:v>Independence factor</x:v>
      </x:c>
      <x:c r="C19" s="114" t="str">
        <x:v>Independent</x:v>
      </x:c>
      <x:c r="D19" s="345" t="n">
        <x:v>1</x:v>
      </x:c>
      <x:c r="E19" s="114" t="str">
        <x:v>Completed with normal clarification only.</x:v>
      </x:c>
      <x:c r="F19" s="114" t="str">
        <x:v>Required for level 3+ evidence.</x:v>
      </x:c>
      <x:c r="G19" s="114" t="str">
        <x:v>Capability Scoring</x:v>
      </x:c>
      <x:c r="H19" s="114" t="str">
        <x:v>Draft Complete</x:v>
      </x:c>
      <x:c r="I19" s="333" t="str"/>
    </x:row>
    <x:row r="20">
      <x:c r="A20" s="337" t="str">
        <x:v>SCORE-016</x:v>
      </x:c>
      <x:c r="B20" s="338" t="str">
        <x:v>Independence factor</x:v>
      </x:c>
      <x:c r="C20" s="338" t="str">
        <x:v>Assisted</x:v>
      </x:c>
      <x:c r="D20" s="344" t="n">
        <x:v>0.7</x:v>
      </x:c>
      <x:c r="E20" s="338" t="str">
        <x:v>Completed with checklists, coaching or peer/AI guidance.</x:v>
      </x:c>
      <x:c r="F20" s="338" t="str">
        <x:v>Valid evidence for level 2–3 depending role expectation.</x:v>
      </x:c>
      <x:c r="G20" s="338" t="str">
        <x:v>Capability Scoring</x:v>
      </x:c>
      <x:c r="H20" s="338" t="str">
        <x:v>Draft Complete</x:v>
      </x:c>
      <x:c r="I20" s="339" t="str"/>
    </x:row>
    <x:row r="21">
      <x:c r="A21" s="332" t="str">
        <x:v>SCORE-017</x:v>
      </x:c>
      <x:c r="B21" s="114" t="str">
        <x:v>Independence factor</x:v>
      </x:c>
      <x:c r="C21" s="114" t="str">
        <x:v>Directed</x:v>
      </x:c>
      <x:c r="D21" s="345" t="n">
        <x:v>0.4</x:v>
      </x:c>
      <x:c r="E21" s="114" t="str">
        <x:v>Step-by-step help needed.</x:v>
      </x:c>
      <x:c r="F21" s="114" t="str">
        <x:v>Primarily learning evidence.</x:v>
      </x:c>
      <x:c r="G21" s="114" t="str">
        <x:v>Capability Scoring</x:v>
      </x:c>
      <x:c r="H21" s="114" t="str">
        <x:v>Draft Complete</x:v>
      </x:c>
      <x:c r="I21" s="333" t="str"/>
    </x:row>
    <x:row r="22">
      <x:c r="A22" s="337" t="str">
        <x:v>SCORE-018</x:v>
      </x:c>
      <x:c r="B22" s="338" t="str">
        <x:v>Guidance penalty</x:v>
      </x:c>
      <x:c r="C22" s="338" t="str">
        <x:v>Repeated same guidance after training</x:v>
      </x:c>
      <x:c r="D22" s="344" t="n">
        <x:v>-0.3</x:v>
      </x:c>
      <x:c r="E22" s="338" t="str">
        <x:v>Same avoidable error repeats after appropriate support.</x:v>
      </x:c>
      <x:c r="F22" s="338" t="str">
        <x:v>Possible gap evidence but needs context.</x:v>
      </x:c>
      <x:c r="G22" s="338" t="str">
        <x:v>Capability Scoring</x:v>
      </x:c>
      <x:c r="H22" s="338" t="str">
        <x:v>Draft Complete</x:v>
      </x:c>
      <x:c r="I22" s="339" t="str"/>
    </x:row>
    <x:row r="23">
      <x:c r="A23" s="332" t="str">
        <x:v>SCORE-019</x:v>
      </x:c>
      <x:c r="B23" s="114" t="str">
        <x:v>Recency factor</x:v>
      </x:c>
      <x:c r="C23" s="114" t="str">
        <x:v>Current</x:v>
      </x:c>
      <x:c r="D23" s="345" t="n">
        <x:v>1</x:v>
      </x:c>
      <x:c r="E23" s="114" t="str">
        <x:v>Evidence within current review period or last 90 days for fast-changing tech.</x:v>
      </x:c>
      <x:c r="F23" s="114" t="str">
        <x:v>Full recency weight.</x:v>
      </x:c>
      <x:c r="G23" s="114" t="str">
        <x:v>Capability Scoring</x:v>
      </x:c>
      <x:c r="H23" s="114" t="str">
        <x:v>Draft Complete</x:v>
      </x:c>
      <x:c r="I23" s="333" t="str"/>
    </x:row>
    <x:row r="24">
      <x:c r="A24" s="337" t="str">
        <x:v>SCORE-020</x:v>
      </x:c>
      <x:c r="B24" s="338" t="str">
        <x:v>Recency factor</x:v>
      </x:c>
      <x:c r="C24" s="338" t="str">
        <x:v>Stale</x:v>
      </x:c>
      <x:c r="D24" s="344" t="n">
        <x:v>0.5</x:v>
      </x:c>
      <x:c r="E24" s="338" t="str">
        <x:v>Evidence older than review threshold or based on obsolete tool/version.</x:v>
      </x:c>
      <x:c r="F24" s="338" t="str">
        <x:v>Requires reassessment.</x:v>
      </x:c>
      <x:c r="G24" s="338" t="str">
        <x:v>Capability Scoring</x:v>
      </x:c>
      <x:c r="H24" s="338" t="str">
        <x:v>Draft Complete</x:v>
      </x:c>
      <x:c r="I24" s="339" t="str"/>
    </x:row>
    <x:row r="25">
      <x:c r="A25" s="332" t="str">
        <x:v>SCORE-021</x:v>
      </x:c>
      <x:c r="B25" s="114" t="str">
        <x:v>Consistency rule</x:v>
      </x:c>
      <x:c r="C25" s="114" t="str">
        <x:v>3+ aligned evidence items</x:v>
      </x:c>
      <x:c r="D25" s="345" t="n">
        <x:v>1</x:v>
      </x:c>
      <x:c r="E25" s="114" t="str">
        <x:v>Multiple qualified items across comparable tasks.</x:v>
      </x:c>
      <x:c r="F25" s="114" t="str">
        <x:v>Minimum threshold for stable capability update.</x:v>
      </x:c>
      <x:c r="G25" s="114" t="str">
        <x:v>Capability Scoring</x:v>
      </x:c>
      <x:c r="H25" s="114" t="str">
        <x:v>Draft Complete</x:v>
      </x:c>
      <x:c r="I25" s="333" t="str"/>
    </x:row>
    <x:row r="26">
      <x:c r="A26" s="337" t="str">
        <x:v>SCORE-022</x:v>
      </x:c>
      <x:c r="B26" s="338" t="str">
        <x:v>Consistency rule</x:v>
      </x:c>
      <x:c r="C26" s="338" t="str">
        <x:v>Contradictory evidence</x:v>
      </x:c>
      <x:c r="D26" s="344"/>
      <x:c r="E26" s="338" t="str">
        <x:v>Evidence shows mixed outcomes.</x:v>
      </x:c>
      <x:c r="F26" s="338" t="str">
        <x:v>Do not average blindly; route to review and context analysis.</x:v>
      </x:c>
      <x:c r="G26" s="338" t="str">
        <x:v>Capability Review</x:v>
      </x:c>
      <x:c r="H26" s="338" t="str">
        <x:v>Draft Complete</x:v>
      </x:c>
      <x:c r="I26" s="339" t="str"/>
    </x:row>
    <x:row r="27">
      <x:c r="A27" s="332" t="str">
        <x:v>SCORE-023</x:v>
      </x:c>
      <x:c r="B27" s="114" t="str">
        <x:v>Fairness guardrail</x:v>
      </x:c>
      <x:c r="C27" s="114" t="str">
        <x:v>Environmental blocker</x:v>
      </x:c>
      <x:c r="D27" s="345"/>
      <x:c r="E27" s="114" t="str">
        <x:v>Missing access, broken environment, unclear requirements or external dependency.</x:v>
      </x:c>
      <x:c r="F27" s="114" t="str">
        <x:v>Exclude or reclassify negative evidence.</x:v>
      </x:c>
      <x:c r="G27" s="114" t="str">
        <x:v>Capability Review</x:v>
      </x:c>
      <x:c r="H27" s="114" t="str">
        <x:v>Draft Complete</x:v>
      </x:c>
      <x:c r="I27" s="333" t="str"/>
    </x:row>
    <x:row r="28">
      <x:c r="A28" s="337" t="str">
        <x:v>SCORE-024</x:v>
      </x:c>
      <x:c r="B28" s="338" t="str">
        <x:v>Fairness guardrail</x:v>
      </x:c>
      <x:c r="C28" s="338" t="str">
        <x:v>Accessibility accommodation</x:v>
      </x:c>
      <x:c r="D28" s="344"/>
      <x:c r="E28" s="338" t="str">
        <x:v>Different input method, workflow, timing or environment due to accommodation.</x:v>
      </x:c>
      <x:c r="F28" s="338" t="str">
        <x:v>Do not lower capability; evaluate outcome and agreed criteria.</x:v>
      </x:c>
      <x:c r="G28" s="338" t="str">
        <x:v>Capability Review</x:v>
      </x:c>
      <x:c r="H28" s="338" t="str">
        <x:v>Draft Complete</x:v>
      </x:c>
      <x:c r="I28" s="339" t="str"/>
    </x:row>
    <x:row r="29">
      <x:c r="A29" s="332" t="str">
        <x:v>SCORE-025</x:v>
      </x:c>
      <x:c r="B29" s="114" t="str">
        <x:v>Capability update threshold</x:v>
      </x:c>
      <x:c r="C29" s="114" t="str">
        <x:v>Level increase candidate</x:v>
      </x:c>
      <x:c r="D29" s="345"/>
      <x:c r="E29" s="114" t="str">
        <x:v>3+ positive items, sufficient difficulty, independence compatible with target level, no unresolved contradictory evidence.</x:v>
      </x:c>
      <x:c r="F29" s="114" t="str">
        <x:v>Create review decision; not automatic high-impact update.</x:v>
      </x:c>
      <x:c r="G29" s="114" t="str">
        <x:v>Capability Domain</x:v>
      </x:c>
      <x:c r="H29" s="114" t="str">
        <x:v>Draft Complete</x:v>
      </x:c>
      <x:c r="I29" s="333" t="str"/>
    </x:row>
    <x:row r="30">
      <x:c r="A30" s="340" t="str">
        <x:v>SCORE-026</x:v>
      </x:c>
      <x:c r="B30" s="341" t="str">
        <x:v>Capability update threshold</x:v>
      </x:c>
      <x:c r="C30" s="341" t="str">
        <x:v>Gap candidate</x:v>
      </x:c>
      <x:c r="D30" s="346"/>
      <x:c r="E30" s="341" t="str">
        <x:v>Repeated comparable misses after adequate context/support, with clear evidence and no environmental blocker.</x:v>
      </x:c>
      <x:c r="F30" s="341" t="str">
        <x:v>Trigger coaching/training and review.</x:v>
      </x:c>
      <x:c r="G30" s="341" t="str">
        <x:v>Capability Domain</x:v>
      </x:c>
      <x:c r="H30" s="341" t="str">
        <x:v>Draft Complete</x:v>
      </x:c>
      <x:c r="I30" s="342" t="str"/>
    </x:row>
  </x:sheetData>
  <x:mergeCells>
    <x:mergeCell ref="A1:I1"/>
    <x:mergeCell ref="A2:I2"/>
  </x:mergeCells>
  <x:dataValidations count="1">
    <x:dataValidation type="list" sqref="H5:H30">
      <x:formula1>"Draft Complete,Needs Review,Approved,Deferred"</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24" hidden="0" customWidth="1"/>
    <x:col min="3" max="3" width="60" hidden="0" customWidth="1"/>
    <x:col min="4" max="4" width="50" hidden="0" customWidth="1"/>
    <x:col min="5" max="5" width="48" hidden="0" customWidth="1"/>
    <x:col min="6" max="6" width="20" hidden="0" customWidth="1"/>
    <x:col min="7" max="7" width="24" hidden="0" customWidth="1"/>
    <x:col min="8" max="8" width="48" hidden="0" customWidth="1"/>
    <x:col min="9" max="9" width="18" hidden="0" customWidth="1"/>
  </x:cols>
  <x:sheetData>
    <x:row r="1" ht="30" customHeight="1">
      <x:c r="A1" s="294" t="str">
        <x:v>Stage 2 — Worked Examples</x:v>
      </x:c>
      <x:c r="B1" s="294"/>
      <x:c r="C1" s="294"/>
      <x:c r="D1" s="294"/>
      <x:c r="E1" s="294"/>
      <x:c r="F1" s="294"/>
      <x:c r="G1" s="294"/>
      <x:c r="H1" s="294"/>
      <x:c r="I1" s="294"/>
    </x:row>
    <x:row r="2" ht="36" customHeight="1">
      <x:c r="A2" s="298" t="str">
        <x:v>Concrete examples showing valid and invalid task, claim and capability interpretation. These become initial test cases for Stage 7–8 evaluators.</x:v>
      </x:c>
      <x:c r="B2" s="298"/>
      <x:c r="C2" s="298"/>
      <x:c r="D2" s="298"/>
      <x:c r="E2" s="298"/>
      <x:c r="F2" s="298"/>
      <x:c r="G2" s="298"/>
      <x:c r="H2" s="298"/>
      <x:c r="I2" s="298"/>
    </x:row>
    <x:row r="4" ht="30" customHeight="1">
      <x:c r="A4" s="310" t="str">
        <x:v>ID</x:v>
      </x:c>
      <x:c r="B4" s="311" t="str">
        <x:v>Example type</x:v>
      </x:c>
      <x:c r="C4" s="311" t="str">
        <x:v>Scenario</x:v>
      </x:c>
      <x:c r="D4" s="311" t="str">
        <x:v>Correct interpretation</x:v>
      </x:c>
      <x:c r="E4" s="311" t="str">
        <x:v>Evidence needed</x:v>
      </x:c>
      <x:c r="F4" s="311" t="str">
        <x:v>Confidence if evidence present</x:v>
      </x:c>
      <x:c r="G4" s="311" t="str">
        <x:v>Assessment type</x:v>
      </x:c>
      <x:c r="H4" s="311" t="str">
        <x:v>Guardrail / next action</x:v>
      </x:c>
      <x:c r="I4" s="312" t="str">
        <x:v>Status</x:v>
      </x:c>
    </x:row>
    <x:row r="5">
      <x:c r="A5" s="329" t="str">
        <x:v>EX-001</x:v>
      </x:c>
      <x:c r="B5" s="330" t="str">
        <x:v>Valid task completion</x:v>
      </x:c>
      <x:c r="C5" s="330" t="str">
        <x:v>Software Engineer II fixes refresh-token reuse with failing test, scoped patch, targeted and regression tests, PR review and no secrets in logs.</x:v>
      </x:c>
      <x:c r="D5" s="330" t="str">
        <x:v>Capability evidence candidate for authentication debugging L3 and test-driven debugging L3.</x:v>
      </x:c>
      <x:c r="E5" s="330" t="str">
        <x:v>Authoritative tests + code diff + review + agent prompt/tool logs.</x:v>
      </x:c>
      <x:c r="F5" s="330" t="str">
        <x:v>High</x:v>
      </x:c>
      <x:c r="G5" s="330" t="str">
        <x:v>Valid</x:v>
      </x:c>
      <x:c r="H5" s="330" t="str">
        <x:v>3+ similar tasks required for stable state increase.</x:v>
      </x:c>
      <x:c r="I5" s="331" t="str">
        <x:v>Draft Complete</x:v>
      </x:c>
    </x:row>
    <x:row r="6">
      <x:c r="A6" s="337" t="str">
        <x:v>EX-002</x:v>
      </x:c>
      <x:c r="B6" s="338" t="str">
        <x:v>Invalid capability conclusion</x:v>
      </x:c>
      <x:c r="C6" s="338" t="str">
        <x:v>Employee fails one unfamiliar Xcode simulator task due to missing local SDK and no access to required certificate.</x:v>
      </x:c>
      <x:c r="D6" s="338" t="str">
        <x:v>Do not reduce capability; classify environmental blocker and tool-access gap.</x:v>
      </x:c>
      <x:c r="E6" s="338" t="str">
        <x:v>Device logs, access request, task context, employee explanation.</x:v>
      </x:c>
      <x:c r="F6" s="338" t="str">
        <x:v>High</x:v>
      </x:c>
      <x:c r="G6" s="338" t="str">
        <x:v>Invalid negative</x:v>
      </x:c>
      <x:c r="H6" s="338" t="str">
        <x:v>Capability model must exclude environmental blockers.</x:v>
      </x:c>
      <x:c r="I6" s="339" t="str">
        <x:v>Draft Complete</x:v>
      </x:c>
    </x:row>
    <x:row r="7">
      <x:c r="A7" s="332" t="str">
        <x:v>EX-003</x:v>
      </x:c>
      <x:c r="B7" s="114" t="str">
        <x:v>Claim-evidence discrepancy</x:v>
      </x:c>
      <x:c r="C7" s="114" t="str">
        <x:v>Employee claimed independent Kubernetes experience but three comparable tasks required direct step-by-step support despite correct access and clear requirements.</x:v>
      </x:c>
      <x:c r="D7" s="114" t="str">
        <x:v>Open neutral claim-evidence discrepancy; assign training/reassessment; do not call lying.</x:v>
      </x:c>
      <x:c r="E7" s="114" t="str">
        <x:v>Task evidence, reviewer notes, coaching history, access checks.</x:v>
      </x:c>
      <x:c r="F7" s="114" t="str">
        <x:v>Medium</x:v>
      </x:c>
      <x:c r="G7" s="114" t="str">
        <x:v>Valid gap candidate</x:v>
      </x:c>
      <x:c r="H7" s="114" t="str">
        <x:v>Human review required before role impact.</x:v>
      </x:c>
      <x:c r="I7" s="333" t="str">
        <x:v>Draft Complete</x:v>
      </x:c>
    </x:row>
    <x:row r="8">
      <x:c r="A8" s="337" t="str">
        <x:v>EX-004</x:v>
      </x:c>
      <x:c r="B8" s="338" t="str">
        <x:v>AI agent overreach</x:v>
      </x:c>
      <x:c r="C8" s="338" t="str">
        <x:v>Codex changed six files; employee reviewed diff and rejected four unrelated changes before committing scoped fix.</x:v>
      </x:c>
      <x:c r="D8" s="338" t="str">
        <x:v>Positive AI-supervision evidence despite low manual typing volume.</x:v>
      </x:c>
      <x:c r="E8" s="338" t="str">
        <x:v>Agent tool log, git diff, rejected files, final tests.</x:v>
      </x:c>
      <x:c r="F8" s="338" t="str">
        <x:v>High</x:v>
      </x:c>
      <x:c r="G8" s="338" t="str">
        <x:v>Valid positive</x:v>
      </x:c>
      <x:c r="H8" s="338" t="str">
        <x:v>Employee value is review/judgement.</x:v>
      </x:c>
      <x:c r="I8" s="339" t="str">
        <x:v>Draft Complete</x:v>
      </x:c>
    </x:row>
    <x:row r="9">
      <x:c r="A9" s="332" t="str">
        <x:v>EX-005</x:v>
      </x:c>
      <x:c r="B9" s="114" t="str">
        <x:v>False idle risk</x:v>
      </x:c>
      <x:c r="C9" s="114" t="str">
        <x:v>Employee appears inactive for 14 minutes while full CI job runs after they initiated it and monitored logs.</x:v>
      </x:c>
      <x:c r="D9" s="114" t="str">
        <x:v>Automated execution wait, not idle; may count as valid task time.</x:v>
      </x:c>
      <x:c r="E9" s="114" t="str">
        <x:v>Terminal command, process tree, CI run, no unrelated apps.</x:v>
      </x:c>
      <x:c r="F9" s="114" t="str">
        <x:v>High</x:v>
      </x:c>
      <x:c r="G9" s="114" t="str">
        <x:v>Valid work context</x:v>
      </x:c>
      <x:c r="H9" s="114" t="str">
        <x:v>Idle classification must check automation state.</x:v>
      </x:c>
      <x:c r="I9" s="333" t="str">
        <x:v>Draft Complete</x:v>
      </x:c>
    </x:row>
    <x:row r="10">
      <x:c r="A10" s="337" t="str">
        <x:v>EX-006</x:v>
      </x:c>
      <x:c r="B10" s="338" t="str">
        <x:v>Training completion not enough</x:v>
      </x:c>
      <x:c r="C10" s="338" t="str">
        <x:v>Employee completes secure logging lesson but next task still logs token values and misses review comments.</x:v>
      </x:c>
      <x:c r="D10" s="338" t="str">
        <x:v>Training completed; capability not increased; gap remains and intervention must change.</x:v>
      </x:c>
      <x:c r="E10" s="338" t="str">
        <x:v>LMS record, code diff, review comment, security scan.</x:v>
      </x:c>
      <x:c r="F10" s="338" t="str">
        <x:v>High</x:v>
      </x:c>
      <x:c r="G10" s="338" t="str">
        <x:v>Valid negative</x:v>
      </x:c>
      <x:c r="H10" s="338" t="str">
        <x:v>Applied evidence required.</x:v>
      </x:c>
      <x:c r="I10" s="339" t="str">
        <x:v>Draft Complete</x:v>
      </x:c>
    </x:row>
    <x:row r="11">
      <x:c r="A11" s="332" t="str">
        <x:v>EX-007</x:v>
      </x:c>
      <x:c r="B11" s="114" t="str">
        <x:v>Alternative valid method</x:v>
      </x:c>
      <x:c r="C11" s="114" t="str">
        <x:v>Senior engineer fixes bug by writing a diagnostic script and log analysis before changing code; task template expected failing unit test first.</x:v>
      </x:c>
      <x:c r="D11" s="114" t="str">
        <x:v>Accept as valid method if evidence satisfies objective and quality gates.</x:v>
      </x:c>
      <x:c r="E11" s="114" t="str">
        <x:v>Script artefact, logs, patch, tests, reviewer note.</x:v>
      </x:c>
      <x:c r="F11" s="114" t="str">
        <x:v>Medium</x:v>
      </x:c>
      <x:c r="G11" s="114" t="str">
        <x:v>Valid alternative</x:v>
      </x:c>
      <x:c r="H11" s="114" t="str">
        <x:v>Contract must not enforce one path unnecessarily.</x:v>
      </x:c>
      <x:c r="I11" s="333" t="str">
        <x:v>Draft Complete</x:v>
      </x:c>
    </x:row>
    <x:row r="12">
      <x:c r="A12" s="337" t="str">
        <x:v>EX-008</x:v>
      </x:c>
      <x:c r="B12" s="338" t="str">
        <x:v>Unverified claim</x:v>
      </x:c>
      <x:c r="C12" s="338" t="str">
        <x:v>Employee states they know Rust but no Rust task, assessment or code review exists.</x:v>
      </x:c>
      <x:c r="D12" s="338" t="str">
        <x:v>Claim status stays Declared/Not Yet Observed; no negative conclusion.</x:v>
      </x:c>
      <x:c r="E12" s="338" t="str">
        <x:v>Self-assessment only.</x:v>
      </x:c>
      <x:c r="F12" s="338" t="str">
        <x:v>High</x:v>
      </x:c>
      <x:c r="G12" s="338" t="str">
        <x:v>Invalid proof</x:v>
      </x:c>
      <x:c r="H12" s="338" t="str">
        <x:v>Claims are not evidence.</x:v>
      </x:c>
      <x:c r="I12" s="339" t="str">
        <x:v>Draft Complete</x:v>
      </x:c>
    </x:row>
    <x:row r="13">
      <x:c r="A13" s="332" t="str">
        <x:v>EX-009</x:v>
      </x:c>
      <x:c r="B13" s="114" t="str">
        <x:v>Capability transfer</x:v>
      </x:c>
      <x:c r="C13" s="114" t="str">
        <x:v>QA engineer applies browser-test debugging method to mobile emulator after one guidance session and creates stable tests.</x:v>
      </x:c>
      <x:c r="D13" s="114" t="str">
        <x:v>Evidence for transfer dimension and potential level progression.</x:v>
      </x:c>
      <x:c r="E13" s="114" t="str">
        <x:v>Test files, emulator logs, CI, reviewer note.</x:v>
      </x:c>
      <x:c r="F13" s="114" t="str">
        <x:v>Medium</x:v>
      </x:c>
      <x:c r="G13" s="114" t="str">
        <x:v>Valid positive</x:v>
      </x:c>
      <x:c r="H13" s="114" t="str">
        <x:v>Transfer requires new context evidence.</x:v>
      </x:c>
      <x:c r="I13" s="333" t="str">
        <x:v>Draft Complete</x:v>
      </x:c>
    </x:row>
    <x:row r="14">
      <x:c r="A14" s="337" t="str">
        <x:v>EX-010</x:v>
      </x:c>
      <x:c r="B14" s="338" t="str">
        <x:v>Manager requirement failure</x:v>
      </x:c>
      <x:c r="C14" s="338" t="str">
        <x:v>Task says 'fix payment issue' with no reproduction, customer ID, logs or expected behaviour; employee spends time gathering information.</x:v>
      </x:c>
      <x:c r="D14" s="338" t="str">
        <x:v>Do not mark off-task or incapable; mark requirement ambiguity and manager/process gap.</x:v>
      </x:c>
      <x:c r="E14" s="338" t="str">
        <x:v>Task text, questions, missing inputs, employee explanation.</x:v>
      </x:c>
      <x:c r="F14" s="338" t="str">
        <x:v>High</x:v>
      </x:c>
      <x:c r="G14" s="338" t="str">
        <x:v>Invalid negative</x:v>
      </x:c>
      <x:c r="H14" s="338" t="str">
        <x:v>Task contract quality matters.</x:v>
      </x:c>
      <x:c r="I14" s="339" t="str">
        <x:v>Draft Complete</x:v>
      </x:c>
    </x:row>
    <x:row r="15">
      <x:c r="A15" s="332" t="str">
        <x:v>EX-011</x:v>
      </x:c>
      <x:c r="B15" s="114" t="str">
        <x:v>Accessibility accommodation</x:v>
      </x:c>
      <x:c r="C15" s="114" t="str">
        <x:v>Employee uses voice input and longer review pauses but completes task with strong quality evidence.</x:v>
      </x:c>
      <x:c r="D15" s="114" t="str">
        <x:v>No reduction in autonomy/capability due to alternate input method.</x:v>
      </x:c>
      <x:c r="E15" s="114" t="str">
        <x:v>Outcome artefacts, agreed accommodation context, review.</x:v>
      </x:c>
      <x:c r="F15" s="114" t="str">
        <x:v>High</x:v>
      </x:c>
      <x:c r="G15" s="114" t="str">
        <x:v>Valid positive</x:v>
      </x:c>
      <x:c r="H15" s="114" t="str">
        <x:v>Do not infer capability from input style.</x:v>
      </x:c>
      <x:c r="I15" s="333" t="str">
        <x:v>Draft Complete</x:v>
      </x:c>
    </x:row>
    <x:row r="16">
      <x:c r="A16" s="340" t="str">
        <x:v>EX-012</x:v>
      </x:c>
      <x:c r="B16" s="341" t="str">
        <x:v>Skill Forge candidate</x:v>
      </x:c>
      <x:c r="C16" s="341" t="str">
        <x:v>A repeated debugging prompt pattern reduces time-to-root-cause across five tasks and reviewers approve it.</x:v>
      </x:c>
      <x:c r="D16" s="341" t="str">
        <x:v>Create draft HumanOS skill; do not auto-activate until evaluation/canary.</x:v>
      </x:c>
      <x:c r="E16" s="341" t="str">
        <x:v>Prompt versions, task outcomes, review decisions.</x:v>
      </x:c>
      <x:c r="F16" s="341" t="str">
        <x:v>Medium</x:v>
      </x:c>
      <x:c r="G16" s="341" t="str">
        <x:v>Valid skill candidate</x:v>
      </x:c>
      <x:c r="H16" s="341" t="str">
        <x:v>Stage 11 governance.</x:v>
      </x:c>
      <x:c r="I16" s="342" t="str">
        <x:v>Draft Complete</x:v>
      </x:c>
    </x:row>
  </x:sheetData>
  <x:mergeCells>
    <x:mergeCell ref="A1:I1"/>
    <x:mergeCell ref="A2:I2"/>
  </x:mergeCells>
  <x:dataValidations count="2">
    <x:dataValidation type="list" sqref="F5:F16">
      <x:formula1>"High,Medium,Low"</x:formula1>
    </x:dataValidation>
    <x:dataValidation type="list" sqref="I5:I16">
      <x:formula1>"Draft Complete,Needs Review,Approved,Deferred"</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6" hidden="0" customWidth="1"/>
    <x:col min="3" max="3" width="36" hidden="0" customWidth="1"/>
    <x:col min="4" max="4" width="46" hidden="0" customWidth="1"/>
    <x:col min="5" max="5" width="24" hidden="0" customWidth="1"/>
    <x:col min="6" max="6" width="20" hidden="0" customWidth="1"/>
    <x:col min="7" max="7" width="42" hidden="0" customWidth="1"/>
    <x:col min="8" max="8" width="42" hidden="0" customWidth="1"/>
    <x:col min="9" max="9" width="48" hidden="0" customWidth="1"/>
    <x:col min="10" max="10" width="18" hidden="0" customWidth="1"/>
    <x:col min="11" max="11" width="28" hidden="0" customWidth="1"/>
  </x:cols>
  <x:sheetData>
    <x:row r="1" ht="30" customHeight="1">
      <x:c r="A1" s="294" t="str">
        <x:v>Stage 2 — APIs and Events</x:v>
      </x:c>
      <x:c r="B1" s="294"/>
      <x:c r="C1" s="294"/>
      <x:c r="D1" s="294"/>
      <x:c r="E1" s="294"/>
      <x:c r="F1" s="294"/>
      <x:c r="G1" s="294"/>
      <x:c r="H1" s="294"/>
      <x:c r="I1" s="294"/>
      <x:c r="J1" s="294"/>
      <x:c r="K1" s="294"/>
    </x:row>
    <x:row r="2" ht="36" customHeight="1">
      <x:c r="A2" s="298" t="str">
        <x:v>Implementation contracts for Role Capability Contracts, Task Execution Contracts, claims, evidence and capability updates. REST APIs are Java/Spring; AI scoring is Python behind governed APIs.</x:v>
      </x:c>
      <x:c r="B2" s="298"/>
      <x:c r="C2" s="298"/>
      <x:c r="D2" s="298"/>
      <x:c r="E2" s="298"/>
      <x:c r="F2" s="298"/>
      <x:c r="G2" s="298"/>
      <x:c r="H2" s="298"/>
      <x:c r="I2" s="298"/>
      <x:c r="J2" s="298"/>
      <x:c r="K2" s="298"/>
    </x:row>
    <x:row r="4" ht="30" customHeight="1">
      <x:c r="A4" s="310" t="str">
        <x:v>ID</x:v>
      </x:c>
      <x:c r="B4" s="311" t="str">
        <x:v>Contract type</x:v>
      </x:c>
      <x:c r="C4" s="311" t="str">
        <x:v>Name / endpoint</x:v>
      </x:c>
      <x:c r="D4" s="311" t="str">
        <x:v>Purpose</x:v>
      </x:c>
      <x:c r="E4" s="311" t="str">
        <x:v>Owning service</x:v>
      </x:c>
      <x:c r="F4" s="311" t="str">
        <x:v>Runtime</x:v>
      </x:c>
      <x:c r="G4" s="311" t="str">
        <x:v>Input / payload</x:v>
      </x:c>
      <x:c r="H4" s="311" t="str">
        <x:v>Output / consumer</x:v>
      </x:c>
      <x:c r="I4" s="311" t="str">
        <x:v>Security / governance</x:v>
      </x:c>
      <x:c r="J4" s="311" t="str">
        <x:v>Status</x:v>
      </x:c>
      <x:c r="K4" s="312" t="str">
        <x:v>Source / standard</x:v>
      </x:c>
    </x:row>
    <x:row r="5">
      <x:c r="A5" s="329" t="str">
        <x:v>API-201</x:v>
      </x:c>
      <x:c r="B5" s="330" t="str">
        <x:v>REST</x:v>
      </x:c>
      <x:c r="C5" s="330" t="str">
        <x:v>GET /wi/capabilities</x:v>
      </x:c>
      <x:c r="D5" s="330" t="str">
        <x:v>List capability definitions and filters.</x:v>
      </x:c>
      <x:c r="E5" s="330" t="str">
        <x:v>Capability Domain</x:v>
      </x:c>
      <x:c r="F5" s="330" t="str">
        <x:v>Java/Spring</x:v>
      </x:c>
      <x:c r="G5" s="330" t="str">
        <x:v>Capability</x:v>
      </x:c>
      <x:c r="H5" s="330" t="str">
        <x:v>Capability definitions</x:v>
      </x:c>
      <x:c r="I5" s="330" t="str">
        <x:v>No sensitive employee evidence.</x:v>
      </x:c>
      <x:c r="J5" s="330" t="str">
        <x:v>Draft Complete</x:v>
      </x:c>
      <x:c r="K5" s="331" t="str">
        <x:v>OpenAPI 3.1</x:v>
      </x:c>
    </x:row>
    <x:row r="6">
      <x:c r="A6" s="337" t="str">
        <x:v>API-202</x:v>
      </x:c>
      <x:c r="B6" s="338" t="str">
        <x:v>REST</x:v>
      </x:c>
      <x:c r="C6" s="338" t="str">
        <x:v>POST /wi/capabilities</x:v>
      </x:c>
      <x:c r="D6" s="338" t="str">
        <x:v>Create/update capability definition through governed workflow.</x:v>
      </x:c>
      <x:c r="E6" s="338" t="str">
        <x:v>Capability Domain</x:v>
      </x:c>
      <x:c r="F6" s="338" t="str">
        <x:v>Java/Spring</x:v>
      </x:c>
      <x:c r="G6" s="338" t="str">
        <x:v>Capability request</x:v>
      </x:c>
      <x:c r="H6" s="338" t="str">
        <x:v>Capability version</x:v>
      </x:c>
      <x:c r="I6" s="338" t="str">
        <x:v>Requires Capability Admin and audit.</x:v>
      </x:c>
      <x:c r="J6" s="338" t="str">
        <x:v>Draft Complete</x:v>
      </x:c>
      <x:c r="K6" s="339" t="str">
        <x:v>OpenAPI 3.1</x:v>
      </x:c>
    </x:row>
    <x:row r="7">
      <x:c r="A7" s="332" t="str">
        <x:v>API-203</x:v>
      </x:c>
      <x:c r="B7" s="114" t="str">
        <x:v>REST</x:v>
      </x:c>
      <x:c r="C7" s="114" t="str">
        <x:v>GET /wi/roles/{roleId}/versions/{version}</x:v>
      </x:c>
      <x:c r="D7" s="114" t="str">
        <x:v>Retrieve Role Capability Contract.</x:v>
      </x:c>
      <x:c r="E7" s="114" t="str">
        <x:v>Capability Domain</x:v>
      </x:c>
      <x:c r="F7" s="114" t="str">
        <x:v>Java/Spring</x:v>
      </x:c>
      <x:c r="G7" s="114" t="str">
        <x:v>RoleVersion</x:v>
      </x:c>
      <x:c r="H7" s="114" t="str">
        <x:v>Role contract JSON</x:v>
      </x:c>
      <x:c r="I7" s="114" t="str">
        <x:v>Role contracts are versioned.</x:v>
      </x:c>
      <x:c r="J7" s="114" t="str">
        <x:v>Draft Complete</x:v>
      </x:c>
      <x:c r="K7" s="333" t="str"/>
    </x:row>
    <x:row r="8">
      <x:c r="A8" s="337" t="str">
        <x:v>API-204</x:v>
      </x:c>
      <x:c r="B8" s="338" t="str">
        <x:v>REST</x:v>
      </x:c>
      <x:c r="C8" s="338" t="str">
        <x:v>POST /wi/roles/{roleId}/versions</x:v>
      </x:c>
      <x:c r="D8" s="338" t="str">
        <x:v>Create new role version from job description transformation.</x:v>
      </x:c>
      <x:c r="E8" s="338" t="str">
        <x:v>Capability Domain</x:v>
      </x:c>
      <x:c r="F8" s="338" t="str">
        <x:v>Java/Spring + optional Python extraction</x:v>
      </x:c>
      <x:c r="G8" s="338" t="str">
        <x:v>JobDescriptionVersion + proposed contract</x:v>
      </x:c>
      <x:c r="H8" s="338" t="str">
        <x:v>Draft RoleVersion</x:v>
      </x:c>
      <x:c r="I8" s="338" t="str">
        <x:v>Human approval required before active.</x:v>
      </x:c>
      <x:c r="J8" s="338" t="str">
        <x:v>Draft Complete</x:v>
      </x:c>
      <x:c r="K8" s="339" t="str"/>
    </x:row>
    <x:row r="9">
      <x:c r="A9" s="332" t="str">
        <x:v>API-205</x:v>
      </x:c>
      <x:c r="B9" s="114" t="str">
        <x:v>REST</x:v>
      </x:c>
      <x:c r="C9" s="114" t="str">
        <x:v>POST /wi/claims</x:v>
      </x:c>
      <x:c r="D9" s="114" t="str">
        <x:v>Record employee capability claim.</x:v>
      </x:c>
      <x:c r="E9" s="114" t="str">
        <x:v>Capability Domain</x:v>
      </x:c>
      <x:c r="F9" s="114" t="str">
        <x:v>Java/Spring</x:v>
      </x:c>
      <x:c r="G9" s="114" t="str">
        <x:v>EmployeeClaim</x:v>
      </x:c>
      <x:c r="H9" s="114" t="str">
        <x:v>Claim ID/status</x:v>
      </x:c>
      <x:c r="I9" s="114" t="str">
        <x:v>Employee can see and correct.</x:v>
      </x:c>
      <x:c r="J9" s="114" t="str">
        <x:v>Draft Complete</x:v>
      </x:c>
      <x:c r="K9" s="333" t="str"/>
    </x:row>
    <x:row r="10">
      <x:c r="A10" s="337" t="str">
        <x:v>API-206</x:v>
      </x:c>
      <x:c r="B10" s="338" t="str">
        <x:v>REST</x:v>
      </x:c>
      <x:c r="C10" s="338" t="str">
        <x:v>GET /wi/persons/{personId}/capabilities</x:v>
      </x:c>
      <x:c r="D10" s="338" t="str">
        <x:v>Retrieve employee capability states and evidence summaries.</x:v>
      </x:c>
      <x:c r="E10" s="338" t="str">
        <x:v>Capability Domain</x:v>
      </x:c>
      <x:c r="F10" s="338" t="str">
        <x:v>Java/Spring</x:v>
      </x:c>
      <x:c r="G10" s="338" t="str">
        <x:v>Person ID</x:v>
      </x:c>
      <x:c r="H10" s="338" t="str">
        <x:v>Capability state list</x:v>
      </x:c>
      <x:c r="I10" s="338" t="str">
        <x:v>Purpose-limited access; employee self-access.</x:v>
      </x:c>
      <x:c r="J10" s="338" t="str">
        <x:v>Draft Complete</x:v>
      </x:c>
      <x:c r="K10" s="339" t="str"/>
    </x:row>
    <x:row r="11">
      <x:c r="A11" s="332" t="str">
        <x:v>API-207</x:v>
      </x:c>
      <x:c r="B11" s="114" t="str">
        <x:v>REST</x:v>
      </x:c>
      <x:c r="C11" s="114" t="str">
        <x:v>POST /wi/baseline-assessments</x:v>
      </x:c>
      <x:c r="D11" s="114" t="str">
        <x:v>Create baseline assessment record and tasks.</x:v>
      </x:c>
      <x:c r="E11" s="114" t="str">
        <x:v>Capability/L&amp;D</x:v>
      </x:c>
      <x:c r="F11" s="114" t="str">
        <x:v>Java/Spring</x:v>
      </x:c>
      <x:c r="G11" s="114" t="str">
        <x:v>BaselineAssessment</x:v>
      </x:c>
      <x:c r="H11" s="114" t="str">
        <x:v>Assessment plan</x:v>
      </x:c>
      <x:c r="I11" s="114" t="str">
        <x:v>Participant notice and review required.</x:v>
      </x:c>
      <x:c r="J11" s="114" t="str">
        <x:v>Draft Complete</x:v>
      </x:c>
      <x:c r="K11" s="333" t="str"/>
    </x:row>
    <x:row r="12">
      <x:c r="A12" s="337" t="str">
        <x:v>API-208</x:v>
      </x:c>
      <x:c r="B12" s="338" t="str">
        <x:v>REST</x:v>
      </x:c>
      <x:c r="C12" s="338" t="str">
        <x:v>POST /wi/tasks/{taskId}/contracts</x:v>
      </x:c>
      <x:c r="D12" s="338" t="str">
        <x:v>Create Task Execution Contract from HumanOS task.</x:v>
      </x:c>
      <x:c r="E12" s="338" t="str">
        <x:v>Task Assurance</x:v>
      </x:c>
      <x:c r="F12" s="338" t="str">
        <x:v>Java/Spring + optional Python extraction</x:v>
      </x:c>
      <x:c r="G12" s="338" t="str">
        <x:v>HumanOS Task + draft criteria</x:v>
      </x:c>
      <x:c r="H12" s="338" t="str">
        <x:v>TaskContract</x:v>
      </x:c>
      <x:c r="I12" s="338" t="str">
        <x:v>Reviewer approval required for use.</x:v>
      </x:c>
      <x:c r="J12" s="338" t="str">
        <x:v>Draft Complete</x:v>
      </x:c>
      <x:c r="K12" s="339" t="str"/>
    </x:row>
    <x:row r="13">
      <x:c r="A13" s="332" t="str">
        <x:v>API-209</x:v>
      </x:c>
      <x:c r="B13" s="114" t="str">
        <x:v>REST</x:v>
      </x:c>
      <x:c r="C13" s="114" t="str">
        <x:v>GET /wi/tasks/{taskId}/contracts/current</x:v>
      </x:c>
      <x:c r="D13" s="114" t="str">
        <x:v>Get current active Task Execution Contract.</x:v>
      </x:c>
      <x:c r="E13" s="114" t="str">
        <x:v>Task Assurance</x:v>
      </x:c>
      <x:c r="F13" s="114" t="str">
        <x:v>Java/Spring</x:v>
      </x:c>
      <x:c r="G13" s="114" t="str">
        <x:v>Task ID</x:v>
      </x:c>
      <x:c r="H13" s="114" t="str">
        <x:v>TaskContract JSON</x:v>
      </x:c>
      <x:c r="I13" s="114" t="str">
        <x:v>Used by Stage 7 assurance.</x:v>
      </x:c>
      <x:c r="J13" s="114" t="str">
        <x:v>Draft Complete</x:v>
      </x:c>
      <x:c r="K13" s="333" t="str"/>
    </x:row>
    <x:row r="14">
      <x:c r="A14" s="337" t="str">
        <x:v>API-210</x:v>
      </x:c>
      <x:c r="B14" s="338" t="str">
        <x:v>REST</x:v>
      </x:c>
      <x:c r="C14" s="338" t="str">
        <x:v>POST /wi/evidence/qualify</x:v>
      </x:c>
      <x:c r="D14" s="338" t="str">
        <x:v>Create qualified capability evidence from artefacts/episodes/review.</x:v>
      </x:c>
      <x:c r="E14" s="338" t="str">
        <x:v>Capability Domain</x:v>
      </x:c>
      <x:c r="F14" s="338" t="str">
        <x:v>Java/Spring</x:v>
      </x:c>
      <x:c r="G14" s="338" t="str">
        <x:v>Evidence references + scoring vector</x:v>
      </x:c>
      <x:c r="H14" s="338" t="str">
        <x:v>CapabilityEvidence candidate</x:v>
      </x:c>
      <x:c r="I14" s="338" t="str">
        <x:v>High-impact changes require review.</x:v>
      </x:c>
      <x:c r="J14" s="338" t="str">
        <x:v>Draft Complete</x:v>
      </x:c>
      <x:c r="K14" s="339" t="str"/>
    </x:row>
    <x:row r="15">
      <x:c r="A15" s="332" t="str">
        <x:v>API-211</x:v>
      </x:c>
      <x:c r="B15" s="114" t="str">
        <x:v>REST</x:v>
      </x:c>
      <x:c r="C15" s="114" t="str">
        <x:v>POST /wi/capability-scoring/evaluate</x:v>
      </x:c>
      <x:c r="D15" s="114" t="str">
        <x:v>Request AI/Python scoring recommendation for evidence.</x:v>
      </x:c>
      <x:c r="E15" s="114" t="str">
        <x:v>Capability Scoring</x:v>
      </x:c>
      <x:c r="F15" s="114" t="str">
        <x:v>Python/FastAPI</x:v>
      </x:c>
      <x:c r="G15" s="114" t="str">
        <x:v>Evidence summary + rubric refs</x:v>
      </x:c>
      <x:c r="H15" s="114" t="str">
        <x:v>Score recommendation</x:v>
      </x:c>
      <x:c r="I15" s="114" t="str">
        <x:v>No final state write; model/skill version recorded.</x:v>
      </x:c>
      <x:c r="J15" s="114" t="str">
        <x:v>Draft Complete</x:v>
      </x:c>
      <x:c r="K15" s="333" t="str"/>
    </x:row>
    <x:row r="16">
      <x:c r="A16" s="337" t="str">
        <x:v>API-212</x:v>
      </x:c>
      <x:c r="B16" s="338" t="str">
        <x:v>REST</x:v>
      </x:c>
      <x:c r="C16" s="338" t="str">
        <x:v>POST /wi/reviews</x:v>
      </x:c>
      <x:c r="D16" s="338" t="str">
        <x:v>Create review request for capability/task/gap decision.</x:v>
      </x:c>
      <x:c r="E16" s="338" t="str">
        <x:v>Governance &amp; Review</x:v>
      </x:c>
      <x:c r="F16" s="338" t="str">
        <x:v>Java/Spring</x:v>
      </x:c>
      <x:c r="G16" s="338" t="str">
        <x:v>Review subject and evidence refs</x:v>
      </x:c>
      <x:c r="H16" s="338" t="str">
        <x:v>Review workflow ID</x:v>
      </x:c>
      <x:c r="I16" s="338" t="str">
        <x:v>Meaningful human review standard.</x:v>
      </x:c>
      <x:c r="J16" s="338" t="str">
        <x:v>Draft Complete</x:v>
      </x:c>
      <x:c r="K16" s="339" t="str"/>
    </x:row>
    <x:row r="17">
      <x:c r="A17" s="332" t="str">
        <x:v>API-213</x:v>
      </x:c>
      <x:c r="B17" s="114" t="str">
        <x:v>Event</x:v>
      </x:c>
      <x:c r="C17" s="114" t="str">
        <x:v>role.version.proposed</x:v>
      </x:c>
      <x:c r="D17" s="114" t="str">
        <x:v>A new RoleVersion draft is created.</x:v>
      </x:c>
      <x:c r="E17" s="114" t="str">
        <x:v>Capability Domain</x:v>
      </x:c>
      <x:c r="F17" s="114" t="str">
        <x:v>CloudEvents-style</x:v>
      </x:c>
      <x:c r="G17" s="114" t="str">
        <x:v>RoleVersion</x:v>
      </x:c>
      <x:c r="H17" s="114" t="str">
        <x:v>Workflow review consumers</x:v>
      </x:c>
      <x:c r="I17" s="114" t="str">
        <x:v>No employee data.</x:v>
      </x:c>
      <x:c r="J17" s="114" t="str">
        <x:v>Draft Complete</x:v>
      </x:c>
      <x:c r="K17" s="333" t="str">
        <x:v>CloudEvents</x:v>
      </x:c>
    </x:row>
    <x:row r="18">
      <x:c r="A18" s="337" t="str">
        <x:v>API-214</x:v>
      </x:c>
      <x:c r="B18" s="338" t="str">
        <x:v>Event</x:v>
      </x:c>
      <x:c r="C18" s="338" t="str">
        <x:v>role.version.approved</x:v>
      </x:c>
      <x:c r="D18" s="338" t="str">
        <x:v>Role contract becomes active for a role.</x:v>
      </x:c>
      <x:c r="E18" s="338" t="str">
        <x:v>Capability Domain</x:v>
      </x:c>
      <x:c r="F18" s="338" t="str">
        <x:v>CloudEvents-style</x:v>
      </x:c>
      <x:c r="G18" s="338" t="str">
        <x:v>RoleVersion ID</x:v>
      </x:c>
      <x:c r="H18" s="338" t="str">
        <x:v>Task/compiler and reporting</x:v>
      </x:c>
      <x:c r="I18" s="338" t="str">
        <x:v>Version effective date required.</x:v>
      </x:c>
      <x:c r="J18" s="338" t="str">
        <x:v>Draft Complete</x:v>
      </x:c>
      <x:c r="K18" s="339" t="str"/>
    </x:row>
    <x:row r="19">
      <x:c r="A19" s="332" t="str">
        <x:v>API-215</x:v>
      </x:c>
      <x:c r="B19" s="114" t="str">
        <x:v>Event</x:v>
      </x:c>
      <x:c r="C19" s="114" t="str">
        <x:v>employee.claim.created</x:v>
      </x:c>
      <x:c r="D19" s="114" t="str">
        <x:v>Employee capability claim recorded.</x:v>
      </x:c>
      <x:c r="E19" s="114" t="str">
        <x:v>Capability Domain</x:v>
      </x:c>
      <x:c r="F19" s="114" t="str">
        <x:v>CloudEvents-style</x:v>
      </x:c>
      <x:c r="G19" s="114" t="str">
        <x:v>EmployeeClaim metadata</x:v>
      </x:c>
      <x:c r="H19" s="114" t="str">
        <x:v>Capability state/readiness</x:v>
      </x:c>
      <x:c r="I19" s="114" t="str">
        <x:v>Employee-visible.</x:v>
      </x:c>
      <x:c r="J19" s="114" t="str">
        <x:v>Draft Complete</x:v>
      </x:c>
      <x:c r="K19" s="333" t="str"/>
    </x:row>
    <x:row r="20">
      <x:c r="A20" s="337" t="str">
        <x:v>API-216</x:v>
      </x:c>
      <x:c r="B20" s="338" t="str">
        <x:v>Event</x:v>
      </x:c>
      <x:c r="C20" s="338" t="str">
        <x:v>task.contract.proposed</x:v>
      </x:c>
      <x:c r="D20" s="338" t="str">
        <x:v>Task Execution Contract draft created.</x:v>
      </x:c>
      <x:c r="E20" s="338" t="str">
        <x:v>Task Assurance</x:v>
      </x:c>
      <x:c r="F20" s="338" t="str">
        <x:v>CloudEvents-style</x:v>
      </x:c>
      <x:c r="G20" s="338" t="str">
        <x:v>TaskContract metadata</x:v>
      </x:c>
      <x:c r="H20" s="338" t="str">
        <x:v>Workflow reviewers</x:v>
      </x:c>
      <x:c r="I20" s="338" t="str">
        <x:v>Task criteria need approval.</x:v>
      </x:c>
      <x:c r="J20" s="338" t="str">
        <x:v>Draft Complete</x:v>
      </x:c>
      <x:c r="K20" s="339" t="str"/>
    </x:row>
    <x:row r="21">
      <x:c r="A21" s="332" t="str">
        <x:v>API-217</x:v>
      </x:c>
      <x:c r="B21" s="114" t="str">
        <x:v>Event</x:v>
      </x:c>
      <x:c r="C21" s="114" t="str">
        <x:v>task.contract.approved</x:v>
      </x:c>
      <x:c r="D21" s="114" t="str">
        <x:v>Task contract approved for assurance.</x:v>
      </x:c>
      <x:c r="E21" s="114" t="str">
        <x:v>Task Assurance</x:v>
      </x:c>
      <x:c r="F21" s="114" t="str">
        <x:v>CloudEvents-style</x:v>
      </x:c>
      <x:c r="G21" s="114" t="str">
        <x:v>TaskContract ID/version</x:v>
      </x:c>
      <x:c r="H21" s="114" t="str">
        <x:v>Device agent context, Task Assurance Engine</x:v>
      </x:c>
      <x:c r="I21" s="114" t="str">
        <x:v>Agent may use minimal task metadata only.</x:v>
      </x:c>
      <x:c r="J21" s="114" t="str">
        <x:v>Draft Complete</x:v>
      </x:c>
      <x:c r="K21" s="333" t="str"/>
    </x:row>
    <x:row r="22">
      <x:c r="A22" s="337" t="str">
        <x:v>API-218</x:v>
      </x:c>
      <x:c r="B22" s="338" t="str">
        <x:v>Event</x:v>
      </x:c>
      <x:c r="C22" s="338" t="str">
        <x:v>evidence.requirement.satisfied</x:v>
      </x:c>
      <x:c r="D22" s="338" t="str">
        <x:v>A criterion/evidence requirement is satisfied or partially satisfied.</x:v>
      </x:c>
      <x:c r="E22" s="338" t="str">
        <x:v>Task Assurance</x:v>
      </x:c>
      <x:c r="F22" s="338" t="str">
        <x:v>CloudEvents-style</x:v>
      </x:c>
      <x:c r="G22" s="338" t="str">
        <x:v>Requirement ID + evidence refs + confidence</x:v>
      </x:c>
      <x:c r="H22" s="338" t="str">
        <x:v>Task/capability assessment</x:v>
      </x:c>
      <x:c r="I22" s="338" t="str">
        <x:v>Evidence refs not raw content.</x:v>
      </x:c>
      <x:c r="J22" s="338" t="str">
        <x:v>Draft Complete</x:v>
      </x:c>
      <x:c r="K22" s="339" t="str"/>
    </x:row>
    <x:row r="23">
      <x:c r="A23" s="332" t="str">
        <x:v>API-219</x:v>
      </x:c>
      <x:c r="B23" s="114" t="str">
        <x:v>Event</x:v>
      </x:c>
      <x:c r="C23" s="114" t="str">
        <x:v>capability.evidence.created</x:v>
      </x:c>
      <x:c r="D23" s="114" t="str">
        <x:v>Qualified evidence candidate created.</x:v>
      </x:c>
      <x:c r="E23" s="114" t="str">
        <x:v>Capability Domain</x:v>
      </x:c>
      <x:c r="F23" s="114" t="str">
        <x:v>CloudEvents-style</x:v>
      </x:c>
      <x:c r="G23" s="114" t="str">
        <x:v>CapabilityEvidence metadata</x:v>
      </x:c>
      <x:c r="H23" s="114" t="str">
        <x:v>Scoring/review/readiness</x:v>
      </x:c>
      <x:c r="I23" s="114" t="str">
        <x:v>Status may be candidate/pending/approved.</x:v>
      </x:c>
      <x:c r="J23" s="114" t="str">
        <x:v>Draft Complete</x:v>
      </x:c>
      <x:c r="K23" s="333" t="str"/>
    </x:row>
    <x:row r="24">
      <x:c r="A24" s="337" t="str">
        <x:v>API-220</x:v>
      </x:c>
      <x:c r="B24" s="338" t="str">
        <x:v>Event</x:v>
      </x:c>
      <x:c r="C24" s="338" t="str">
        <x:v>capability.state.updated</x:v>
      </x:c>
      <x:c r="D24" s="338" t="str">
        <x:v>Person capability state changes after review/rules.</x:v>
      </x:c>
      <x:c r="E24" s="338" t="str">
        <x:v>Capability Domain</x:v>
      </x:c>
      <x:c r="F24" s="338" t="str">
        <x:v>CloudEvents-style</x:v>
      </x:c>
      <x:c r="G24" s="338" t="str">
        <x:v>Person, capability, old/new level, confidence</x:v>
      </x:c>
      <x:c r="H24" s="338" t="str">
        <x:v>Reporting/learning</x:v>
      </x:c>
      <x:c r="I24" s="338" t="str">
        <x:v>High-impact updates require review decision.</x:v>
      </x:c>
      <x:c r="J24" s="338" t="str">
        <x:v>Draft Complete</x:v>
      </x:c>
      <x:c r="K24" s="339" t="str"/>
    </x:row>
    <x:row r="25">
      <x:c r="A25" s="332" t="str">
        <x:v>API-221</x:v>
      </x:c>
      <x:c r="B25" s="114" t="str">
        <x:v>Event</x:v>
      </x:c>
      <x:c r="C25" s="114" t="str">
        <x:v>claim.discrepancy.opened</x:v>
      </x:c>
      <x:c r="D25" s="114" t="str">
        <x:v>Claim and evidence appear misaligned.</x:v>
      </x:c>
      <x:c r="E25" s="114" t="str">
        <x:v>Capability Domain</x:v>
      </x:c>
      <x:c r="F25" s="114" t="str">
        <x:v>CloudEvents-style</x:v>
      </x:c>
      <x:c r="G25" s="114" t="str">
        <x:v>Claim ID, evidence summary, neutral reason</x:v>
      </x:c>
      <x:c r="H25" s="114" t="str">
        <x:v>Learning/review workflow</x:v>
      </x:c>
      <x:c r="I25" s="114" t="str">
        <x:v>Do not call deception.</x:v>
      </x:c>
      <x:c r="J25" s="114" t="str">
        <x:v>Draft Complete</x:v>
      </x:c>
      <x:c r="K25" s="333" t="str"/>
    </x:row>
    <x:row r="26">
      <x:c r="A26" s="337" t="str">
        <x:v>API-222</x:v>
      </x:c>
      <x:c r="B26" s="338" t="str">
        <x:v>Event</x:v>
      </x:c>
      <x:c r="C26" s="338" t="str">
        <x:v>gap.detected</x:v>
      </x:c>
      <x:c r="D26" s="338" t="str">
        <x:v>Potential capability/process gap detected.</x:v>
      </x:c>
      <x:c r="E26" s="338" t="str">
        <x:v>Capability/Growth</x:v>
      </x:c>
      <x:c r="F26" s="338" t="str">
        <x:v>CloudEvents-style</x:v>
      </x:c>
      <x:c r="G26" s="338" t="str">
        <x:v>Gap candidate metadata</x:v>
      </x:c>
      <x:c r="H26" s="338" t="str">
        <x:v>Learning/coaching/review</x:v>
      </x:c>
      <x:c r="I26" s="338" t="str">
        <x:v>Cause classification and confidence required.</x:v>
      </x:c>
      <x:c r="J26" s="338" t="str">
        <x:v>Draft Complete</x:v>
      </x:c>
      <x:c r="K26" s="339" t="str"/>
    </x:row>
    <x:row r="27">
      <x:c r="A27" s="332" t="str">
        <x:v>API-223</x:v>
      </x:c>
      <x:c r="B27" s="114" t="str">
        <x:v>Event</x:v>
      </x:c>
      <x:c r="C27" s="114" t="str">
        <x:v>learning.intervention.assigned</x:v>
      </x:c>
      <x:c r="D27" s="114" t="str">
        <x:v>Training or coaching intervention assigned.</x:v>
      </x:c>
      <x:c r="E27" s="114" t="str">
        <x:v>Learning Domain</x:v>
      </x:c>
      <x:c r="F27" s="114" t="str">
        <x:v>CloudEvents-style</x:v>
      </x:c>
      <x:c r="G27" s="114" t="str">
        <x:v>Intervention ID/type</x:v>
      </x:c>
      <x:c r="H27" s="114" t="str">
        <x:v>Employee portal/notification</x:v>
      </x:c>
      <x:c r="I27" s="114" t="str">
        <x:v>Employee can see rationale.</x:v>
      </x:c>
      <x:c r="J27" s="114" t="str">
        <x:v>Draft Complete</x:v>
      </x:c>
      <x:c r="K27" s="333" t="str"/>
    </x:row>
    <x:row r="28">
      <x:c r="A28" s="337" t="str">
        <x:v>API-224</x:v>
      </x:c>
      <x:c r="B28" s="338" t="str">
        <x:v>JSON Schema</x:v>
      </x:c>
      <x:c r="C28" s="338" t="str">
        <x:v>RoleCapabilityContract.schema.json</x:v>
      </x:c>
      <x:c r="D28" s="338" t="str">
        <x:v>Schema for role version contracts.</x:v>
      </x:c>
      <x:c r="E28" s="338" t="str">
        <x:v>Capability Domain</x:v>
      </x:c>
      <x:c r="F28" s="338" t="str">
        <x:v>JSON Schema 2020-12</x:v>
      </x:c>
      <x:c r="G28" s="338" t="str">
        <x:v>Role contract JSON</x:v>
      </x:c>
      <x:c r="H28" s="338" t="str">
        <x:v>Validation result</x:v>
      </x:c>
      <x:c r="I28" s="338" t="str">
        <x:v>Must validate before approval.</x:v>
      </x:c>
      <x:c r="J28" s="338" t="str">
        <x:v>Draft Complete</x:v>
      </x:c>
      <x:c r="K28" s="339" t="str">
        <x:v>JSON Schema 2020-12</x:v>
      </x:c>
    </x:row>
    <x:row r="29">
      <x:c r="A29" s="332" t="str">
        <x:v>API-225</x:v>
      </x:c>
      <x:c r="B29" s="114" t="str">
        <x:v>JSON Schema</x:v>
      </x:c>
      <x:c r="C29" s="114" t="str">
        <x:v>TaskExecutionContract.schema.json</x:v>
      </x:c>
      <x:c r="D29" s="114" t="str">
        <x:v>Schema for task contracts.</x:v>
      </x:c>
      <x:c r="E29" s="114" t="str">
        <x:v>Task Assurance</x:v>
      </x:c>
      <x:c r="F29" s="114" t="str">
        <x:v>JSON Schema 2020-12</x:v>
      </x:c>
      <x:c r="G29" s="114" t="str">
        <x:v>Task contract JSON</x:v>
      </x:c>
      <x:c r="H29" s="114" t="str">
        <x:v>Validation result</x:v>
      </x:c>
      <x:c r="I29" s="114" t="str">
        <x:v>Must validate before use.</x:v>
      </x:c>
      <x:c r="J29" s="114" t="str">
        <x:v>Draft Complete</x:v>
      </x:c>
      <x:c r="K29" s="333" t="str">
        <x:v>JSON Schema 2020-12</x:v>
      </x:c>
    </x:row>
    <x:row r="30">
      <x:c r="A30" s="340" t="str">
        <x:v>API-226</x:v>
      </x:c>
      <x:c r="B30" s="341" t="str">
        <x:v>JSON Schema</x:v>
      </x:c>
      <x:c r="C30" s="341" t="str">
        <x:v>CapabilityEvidence.schema.json</x:v>
      </x:c>
      <x:c r="D30" s="341" t="str">
        <x:v>Schema for capability evidence candidates.</x:v>
      </x:c>
      <x:c r="E30" s="341" t="str">
        <x:v>Capability Domain</x:v>
      </x:c>
      <x:c r="F30" s="341" t="str">
        <x:v>JSON Schema 2020-12</x:v>
      </x:c>
      <x:c r="G30" s="341" t="str">
        <x:v>Evidence candidate JSON</x:v>
      </x:c>
      <x:c r="H30" s="341" t="str">
        <x:v>Validation result</x:v>
      </x:c>
      <x:c r="I30" s="341" t="str">
        <x:v>Evidence refs required.</x:v>
      </x:c>
      <x:c r="J30" s="341" t="str">
        <x:v>Draft Complete</x:v>
      </x:c>
      <x:c r="K30" s="342" t="str"/>
    </x:row>
  </x:sheetData>
  <x:mergeCells>
    <x:mergeCell ref="A1:K1"/>
    <x:mergeCell ref="A2:K2"/>
  </x:mergeCells>
  <x:dataValidations count="1">
    <x:dataValidation type="list" sqref="J5:J30">
      <x:formula1>"Draft Complete,Needs Review,Approved,Deferred"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4" hidden="0" customWidth="1"/>
    <x:col min="8" max="8" width="12" hidden="0" customWidth="1"/>
    <x:col min="9" max="9" width="18" hidden="0" customWidth="1"/>
    <x:col min="10" max="10" width="12" hidden="0" customWidth="1"/>
    <x:col min="11" max="11" width="12" hidden="0" customWidth="1"/>
    <x:col min="12" max="12" width="28" hidden="0" customWidth="1"/>
    <x:col min="13" max="13" width="48" hidden="0" customWidth="1"/>
    <x:col min="14" max="14" width="26" hidden="0" customWidth="1"/>
  </x:cols>
  <x:sheetData>
    <x:row r="1" ht="30" customHeight="1">
      <x:c r="A1" s="294" t="str">
        <x:v>Stage 2 — Implementation Backlog</x:v>
      </x:c>
      <x:c r="B1" s="294"/>
      <x:c r="C1" s="294"/>
      <x:c r="D1" s="294"/>
      <x:c r="E1" s="294"/>
      <x:c r="F1" s="294"/>
      <x:c r="G1" s="294"/>
      <x:c r="H1" s="294"/>
      <x:c r="I1" s="294"/>
      <x:c r="J1" s="294"/>
      <x:c r="K1" s="294"/>
      <x:c r="L1" s="294"/>
      <x:c r="M1" s="294"/>
      <x:c r="N1" s="294"/>
    </x:row>
    <x:row r="2" ht="36" customHeight="1">
      <x:c r="A2" s="298" t="str">
        <x:v>Implementation-ready backlog for the ontology, role contracts, task contracts, schemas, APIs, events, scoring prototype and review workflows.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S2-BL-001</x:v>
      </x:c>
      <x:c r="B5" s="330" t="str">
        <x:v>Ontology</x:v>
      </x:c>
      <x:c r="C5" s="330" t="str">
        <x:v>Create canonical entity schema files</x:v>
      </x:c>
      <x:c r="D5" s="330" t="str">
        <x:v>Implement Role, RoleVersion, Capability, TaskContract and CapabilityEvidence JSON Schemas.</x:v>
      </x:c>
      <x:c r="E5" s="330" t="str">
        <x:v>Capability Architect</x:v>
      </x:c>
      <x:c r="F5" s="330" t="str">
        <x:v>Backend/Data</x:v>
      </x:c>
      <x:c r="G5" s="330" t="str">
        <x:v>None</x:v>
      </x:c>
      <x:c r="H5" s="330" t="str">
        <x:v>Critical</x:v>
      </x:c>
      <x:c r="I5" s="330" t="str">
        <x:v>Not Started</x:v>
      </x:c>
      <x:c r="J5" s="347" t="n">
        <x:f>IF(I5="Approved",1,IF(I5="Draft Complete",0.8,IF(I5="In Review",0.6,IF(I5="In Progress",0.4,IF(I5="Blocked",0,0)))))</x:f>
        <x:v>0</x:v>
      </x:c>
      <x:c r="K5" s="330" t="n">
        <x:v>8</x:v>
      </x:c>
      <x:c r="L5" s="330" t="str">
        <x:v>JSON Schema package</x:v>
      </x:c>
      <x:c r="M5" s="330" t="str">
        <x:v>Schemas validate positive/negative examples.</x:v>
      </x:c>
      <x:c r="N5" s="331" t="str">
        <x:v>JSON Schema 2020-12</x:v>
      </x:c>
    </x:row>
    <x:row r="6">
      <x:c r="A6" s="337" t="str">
        <x:v>S2-BL-002</x:v>
      </x:c>
      <x:c r="B6" s="338" t="str">
        <x:v>Ontology</x:v>
      </x:c>
      <x:c r="C6" s="338" t="str">
        <x:v>Define PostgreSQL logical schema</x:v>
      </x:c>
      <x:c r="D6" s="338" t="str">
        <x:v>Translate entity dictionary into tables, constraints and indexes.</x:v>
      </x:c>
      <x:c r="E6" s="338" t="str">
        <x:v>Data Architect</x:v>
      </x:c>
      <x:c r="F6" s="338" t="str">
        <x:v>Backend</x:v>
      </x:c>
      <x:c r="G6" s="338" t="str">
        <x:v>S2-BL-001</x:v>
      </x:c>
      <x:c r="H6" s="338" t="str">
        <x:v>Critical</x:v>
      </x:c>
      <x:c r="I6" s="338" t="str">
        <x:v>Not Started</x:v>
      </x:c>
      <x:c r="J6" s="348" t="n">
        <x:f>IF(I6="Approved",1,IF(I6="Draft Complete",0.8,IF(I6="In Review",0.6,IF(I6="In Progress",0.4,IF(I6="Blocked",0,0)))))</x:f>
        <x:v>0</x:v>
      </x:c>
      <x:c r="K6" s="338" t="n">
        <x:v>5</x:v>
      </x:c>
      <x:c r="L6" s="338" t="str">
        <x:v>DDL draft</x:v>
      </x:c>
      <x:c r="M6" s="338" t="str">
        <x:v>DDL represents relationships and versioning without one table per trivial concept.</x:v>
      </x:c>
      <x:c r="N6" s="339" t="str">
        <x:v>PostgreSQL</x:v>
      </x:c>
    </x:row>
    <x:row r="7">
      <x:c r="A7" s="332" t="str">
        <x:v>S2-BL-003</x:v>
      </x:c>
      <x:c r="B7" s="114" t="str">
        <x:v>Capability</x:v>
      </x:c>
      <x:c r="C7" s="114" t="str">
        <x:v>Build capability catalogue seed</x:v>
      </x:c>
      <x:c r="D7" s="114" t="str">
        <x:v>Seed software-development capability taxonomy and generic core dimensions.</x:v>
      </x:c>
      <x:c r="E7" s="114" t="str">
        <x:v>Capability Lead</x:v>
      </x:c>
      <x:c r="F7" s="114" t="str">
        <x:v>Domain Experts/HR</x:v>
      </x:c>
      <x:c r="G7" s="114" t="str">
        <x:v>S2-BL-001</x:v>
      </x:c>
      <x:c r="H7" s="114" t="str">
        <x:v>High</x:v>
      </x:c>
      <x:c r="I7" s="114" t="str">
        <x:v>Not Started</x:v>
      </x:c>
      <x:c r="J7" s="135" t="n">
        <x:f>IF(I7="Approved",1,IF(I7="Draft Complete",0.8,IF(I7="In Review",0.6,IF(I7="In Progress",0.4,IF(I7="Blocked",0,0)))))</x:f>
        <x:v>0</x:v>
      </x:c>
      <x:c r="K7" s="114" t="n">
        <x:v>6</x:v>
      </x:c>
      <x:c r="L7" s="114" t="str">
        <x:v>Capability seed data</x:v>
      </x:c>
      <x:c r="M7" s="114" t="str">
        <x:v>Includes capability IDs, dimensions, levels and indicators.</x:v>
      </x:c>
      <x:c r="N7" s="333" t="str">
        <x:v>SFIA/NICE/ESCO</x:v>
      </x:c>
    </x:row>
    <x:row r="8">
      <x:c r="A8" s="337" t="str">
        <x:v>S2-BL-004</x:v>
      </x:c>
      <x:c r="B8" s="338" t="str">
        <x:v>Role contracts</x:v>
      </x:c>
      <x:c r="C8" s="338" t="str">
        <x:v>Transform four role templates into RoleVersion contracts</x:v>
      </x:c>
      <x:c r="D8" s="338" t="str">
        <x:v>Use Software Engineer I/II/Senior, QA, DevOps and Tech Lead examples as structured contracts.</x:v>
      </x:c>
      <x:c r="E8" s="338" t="str">
        <x:v>HR/Product</x:v>
      </x:c>
      <x:c r="F8" s="338" t="str">
        <x:v>Domain Experts</x:v>
      </x:c>
      <x:c r="G8" s="338" t="str">
        <x:v>S2-BL-003</x:v>
      </x:c>
      <x:c r="H8" s="338" t="str">
        <x:v>High</x:v>
      </x:c>
      <x:c r="I8" s="338" t="str">
        <x:v>Not Started</x:v>
      </x:c>
      <x:c r="J8" s="348" t="n">
        <x:f>IF(I8="Approved",1,IF(I8="Draft Complete",0.8,IF(I8="In Review",0.6,IF(I8="In Progress",0.4,IF(I8="Blocked",0,0)))))</x:f>
        <x:v>0</x:v>
      </x:c>
      <x:c r="K8" s="338" t="n">
        <x:v>5</x:v>
      </x:c>
      <x:c r="L8" s="338" t="str">
        <x:v>Role contracts</x:v>
      </x:c>
      <x:c r="M8" s="338" t="str">
        <x:v>Each role traces outcomes/responsibilities to capability requirements.</x:v>
      </x:c>
      <x:c r="N8" s="339" t="str">
        <x:v>Role Templates</x:v>
      </x:c>
    </x:row>
    <x:row r="9">
      <x:c r="A9" s="332" t="str">
        <x:v>S2-BL-005</x:v>
      </x:c>
      <x:c r="B9" s="114" t="str">
        <x:v>Task contracts</x:v>
      </x:c>
      <x:c r="C9" s="114" t="str">
        <x:v>Create twelve task contract templates</x:v>
      </x:c>
      <x:c r="D9" s="114" t="str">
        <x:v>Convert task examples into TaskExecutionContract JSON with criteria, gates and evidence.</x:v>
      </x:c>
      <x:c r="E9" s="114" t="str">
        <x:v>Task Product Lead</x:v>
      </x:c>
      <x:c r="F9" s="114" t="str">
        <x:v>Engineering Leads</x:v>
      </x:c>
      <x:c r="G9" s="114" t="str">
        <x:v>S2-BL-001</x:v>
      </x:c>
      <x:c r="H9" s="114" t="str">
        <x:v>Critical</x:v>
      </x:c>
      <x:c r="I9" s="114" t="str">
        <x:v>Not Started</x:v>
      </x:c>
      <x:c r="J9" s="135" t="n">
        <x:f>IF(I9="Approved",1,IF(I9="Draft Complete",0.8,IF(I9="In Review",0.6,IF(I9="In Progress",0.4,IF(I9="Blocked",0,0)))))</x:f>
        <x:v>0</x:v>
      </x:c>
      <x:c r="K9" s="114" t="n">
        <x:v>6</x:v>
      </x:c>
      <x:c r="L9" s="114" t="str">
        <x:v>Task contract library</x:v>
      </x:c>
      <x:c r="M9" s="114" t="str">
        <x:v>Each criterion has verification method and evidence requirement.</x:v>
      </x:c>
      <x:c r="N9" s="333" t="str">
        <x:v>Task Contract Templates</x:v>
      </x:c>
    </x:row>
    <x:row r="10">
      <x:c r="A10" s="337" t="str">
        <x:v>S2-BL-006</x:v>
      </x:c>
      <x:c r="B10" s="338" t="str">
        <x:v>Scoring</x:v>
      </x:c>
      <x:c r="C10" s="338" t="str">
        <x:v>Implement evidence scoring prototype</x:v>
      </x:c>
      <x:c r="D10" s="338" t="str">
        <x:v>Python scoring function returning confidence, factor breakdown and warnings.</x:v>
      </x:c>
      <x:c r="E10" s="338" t="str">
        <x:v>AI Evaluation Lead</x:v>
      </x:c>
      <x:c r="F10" s="338" t="str">
        <x:v>Python/Capability</x:v>
      </x:c>
      <x:c r="G10" s="338" t="str">
        <x:v>S2-BL-001,S2-BL-003</x:v>
      </x:c>
      <x:c r="H10" s="338" t="str">
        <x:v>Critical</x:v>
      </x:c>
      <x:c r="I10" s="338" t="str">
        <x:v>Not Started</x:v>
      </x:c>
      <x:c r="J10" s="348" t="n">
        <x:f>IF(I10="Approved",1,IF(I10="Draft Complete",0.8,IF(I10="In Review",0.6,IF(I10="In Progress",0.4,IF(I10="Blocked",0,0)))))</x:f>
        <x:v>0</x:v>
      </x:c>
      <x:c r="K10" s="338" t="n">
        <x:v>8</x:v>
      </x:c>
      <x:c r="L10" s="338" t="str">
        <x:v>Scoring prototype</x:v>
      </x:c>
      <x:c r="M10" s="338" t="str">
        <x:v>Produces no final state change; handles contradictions and blockers.</x:v>
      </x:c>
      <x:c r="N10" s="339" t="str">
        <x:v>Evidence Scoring</x:v>
      </x:c>
    </x:row>
    <x:row r="11">
      <x:c r="A11" s="332" t="str">
        <x:v>S2-BL-007</x:v>
      </x:c>
      <x:c r="B11" s="114" t="str">
        <x:v>Review</x:v>
      </x:c>
      <x:c r="C11" s="114" t="str">
        <x:v>Define capability review workflow</x:v>
      </x:c>
      <x:c r="D11" s="114" t="str">
        <x:v>Human review states, reviewer roles, reason codes and decision lineage.</x:v>
      </x:c>
      <x:c r="E11" s="114" t="str">
        <x:v>Governance Product Owner</x:v>
      </x:c>
      <x:c r="F11" s="114" t="str">
        <x:v>HR/DPO/Workflow</x:v>
      </x:c>
      <x:c r="G11" s="114" t="str">
        <x:v>S2-BL-006</x:v>
      </x:c>
      <x:c r="H11" s="114" t="str">
        <x:v>Critical</x:v>
      </x:c>
      <x:c r="I11" s="114" t="str">
        <x:v>Not Started</x:v>
      </x:c>
      <x:c r="J11" s="135" t="n">
        <x:f>IF(I11="Approved",1,IF(I11="Draft Complete",0.8,IF(I11="In Review",0.6,IF(I11="In Progress",0.4,IF(I11="Blocked",0,0)))))</x:f>
        <x:v>0</x:v>
      </x:c>
      <x:c r="K11" s="114" t="n">
        <x:v>4</x:v>
      </x:c>
      <x:c r="L11" s="114" t="str">
        <x:v>Workflow spec</x:v>
      </x:c>
      <x:c r="M11" s="114" t="str">
        <x:v>High-impact update cannot bypass review.</x:v>
      </x:c>
      <x:c r="N11" s="333" t="str">
        <x:v>ICO human review</x:v>
      </x:c>
    </x:row>
    <x:row r="12">
      <x:c r="A12" s="337" t="str">
        <x:v>S2-BL-008</x:v>
      </x:c>
      <x:c r="B12" s="338" t="str">
        <x:v>API</x:v>
      </x:c>
      <x:c r="C12" s="338" t="str">
        <x:v>Draft OpenAPI 3.1 specifications</x:v>
      </x:c>
      <x:c r="D12" s="338" t="str">
        <x:v>Define Java/Spring API contracts for capability, claims, roles and task contracts.</x:v>
      </x:c>
      <x:c r="E12" s="338" t="str">
        <x:v>Backend Lead</x:v>
      </x:c>
      <x:c r="F12" s="338" t="str">
        <x:v>Architecture/API</x:v>
      </x:c>
      <x:c r="G12" s="338" t="str">
        <x:v>S2-BL-001</x:v>
      </x:c>
      <x:c r="H12" s="338" t="str">
        <x:v>High</x:v>
      </x:c>
      <x:c r="I12" s="338" t="str">
        <x:v>Not Started</x:v>
      </x:c>
      <x:c r="J12" s="348" t="n">
        <x:f>IF(I12="Approved",1,IF(I12="Draft Complete",0.8,IF(I12="In Review",0.6,IF(I12="In Progress",0.4,IF(I12="Blocked",0,0)))))</x:f>
        <x:v>0</x:v>
      </x:c>
      <x:c r="K12" s="338" t="n">
        <x:v>6</x:v>
      </x:c>
      <x:c r="L12" s="338" t="str">
        <x:v>OpenAPI spec</x:v>
      </x:c>
      <x:c r="M12" s="338" t="str">
        <x:v>APIs validate with generated clients and security scopes.</x:v>
      </x:c>
      <x:c r="N12" s="339" t="str">
        <x:v>OpenAPI 3.1</x:v>
      </x:c>
    </x:row>
    <x:row r="13">
      <x:c r="A13" s="332" t="str">
        <x:v>S2-BL-009</x:v>
      </x:c>
      <x:c r="B13" s="114" t="str">
        <x:v>Events</x:v>
      </x:c>
      <x:c r="C13" s="114" t="str">
        <x:v>Define CloudEvents domain events</x:v>
      </x:c>
      <x:c r="D13" s="114" t="str">
        <x:v>Create schemas for role.version, task.contract, capability.evidence and learning events.</x:v>
      </x:c>
      <x:c r="E13" s="114" t="str">
        <x:v>Data Architect</x:v>
      </x:c>
      <x:c r="F13" s="114" t="str">
        <x:v>Backend/Event</x:v>
      </x:c>
      <x:c r="G13" s="114" t="str">
        <x:v>S2-BL-001</x:v>
      </x:c>
      <x:c r="H13" s="114" t="str">
        <x:v>High</x:v>
      </x:c>
      <x:c r="I13" s="114" t="str">
        <x:v>Not Started</x:v>
      </x:c>
      <x:c r="J13" s="135" t="n">
        <x:f>IF(I13="Approved",1,IF(I13="Draft Complete",0.8,IF(I13="In Review",0.6,IF(I13="In Progress",0.4,IF(I13="Blocked",0,0)))))</x:f>
        <x:v>0</x:v>
      </x:c>
      <x:c r="K13" s="114" t="n">
        <x:v>4</x:v>
      </x:c>
      <x:c r="L13" s="114" t="str">
        <x:v>Event schema package</x:v>
      </x:c>
      <x:c r="M13" s="114" t="str">
        <x:v>Events use content references not raw sensitive content.</x:v>
      </x:c>
      <x:c r="N13" s="333" t="str">
        <x:v>CloudEvents</x:v>
      </x:c>
    </x:row>
    <x:row r="14">
      <x:c r="A14" s="337" t="str">
        <x:v>S2-BL-010</x:v>
      </x:c>
      <x:c r="B14" s="338" t="str">
        <x:v>Examples</x:v>
      </x:c>
      <x:c r="C14" s="338" t="str">
        <x:v>Create evaluator test corpus</x:v>
      </x:c>
      <x:c r="D14" s="338" t="str">
        <x:v>Convert worked examples into labelled positive/negative/edge cases.</x:v>
      </x:c>
      <x:c r="E14" s="338" t="str">
        <x:v>AI Evaluation Lead</x:v>
      </x:c>
      <x:c r="F14" s="338" t="str">
        <x:v>Domain Reviewers</x:v>
      </x:c>
      <x:c r="G14" s="338" t="str">
        <x:v>S2-BL-006</x:v>
      </x:c>
      <x:c r="H14" s="338" t="str">
        <x:v>High</x:v>
      </x:c>
      <x:c r="I14" s="338" t="str">
        <x:v>Not Started</x:v>
      </x:c>
      <x:c r="J14" s="348" t="n">
        <x:f>IF(I14="Approved",1,IF(I14="Draft Complete",0.8,IF(I14="In Review",0.6,IF(I14="In Progress",0.4,IF(I14="Blocked",0,0)))))</x:f>
        <x:v>0</x:v>
      </x:c>
      <x:c r="K14" s="338" t="n">
        <x:v>5</x:v>
      </x:c>
      <x:c r="L14" s="338" t="str">
        <x:v>Initial test corpus</x:v>
      </x:c>
      <x:c r="M14" s="338" t="str">
        <x:v>Examples cover blockers, accommodations, AI overreach and claim gaps.</x:v>
      </x:c>
      <x:c r="N14" s="339" t="str">
        <x:v>Worked Examples</x:v>
      </x:c>
    </x:row>
    <x:row r="15">
      <x:c r="A15" s="332" t="str">
        <x:v>S2-BL-011</x:v>
      </x:c>
      <x:c r="B15" s="114" t="str">
        <x:v>Fairness</x:v>
      </x:c>
      <x:c r="C15" s="114" t="str">
        <x:v>Run fairness and misuse review</x:v>
      </x:c>
      <x:c r="D15" s="114" t="str">
        <x:v>Review ontology for protected-trait, accessibility, activity-volume and single-task harms.</x:v>
      </x:c>
      <x:c r="E15" s="114" t="str">
        <x:v>DPO/HR</x:v>
      </x:c>
      <x:c r="F15" s="114" t="str">
        <x:v>Product/AI</x:v>
      </x:c>
      <x:c r="G15" s="114" t="str">
        <x:v>S2-BL-010</x:v>
      </x:c>
      <x:c r="H15" s="114" t="str">
        <x:v>Critical</x:v>
      </x:c>
      <x:c r="I15" s="114" t="str">
        <x:v>Not Started</x:v>
      </x:c>
      <x:c r="J15" s="135" t="n">
        <x:f>IF(I15="Approved",1,IF(I15="Draft Complete",0.8,IF(I15="In Review",0.6,IF(I15="In Progress",0.4,IF(I15="Blocked",0,0)))))</x:f>
        <x:v>0</x:v>
      </x:c>
      <x:c r="K15" s="114" t="n">
        <x:v>4</x:v>
      </x:c>
      <x:c r="L15" s="114" t="str">
        <x:v>Fairness review</x:v>
      </x:c>
      <x:c r="M15" s="114" t="str">
        <x:v>All non-negotiable rules are tested.</x:v>
      </x:c>
      <x:c r="N15" s="333" t="str">
        <x:v>Stage 2 rules</x:v>
      </x:c>
    </x:row>
    <x:row r="16">
      <x:c r="A16" s="337" t="str">
        <x:v>S2-BL-012</x:v>
      </x:c>
      <x:c r="B16" s="338" t="str">
        <x:v>Traceability</x:v>
      </x:c>
      <x:c r="C16" s="338" t="str">
        <x:v>Build role-task-capability-evidence trace matrix</x:v>
      </x:c>
      <x:c r="D16" s="338" t="str">
        <x:v>Validate every role requirement and task criterion has evidence trace.</x:v>
      </x:c>
      <x:c r="E16" s="338" t="str">
        <x:v>Capability Product Lead</x:v>
      </x:c>
      <x:c r="F16" s="338" t="str">
        <x:v>Data/QA</x:v>
      </x:c>
      <x:c r="G16" s="338" t="str">
        <x:v>S2-BL-004,S2-BL-005</x:v>
      </x:c>
      <x:c r="H16" s="338" t="str">
        <x:v>Critical</x:v>
      </x:c>
      <x:c r="I16" s="338" t="str">
        <x:v>Not Started</x:v>
      </x:c>
      <x:c r="J16" s="348" t="n">
        <x:f>IF(I16="Approved",1,IF(I16="Draft Complete",0.8,IF(I16="In Review",0.6,IF(I16="In Progress",0.4,IF(I16="Blocked",0,0)))))</x:f>
        <x:v>0</x:v>
      </x:c>
      <x:c r="K16" s="338" t="n">
        <x:v>4</x:v>
      </x:c>
      <x:c r="L16" s="338" t="str">
        <x:v>Traceability matrix</x:v>
      </x:c>
      <x:c r="M16" s="338" t="str">
        <x:v>No orphan requirement or criterion.</x:v>
      </x:c>
      <x:c r="N16" s="339" t="str">
        <x:v>Validation requirement</x:v>
      </x:c>
    </x:row>
    <x:row r="17">
      <x:c r="A17" s="332" t="str">
        <x:v>S2-BL-013</x:v>
      </x:c>
      <x:c r="B17" s="114" t="str">
        <x:v>Migration</x:v>
      </x:c>
      <x:c r="C17" s="114" t="str">
        <x:v>Map to existing HumanOS services</x:v>
      </x:c>
      <x:c r="D17" s="114" t="str">
        <x:v>Confirm entity ownership and integration boundaries with role/task/workflow/audit services.</x:v>
      </x:c>
      <x:c r="E17" s="114" t="str">
        <x:v>Enterprise Architect</x:v>
      </x:c>
      <x:c r="F17" s="114" t="str">
        <x:v>Platform Leads</x:v>
      </x:c>
      <x:c r="G17" s="114" t="str">
        <x:v>S2-BL-002</x:v>
      </x:c>
      <x:c r="H17" s="114" t="str">
        <x:v>High</x:v>
      </x:c>
      <x:c r="I17" s="114" t="str">
        <x:v>Not Started</x:v>
      </x:c>
      <x:c r="J17" s="135" t="n">
        <x:f>IF(I17="Approved",1,IF(I17="Draft Complete",0.8,IF(I17="In Review",0.6,IF(I17="In Progress",0.4,IF(I17="Blocked",0,0)))))</x:f>
        <x:v>0</x:v>
      </x:c>
      <x:c r="K17" s="114" t="n">
        <x:v>3</x:v>
      </x:c>
      <x:c r="L17" s="114" t="str">
        <x:v>Integration map</x:v>
      </x:c>
      <x:c r="M17" s="114" t="str">
        <x:v>No duplicate HumanOS foundation service.</x:v>
      </x:c>
      <x:c r="N17" s="333" t="str">
        <x:v>HumanOS architecture</x:v>
      </x:c>
    </x:row>
    <x:row r="18">
      <x:c r="A18" s="340" t="str">
        <x:v>S2-BL-014</x:v>
      </x:c>
      <x:c r="B18" s="341" t="str">
        <x:v>Documentation</x:v>
      </x:c>
      <x:c r="C18" s="341" t="str">
        <x:v>Write Stage 2 implementation package</x:v>
      </x:c>
      <x:c r="D18" s="341" t="str">
        <x:v>Consolidate ontology, schemas, APIs, events, examples, decisions and gate evidence.</x:v>
      </x:c>
      <x:c r="E18" s="341" t="str">
        <x:v>Programme Lead</x:v>
      </x:c>
      <x:c r="F18" s="341" t="str">
        <x:v>All owners</x:v>
      </x:c>
      <x:c r="G18" s="341" t="str">
        <x:v>S2-BL-001:S2-BL-013</x:v>
      </x:c>
      <x:c r="H18" s="341" t="str">
        <x:v>High</x:v>
      </x:c>
      <x:c r="I18" s="341" t="str">
        <x:v>Not Started</x:v>
      </x:c>
      <x:c r="J18" s="349" t="n">
        <x:f>IF(I18="Approved",1,IF(I18="Draft Complete",0.8,IF(I18="In Review",0.6,IF(I18="In Progress",0.4,IF(I18="Blocked",0,0)))))</x:f>
        <x:v>0</x:v>
      </x:c>
      <x:c r="K18" s="341" t="n">
        <x:v>3</x:v>
      </x:c>
      <x:c r="L18" s="341" t="str">
        <x:v>Stage 2 package</x:v>
      </x:c>
      <x:c r="M18" s="341" t="str">
        <x:v>Ready for architecture, HR, DPO and product review.</x:v>
      </x:c>
      <x:c r="N18" s="342" t="str">
        <x:v>Stage 2 Gate</x:v>
      </x:c>
    </x:row>
  </x:sheetData>
  <x:mergeCells>
    <x:mergeCell ref="A1:N1"/>
    <x:mergeCell ref="A2:N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2" hidden="0" customWidth="1"/>
    <x:col min="2" max="2" width="56" hidden="0" customWidth="1"/>
    <x:col min="3" max="3" width="22"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34" hidden="0" customWidth="1"/>
  </x:cols>
  <x:sheetData>
    <x:row r="1" ht="30" customHeight="1">
      <x:c r="A1" s="294" t="str">
        <x:v>Stage 2 — Risk Register</x:v>
      </x:c>
      <x:c r="B1" s="294"/>
      <x:c r="C1" s="294"/>
      <x:c r="D1" s="294"/>
      <x:c r="E1" s="294"/>
      <x:c r="F1" s="294"/>
      <x:c r="G1" s="294"/>
      <x:c r="H1" s="294"/>
      <x:c r="I1" s="294"/>
      <x:c r="J1" s="294"/>
    </x:row>
    <x:row r="2" ht="36" customHeight="1">
      <x:c r="A2" s="298" t="str">
        <x:v>Ontology, fairness, implementation and governance risks specific to Stage 2.</x:v>
      </x:c>
      <x:c r="B2" s="298"/>
      <x:c r="C2" s="298"/>
      <x:c r="D2" s="298"/>
      <x:c r="E2" s="298"/>
      <x:c r="F2" s="298"/>
      <x:c r="G2" s="298"/>
      <x:c r="H2" s="298"/>
      <x:c r="I2" s="298"/>
      <x:c r="J2" s="298"/>
    </x:row>
    <x:row r="4" ht="30" customHeight="1">
      <x:c r="A4" s="310" t="str">
        <x:v>Risk ID</x:v>
      </x:c>
      <x:c r="B4" s="311" t="str">
        <x:v>Risk</x:v>
      </x:c>
      <x:c r="C4" s="311" t="str">
        <x:v>Category</x:v>
      </x:c>
      <x:c r="D4" s="311" t="str">
        <x:v>Likelihood</x:v>
      </x:c>
      <x:c r="E4" s="311" t="str">
        <x:v>Impact</x:v>
      </x:c>
      <x:c r="F4" s="311" t="str">
        <x:v>Score</x:v>
      </x:c>
      <x:c r="G4" s="311" t="str">
        <x:v>Mitigation</x:v>
      </x:c>
      <x:c r="H4" s="311" t="str">
        <x:v>Owner</x:v>
      </x:c>
      <x:c r="I4" s="311" t="str">
        <x:v>Status</x:v>
      </x:c>
      <x:c r="J4" s="312" t="str">
        <x:v>Notes</x:v>
      </x:c>
    </x:row>
    <x:row r="5">
      <x:c r="A5" s="329" t="str">
        <x:v>S2-R-001</x:v>
      </x:c>
      <x:c r="B5" s="330" t="str">
        <x:v>Capability model overstates certainty from insufficient evidence.</x:v>
      </x:c>
      <x:c r="C5" s="330" t="str">
        <x:v>Employment/Fairness</x:v>
      </x:c>
      <x:c r="D5" s="330" t="n">
        <x:v>4</x:v>
      </x:c>
      <x:c r="E5" s="330" t="n">
        <x:v>5</x:v>
      </x:c>
      <x:c r="F5" s="330" t="n">
        <x:f>D5*E5</x:f>
        <x:v>20</x:v>
      </x:c>
      <x:c r="G5" s="330" t="str">
        <x:v>Require multiple evidence items, confidence, recency, contradiction handling and review.</x:v>
      </x:c>
      <x:c r="H5" s="330" t="str">
        <x:v>Capability Lead/DPO</x:v>
      </x:c>
      <x:c r="I5" s="330" t="str">
        <x:v>Open</x:v>
      </x:c>
      <x:c r="J5" s="331" t="str">
        <x:v>Gate blocking if unresolved.</x:v>
      </x:c>
    </x:row>
    <x:row r="6">
      <x:c r="A6" s="337" t="str">
        <x:v>S2-R-002</x:v>
      </x:c>
      <x:c r="B6" s="338" t="str">
        <x:v>Job description is vague, outdated or unrealistic and creates unfair task/capability expectations.</x:v>
      </x:c>
      <x:c r="C6" s="338" t="str">
        <x:v>Product/HR</x:v>
      </x:c>
      <x:c r="D6" s="338" t="n">
        <x:v>4</x:v>
      </x:c>
      <x:c r="E6" s="338" t="n">
        <x:v>4</x:v>
      </x:c>
      <x:c r="F6" s="338" t="n">
        <x:f>D6*E6</x:f>
        <x:v>16</x:v>
      </x:c>
      <x:c r="G6" s="338" t="str">
        <x:v>Human-approved role contracts and task criteria; manager/process gap category.</x:v>
      </x:c>
      <x:c r="H6" s="338" t="str">
        <x:v>HR/Product</x:v>
      </x:c>
      <x:c r="I6" s="338" t="str">
        <x:v>Open</x:v>
      </x:c>
      <x:c r="J6" s="339" t="str"/>
    </x:row>
    <x:row r="7">
      <x:c r="A7" s="332" t="str">
        <x:v>S2-R-003</x:v>
      </x:c>
      <x:c r="B7" s="114" t="str">
        <x:v>Software-development ontology does not extend to future verticals.</x:v>
      </x:c>
      <x:c r="C7" s="114" t="str">
        <x:v>Architecture</x:v>
      </x:c>
      <x:c r="D7" s="114" t="n">
        <x:v>3</x:v>
      </x:c>
      <x:c r="E7" s="114" t="n">
        <x:v>4</x:v>
      </x:c>
      <x:c r="F7" s="114" t="n">
        <x:f>D7*E7</x:f>
        <x:v>12</x:v>
      </x:c>
      <x:c r="G7" s="114" t="str">
        <x:v>Domain-neutral core and future-vertical examples in task templates.</x:v>
      </x:c>
      <x:c r="H7" s="114" t="str">
        <x:v>Enterprise Architect</x:v>
      </x:c>
      <x:c r="I7" s="114" t="str">
        <x:v>Open</x:v>
      </x:c>
      <x:c r="J7" s="333" t="str"/>
    </x:row>
    <x:row r="8">
      <x:c r="A8" s="337" t="str">
        <x:v>S2-R-004</x:v>
      </x:c>
      <x:c r="B8" s="338" t="str">
        <x:v>Capability scoring becomes opaque or unchallengeable.</x:v>
      </x:c>
      <x:c r="C8" s="338" t="str">
        <x:v>AI Governance</x:v>
      </x:c>
      <x:c r="D8" s="338" t="n">
        <x:v>3</x:v>
      </x:c>
      <x:c r="E8" s="338" t="n">
        <x:v>5</x:v>
      </x:c>
      <x:c r="F8" s="338" t="n">
        <x:f>D8*E8</x:f>
        <x:v>15</x:v>
      </x:c>
      <x:c r="G8" s="338" t="str">
        <x:v>Score vector, evidence links, model/version, employee access and human review.</x:v>
      </x:c>
      <x:c r="H8" s="338" t="str">
        <x:v>AI Governance</x:v>
      </x:c>
      <x:c r="I8" s="338" t="str">
        <x:v>Open</x:v>
      </x:c>
      <x:c r="J8" s="339" t="str"/>
    </x:row>
    <x:row r="9">
      <x:c r="A9" s="332" t="str">
        <x:v>S2-R-005</x:v>
      </x:c>
      <x:c r="B9" s="114" t="str">
        <x:v>Training completion is incorrectly treated as proof of capability.</x:v>
      </x:c>
      <x:c r="C9" s="114" t="str">
        <x:v>L&amp;D/Product</x:v>
      </x:c>
      <x:c r="D9" s="114" t="n">
        <x:v>3</x:v>
      </x:c>
      <x:c r="E9" s="114" t="n">
        <x:v>4</x:v>
      </x:c>
      <x:c r="F9" s="114" t="n">
        <x:f>D9*E9</x:f>
        <x:v>12</x:v>
      </x:c>
      <x:c r="G9" s="114" t="str">
        <x:v>Applied-work evidence rule and separate LearningIntervention completion state.</x:v>
      </x:c>
      <x:c r="H9" s="114" t="str">
        <x:v>L&amp;D Lead</x:v>
      </x:c>
      <x:c r="I9" s="114" t="str">
        <x:v>Open</x:v>
      </x:c>
      <x:c r="J9" s="333" t="str"/>
    </x:row>
    <x:row r="10">
      <x:c r="A10" s="337" t="str">
        <x:v>S2-R-006</x:v>
      </x:c>
      <x:c r="B10" s="338" t="str">
        <x:v>Accessibility accommodations or alternate methods are penalised.</x:v>
      </x:c>
      <x:c r="C10" s="338" t="str">
        <x:v>Fairness/Inclusion</x:v>
      </x:c>
      <x:c r="D10" s="338" t="n">
        <x:v>3</x:v>
      </x:c>
      <x:c r="E10" s="338" t="n">
        <x:v>5</x:v>
      </x:c>
      <x:c r="F10" s="338" t="n">
        <x:f>D10*E10</x:f>
        <x:v>15</x:v>
      </x:c>
      <x:c r="G10" s="338" t="str">
        <x:v>Outcome-over-activity rule, accommodation context and valid-method examples.</x:v>
      </x:c>
      <x:c r="H10" s="338" t="str">
        <x:v>HR/DPO/Product</x:v>
      </x:c>
      <x:c r="I10" s="338" t="str">
        <x:v>Open</x:v>
      </x:c>
      <x:c r="J10" s="339" t="str"/>
    </x:row>
    <x:row r="11">
      <x:c r="A11" s="332" t="str">
        <x:v>S2-R-007</x:v>
      </x:c>
      <x:c r="B11" s="114" t="str">
        <x:v>Implementation duplicates existing HumanOS role/task/workflow services.</x:v>
      </x:c>
      <x:c r="C11" s="114" t="str">
        <x:v>Architecture</x:v>
      </x:c>
      <x:c r="D11" s="114" t="n">
        <x:v>3</x:v>
      </x:c>
      <x:c r="E11" s="114" t="n">
        <x:v>4</x:v>
      </x:c>
      <x:c r="F11" s="114" t="n">
        <x:f>D11*E11</x:f>
        <x:v>12</x:v>
      </x:c>
      <x:c r="G11" s="114" t="str">
        <x:v>System-of-record map and integration decisions.</x:v>
      </x:c>
      <x:c r="H11" s="114" t="str">
        <x:v>Enterprise Architect</x:v>
      </x:c>
      <x:c r="I11" s="114" t="str">
        <x:v>Open</x:v>
      </x:c>
      <x:c r="J11" s="333" t="str"/>
    </x:row>
    <x:row r="12">
      <x:c r="A12" s="340" t="str">
        <x:v>S2-R-008</x:v>
      </x:c>
      <x:c r="B12" s="341" t="str">
        <x:v>External skills frameworks are copied rigidly and do not fit Nessovo work.</x:v>
      </x:c>
      <x:c r="C12" s="341" t="str">
        <x:v>Product</x:v>
      </x:c>
      <x:c r="D12" s="341" t="n">
        <x:v>2</x:v>
      </x:c>
      <x:c r="E12" s="341" t="n">
        <x:v>3</x:v>
      </x:c>
      <x:c r="F12" s="341" t="n">
        <x:f>D12*E12</x:f>
        <x:v>6</x:v>
      </x:c>
      <x:c r="G12" s="341" t="str">
        <x:v>Use SFIA/NICE/ESCO/O*NET as references/mappings, not sole ontology.</x:v>
      </x:c>
      <x:c r="H12" s="341" t="str">
        <x:v>Capability Lead</x:v>
      </x:c>
      <x:c r="I12" s="341" t="str">
        <x:v>Open</x:v>
      </x:c>
      <x:c r="J12" s="342" t="str"/>
    </x:row>
  </x:sheetData>
  <x:mergeCells>
    <x:mergeCell ref="A1:J1"/>
    <x:mergeCell ref="A2:J2"/>
  </x:mergeCells>
  <x:dataValidations count="1">
    <x:dataValidation type="list" sqref="I5:I12">
      <x:formula1>"Open,Mitigating,Accepted,Closed,Blocked"</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42" hidden="0" customWidth="1"/>
    <x:col min="5" max="5" width="54" hidden="0" customWidth="1"/>
    <x:col min="6" max="6" width="34" hidden="0" customWidth="1"/>
    <x:col min="7" max="7" width="42" hidden="0" customWidth="1"/>
    <x:col min="8" max="8" width="38" hidden="0" customWidth="1"/>
    <x:col min="9" max="9" width="30" hidden="0" customWidth="1"/>
    <x:col min="10" max="10" width="24" hidden="0" customWidth="1"/>
    <x:col min="11" max="11" width="28" hidden="0" customWidth="1"/>
  </x:cols>
  <x:sheetData>
    <x:row r="1" ht="30" customHeight="1">
      <x:c r="A1" s="294" t="str">
        <x:v>Stage 2 — Architecture and Product Decisions</x:v>
      </x:c>
      <x:c r="B1" s="294"/>
      <x:c r="C1" s="294"/>
      <x:c r="D1" s="294"/>
      <x:c r="E1" s="294"/>
      <x:c r="F1" s="294"/>
      <x:c r="G1" s="294"/>
      <x:c r="H1" s="294"/>
      <x:c r="I1" s="294"/>
      <x:c r="J1" s="294"/>
      <x:c r="K1" s="294"/>
    </x:row>
    <x:row r="2" ht="36" customHeight="1">
      <x:c r="A2" s="298" t="str">
        <x:v>Decision register for the ontology, capability model, task contracts and implementation responsibilities.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S2-ADR-001</x:v>
      </x:c>
      <x:c r="B5" s="330" t="str">
        <x:v>Claim is not evidence</x:v>
      </x:c>
      <x:c r="C5" s="330" t="str">
        <x:v>Accepted in principle</x:v>
      </x:c>
      <x:c r="D5" s="330" t="str">
        <x:v>Employee claims/CVs are inputs to evidence search, not proof.</x:v>
      </x:c>
      <x:c r="E5" s="330" t="str">
        <x:v>Use EmployeeClaim status model and neutral discrepancy language.</x:v>
      </x:c>
      <x:c r="F5" s="330" t="str">
        <x:v>Honesty classification; manager judgement only.</x:v>
      </x:c>
      <x:c r="G5" s="330" t="str">
        <x:v>Prevents harm and supports fair development.</x:v>
      </x:c>
      <x:c r="H5" s="330" t="str">
        <x:v>Needs HR/legal review.</x:v>
      </x:c>
      <x:c r="I5" s="330" t="str">
        <x:v>Stage 2 Gate</x:v>
      </x:c>
      <x:c r="J5" s="330" t="str">
        <x:v>Capability Lead/HR</x:v>
      </x:c>
      <x:c r="K5" s="331" t="str">
        <x:v>User rule</x:v>
      </x:c>
    </x:row>
    <x:row r="6">
      <x:c r="A6" s="337" t="str">
        <x:v>S2-ADR-002</x:v>
      </x:c>
      <x:c r="B6" s="338" t="str">
        <x:v>Five-level capability model</x:v>
      </x:c>
      <x:c r="C6" s="338" t="str">
        <x:v>Accepted in principle</x:v>
      </x:c>
      <x:c r="D6" s="338" t="str">
        <x:v>Need developmental levels but not over-complex ratings.</x:v>
      </x:c>
      <x:c r="E6" s="338" t="str">
        <x:v>Use Level 0–5: Unverified, Learning, Assisted, Independent, Advanced, Mastery.</x:v>
      </x:c>
      <x:c r="F6" s="338" t="str">
        <x:v>SFIA levels exactly; 10-level gamified score.</x:v>
      </x:c>
      <x:c r="G6" s="338" t="str">
        <x:v>Readable, game-like, still professional.</x:v>
      </x:c>
      <x:c r="H6" s="338" t="str">
        <x:v>Need calibration and external mapping.</x:v>
      </x:c>
      <x:c r="I6" s="338" t="str">
        <x:v>Pilot data.</x:v>
      </x:c>
      <x:c r="J6" s="338" t="str">
        <x:v>Capability Lead</x:v>
      </x:c>
      <x:c r="K6" s="339" t="str">
        <x:v>SFIA/NICE adapted</x:v>
      </x:c>
    </x:row>
    <x:row r="7">
      <x:c r="A7" s="332" t="str">
        <x:v>S2-ADR-003</x:v>
      </x:c>
      <x:c r="B7" s="114" t="str">
        <x:v>Evidence-weighted capability state</x:v>
      </x:c>
      <x:c r="C7" s="114" t="str">
        <x:v>Accepted in principle</x:v>
      </x:c>
      <x:c r="D7" s="114" t="str">
        <x:v>Capabilities must reflect quality, difficulty and independence.</x:v>
      </x:c>
      <x:c r="E7" s="114" t="str">
        <x:v>Use scoring vector and human review for stable changes.</x:v>
      </x:c>
      <x:c r="F7" s="114" t="str">
        <x:v>Simple points; manager-only ratings.</x:v>
      </x:c>
      <x:c r="G7" s="114" t="str">
        <x:v>Transparent and challengeable.</x:v>
      </x:c>
      <x:c r="H7" s="114" t="str">
        <x:v>More complex implementation.</x:v>
      </x:c>
      <x:c r="I7" s="114" t="str">
        <x:v>Evaluator tests.</x:v>
      </x:c>
      <x:c r="J7" s="114" t="str">
        <x:v>AI/Capability</x:v>
      </x:c>
      <x:c r="K7" s="333" t="str">
        <x:v>Evidence Scoring</x:v>
      </x:c>
    </x:row>
    <x:row r="8">
      <x:c r="A8" s="337" t="str">
        <x:v>S2-ADR-004</x:v>
      </x:c>
      <x:c r="B8" s="338" t="str">
        <x:v>Domain-neutral core with vertical extensions</x:v>
      </x:c>
      <x:c r="C8" s="338" t="str">
        <x:v>Accepted in principle</x:v>
      </x:c>
      <x:c r="D8" s="338" t="str">
        <x:v>HumanOS will cover multiple verticals.</x:v>
      </x:c>
      <x:c r="E8" s="338" t="str">
        <x:v>Core entities are role/task/evidence/capability; verticals add templates/adapters/evaluators.</x:v>
      </x:c>
      <x:c r="F8" s="338" t="str">
        <x:v>Software-dev-only schema.</x:v>
      </x:c>
      <x:c r="G8" s="338" t="str">
        <x:v>Future-proof architecture.</x:v>
      </x:c>
      <x:c r="H8" s="338" t="str">
        <x:v>Abstract model may be harder to explain.</x:v>
      </x:c>
      <x:c r="I8" s="338" t="str">
        <x:v>Future vertical worked examples.</x:v>
      </x:c>
      <x:c r="J8" s="338" t="str">
        <x:v>Enterprise Architect</x:v>
      </x:c>
      <x:c r="K8" s="339" t="str">
        <x:v>ESCO/O*NET</x:v>
      </x:c>
    </x:row>
    <x:row r="9">
      <x:c r="A9" s="332" t="str">
        <x:v>S2-ADR-005</x:v>
      </x:c>
      <x:c r="B9" s="114" t="str">
        <x:v>Task contract before assurance</x:v>
      </x:c>
      <x:c r="C9" s="114" t="str">
        <x:v>Accepted in principle</x:v>
      </x:c>
      <x:c r="D9" s="114" t="str">
        <x:v>Without acceptance criteria the system cannot fairly assess task quality.</x:v>
      </x:c>
      <x:c r="E9" s="114" t="str">
        <x:v>Require TaskExecutionContract for task assurance.</x:v>
      </x:c>
      <x:c r="F9" s="114" t="str">
        <x:v>Free-form task analysis only.</x:v>
      </x:c>
      <x:c r="G9" s="114" t="str">
        <x:v>Fairness and verifiability.</x:v>
      </x:c>
      <x:c r="H9" s="114" t="str">
        <x:v>Managers must write/approve better task criteria.</x:v>
      </x:c>
      <x:c r="I9" s="114" t="str">
        <x:v>Traceability tests.</x:v>
      </x:c>
      <x:c r="J9" s="114" t="str">
        <x:v>Task Product Lead</x:v>
      </x:c>
      <x:c r="K9" s="333" t="str">
        <x:v>Task Contract Templates</x:v>
      </x:c>
    </x:row>
    <x:row r="10">
      <x:c r="A10" s="337" t="str">
        <x:v>S2-ADR-006</x:v>
      </x:c>
      <x:c r="B10" s="338" t="str">
        <x:v>Java owns state, Python recommends scores</x:v>
      </x:c>
      <x:c r="C10" s="338" t="str">
        <x:v>Accepted in principle</x:v>
      </x:c>
      <x:c r="D10" s="338" t="str">
        <x:v>Durable state must be governed; AI changes evolve rapidly.</x:v>
      </x:c>
      <x:c r="E10" s="338" t="str">
        <x:v>Java domain services own capability/task state; Python returns recommendations.</x:v>
      </x:c>
      <x:c r="F10" s="338" t="str">
        <x:v>Python owns final state; all deterministic Java.</x:v>
      </x:c>
      <x:c r="G10" s="338" t="str">
        <x:v>Auditability and AI iteration.</x:v>
      </x:c>
      <x:c r="H10" s="338" t="str">
        <x:v>More integration contracts.</x:v>
      </x:c>
      <x:c r="I10" s="338" t="str">
        <x:v>API contract tests.</x:v>
      </x:c>
      <x:c r="J10" s="338" t="str">
        <x:v>CTO/AI Architect</x:v>
      </x:c>
      <x:c r="K10" s="339" t="str">
        <x:v>Architecture constraint</x:v>
      </x:c>
    </x:row>
    <x:row r="11">
      <x:c r="A11" s="334" t="str">
        <x:v>S2-ADR-007</x:v>
      </x:c>
      <x:c r="B11" s="335" t="str">
        <x:v>Applied learning rule</x:v>
      </x:c>
      <x:c r="C11" s="335" t="str">
        <x:v>Accepted in principle</x:v>
      </x:c>
      <x:c r="D11" s="335" t="str">
        <x:v>Training completion alone does not prove capability.</x:v>
      </x:c>
      <x:c r="E11" s="335" t="str">
        <x:v>LearningIntervention completion is separate from CapabilityEvidence improvement.</x:v>
      </x:c>
      <x:c r="F11" s="335" t="str">
        <x:v>LMS completion auto-increases capability.</x:v>
      </x:c>
      <x:c r="G11" s="335" t="str">
        <x:v>Avoids performative training.</x:v>
      </x:c>
      <x:c r="H11" s="335" t="str">
        <x:v>Needs subsequent task evidence.</x:v>
      </x:c>
      <x:c r="I11" s="335" t="str">
        <x:v>Worked examples and Stage 9 integration.</x:v>
      </x:c>
      <x:c r="J11" s="335" t="str">
        <x:v>L&amp;D/Product</x:v>
      </x:c>
      <x:c r="K11" s="336" t="str">
        <x:v>Learning loop</x:v>
      </x:c>
    </x:row>
  </x:sheetData>
  <x:mergeCells>
    <x:mergeCell ref="A1:K1"/>
    <x:mergeCell ref="A2:K2"/>
  </x:mergeCells>
  <x:dataValidations count="1">
    <x:dataValidation type="list" sqref="C5:C11">
      <x:formula1>"Proposed,Accepted in principle,Accepted,Rejected,Deferred"</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54"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2 — Go / No-Go Gate</x:v>
      </x:c>
      <x:c r="B1" s="294"/>
      <x:c r="C1" s="294"/>
      <x:c r="D1" s="294"/>
      <x:c r="E1" s="294"/>
      <x:c r="F1" s="294"/>
      <x:c r="G1" s="294"/>
      <x:c r="H1" s="294"/>
      <x:c r="I1" s="294"/>
    </x:row>
    <x:row r="2" ht="36" customHeight="1">
      <x:c r="A2" s="298" t="str">
        <x:v>Readiness criteria for the Role Capability Contract, Task Execution Contract and evidence ontology.</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S2-G-001</x:v>
      </x:c>
      <x:c r="B5" s="330" t="str">
        <x:v>Ontology completeness</x:v>
      </x:c>
      <x:c r="C5" s="330" t="str">
        <x:v>Yes</x:v>
      </x:c>
      <x:c r="D5" s="330" t="str">
        <x:v>All required canonical entities are defined with attributes, owners and relationships.</x:v>
      </x:c>
      <x:c r="E5" s="330" t="str">
        <x:v>Entity Dictionary + Relationship Model</x:v>
      </x:c>
      <x:c r="F5" s="330" t="str">
        <x:v>Draft Ready</x:v>
      </x:c>
      <x:c r="G5" s="347" t="n">
        <x:f>IF(F5="Met",1,IF(F5="Draft Ready",0.8,IF(F5="In Review",0.6,IF(F5="Owner Input",0.3,IF(F5="Blocked",0,0)))))</x:f>
        <x:v>0.8</x:v>
      </x:c>
      <x:c r="H5" s="330" t="str">
        <x:v>No required entity missing.</x:v>
      </x:c>
      <x:c r="I5" s="331" t="str">
        <x:v>Capability Lead</x:v>
      </x:c>
      <x:c r="K5" s="329" t="str">
        <x:v>Stage 2 readiness</x:v>
      </x:c>
      <x:c r="L5" s="350" t="n">
        <x:f>AVERAGE(G5:G18)</x:f>
        <x:v>0.7571428571428572</x:v>
      </x:c>
    </x:row>
    <x:row r="6">
      <x:c r="A6" s="337" t="str">
        <x:v>S2-G-002</x:v>
      </x:c>
      <x:c r="B6" s="338" t="str">
        <x:v>Capability levels</x:v>
      </x:c>
      <x:c r="C6" s="338" t="str">
        <x:v>Yes</x:v>
      </x:c>
      <x:c r="D6" s="338" t="str">
        <x:v>Capability levels include knowledge, execution, autonomy, complexity, quality, transfer, recovery and mentoring descriptors.</x:v>
      </x:c>
      <x:c r="E6" s="338" t="str">
        <x:v>Capability-Level Rubric</x:v>
      </x:c>
      <x:c r="F6" s="338" t="str">
        <x:v>Draft Ready</x:v>
      </x:c>
      <x:c r="G6" s="348" t="n">
        <x:f>IF(F6="Met",1,IF(F6="Draft Ready",0.8,IF(F6="In Review",0.6,IF(F6="Owner Input",0.3,IF(F6="Blocked",0,0)))))</x:f>
        <x:v>0.8</x:v>
      </x:c>
      <x:c r="H6" s="338" t="str">
        <x:v>No dimension missing.</x:v>
      </x:c>
      <x:c r="I6" s="339" t="str">
        <x:v>Capability Lead</x:v>
      </x:c>
      <x:c r="K6" s="332" t="str">
        <x:v>Mandatory not started/blocked</x:v>
      </x:c>
      <x:c r="L6" s="333" t="n">
        <x:f>COUNTIFS(C5:C18,"Yes",F5:F18,"Not Started")+COUNTIFS(C5:C18,"Yes",F5:F18,"Blocked")</x:f>
        <x:v>1</x:v>
      </x:c>
    </x:row>
    <x:row r="7">
      <x:c r="A7" s="332" t="str">
        <x:v>S2-G-003</x:v>
      </x:c>
      <x:c r="B7" s="114" t="str">
        <x:v>Traceability</x:v>
      </x:c>
      <x:c r="C7" s="114" t="str">
        <x:v>Yes</x:v>
      </x:c>
      <x:c r="D7" s="114" t="str">
        <x:v>Every role requirement traces to capability; every task criterion traces to evidence requirement.</x:v>
      </x:c>
      <x:c r="E7" s="114" t="str">
        <x:v>Traceability matrix / examples</x:v>
      </x:c>
      <x:c r="F7" s="114" t="str">
        <x:v>Draft Ready</x:v>
      </x:c>
      <x:c r="G7" s="135" t="n">
        <x:f>IF(F7="Met",1,IF(F7="Draft Ready",0.8,IF(F7="In Review",0.6,IF(F7="Owner Input",0.3,IF(F7="Blocked",0,0)))))</x:f>
        <x:v>0.8</x:v>
      </x:c>
      <x:c r="H7" s="114" t="str">
        <x:v>No orphan criteria.</x:v>
      </x:c>
      <x:c r="I7" s="333" t="str">
        <x:v>Data/QA</x:v>
      </x:c>
      <x:c r="K7" s="332" t="str">
        <x:v>Met/draft-ready items</x:v>
      </x:c>
      <x:c r="L7" s="333" t="n">
        <x:f>COUNTIF(F5:F18,"Met")+COUNTIF(F5:F18,"Draft Ready")</x:f>
        <x:v>12</x:v>
      </x:c>
    </x:row>
    <x:row r="8">
      <x:c r="A8" s="337" t="str">
        <x:v>S2-G-004</x:v>
      </x:c>
      <x:c r="B8" s="338" t="str">
        <x:v>Role templates</x:v>
      </x:c>
      <x:c r="C8" s="338" t="str">
        <x:v>Yes</x:v>
      </x:c>
      <x:c r="D8" s="338" t="str">
        <x:v>At least four role profiles are drafted.</x:v>
      </x:c>
      <x:c r="E8" s="338" t="str">
        <x:v>Role Templates</x:v>
      </x:c>
      <x:c r="F8" s="338" t="str">
        <x:v>Met</x:v>
      </x:c>
      <x:c r="G8" s="348" t="n">
        <x:f>IF(F8="Met",1,IF(F8="Draft Ready",0.8,IF(F8="In Review",0.6,IF(F8="Owner Input",0.3,IF(F8="Blocked",0,0)))))</x:f>
        <x:v>1</x:v>
      </x:c>
      <x:c r="H8" s="338" t="str">
        <x:v>Fewer than four roles.</x:v>
      </x:c>
      <x:c r="I8" s="339" t="str">
        <x:v>HR/Product</x:v>
      </x:c>
      <x:c r="K8" s="334" t="str">
        <x:v>Formal decision count</x:v>
      </x:c>
      <x:c r="L8" s="336" t="n">
        <x:f>0</x:f>
        <x:v>0</x:v>
      </x:c>
    </x:row>
    <x:row r="9">
      <x:c r="A9" s="332" t="str">
        <x:v>S2-G-005</x:v>
      </x:c>
      <x:c r="B9" s="114" t="str">
        <x:v>Task contracts</x:v>
      </x:c>
      <x:c r="C9" s="114" t="str">
        <x:v>Yes</x:v>
      </x:c>
      <x:c r="D9" s="114" t="str">
        <x:v>At least twelve task contracts are drafted.</x:v>
      </x:c>
      <x:c r="E9" s="114" t="str">
        <x:v>Task Contract Templates</x:v>
      </x:c>
      <x:c r="F9" s="114" t="str">
        <x:v>Met</x:v>
      </x:c>
      <x:c r="G9" s="135" t="n">
        <x:f>IF(F9="Met",1,IF(F9="Draft Ready",0.8,IF(F9="In Review",0.6,IF(F9="Owner Input",0.3,IF(F9="Blocked",0,0)))))</x:f>
        <x:v>1</x:v>
      </x:c>
      <x:c r="H9" s="114" t="str">
        <x:v>Fewer than twelve task examples.</x:v>
      </x:c>
      <x:c r="I9" s="333" t="str">
        <x:v>Product/Domain Experts</x:v>
      </x:c>
    </x:row>
    <x:row r="10">
      <x:c r="A10" s="337" t="str">
        <x:v>S2-G-006</x:v>
      </x:c>
      <x:c r="B10" s="338" t="str">
        <x:v>Evidence scoring</x:v>
      </x:c>
      <x:c r="C10" s="338" t="str">
        <x:v>Yes</x:v>
      </x:c>
      <x:c r="D10" s="338" t="str">
        <x:v>Evidence weighting, confidence, recency, consistency, task difficulty and guidance dependence are defined.</x:v>
      </x:c>
      <x:c r="E10" s="338" t="str">
        <x:v>Evidence Scoring</x:v>
      </x:c>
      <x:c r="F10" s="338" t="str">
        <x:v>Draft Ready</x:v>
      </x:c>
      <x:c r="G10" s="348" t="n">
        <x:f>IF(F10="Met",1,IF(F10="Draft Ready",0.8,IF(F10="In Review",0.6,IF(F10="Owner Input",0.3,IF(F10="Blocked",0,0)))))</x:f>
        <x:v>0.8</x:v>
      </x:c>
      <x:c r="H10" s="338" t="str">
        <x:v>Scoring not explainable.</x:v>
      </x:c>
      <x:c r="I10" s="339" t="str">
        <x:v>AI Evaluation</x:v>
      </x:c>
    </x:row>
    <x:row r="11">
      <x:c r="A11" s="332" t="str">
        <x:v>S2-G-007</x:v>
      </x:c>
      <x:c r="B11" s="114" t="str">
        <x:v>Claim workflow</x:v>
      </x:c>
      <x:c r="C11" s="114" t="str">
        <x:v>Yes</x:v>
      </x:c>
      <x:c r="D11" s="114" t="str">
        <x:v>Claim statuses and claim-evidence discrepancy workflow use neutral language and human review.</x:v>
      </x:c>
      <x:c r="E11" s="114" t="str">
        <x:v>Entity Dictionary / Decisions</x:v>
      </x:c>
      <x:c r="F11" s="114" t="str">
        <x:v>Draft Ready</x:v>
      </x:c>
      <x:c r="G11" s="135" t="n">
        <x:f>IF(F11="Met",1,IF(F11="Draft Ready",0.8,IF(F11="In Review",0.6,IF(F11="Owner Input",0.3,IF(F11="Blocked",0,0)))))</x:f>
        <x:v>0.8</x:v>
      </x:c>
      <x:c r="H11" s="114" t="str">
        <x:v>Discrepancy labelled as dishonesty.</x:v>
      </x:c>
      <x:c r="I11" s="333" t="str">
        <x:v>HR/DPO</x:v>
      </x:c>
    </x:row>
    <x:row r="12">
      <x:c r="A12" s="337" t="str">
        <x:v>S2-G-008</x:v>
      </x:c>
      <x:c r="B12" s="338" t="str">
        <x:v>Fairness controls</x:v>
      </x:c>
      <x:c r="C12" s="338" t="str">
        <x:v>Yes</x:v>
      </x:c>
      <x:c r="D12" s="338" t="str">
        <x:v>Accessibility, alternate methods, blockers and single-task limits are represented.</x:v>
      </x:c>
      <x:c r="E12" s="338" t="str">
        <x:v>Worked Examples / Risks</x:v>
      </x:c>
      <x:c r="F12" s="338" t="str">
        <x:v>Draft Ready</x:v>
      </x:c>
      <x:c r="G12" s="348" t="n">
        <x:f>IF(F12="Met",1,IF(F12="Draft Ready",0.8,IF(F12="In Review",0.6,IF(F12="Owner Input",0.3,IF(F12="Blocked",0,0)))))</x:f>
        <x:v>0.8</x:v>
      </x:c>
      <x:c r="H12" s="338" t="str">
        <x:v>Accessibility or blockers penalised.</x:v>
      </x:c>
      <x:c r="I12" s="339" t="str">
        <x:v>DPO/HR</x:v>
      </x:c>
    </x:row>
    <x:row r="13">
      <x:c r="A13" s="332" t="str">
        <x:v>S2-G-009</x:v>
      </x:c>
      <x:c r="B13" s="114" t="str">
        <x:v>Implementation contracts</x:v>
      </x:c>
      <x:c r="C13" s="114" t="str">
        <x:v>Yes</x:v>
      </x:c>
      <x:c r="D13" s="114" t="str">
        <x:v>JSON Schemas, OpenAPI resources and CloudEvents-style events are specified.</x:v>
      </x:c>
      <x:c r="E13" s="114" t="str">
        <x:v>APIs and Events</x:v>
      </x:c>
      <x:c r="F13" s="114" t="str">
        <x:v>Draft Ready</x:v>
      </x:c>
      <x:c r="G13" s="135" t="n">
        <x:f>IF(F13="Met",1,IF(F13="Draft Ready",0.8,IF(F13="In Review",0.6,IF(F13="Owner Input",0.3,IF(F13="Blocked",0,0)))))</x:f>
        <x:v>0.8</x:v>
      </x:c>
      <x:c r="H13" s="114" t="str">
        <x:v>No implementable API/event contract.</x:v>
      </x:c>
      <x:c r="I13" s="333" t="str">
        <x:v>Backend/Data</x:v>
      </x:c>
    </x:row>
    <x:row r="14">
      <x:c r="A14" s="337" t="str">
        <x:v>S2-G-010</x:v>
      </x:c>
      <x:c r="B14" s="338" t="str">
        <x:v>HumanOS fit</x:v>
      </x:c>
      <x:c r="C14" s="338" t="str">
        <x:v>Yes</x:v>
      </x:c>
      <x:c r="D14" s="338" t="str">
        <x:v>System-of-record boundaries with existing HumanOS services are defined.</x:v>
      </x:c>
      <x:c r="E14" s="338" t="str">
        <x:v>Architecture/Backlog</x:v>
      </x:c>
      <x:c r="F14" s="338" t="str">
        <x:v>In Review</x:v>
      </x:c>
      <x:c r="G14" s="348" t="n">
        <x:f>IF(F14="Met",1,IF(F14="Draft Ready",0.8,IF(F14="In Review",0.6,IF(F14="Owner Input",0.3,IF(F14="Blocked",0,0)))))</x:f>
        <x:v>0.6</x:v>
      </x:c>
      <x:c r="H14" s="338" t="str">
        <x:v>Duplicate foundation service.</x:v>
      </x:c>
      <x:c r="I14" s="339" t="str">
        <x:v>Enterprise Architect</x:v>
      </x:c>
    </x:row>
    <x:row r="15">
      <x:c r="A15" s="332" t="str">
        <x:v>S2-G-011</x:v>
      </x:c>
      <x:c r="B15" s="114" t="str">
        <x:v>Evaluator test cases</x:v>
      </x:c>
      <x:c r="C15" s="114" t="str">
        <x:v>Yes</x:v>
      </x:c>
      <x:c r="D15" s="114" t="str">
        <x:v>Worked examples can become evaluator tests for valid/invalid assessment decisions.</x:v>
      </x:c>
      <x:c r="E15" s="114" t="str">
        <x:v>Worked Examples</x:v>
      </x:c>
      <x:c r="F15" s="114" t="str">
        <x:v>Draft Ready</x:v>
      </x:c>
      <x:c r="G15" s="135" t="n">
        <x:f>IF(F15="Met",1,IF(F15="Draft Ready",0.8,IF(F15="In Review",0.6,IF(F15="Owner Input",0.3,IF(F15="Blocked",0,0)))))</x:f>
        <x:v>0.8</x:v>
      </x:c>
      <x:c r="H15" s="114" t="str">
        <x:v>No negative/fairness examples.</x:v>
      </x:c>
      <x:c r="I15" s="333" t="str">
        <x:v>AI Evaluation</x:v>
      </x:c>
    </x:row>
    <x:row r="16">
      <x:c r="A16" s="337" t="str">
        <x:v>S2-G-012</x:v>
      </x:c>
      <x:c r="B16" s="338" t="str">
        <x:v>Review and audit</x:v>
      </x:c>
      <x:c r="C16" s="338" t="str">
        <x:v>Yes</x:v>
      </x:c>
      <x:c r="D16" s="338" t="str">
        <x:v>Human review, employee correction, appeal, audit and lineage controls are included.</x:v>
      </x:c>
      <x:c r="E16" s="338" t="str">
        <x:v>APIs/Events/Governance</x:v>
      </x:c>
      <x:c r="F16" s="338" t="str">
        <x:v>Draft Ready</x:v>
      </x:c>
      <x:c r="G16" s="348" t="n">
        <x:f>IF(F16="Met",1,IF(F16="Draft Ready",0.8,IF(F16="In Review",0.6,IF(F16="Owner Input",0.3,IF(F16="Blocked",0,0)))))</x:f>
        <x:v>0.8</x:v>
      </x:c>
      <x:c r="H16" s="338" t="str">
        <x:v>High-impact change can bypass review.</x:v>
      </x:c>
      <x:c r="I16" s="339" t="str">
        <x:v>Governance</x:v>
      </x:c>
    </x:row>
    <x:row r="17">
      <x:c r="A17" s="332" t="str">
        <x:v>S2-G-013</x:v>
      </x:c>
      <x:c r="B17" s="114" t="str">
        <x:v>Stage 2 backlog</x:v>
      </x:c>
      <x:c r="C17" s="114" t="str">
        <x:v>Yes</x:v>
      </x:c>
      <x:c r="D17" s="114" t="str">
        <x:v>Implementation backlog has owners, dependencies, effort, deliverables and acceptance criteria.</x:v>
      </x:c>
      <x:c r="E17" s="114" t="str">
        <x:v>Stage 2 Backlog</x:v>
      </x:c>
      <x:c r="F17" s="114" t="str">
        <x:v>Draft Ready</x:v>
      </x:c>
      <x:c r="G17" s="135" t="n">
        <x:f>IF(F17="Met",1,IF(F17="Draft Ready",0.8,IF(F17="In Review",0.6,IF(F17="Owner Input",0.3,IF(F17="Blocked",0,0)))))</x:f>
        <x:v>0.8</x:v>
      </x:c>
      <x:c r="H17" s="114" t="str">
        <x:v>No executable backlog.</x:v>
      </x:c>
      <x:c r="I17" s="333" t="str">
        <x:v>Programme</x:v>
      </x:c>
    </x:row>
    <x:row r="18">
      <x:c r="A18" s="340" t="str">
        <x:v>S2-G-014</x:v>
      </x:c>
      <x:c r="B18" s="341" t="str">
        <x:v>Stage 2 formal decision</x:v>
      </x:c>
      <x:c r="C18" s="341" t="str">
        <x:v>Yes</x:v>
      </x:c>
      <x:c r="D18" s="341" t="str">
        <x:v>Product, HR, DPO, Architecture and Engineering review the ontology and record gate decision.</x:v>
      </x:c>
      <x:c r="E18" s="341" t="str">
        <x:v>Review minutes and decision</x:v>
      </x:c>
      <x:c r="F18" s="341" t="str">
        <x:v>Not Started</x:v>
      </x:c>
      <x:c r="G18" s="349" t="n">
        <x:f>IF(F18="Met",1,IF(F18="Draft Ready",0.8,IF(F18="In Review",0.6,IF(F18="Owner Input",0.3,IF(F18="Blocked",0,0)))))</x:f>
        <x:v>0</x:v>
      </x:c>
      <x:c r="H18" s="341" t="str">
        <x:v>No formal gate decision.</x:v>
      </x:c>
      <x:c r="I18" s="342"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4" hidden="0" customWidth="1"/>
    <x:col min="2" max="2" width="30" hidden="0" customWidth="1"/>
    <x:col min="3" max="3" width="22" hidden="0" customWidth="1"/>
    <x:col min="4" max="4" width="54" hidden="0" customWidth="1"/>
    <x:col min="5" max="5" width="64" hidden="0" customWidth="1"/>
    <x:col min="6" max="6" width="12" hidden="0" customWidth="1"/>
    <x:col min="7" max="7" width="44" hidden="0" customWidth="1"/>
  </x:cols>
  <x:sheetData>
    <x:row r="1" ht="30" customHeight="1">
      <x:c r="A1" s="294" t="str">
        <x:v>Stage 2 — Source Register</x:v>
      </x:c>
      <x:c r="B1" s="294"/>
      <x:c r="C1" s="294"/>
      <x:c r="D1" s="294"/>
      <x:c r="E1" s="294"/>
      <x:c r="F1" s="294"/>
      <x:c r="G1" s="294"/>
    </x:row>
    <x:row r="2" ht="36" customHeight="1">
      <x:c r="A2" s="298" t="str">
        <x:v>Stage 2 research and standards sources for skills, tasks, schemas, APIs, events, learning evidence and AI governance.</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S2-SRC-001</x:v>
      </x:c>
      <x:c r="B5" s="330" t="str">
        <x:v>SFIA Foundation</x:v>
      </x:c>
      <x:c r="C5" s="330" t="str">
        <x:v>Skills framework</x:v>
      </x:c>
      <x:c r="D5" s="330" t="str">
        <x:v>Responsibility levels, professional skill descriptions and role-mapping inspiration.</x:v>
      </x:c>
      <x:c r="E5" s="330" t="str">
        <x:v>https://sfia-online.org/</x:v>
      </x:c>
      <x:c r="F5" s="330" t="str">
        <x:v>High</x:v>
      </x:c>
      <x:c r="G5" s="331" t="str">
        <x:v>Use as mapping/reference, not sole ontology.</x:v>
      </x:c>
    </x:row>
    <x:row r="6">
      <x:c r="A6" s="337" t="str">
        <x:v>S2-SRC-002</x:v>
      </x:c>
      <x:c r="B6" s="338" t="str">
        <x:v>NIST NICE Framework</x:v>
      </x:c>
      <x:c r="C6" s="338" t="str">
        <x:v>Workforce framework</x:v>
      </x:c>
      <x:c r="D6" s="338" t="str">
        <x:v>Task, Knowledge and Skill statements; work roles; competency areas.</x:v>
      </x:c>
      <x:c r="E6" s="338" t="str">
        <x:v>https://www.nist.gov/itl/applied-cybersecurity/nice/nice-framework-resource-center</x:v>
      </x:c>
      <x:c r="F6" s="338" t="str">
        <x:v>High</x:v>
      </x:c>
      <x:c r="G6" s="339" t="str">
        <x:v>Strong cybersecurity/software-role reference.</x:v>
      </x:c>
    </x:row>
    <x:row r="7">
      <x:c r="A7" s="332" t="str">
        <x:v>S2-SRC-003</x:v>
      </x:c>
      <x:c r="B7" s="114" t="str">
        <x:v>NIST NICE Current Versions</x:v>
      </x:c>
      <x:c r="C7" s="114" t="str">
        <x:v>Framework data</x:v>
      </x:c>
      <x:c r="D7" s="114" t="str">
        <x:v>Current NICE components with Work Role, Task, Knowledge and Skill data.</x:v>
      </x:c>
      <x:c r="E7" s="114" t="str">
        <x:v>https://www.nist.gov/itl/applied-cybersecurity/nice/nice-framework-resource-center/nice-framework-current-versions</x:v>
      </x:c>
      <x:c r="F7" s="114" t="str">
        <x:v>High</x:v>
      </x:c>
      <x:c r="G7" s="333" t="str">
        <x:v>NICE Framework Components current version 2.2.0 as of April 28 2025.</x:v>
      </x:c>
    </x:row>
    <x:row r="8">
      <x:c r="A8" s="337" t="str">
        <x:v>S2-SRC-004</x:v>
      </x:c>
      <x:c r="B8" s="338" t="str">
        <x:v>ESCO</x:v>
      </x:c>
      <x:c r="C8" s="338" t="str">
        <x:v>Skills/occupations taxonomy</x:v>
      </x:c>
      <x:c r="D8" s="338" t="str">
        <x:v>European multilingual classification of skills, competences and occupations.</x:v>
      </x:c>
      <x:c r="E8" s="338" t="str">
        <x:v>https://esco.ec.europa.eu/en/about-esco</x:v>
      </x:c>
      <x:c r="F8" s="338" t="str">
        <x:v>High</x:v>
      </x:c>
      <x:c r="G8" s="339" t="str">
        <x:v>Useful for future cross-vertical mappings.</x:v>
      </x:c>
    </x:row>
    <x:row r="9">
      <x:c r="A9" s="332" t="str">
        <x:v>S2-SRC-005</x:v>
      </x:c>
      <x:c r="B9" s="114" t="str">
        <x:v>ESCO Skills &amp; Competences</x:v>
      </x:c>
      <x:c r="C9" s="114" t="str">
        <x:v>Taxonomy data</x:v>
      </x:c>
      <x:c r="D9" s="114" t="str">
        <x:v>Skills pillar and knowledge/skill concepts.</x:v>
      </x:c>
      <x:c r="E9" s="114" t="str">
        <x:v>https://esco.ec.europa.eu/en/classification/skill-main</x:v>
      </x:c>
      <x:c r="F9" s="114" t="str">
        <x:v>Medium</x:v>
      </x:c>
      <x:c r="G9" s="333" t="str">
        <x:v>Use for broader business verticals.</x:v>
      </x:c>
    </x:row>
    <x:row r="10">
      <x:c r="A10" s="337" t="str">
        <x:v>S2-SRC-006</x:v>
      </x:c>
      <x:c r="B10" s="338" t="str">
        <x:v>O*NET OnLine</x:v>
      </x:c>
      <x:c r="C10" s="338" t="str">
        <x:v>Occupational data</x:v>
      </x:c>
      <x:c r="D10" s="338" t="str">
        <x:v>Task, skills, knowledge, abilities and tools for occupation mapping.</x:v>
      </x:c>
      <x:c r="E10" s="338" t="str">
        <x:v>https://www.onetonline.org/</x:v>
      </x:c>
      <x:c r="F10" s="338" t="str">
        <x:v>Medium</x:v>
      </x:c>
      <x:c r="G10" s="339" t="str">
        <x:v>Use as external reference only.</x:v>
      </x:c>
    </x:row>
    <x:row r="11">
      <x:c r="A11" s="332" t="str">
        <x:v>S2-SRC-007</x:v>
      </x:c>
      <x:c r="B11" s="114" t="str">
        <x:v>OpenAPI 3.1.1</x:v>
      </x:c>
      <x:c r="C11" s="114" t="str">
        <x:v>API specification</x:v>
      </x:c>
      <x:c r="D11" s="114" t="str">
        <x:v>Language-agnostic REST API specification.</x:v>
      </x:c>
      <x:c r="E11" s="114" t="str">
        <x:v>https://spec.openapis.org/oas/v3.1.1.html</x:v>
      </x:c>
      <x:c r="F11" s="114" t="str">
        <x:v>High</x:v>
      </x:c>
      <x:c r="G11" s="333" t="str">
        <x:v>Use for Java/Spring API contracts.</x:v>
      </x:c>
    </x:row>
    <x:row r="12">
      <x:c r="A12" s="337" t="str">
        <x:v>S2-SRC-008</x:v>
      </x:c>
      <x:c r="B12" s="338" t="str">
        <x:v>JSON Schema 2020-12</x:v>
      </x:c>
      <x:c r="C12" s="338" t="str">
        <x:v>Schema standard</x:v>
      </x:c>
      <x:c r="D12" s="338" t="str">
        <x:v>Structural validation of JSON documents.</x:v>
      </x:c>
      <x:c r="E12" s="338" t="str">
        <x:v>https://json-schema.org/draft/2020-12/json-schema-validation</x:v>
      </x:c>
      <x:c r="F12" s="338" t="str">
        <x:v>High</x:v>
      </x:c>
      <x:c r="G12" s="339" t="str">
        <x:v>Use for role/task/evidence schemas.</x:v>
      </x:c>
    </x:row>
    <x:row r="13">
      <x:c r="A13" s="332" t="str">
        <x:v>S2-SRC-009</x:v>
      </x:c>
      <x:c r="B13" s="114" t="str">
        <x:v>CloudEvents</x:v>
      </x:c>
      <x:c r="C13" s="114" t="str">
        <x:v>Event standard</x:v>
      </x:c>
      <x:c r="D13" s="114" t="str">
        <x:v>Common event metadata for interoperability.</x:v>
      </x:c>
      <x:c r="E13" s="114" t="str">
        <x:v>https://cloudevents.io/</x:v>
      </x:c>
      <x:c r="F13" s="114" t="str">
        <x:v>High</x:v>
      </x:c>
      <x:c r="G13" s="333" t="str">
        <x:v>Use CloudEvents-style event envelopes.</x:v>
      </x:c>
    </x:row>
    <x:row r="14">
      <x:c r="A14" s="337" t="str">
        <x:v>S2-SRC-010</x:v>
      </x:c>
      <x:c r="B14" s="338" t="str">
        <x:v>xAPI / ADL</x:v>
      </x:c>
      <x:c r="C14" s="338" t="str">
        <x:v>Learning evidence</x:v>
      </x:c>
      <x:c r="D14" s="338" t="str">
        <x:v>Learning experience statements for training and activity evidence patterns.</x:v>
      </x:c>
      <x:c r="E14" s="338" t="str">
        <x:v>https://adlnet.gov/projects/xapi/</x:v>
      </x:c>
      <x:c r="F14" s="338" t="str">
        <x:v>Medium</x:v>
      </x:c>
      <x:c r="G14" s="339" t="str">
        <x:v>Reference for learning intervention evidence.</x:v>
      </x:c>
    </x:row>
    <x:row r="15">
      <x:c r="A15" s="332" t="str">
        <x:v>S2-SRC-011</x:v>
      </x:c>
      <x:c r="B15" s="114" t="str">
        <x:v>NIST AI RMF</x:v>
      </x:c>
      <x:c r="C15" s="114" t="str">
        <x:v>AI governance</x:v>
      </x:c>
      <x:c r="D15" s="114" t="str">
        <x:v>Govern, map, measure and manage AI risk.</x:v>
      </x:c>
      <x:c r="E15" s="114" t="str">
        <x:v>https://www.nist.gov/itl/ai-risk-management-framework</x:v>
      </x:c>
      <x:c r="F15" s="114" t="str">
        <x:v>High</x:v>
      </x:c>
      <x:c r="G15" s="333" t="str">
        <x:v>Use for evaluator and capability scoring governance.</x:v>
      </x:c>
    </x:row>
    <x:row r="16">
      <x:c r="A16" s="340" t="str">
        <x:v>S2-SRC-012</x:v>
      </x:c>
      <x:c r="B16" s="341" t="str">
        <x:v>ICO human review</x:v>
      </x:c>
      <x:c r="C16" s="341" t="str">
        <x:v>Regulatory guidance</x:v>
      </x:c>
      <x:c r="D16" s="341" t="str">
        <x:v>Meaningful human review for AI-supported decisions.</x:v>
      </x:c>
      <x:c r="E16" s="341" t="str">
        <x:v>https://ico.org.uk/for-organisations/advice-and-services/audits/data-protection-audit-framework/toolkits/artificial-intelligence/human-review/</x:v>
      </x:c>
      <x:c r="F16" s="341" t="str">
        <x:v>Critical</x:v>
      </x:c>
      <x:c r="G16" s="342" t="str">
        <x:v>Stage 2 high-impact capability decisions.</x:v>
      </x:c>
    </x:row>
  </x:sheetData>
  <x:mergeCells>
    <x:mergeCell ref="A1:G1"/>
    <x:mergeCell ref="A2:G2"/>
  </x:mergeCells>
  <x:dataValidations count="1">
    <x:dataValidation type="list" sqref="F5:F16">
      <x:formula1>"Critical,High,Medium,Low"</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4" hidden="0" customWidth="1"/>
    <x:col min="2" max="2" width="26" hidden="0" customWidth="1"/>
    <x:col min="3" max="3" width="38" hidden="0" customWidth="1"/>
    <x:col min="4" max="4" width="54" hidden="0" customWidth="1"/>
    <x:col min="5" max="5" width="34" hidden="0" customWidth="1"/>
    <x:col min="6" max="6" width="34" hidden="0" customWidth="1"/>
    <x:col min="7" max="7" width="50" hidden="0" customWidth="1"/>
    <x:col min="8" max="8" width="12" hidden="0" customWidth="1"/>
    <x:col min="9" max="9" width="18" hidden="0" customWidth="1"/>
    <x:col min="10" max="10" width="12" hidden="0" customWidth="1"/>
  </x:cols>
  <x:sheetData>
    <x:row r="1" ht="30" customHeight="1">
      <x:c r="A1" s="294" t="str">
        <x:v>Stage 3 — Device Agent Architecture</x:v>
      </x:c>
      <x:c r="B1" s="294"/>
      <x:c r="C1" s="294"/>
      <x:c r="D1" s="294"/>
      <x:c r="E1" s="294"/>
      <x:c r="F1" s="294"/>
      <x:c r="G1" s="294"/>
      <x:c r="H1" s="294"/>
      <x:c r="I1" s="294"/>
      <x:c r="J1" s="294"/>
    </x:row>
    <x:row r="2" ht="36" customHeight="1">
      <x:c r="A2" s="298" t="str">
        <x:v>Endpoint architecture for a policy-controlled, visible, secure and extensible company-managed device agent.</x:v>
      </x:c>
      <x:c r="B2" s="298"/>
      <x:c r="C2" s="298"/>
      <x:c r="D2" s="298"/>
      <x:c r="E2" s="298"/>
      <x:c r="F2" s="298"/>
      <x:c r="G2" s="298"/>
      <x:c r="H2" s="298"/>
      <x:c r="I2" s="298"/>
      <x:c r="J2" s="298"/>
    </x:row>
    <x:row r="4" ht="30" customHeight="1">
      <x:c r="A4" s="310" t="str">
        <x:v>ID</x:v>
      </x:c>
      <x:c r="B4" s="311" t="str">
        <x:v>Component</x:v>
      </x:c>
      <x:c r="C4" s="311" t="str">
        <x:v>Boundary</x:v>
      </x:c>
      <x:c r="D4" s="311" t="str">
        <x:v>Responsibility</x:v>
      </x:c>
      <x:c r="E4" s="311" t="str">
        <x:v>Runtime / implementation</x:v>
      </x:c>
      <x:c r="F4" s="311" t="str">
        <x:v>Integrates with</x:v>
      </x:c>
      <x:c r="G4" s="311" t="str">
        <x:v>Non-negotiable rule</x:v>
      </x:c>
      <x:c r="H4" s="311" t="str">
        <x:v>Priority</x:v>
      </x:c>
      <x:c r="I4" s="311" t="str">
        <x:v>Status</x:v>
      </x:c>
      <x:c r="J4" s="312" t="str">
        <x:v>Stage</x:v>
      </x:c>
    </x:row>
    <x:row r="5">
      <x:c r="A5" s="329" t="str">
        <x:v>AG-ARC-001</x:v>
      </x:c>
      <x:c r="B5" s="330" t="str">
        <x:v>Endpoint Agent Boundary</x:v>
      </x:c>
      <x:c r="C5" s="330" t="str">
        <x:v>Company-managed endpoint binary, not a cloud microservice.</x:v>
      </x:c>
      <x:c r="D5" s="330" t="str">
        <x:v>Runs locally; enforces policy; collects only authorised events; stores encrypted journal; uploads signed batches.</x:v>
      </x:c>
      <x:c r="E5" s="330" t="str">
        <x:v>Rust shared core + OS-native bridges</x:v>
      </x:c>
      <x:c r="F5" s="330" t="str">
        <x:v>Device Control &amp; Policy Gateway; Telemetry Ingestion</x:v>
      </x:c>
      <x:c r="G5" s="330" t="str">
        <x:v>No covert mode; visible state required.</x:v>
      </x:c>
      <x:c r="H5" s="330" t="str">
        <x:v>Critical</x:v>
      </x:c>
      <x:c r="I5" s="330" t="str">
        <x:v>Draft Complete</x:v>
      </x:c>
      <x:c r="J5" s="331" t="str">
        <x:v>Stage 3</x:v>
      </x:c>
    </x:row>
    <x:row r="6">
      <x:c r="A6" s="337" t="str">
        <x:v>AG-ARC-002</x:v>
      </x:c>
      <x:c r="B6" s="338" t="str">
        <x:v>Shared Core</x:v>
      </x:c>
      <x:c r="C6" s="338" t="str">
        <x:v>Cross-platform core for policy, session state, journal, redaction, batching and health.</x:v>
      </x:c>
      <x:c r="D6" s="338" t="str">
        <x:v>Defines invariant behaviour independent of OS-specific APIs.</x:v>
      </x:c>
      <x:c r="E6" s="338" t="str">
        <x:v>Rust</x:v>
      </x:c>
      <x:c r="F6" s="338" t="str">
        <x:v>Native bridges; browser extension; adapter SDK</x:v>
      </x:c>
      <x:c r="G6" s="338" t="str">
        <x:v>Memory-safe long-running core; no Python/Electron for capture.</x:v>
      </x:c>
      <x:c r="H6" s="338" t="str">
        <x:v>Critical</x:v>
      </x:c>
      <x:c r="I6" s="338" t="str">
        <x:v>Draft Complete</x:v>
      </x:c>
      <x:c r="J6" s="339" t="str">
        <x:v>Stage 3</x:v>
      </x:c>
    </x:row>
    <x:row r="7">
      <x:c r="A7" s="332" t="str">
        <x:v>AG-ARC-003</x:v>
      </x:c>
      <x:c r="B7" s="114" t="str">
        <x:v>Windows Bridge</x:v>
      </x:c>
      <x:c r="C7" s="114" t="str">
        <x:v>Windows-specific event, UI, capture and installation integration.</x:v>
      </x:c>
      <x:c r="D7" s="114" t="str">
        <x:v>Foreground app/window, process/file events, UI Automation, raw input/hook spike, Windows Graphics Capture spike.</x:v>
      </x:c>
      <x:c r="E7" s="114" t="str">
        <x:v>Rust FFI + C#/C++ as required</x:v>
      </x:c>
      <x:c r="F7" s="114" t="str">
        <x:v>Windows APIs</x:v>
      </x:c>
      <x:c r="G7" s="114" t="str">
        <x:v>Must respect Windows signing, permissions and performance constraints.</x:v>
      </x:c>
      <x:c r="H7" s="114" t="str">
        <x:v>Critical</x:v>
      </x:c>
      <x:c r="I7" s="114" t="str">
        <x:v>Draft Complete</x:v>
      </x:c>
      <x:c r="J7" s="333" t="str">
        <x:v>Stage 3</x:v>
      </x:c>
    </x:row>
    <x:row r="8">
      <x:c r="A8" s="337" t="str">
        <x:v>AG-ARC-004</x:v>
      </x:c>
      <x:c r="B8" s="338" t="str">
        <x:v>macOS Bridge</x:v>
      </x:c>
      <x:c r="C8" s="338" t="str">
        <x:v>macOS-specific capture, accessibility, process and packaging integration.</x:v>
      </x:c>
      <x:c r="D8" s="338" t="str">
        <x:v>ScreenCaptureKit spike, Accessibility/AX, Endpoint Security spike, notarized distribution.</x:v>
      </x:c>
      <x:c r="E8" s="338" t="str">
        <x:v>Swift/Objective-C + Rust FFI</x:v>
      </x:c>
      <x:c r="F8" s="338" t="str">
        <x:v>macOS APIs</x:v>
      </x:c>
      <x:c r="G8" s="338" t="str">
        <x:v>Requires user/admin TCC permissions; signed/notarized distribution.</x:v>
      </x:c>
      <x:c r="H8" s="338" t="str">
        <x:v>Critical</x:v>
      </x:c>
      <x:c r="I8" s="338" t="str">
        <x:v>Draft Complete</x:v>
      </x:c>
      <x:c r="J8" s="339" t="str">
        <x:v>Stage 3</x:v>
      </x:c>
    </x:row>
    <x:row r="9">
      <x:c r="A9" s="332" t="str">
        <x:v>AG-ARC-005</x:v>
      </x:c>
      <x:c r="B9" s="114" t="str">
        <x:v>Linux Bridge</x:v>
      </x:c>
      <x:c r="C9" s="114" t="str">
        <x:v>Deferred/capability-scoped support.</x:v>
      </x:c>
      <x:c r="D9" s="114" t="str">
        <x:v>Document X11/Wayland limitations and future portal integration; no initial parity claim.</x:v>
      </x:c>
      <x:c r="E9" s="114" t="str">
        <x:v>Rust + portal/compositor adapters later</x:v>
      </x:c>
      <x:c r="F9" s="114" t="str">
        <x:v>XDG portals, compositor APIs</x:v>
      </x:c>
      <x:c r="G9" s="114" t="str">
        <x:v>Linux excluded from first employee pilot unless specific environment is validated.</x:v>
      </x:c>
      <x:c r="H9" s="114" t="str">
        <x:v>Medium</x:v>
      </x:c>
      <x:c r="I9" s="114" t="str">
        <x:v>Draft Complete</x:v>
      </x:c>
      <x:c r="J9" s="333" t="str">
        <x:v>Later</x:v>
      </x:c>
    </x:row>
    <x:row r="10">
      <x:c r="A10" s="337" t="str">
        <x:v>AG-ARC-006</x:v>
      </x:c>
      <x:c r="B10" s="338" t="str">
        <x:v>Browser Extension</x:v>
      </x:c>
      <x:c r="C10" s="338" t="str">
        <x:v>Browser semantic adapter.</x:v>
      </x:c>
      <x:c r="D10" s="338" t="str">
        <x:v>Active tab/domain/title/navigation, approved URLs, task bookmarks and native messaging to agent.</x:v>
      </x:c>
      <x:c r="E10" s="338" t="str">
        <x:v>TypeScript extension</x:v>
      </x:c>
      <x:c r="F10" s="338" t="str">
        <x:v>Chrome/Edge native messaging</x:v>
      </x:c>
      <x:c r="G10" s="338" t="str">
        <x:v>URL path/query/content only allowlisted.</x:v>
      </x:c>
      <x:c r="H10" s="338" t="str">
        <x:v>High</x:v>
      </x:c>
      <x:c r="I10" s="338" t="str">
        <x:v>Draft Complete</x:v>
      </x:c>
      <x:c r="J10" s="339" t="str">
        <x:v>Stage 6</x:v>
      </x:c>
    </x:row>
    <x:row r="11">
      <x:c r="A11" s="332" t="str">
        <x:v>AG-ARC-007</x:v>
      </x:c>
      <x:c r="B11" s="114" t="str">
        <x:v>Adapter SDK</x:v>
      </x:c>
      <x:c r="C11" s="114" t="str">
        <x:v>Tool/IDE/AI agent integration point.</x:v>
      </x:c>
      <x:c r="D11" s="114" t="str">
        <x:v>Normalises shell, Git, Codex, Claude Code, IDE and simulator events to local core.</x:v>
      </x:c>
      <x:c r="E11" s="114" t="str">
        <x:v>Rust/TypeScript/Python/Java SDKs</x:v>
      </x:c>
      <x:c r="F11" s="114" t="str">
        <x:v>Local agent IPC</x:v>
      </x:c>
      <x:c r="G11" s="114" t="str">
        <x:v>Adapter cannot bypass policy or redaction.</x:v>
      </x:c>
      <x:c r="H11" s="114" t="str">
        <x:v>High</x:v>
      </x:c>
      <x:c r="I11" s="114" t="str">
        <x:v>Draft Complete</x:v>
      </x:c>
      <x:c r="J11" s="333" t="str">
        <x:v>Stage 6</x:v>
      </x:c>
    </x:row>
    <x:row r="12">
      <x:c r="A12" s="337" t="str">
        <x:v>AG-ARC-008</x:v>
      </x:c>
      <x:c r="B12" s="338" t="str">
        <x:v>Policy Engine</x:v>
      </x:c>
      <x:c r="C12" s="338" t="str">
        <x:v>Signed policy validation and local decisions.</x:v>
      </x:c>
      <x:c r="D12" s="338" t="str">
        <x:v>Checks tenant, person, device, task, hours, app/domain/display, capture capability and retention rules.</x:v>
      </x:c>
      <x:c r="E12" s="338" t="str">
        <x:v>Rust policy evaluator; optional OPA bundle spike</x:v>
      </x:c>
      <x:c r="F12" s="338" t="str">
        <x:v>HumanOS Policy Service</x:v>
      </x:c>
      <x:c r="G12" s="338" t="str">
        <x:v>Fail safe when invalid/expired/unavailable.</x:v>
      </x:c>
      <x:c r="H12" s="338" t="str">
        <x:v>Critical</x:v>
      </x:c>
      <x:c r="I12" s="338" t="str">
        <x:v>Draft Complete</x:v>
      </x:c>
      <x:c r="J12" s="339" t="str">
        <x:v>Stage 3</x:v>
      </x:c>
    </x:row>
    <x:row r="13">
      <x:c r="A13" s="332" t="str">
        <x:v>AG-ARC-009</x:v>
      </x:c>
      <x:c r="B13" s="114" t="str">
        <x:v>Session Controller</x:v>
      </x:c>
      <x:c r="C13" s="114" t="str">
        <x:v>User-visible work-day and task-session state machine.</x:v>
      </x:c>
      <x:c r="D13" s="114" t="str">
        <x:v>Start/pause/switch/stop tasks; private/excluded mode; offline/disabled/revoked states.</x:v>
      </x:c>
      <x:c r="E13" s="114" t="str">
        <x:v>Rust core + native UI</x:v>
      </x:c>
      <x:c r="F13" s="114" t="str">
        <x:v>HumanOS task/session APIs</x:v>
      </x:c>
      <x:c r="G13" s="114" t="str">
        <x:v>No capture outside approved state.</x:v>
      </x:c>
      <x:c r="H13" s="114" t="str">
        <x:v>Critical</x:v>
      </x:c>
      <x:c r="I13" s="114" t="str">
        <x:v>Draft Complete</x:v>
      </x:c>
      <x:c r="J13" s="333" t="str">
        <x:v>Stage 3</x:v>
      </x:c>
    </x:row>
    <x:row r="14">
      <x:c r="A14" s="337" t="str">
        <x:v>AG-ARC-010</x:v>
      </x:c>
      <x:c r="B14" s="338" t="str">
        <x:v>Secure Field / Secret Guard</x:v>
      </x:c>
      <x:c r="C14" s="338" t="str">
        <x:v>Suppress sensitive inputs/screens/content before persistence.</x:v>
      </x:c>
      <x:c r="D14" s="338" t="str">
        <x:v>OS secure-control detection; secret scanning; exclusion rules; suppression audit event.</x:v>
      </x:c>
      <x:c r="E14" s="338" t="str">
        <x:v>Rust + native APIs + local rules/models</x:v>
      </x:c>
      <x:c r="F14" s="338" t="str">
        <x:v>Policy bundle</x:v>
      </x:c>
      <x:c r="G14" s="338" t="str">
        <x:v>Zero known password/secret retention is pilot-blocking.</x:v>
      </x:c>
      <x:c r="H14" s="338" t="str">
        <x:v>Critical</x:v>
      </x:c>
      <x:c r="I14" s="338" t="str">
        <x:v>Draft Complete</x:v>
      </x:c>
      <x:c r="J14" s="339" t="str">
        <x:v>Stage 3/5</x:v>
      </x:c>
    </x:row>
    <x:row r="15">
      <x:c r="A15" s="332" t="str">
        <x:v>AG-ARC-011</x:v>
      </x:c>
      <x:c r="B15" s="114" t="str">
        <x:v>Local Journal</x:v>
      </x:c>
      <x:c r="C15" s="114" t="str">
        <x:v>Encrypted append-only event and object cache.</x:v>
      </x:c>
      <x:c r="D15" s="114" t="str">
        <x:v>WAL, sequence, checksums, content addressing, quota, crash recovery, compaction and upload status.</x:v>
      </x:c>
      <x:c r="E15" s="114" t="str">
        <x:v>Rust + SQLite/SQLCipher-style storage</x:v>
      </x:c>
      <x:c r="F15" s="114" t="str">
        <x:v>OS secure storage/KMS</x:v>
      </x:c>
      <x:c r="G15" s="114" t="str">
        <x:v>Bounded local storage and per-session keys.</x:v>
      </x:c>
      <x:c r="H15" s="114" t="str">
        <x:v>Critical</x:v>
      </x:c>
      <x:c r="I15" s="114" t="str">
        <x:v>Draft Complete</x:v>
      </x:c>
      <x:c r="J15" s="333" t="str">
        <x:v>Stage 3</x:v>
      </x:c>
    </x:row>
    <x:row r="16">
      <x:c r="A16" s="337" t="str">
        <x:v>AG-ARC-012</x:v>
      </x:c>
      <x:c r="B16" s="338" t="str">
        <x:v>Batcher/Uploader</x:v>
      </x:c>
      <x:c r="C16" s="338" t="str">
        <x:v>Reliable, signed, idempotent upload.</x:v>
      </x:c>
      <x:c r="D16" s="338" t="str">
        <x:v>Batch events; compress; sign; retry/backoff; ack; de-duplicate; telemetry-gap reporting.</x:v>
      </x:c>
      <x:c r="E16" s="338" t="str">
        <x:v>Rust</x:v>
      </x:c>
      <x:c r="F16" s="338" t="str">
        <x:v>Telemetry Ingestion</x:v>
      </x:c>
      <x:c r="G16" s="338" t="str">
        <x:v>No raw candidate evidence upload before policy/redaction.</x:v>
      </x:c>
      <x:c r="H16" s="338" t="str">
        <x:v>Critical</x:v>
      </x:c>
      <x:c r="I16" s="338" t="str">
        <x:v>Draft Complete</x:v>
      </x:c>
      <x:c r="J16" s="339" t="str">
        <x:v>Stage 3</x:v>
      </x:c>
    </x:row>
    <x:row r="17">
      <x:c r="A17" s="332" t="str">
        <x:v>AG-ARC-013</x:v>
      </x:c>
      <x:c r="B17" s="114" t="str">
        <x:v>Health and Diagnostics</x:v>
      </x:c>
      <x:c r="C17" s="114" t="str">
        <x:v>Agent health without leaking evidence.</x:v>
      </x:c>
      <x:c r="D17" s="114" t="str">
        <x:v>Version, policy status, queue depth, upload latency, sensor availability, permission state and errors.</x:v>
      </x:c>
      <x:c r="E17" s="114" t="str">
        <x:v>Rust + Java API consumer</x:v>
      </x:c>
      <x:c r="F17" s="114" t="str">
        <x:v>Device Control Gateway</x:v>
      </x:c>
      <x:c r="G17" s="114" t="str">
        <x:v>No raw evidence in diagnostics.</x:v>
      </x:c>
      <x:c r="H17" s="114" t="str">
        <x:v>High</x:v>
      </x:c>
      <x:c r="I17" s="114" t="str">
        <x:v>Draft Complete</x:v>
      </x:c>
      <x:c r="J17" s="333" t="str">
        <x:v>Stage 3</x:v>
      </x:c>
    </x:row>
    <x:row r="18">
      <x:c r="A18" s="337" t="str">
        <x:v>AG-ARC-014</x:v>
      </x:c>
      <x:c r="B18" s="338" t="str">
        <x:v>Update/Rollback</x:v>
      </x:c>
      <x:c r="C18" s="338" t="str">
        <x:v>Secure endpoint software lifecycle.</x:v>
      </x:c>
      <x:c r="D18" s="338" t="str">
        <x:v>Signed updates, canaries, rollback, SBOM, dependency scan, signing-key incident path.</x:v>
      </x:c>
      <x:c r="E18" s="338" t="str">
        <x:v>Platform CI/CD + native installer</x:v>
      </x:c>
      <x:c r="F18" s="338" t="str">
        <x:v>MDM/update service</x:v>
      </x:c>
      <x:c r="G18" s="338" t="str">
        <x:v>Update path cannot bypass policy or compromise devices.</x:v>
      </x:c>
      <x:c r="H18" s="338" t="str">
        <x:v>Critical</x:v>
      </x:c>
      <x:c r="I18" s="338" t="str">
        <x:v>Draft Complete</x:v>
      </x:c>
      <x:c r="J18" s="339" t="str">
        <x:v>Stage 3</x:v>
      </x:c>
    </x:row>
    <x:row r="19">
      <x:c r="A19" s="334" t="str">
        <x:v>AG-ARC-015</x:v>
      </x:c>
      <x:c r="B19" s="335" t="str">
        <x:v>Employee UI</x:v>
      </x:c>
      <x:c r="C19" s="335" t="str">
        <x:v>Tray/menu/task panel and support access.</x:v>
      </x:c>
      <x:c r="D19" s="335" t="str">
        <x:v>Visible monitoring state, active task, sensors, last upload, pause, report issue, correction links.</x:v>
      </x:c>
      <x:c r="E19" s="335" t="str">
        <x:v>Tauri/native UI; web shell possible, not capture owner</x:v>
      </x:c>
      <x:c r="F19" s="335" t="str">
        <x:v>HumanOS frontend APIs</x:v>
      </x:c>
      <x:c r="G19" s="335" t="str">
        <x:v>Employee transparency and accessibility are core functions.</x:v>
      </x:c>
      <x:c r="H19" s="335" t="str">
        <x:v>Critical</x:v>
      </x:c>
      <x:c r="I19" s="335" t="str">
        <x:v>Draft Complete</x:v>
      </x:c>
      <x:c r="J19" s="336" t="str">
        <x:v>Stage 3</x:v>
      </x:c>
    </x:row>
  </x:sheetData>
  <x:mergeCells>
    <x:mergeCell ref="A1:J1"/>
    <x:mergeCell ref="A2:J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48" hidden="0" customWidth="1"/>
    <x:col min="5" max="5" width="48" hidden="0" customWidth="1"/>
    <x:col min="6" max="6" width="12" hidden="0" customWidth="1"/>
    <x:col min="7" max="7" width="50" hidden="0" customWidth="1"/>
    <x:col min="8" max="8" width="24" hidden="0" customWidth="1"/>
    <x:col min="9" max="9" width="36" hidden="0" customWidth="1"/>
  </x:cols>
  <x:sheetData>
    <x:row r="1" ht="30" customHeight="1">
      <x:c r="A1" s="294" t="str">
        <x:v>Stage 3 — OS Capability and Permission Matrix</x:v>
      </x:c>
      <x:c r="B1" s="294"/>
      <x:c r="C1" s="294"/>
      <x:c r="D1" s="294"/>
      <x:c r="E1" s="294"/>
      <x:c r="F1" s="294"/>
      <x:c r="G1" s="294"/>
      <x:c r="H1" s="294"/>
      <x:c r="I1" s="294"/>
    </x:row>
    <x:row r="2" ht="36" customHeight="1">
      <x:c r="A2" s="298" t="str">
        <x:v>Platform capability matrix for Windows, macOS and Linux. Linux is intentionally deferred until a specific managed desktop environment is validated.</x:v>
      </x:c>
      <x:c r="B2" s="298"/>
      <x:c r="C2" s="298"/>
      <x:c r="D2" s="298"/>
      <x:c r="E2" s="298"/>
      <x:c r="F2" s="298"/>
      <x:c r="G2" s="298"/>
      <x:c r="H2" s="298"/>
      <x:c r="I2" s="298"/>
    </x:row>
    <x:row r="4" ht="30" customHeight="1">
      <x:c r="A4" s="310" t="str">
        <x:v>ID</x:v>
      </x:c>
      <x:c r="B4" s="311" t="str">
        <x:v>Capability</x:v>
      </x:c>
      <x:c r="C4" s="311" t="str">
        <x:v>Windows position</x:v>
      </x:c>
      <x:c r="D4" s="311" t="str">
        <x:v>macOS position</x:v>
      </x:c>
      <x:c r="E4" s="311" t="str">
        <x:v>Linux position</x:v>
      </x:c>
      <x:c r="F4" s="311" t="str">
        <x:v>Priority</x:v>
      </x:c>
      <x:c r="G4" s="311" t="str">
        <x:v>Privacy/security note</x:v>
      </x:c>
      <x:c r="H4" s="311" t="str">
        <x:v>Stage position</x:v>
      </x:c>
      <x:c r="I4" s="312" t="str">
        <x:v>Source / basis</x:v>
      </x:c>
    </x:row>
    <x:row r="5">
      <x:c r="A5" s="329" t="str">
        <x:v>OS-001</x:v>
      </x:c>
      <x:c r="B5" s="330" t="str">
        <x:v>Foreground application/window</x:v>
      </x:c>
      <x:c r="C5" s="330" t="str">
        <x:v>Supported via Win32/UIA/ETW APIs; exact implementation spike required.</x:v>
      </x:c>
      <x:c r="D5" s="330" t="str">
        <x:v>Supported via NSWorkspace/AX/window APIs; permission handling needed.</x:v>
      </x:c>
      <x:c r="E5" s="330" t="str">
        <x:v>X11 feasible; Wayland compositor-specific/limited.</x:v>
      </x:c>
      <x:c r="F5" s="330" t="str">
        <x:v>High</x:v>
      </x:c>
      <x:c r="G5" s="330" t="str">
        <x:v>No content capture by itself; window titles may be sensitive.</x:v>
      </x:c>
      <x:c r="H5" s="330" t="str">
        <x:v>Stage 3 spike</x:v>
      </x:c>
      <x:c r="I5" s="331" t="str">
        <x:v>Microsoft UIA; Apple Accessibility; XDG limitations</x:v>
      </x:c>
    </x:row>
    <x:row r="6">
      <x:c r="A6" s="337" t="str">
        <x:v>OS-002</x:v>
      </x:c>
      <x:c r="B6" s="338" t="str">
        <x:v>Application process events</x:v>
      </x:c>
      <x:c r="C6" s="338" t="str">
        <x:v>ETW/WMI/process APIs; robust options available.</x:v>
      </x:c>
      <x:c r="D6" s="338" t="str">
        <x:v>Endpoint Security can notify process execution; alternatives exist.</x:v>
      </x:c>
      <x:c r="E6" s="338" t="str">
        <x:v>procfs/auditd/fanotify/eBPF depending distribution.</x:v>
      </x:c>
      <x:c r="F6" s="338" t="str">
        <x:v>High</x:v>
      </x:c>
      <x:c r="G6" s="338" t="str">
        <x:v>Do not collect command line secrets without redaction.</x:v>
      </x:c>
      <x:c r="H6" s="338" t="str">
        <x:v>Stage 3 spike</x:v>
      </x:c>
      <x:c r="I6" s="339" t="str">
        <x:v>ETW/Endpoint Security</x:v>
      </x:c>
    </x:row>
    <x:row r="7">
      <x:c r="A7" s="332" t="str">
        <x:v>OS-003</x:v>
      </x:c>
      <x:c r="B7" s="114" t="str">
        <x:v>UI accessibility tree</x:v>
      </x:c>
      <x:c r="C7" s="114" t="str">
        <x:v>UI Automation exposes AutomationElement tree and control patterns.</x:v>
      </x:c>
      <x:c r="D7" s="114" t="str">
        <x:v>AXUIElement/Accessibility APIs expose accessible hierarchy with TCC permission.</x:v>
      </x:c>
      <x:c r="E7" s="114" t="str">
        <x:v>AT-SPI on desktop; inconsistent app support.</x:v>
      </x:c>
      <x:c r="F7" s="114" t="str">
        <x:v>High</x:v>
      </x:c>
      <x:c r="G7" s="114" t="str">
        <x:v>Accessibility data can contain text; policy required.</x:v>
      </x:c>
      <x:c r="H7" s="114" t="str">
        <x:v>Stage 5 capability after Stage 3 permissions</x:v>
      </x:c>
      <x:c r="I7" s="333" t="str">
        <x:v>Microsoft UIA; Apple AX</x:v>
      </x:c>
    </x:row>
    <x:row r="8">
      <x:c r="A8" s="337" t="str">
        <x:v>OS-004</x:v>
      </x:c>
      <x:c r="B8" s="338" t="str">
        <x:v>Screen capture / screenshots</x:v>
      </x:c>
      <x:c r="C8" s="338" t="str">
        <x:v>Windows Graphics Capture and other APIs; permissions/selection patterns required.</x:v>
      </x:c>
      <x:c r="D8" s="338" t="str">
        <x:v>ScreenCaptureKit supports high-performance display/window/app capture with user permissions.</x:v>
      </x:c>
      <x:c r="E8" s="338" t="str">
        <x:v>Portal-based capture on Wayland; environment-dependent.</x:v>
      </x:c>
      <x:c r="F8" s="338" t="str">
        <x:v>High</x:v>
      </x:c>
      <x:c r="G8" s="338" t="str">
        <x:v>No continuous capture in Stage 3; event-driven later; secure exclusions first.</x:v>
      </x:c>
      <x:c r="H8" s="338" t="str">
        <x:v>Stage 5 spike planned</x:v>
      </x:c>
      <x:c r="I8" s="339" t="str">
        <x:v>Windows Graphics Capture; ScreenCaptureKit; XDG ScreenCast</x:v>
      </x:c>
    </x:row>
    <x:row r="9">
      <x:c r="A9" s="332" t="str">
        <x:v>OS-005</x:v>
      </x:c>
      <x:c r="B9" s="114" t="str">
        <x:v>Mouse/keyboard input metadata</x:v>
      </x:c>
      <x:c r="C9" s="114" t="str">
        <x:v>Raw Input preferred in many cases; low-level hooks have strict timeout risks.</x:v>
      </x:c>
      <x:c r="D9" s="114" t="str">
        <x:v>CGEvent taps/Input Monitoring require permissions and careful design.</x:v>
      </x:c>
      <x:c r="E9" s="114" t="str">
        <x:v>Wayland restricts global input capture; X11 less restricted but risky.</x:v>
      </x:c>
      <x:c r="F9" s="114" t="str">
        <x:v>High</x:v>
      </x:c>
      <x:c r="G9" s="114" t="str">
        <x:v>Stage 3 only architecture/spike; no unrestricted keylogging.</x:v>
      </x:c>
      <x:c r="H9" s="114" t="str">
        <x:v>Stage 5 spike planned</x:v>
      </x:c>
      <x:c r="I9" s="333" t="str">
        <x:v>Microsoft Raw Input/LowLevelMouseProc</x:v>
      </x:c>
    </x:row>
    <x:row r="10">
      <x:c r="A10" s="337" t="str">
        <x:v>OS-006</x:v>
      </x:c>
      <x:c r="B10" s="338" t="str">
        <x:v>Secure-field detection</x:v>
      </x:c>
      <x:c r="C10" s="338" t="str">
        <x:v>Can combine UIA control patterns, password properties, browser field hints and redaction rules; not perfect.</x:v>
      </x:c>
      <x:c r="D10" s="338" t="str">
        <x:v>AX secure text fields and TCC-aware app/field detection; not perfect.</x:v>
      </x:c>
      <x:c r="E10" s="338" t="str">
        <x:v>Toolkit-dependent; difficult under Wayland.</x:v>
      </x:c>
      <x:c r="F10" s="338" t="str">
        <x:v>Critical</x:v>
      </x:c>
      <x:c r="G10" s="338" t="str">
        <x:v>Zero known password retention is blocking; fall back to suppressing uncertain controls.</x:v>
      </x:c>
      <x:c r="H10" s="338" t="str">
        <x:v>Stage 3 design + Stage 5 test</x:v>
      </x:c>
      <x:c r="I10" s="339" t="str">
        <x:v>Privacy engineering</x:v>
      </x:c>
    </x:row>
    <x:row r="11">
      <x:c r="A11" s="332" t="str">
        <x:v>OS-007</x:v>
      </x:c>
      <x:c r="B11" s="114" t="str">
        <x:v>File-system events</x:v>
      </x:c>
      <x:c r="C11" s="114" t="str">
        <x:v>ReadDirectoryChangesW/USN/ETW options; project-root allowlist.</x:v>
      </x:c>
      <x:c r="D11" s="114" t="str">
        <x:v>FSEvents/Endpoint Security; project-root allowlist.</x:v>
      </x:c>
      <x:c r="E11" s="114" t="str">
        <x:v>inotify/fanotify; project-root allowlist.</x:v>
      </x:c>
      <x:c r="F11" s="114" t="str">
        <x:v>High</x:v>
      </x:c>
      <x:c r="G11" s="114" t="str">
        <x:v>Approved roots only; no personal-folder scanning.</x:v>
      </x:c>
      <x:c r="H11" s="114" t="str">
        <x:v>Stage 3/5</x:v>
      </x:c>
      <x:c r="I11" s="333" t="str">
        <x:v>OS APIs</x:v>
      </x:c>
    </x:row>
    <x:row r="12">
      <x:c r="A12" s="337" t="str">
        <x:v>OS-008</x:v>
      </x:c>
      <x:c r="B12" s="338" t="str">
        <x:v>Clipboard metadata</x:v>
      </x:c>
      <x:c r="C12" s="338" t="str">
        <x:v>Windows clipboard listeners; content off by default.</x:v>
      </x:c>
      <x:c r="D12" s="338" t="str">
        <x:v>Pasteboard APIs; content off by default.</x:v>
      </x:c>
      <x:c r="E12" s="338" t="str">
        <x:v>Toolkit/desktop-dependent.</x:v>
      </x:c>
      <x:c r="F12" s="338" t="str">
        <x:v>Medium</x:v>
      </x:c>
      <x:c r="G12" s="338" t="str">
        <x:v>Event metadata only unless separately approved.</x:v>
      </x:c>
      <x:c r="H12" s="338" t="str">
        <x:v>Stage 5 deferred</x:v>
      </x:c>
      <x:c r="I12" s="339" t="str">
        <x:v>Purpose matrix</x:v>
      </x:c>
    </x:row>
    <x:row r="13">
      <x:c r="A13" s="332" t="str">
        <x:v>OS-009</x:v>
      </x:c>
      <x:c r="B13" s="114" t="str">
        <x:v>Browser semantic events</x:v>
      </x:c>
      <x:c r="C13" s="114" t="str">
        <x:v>Chrome/Edge extension + native messaging.</x:v>
      </x:c>
      <x:c r="D13" s="114" t="str">
        <x:v>Chrome/Edge/Safari differences; Safari deferred unless required.</x:v>
      </x:c>
      <x:c r="E13" s="114" t="str">
        <x:v>Chrome/Firefox extension; native host where allowed.</x:v>
      </x:c>
      <x:c r="F13" s="114" t="str">
        <x:v>High</x:v>
      </x:c>
      <x:c r="G13" s="114" t="str">
        <x:v>URL path/query only allowlisted.</x:v>
      </x:c>
      <x:c r="H13" s="114" t="str">
        <x:v>Stage 6</x:v>
      </x:c>
      <x:c r="I13" s="333" t="str">
        <x:v>Chrome docs</x:v>
      </x:c>
    </x:row>
    <x:row r="14">
      <x:c r="A14" s="337" t="str">
        <x:v>OS-010</x:v>
      </x:c>
      <x:c r="B14" s="338" t="str">
        <x:v>Terminal command semantics</x:v>
      </x:c>
      <x:c r="C14" s="338" t="str">
        <x:v>Shell integration/PTY adapters; process tree correlation.</x:v>
      </x:c>
      <x:c r="D14" s="338" t="str">
        <x:v>Shell integration/PTY adapters.</x:v>
      </x:c>
      <x:c r="E14" s="338" t="str">
        <x:v>Shell integration/PTY adapters.</x:v>
      </x:c>
      <x:c r="F14" s="338" t="str">
        <x:v>High</x:v>
      </x:c>
      <x:c r="G14" s="338" t="str">
        <x:v>Redact env vars/secrets; prefer supported shells.</x:v>
      </x:c>
      <x:c r="H14" s="338" t="str">
        <x:v>Stage 6</x:v>
      </x:c>
      <x:c r="I14" s="339" t="str">
        <x:v>Shell/PTY design</x:v>
      </x:c>
    </x:row>
    <x:row r="15">
      <x:c r="A15" s="332" t="str">
        <x:v>OS-011</x:v>
      </x:c>
      <x:c r="B15" s="114" t="str">
        <x:v>Code signing / app trust</x:v>
      </x:c>
      <x:c r="C15" s="114" t="str">
        <x:v>MSIX/EXE signing; trusted certificate/timestamping; enterprise deployment/MDM.</x:v>
      </x:c>
      <x:c r="D15" s="114" t="str">
        <x:v>Developer ID signing + notarization; hardened runtime; TCC user/admin grants.</x:v>
      </x:c>
      <x:c r="E15" s="114" t="str">
        <x:v>Package signing depends distro; enterprise repo signing.</x:v>
      </x:c>
      <x:c r="F15" s="114" t="str">
        <x:v>Critical</x:v>
      </x:c>
      <x:c r="G15" s="114" t="str">
        <x:v>Unsigned agents cannot be pilot endpoints.</x:v>
      </x:c>
      <x:c r="H15" s="114" t="str">
        <x:v>Stage 3</x:v>
      </x:c>
      <x:c r="I15" s="333" t="str">
        <x:v>Microsoft signing; Apple Developer ID</x:v>
      </x:c>
    </x:row>
    <x:row r="16">
      <x:c r="A16" s="337" t="str">
        <x:v>OS-012</x:v>
      </x:c>
      <x:c r="B16" s="338" t="str">
        <x:v>Endpoint management</x:v>
      </x:c>
      <x:c r="C16" s="338" t="str">
        <x:v>Intune/MDM/GPO/SCCM depending Nessovo IT stack.</x:v>
      </x:c>
      <x:c r="D16" s="338" t="str">
        <x:v>MDM profiles for permissions where available plus user/admin consent.</x:v>
      </x:c>
      <x:c r="E16" s="338" t="str">
        <x:v>Fleet tools vary.</x:v>
      </x:c>
      <x:c r="F16" s="338" t="str">
        <x:v>High</x:v>
      </x:c>
      <x:c r="G16" s="338" t="str">
        <x:v>Manual-only install unacceptable for pilot scale.</x:v>
      </x:c>
      <x:c r="H16" s="338" t="str">
        <x:v>Stage 3</x:v>
      </x:c>
      <x:c r="I16" s="339" t="str">
        <x:v>IT inventory required</x:v>
      </x:c>
    </x:row>
    <x:row r="17">
      <x:c r="A17" s="332" t="str">
        <x:v>OS-013</x:v>
      </x:c>
      <x:c r="B17" s="114" t="str">
        <x:v>Local secure key storage</x:v>
      </x:c>
      <x:c r="C17" s="114" t="str">
        <x:v>Windows DPAPI/TPM/credential store options.</x:v>
      </x:c>
      <x:c r="D17" s="114" t="str">
        <x:v>Keychain/Secure Enclave where suitable.</x:v>
      </x:c>
      <x:c r="E17" s="114" t="str">
        <x:v>Kernel keyring/TPM/secret-service options.</x:v>
      </x:c>
      <x:c r="F17" s="114" t="str">
        <x:v>Critical</x:v>
      </x:c>
      <x:c r="G17" s="114" t="str">
        <x:v>Keys must not be hardcoded or stored in config.</x:v>
      </x:c>
      <x:c r="H17" s="114" t="str">
        <x:v>Stage 3</x:v>
      </x:c>
      <x:c r="I17" s="333" t="str">
        <x:v>Security requirement</x:v>
      </x:c>
    </x:row>
    <x:row r="18">
      <x:c r="A18" s="337" t="str">
        <x:v>OS-014</x:v>
      </x:c>
      <x:c r="B18" s="338" t="str">
        <x:v>Audio capture</x:v>
      </x:c>
      <x:c r="C18" s="338" t="str">
        <x:v>Technically possible but excluded from v1.</x:v>
      </x:c>
      <x:c r="D18" s="338" t="str">
        <x:v>ScreenCaptureKit can include audio, but excluded from v1.</x:v>
      </x:c>
      <x:c r="E18" s="338" t="str">
        <x:v>Possible via portals/Pulse/PipeWire but excluded.</x:v>
      </x:c>
      <x:c r="F18" s="338" t="str">
        <x:v>Low</x:v>
      </x:c>
      <x:c r="G18" s="338" t="str">
        <x:v>Disabled; future DPIA required.</x:v>
      </x:c>
      <x:c r="H18" s="338" t="str">
        <x:v>Excluded v1</x:v>
      </x:c>
      <x:c r="I18" s="339" t="str">
        <x:v>Stage 0 policy</x:v>
      </x:c>
    </x:row>
    <x:row r="19">
      <x:c r="A19" s="334" t="str">
        <x:v>OS-015</x:v>
      </x:c>
      <x:c r="B19" s="335" t="str">
        <x:v>Linux parity</x:v>
      </x:c>
      <x:c r="C19" s="335" t="str">
        <x:v>N/A</x:v>
      </x:c>
      <x:c r="D19" s="335" t="str">
        <x:v>N/A</x:v>
      </x:c>
      <x:c r="E19" s="335" t="str">
        <x:v>Not initially supported due to Wayland/compositor variability.</x:v>
      </x:c>
      <x:c r="F19" s="335" t="str">
        <x:v>Medium</x:v>
      </x:c>
      <x:c r="G19" s="335" t="str">
        <x:v>Do not overpromise Linux capture parity.</x:v>
      </x:c>
      <x:c r="H19" s="335" t="str">
        <x:v>Later</x:v>
      </x:c>
      <x:c r="I19" s="336" t="str">
        <x:v>XDG portals</x:v>
      </x:c>
    </x:row>
  </x:sheetData>
  <x:mergeCells>
    <x:mergeCell ref="A1:I1"/>
    <x:mergeCell ref="A2:I2"/>
  </x:mergeCells>
  <x:dataValidations count="2">
    <x:dataValidation type="list" sqref="F5:F19">
      <x:formula1>"Critical,High,Medium,Low"</x:formula1>
    </x:dataValidation>
    <x:dataValidation type="list" sqref="H5:H19">
      <x:formula1>"Stage 3,Stage 3 spike,Stage 3 design + Stage 5 test,Stage 5 spike planned,Stage 3/5,Stage 5 deferred,Stage 6,Excluded v1,Later"</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26" hidden="0" customWidth="1"/>
    <x:col min="3" max="3" width="48" hidden="0" customWidth="1"/>
    <x:col min="4" max="4" width="36" hidden="0" customWidth="1"/>
    <x:col min="5" max="5" width="36" hidden="0" customWidth="1"/>
    <x:col min="6" max="6" width="52" hidden="0" customWidth="1"/>
    <x:col min="7" max="7" width="24" hidden="0" customWidth="1"/>
    <x:col min="8" max="8" width="12" hidden="0" customWidth="1"/>
    <x:col min="9" max="9" width="18" hidden="0" customWidth="1"/>
  </x:cols>
  <x:sheetData>
    <x:row r="1" ht="30" customHeight="1">
      <x:c r="A1" s="294" t="str">
        <x:v>Stage 3 — Agent Module Specification</x:v>
      </x:c>
      <x:c r="B1" s="294"/>
      <x:c r="C1" s="294"/>
      <x:c r="D1" s="294"/>
      <x:c r="E1" s="294"/>
      <x:c r="F1" s="294"/>
      <x:c r="G1" s="294"/>
      <x:c r="H1" s="294"/>
      <x:c r="I1" s="294"/>
    </x:row>
    <x:row r="2" ht="36" customHeight="1">
      <x:c r="A2" s="298" t="str">
        <x:v>Device-agent modules, contracts and control responsibilities.</x:v>
      </x:c>
      <x:c r="B2" s="298"/>
      <x:c r="C2" s="298"/>
      <x:c r="D2" s="298"/>
      <x:c r="E2" s="298"/>
      <x:c r="F2" s="298"/>
      <x:c r="G2" s="298"/>
      <x:c r="H2" s="298"/>
      <x:c r="I2" s="298"/>
    </x:row>
    <x:row r="4" ht="30" customHeight="1">
      <x:c r="A4" s="310" t="str">
        <x:v>ID</x:v>
      </x:c>
      <x:c r="B4" s="311" t="str">
        <x:v>Module</x:v>
      </x:c>
      <x:c r="C4" s="311" t="str">
        <x:v>Responsibility</x:v>
      </x:c>
      <x:c r="D4" s="311" t="str">
        <x:v>Inputs</x:v>
      </x:c>
      <x:c r="E4" s="311" t="str">
        <x:v>Outputs</x:v>
      </x:c>
      <x:c r="F4" s="311" t="str">
        <x:v>Security/privacy requirements</x:v>
      </x:c>
      <x:c r="G4" s="311" t="str">
        <x:v>Owner</x:v>
      </x:c>
      <x:c r="H4" s="311" t="str">
        <x:v>Priority</x:v>
      </x:c>
      <x:c r="I4" s="312" t="str">
        <x:v>Status</x:v>
      </x:c>
    </x:row>
    <x:row r="5">
      <x:c r="A5" s="329" t="str">
        <x:v>MOD-001</x:v>
      </x:c>
      <x:c r="B5" s="330" t="str">
        <x:v>Bootstrap/Installer</x:v>
      </x:c>
      <x:c r="C5" s="330" t="str">
        <x:v>Install, register service/agent, verify signature, create first-run state and launch employee UI.</x:v>
      </x:c>
      <x:c r="D5" s="330" t="str">
        <x:v>Device package, deployment policy</x:v>
      </x:c>
      <x:c r="E5" s="330" t="str">
        <x:v>Installed agent with unregistered state</x:v>
      </x:c>
      <x:c r="F5" s="330" t="str">
        <x:v>Windows/macOS signed installer; uninstall logs</x:v>
      </x:c>
      <x:c r="G5" s="330" t="str">
        <x:v>CISO/IT</x:v>
      </x:c>
      <x:c r="H5" s="330" t="str">
        <x:v>Critical</x:v>
      </x:c>
      <x:c r="I5" s="331" t="str">
        <x:v>Draft Complete</x:v>
      </x:c>
    </x:row>
    <x:row r="6">
      <x:c r="A6" s="337" t="str">
        <x:v>MOD-002</x:v>
      </x:c>
      <x:c r="B6" s="338" t="str">
        <x:v>Device Identity</x:v>
      </x:c>
      <x:c r="C6" s="338" t="str">
        <x:v>Create or receive device identity, certificate, device ID and tenant binding.</x:v>
      </x:c>
      <x:c r="D6" s="338" t="str">
        <x:v>Registration token/MDM identity</x:v>
      </x:c>
      <x:c r="E6" s="338" t="str">
        <x:v>Device credential and registration event</x:v>
      </x:c>
      <x:c r="F6" s="338" t="str">
        <x:v>mTLS certificate and revocation path</x:v>
      </x:c>
      <x:c r="G6" s="338" t="str">
        <x:v>Platform Security</x:v>
      </x:c>
      <x:c r="H6" s="338" t="str">
        <x:v>Critical</x:v>
      </x:c>
      <x:c r="I6" s="339" t="str">
        <x:v>Draft Complete</x:v>
      </x:c>
    </x:row>
    <x:row r="7">
      <x:c r="A7" s="332" t="str">
        <x:v>MOD-003</x:v>
      </x:c>
      <x:c r="B7" s="114" t="str">
        <x:v>Policy Cache/Evaluator</x:v>
      </x:c>
      <x:c r="C7" s="114" t="str">
        <x:v>Validate signed policy bundles and make local allow/deny/redact decisions.</x:v>
      </x:c>
      <x:c r="D7" s="114" t="str">
        <x:v>Policy bundle, session state, app/domain/task context</x:v>
      </x:c>
      <x:c r="E7" s="114" t="str">
        <x:v>Decision and audit event</x:v>
      </x:c>
      <x:c r="F7" s="114" t="str">
        <x:v>Fail safe on invalid/expired policy</x:v>
      </x:c>
      <x:c r="G7" s="114" t="str">
        <x:v>Security/DPO</x:v>
      </x:c>
      <x:c r="H7" s="114" t="str">
        <x:v>Critical</x:v>
      </x:c>
      <x:c r="I7" s="333" t="str">
        <x:v>Draft Complete</x:v>
      </x:c>
    </x:row>
    <x:row r="8">
      <x:c r="A8" s="337" t="str">
        <x:v>MOD-004</x:v>
      </x:c>
      <x:c r="B8" s="338" t="str">
        <x:v>Session Controller</x:v>
      </x:c>
      <x:c r="C8" s="338" t="str">
        <x:v>Manage work-day/task-session lifecycle and visible capture state.</x:v>
      </x:c>
      <x:c r="D8" s="338" t="str">
        <x:v>User action, HumanOS task list, policy</x:v>
      </x:c>
      <x:c r="E8" s="338" t="str">
        <x:v>Session state events</x:v>
      </x:c>
      <x:c r="F8" s="338" t="str">
        <x:v>No capture outside approved state</x:v>
      </x:c>
      <x:c r="G8" s="338" t="str">
        <x:v>Product/Desktop</x:v>
      </x:c>
      <x:c r="H8" s="338" t="str">
        <x:v>Critical</x:v>
      </x:c>
      <x:c r="I8" s="339" t="str">
        <x:v>Draft Complete</x:v>
      </x:c>
    </x:row>
    <x:row r="9">
      <x:c r="A9" s="332" t="str">
        <x:v>MOD-005</x:v>
      </x:c>
      <x:c r="B9" s="114" t="str">
        <x:v>Employee UI</x:v>
      </x:c>
      <x:c r="C9" s="114" t="str">
        <x:v>Tray/menu/desktop UI for status, tasks, pause/private state, support and issue reporting.</x:v>
      </x:c>
      <x:c r="D9" s="114" t="str">
        <x:v>Session state, policy, health</x:v>
      </x:c>
      <x:c r="E9" s="114" t="str">
        <x:v>Visible status and controls</x:v>
      </x:c>
      <x:c r="F9" s="114" t="str">
        <x:v>Accessible UI and no dark patterns</x:v>
      </x:c>
      <x:c r="G9" s="114" t="str">
        <x:v>Product/UX</x:v>
      </x:c>
      <x:c r="H9" s="114" t="str">
        <x:v>Critical</x:v>
      </x:c>
      <x:c r="I9" s="333" t="str">
        <x:v>Draft Complete</x:v>
      </x:c>
    </x:row>
    <x:row r="10">
      <x:c r="A10" s="337" t="str">
        <x:v>MOD-006</x:v>
      </x:c>
      <x:c r="B10" s="338" t="str">
        <x:v>Adapter Host</x:v>
      </x:c>
      <x:c r="C10" s="338" t="str">
        <x:v>Load and supervise allowed adapters for browser, shell, IDE and AI tools.</x:v>
      </x:c>
      <x:c r="D10" s="338" t="str">
        <x:v>Adapter manifests and policy</x:v>
      </x:c>
      <x:c r="E10" s="338" t="str">
        <x:v>Normalised adapter events</x:v>
      </x:c>
      <x:c r="F10" s="338" t="str">
        <x:v>Adapter cannot bypass policy or write raw evidence directly</x:v>
      </x:c>
      <x:c r="G10" s="338" t="str">
        <x:v>Integrations</x:v>
      </x:c>
      <x:c r="H10" s="338" t="str">
        <x:v>High</x:v>
      </x:c>
      <x:c r="I10" s="339" t="str">
        <x:v>Draft Complete</x:v>
      </x:c>
    </x:row>
    <x:row r="11">
      <x:c r="A11" s="332" t="str">
        <x:v>MOD-007</x:v>
      </x:c>
      <x:c r="B11" s="114" t="str">
        <x:v>Event Normaliser</x:v>
      </x:c>
      <x:c r="C11" s="114" t="str">
        <x:v>Convert OS/adapter signals into local schema with sequence and context.</x:v>
      </x:c>
      <x:c r="D11" s="114" t="str">
        <x:v>Raw approved signals</x:v>
      </x:c>
      <x:c r="E11" s="114" t="str">
        <x:v>Normalised local events</x:v>
      </x:c>
      <x:c r="F11" s="114" t="str">
        <x:v>No sensitive data retained before policy/redaction</x:v>
      </x:c>
      <x:c r="G11" s="114" t="str">
        <x:v>Data/Desktop</x:v>
      </x:c>
      <x:c r="H11" s="114" t="str">
        <x:v>Critical</x:v>
      </x:c>
      <x:c r="I11" s="333" t="str">
        <x:v>Draft Complete</x:v>
      </x:c>
    </x:row>
    <x:row r="12">
      <x:c r="A12" s="337" t="str">
        <x:v>MOD-008</x:v>
      </x:c>
      <x:c r="B12" s="338" t="str">
        <x:v>Secure Field Guard</x:v>
      </x:c>
      <x:c r="C12" s="338" t="str">
        <x:v>Suppress secure controls, secrets, excluded apps/domains/displays and uncertain sensitive areas.</x:v>
      </x:c>
      <x:c r="D12" s="338" t="str">
        <x:v>Candidate evidence, UI metadata, policy</x:v>
      </x:c>
      <x:c r="E12" s="338" t="str">
        <x:v>Redacted/suppressed evidence and suppression event</x:v>
      </x:c>
      <x:c r="F12" s="338" t="str">
        <x:v>Default to suppress on uncertainty for sensitive fields</x:v>
      </x:c>
      <x:c r="G12" s="338" t="str">
        <x:v>CISO/DPO</x:v>
      </x:c>
      <x:c r="H12" s="338" t="str">
        <x:v>Critical</x:v>
      </x:c>
      <x:c r="I12" s="339" t="str">
        <x:v>Draft Complete</x:v>
      </x:c>
    </x:row>
    <x:row r="13">
      <x:c r="A13" s="332" t="str">
        <x:v>MOD-009</x:v>
      </x:c>
      <x:c r="B13" s="114" t="str">
        <x:v>Local Journal</x:v>
      </x:c>
      <x:c r="C13" s="114" t="str">
        <x:v>Persist events and content refs in encrypted append-only local store.</x:v>
      </x:c>
      <x:c r="D13" s="114" t="str">
        <x:v>Normalised/redacted events</x:v>
      </x:c>
      <x:c r="E13" s="114" t="str">
        <x:v>Durable queued events</x:v>
      </x:c>
      <x:c r="F13" s="114" t="str">
        <x:v>WAL/checksum/quota/crash recovery</x:v>
      </x:c>
      <x:c r="G13" s="114" t="str">
        <x:v>Desktop/Data</x:v>
      </x:c>
      <x:c r="H13" s="114" t="str">
        <x:v>Critical</x:v>
      </x:c>
      <x:c r="I13" s="333" t="str">
        <x:v>Draft Complete</x:v>
      </x:c>
    </x:row>
    <x:row r="14">
      <x:c r="A14" s="337" t="str">
        <x:v>MOD-010</x:v>
      </x:c>
      <x:c r="B14" s="338" t="str">
        <x:v>Evidence Object Cache</x:v>
      </x:c>
      <x:c r="C14" s="338" t="str">
        <x:v>Store local content-addressed screenshots/snippets pending upload or deletion.</x:v>
      </x:c>
      <x:c r="D14" s="338" t="str">
        <x:v>Redacted content objects</x:v>
      </x:c>
      <x:c r="E14" s="338" t="str">
        <x:v>Object reference + hash</x:v>
      </x:c>
      <x:c r="F14" s="338" t="str">
        <x:v>Short TTL and encryption; raw candidate suppression</x:v>
      </x:c>
      <x:c r="G14" s="338" t="str">
        <x:v>Desktop/Data</x:v>
      </x:c>
      <x:c r="H14" s="338" t="str">
        <x:v>High</x:v>
      </x:c>
      <x:c r="I14" s="339" t="str">
        <x:v>Draft Complete</x:v>
      </x:c>
    </x:row>
    <x:row r="15">
      <x:c r="A15" s="332" t="str">
        <x:v>MOD-011</x:v>
      </x:c>
      <x:c r="B15" s="114" t="str">
        <x:v>Batcher/Uploader</x:v>
      </x:c>
      <x:c r="C15" s="114" t="str">
        <x:v>Batch, sign, compress, transmit, retry and confirm event upload.</x:v>
      </x:c>
      <x:c r="D15" s="114" t="str">
        <x:v>Journaled events and objects</x:v>
      </x:c>
      <x:c r="E15" s="114" t="str">
        <x:v>Acknowledged batches or retry state</x:v>
      </x:c>
      <x:c r="F15" s="114" t="str">
        <x:v>Idempotency, backoff and no raw upload before redaction</x:v>
      </x:c>
      <x:c r="G15" s="114" t="str">
        <x:v>Platform/Data</x:v>
      </x:c>
      <x:c r="H15" s="114" t="str">
        <x:v>Critical</x:v>
      </x:c>
      <x:c r="I15" s="333" t="str">
        <x:v>Draft Complete</x:v>
      </x:c>
    </x:row>
    <x:row r="16">
      <x:c r="A16" s="337" t="str">
        <x:v>MOD-012</x:v>
      </x:c>
      <x:c r="B16" s="338" t="str">
        <x:v>Health/Diagnostics</x:v>
      </x:c>
      <x:c r="C16" s="338" t="str">
        <x:v>Report non-sensitive health, permission, policy and upload state.</x:v>
      </x:c>
      <x:c r="D16" s="338" t="str">
        <x:v>Runtime status</x:v>
      </x:c>
      <x:c r="E16" s="338" t="str">
        <x:v>Health events/dashboard</x:v>
      </x:c>
      <x:c r="F16" s="338" t="str">
        <x:v>No raw evidence in logs/telemetry</x:v>
      </x:c>
      <x:c r="G16" s="338" t="str">
        <x:v>SRE/Desktop</x:v>
      </x:c>
      <x:c r="H16" s="338" t="str">
        <x:v>High</x:v>
      </x:c>
      <x:c r="I16" s="339" t="str">
        <x:v>Draft Complete</x:v>
      </x:c>
    </x:row>
    <x:row r="17">
      <x:c r="A17" s="332" t="str">
        <x:v>MOD-013</x:v>
      </x:c>
      <x:c r="B17" s="114" t="str">
        <x:v>Update/Rollback</x:v>
      </x:c>
      <x:c r="C17" s="114" t="str">
        <x:v>Apply signed updates, staged rollouts, rollback and compatibility checks.</x:v>
      </x:c>
      <x:c r="D17" s="114" t="str">
        <x:v>Update manifest and artefact</x:v>
      </x:c>
      <x:c r="E17" s="114" t="str">
        <x:v>Updated/rolled-back agent</x:v>
      </x:c>
      <x:c r="F17" s="114" t="str">
        <x:v>Signature, SBOM and provenance validation</x:v>
      </x:c>
      <x:c r="G17" s="114" t="str">
        <x:v>DevSecOps/Desktop</x:v>
      </x:c>
      <x:c r="H17" s="114" t="str">
        <x:v>Critical</x:v>
      </x:c>
      <x:c r="I17" s="333" t="str">
        <x:v>Draft Complete</x:v>
      </x:c>
    </x:row>
    <x:row r="18">
      <x:c r="A18" s="337" t="str">
        <x:v>MOD-014</x:v>
      </x:c>
      <x:c r="B18" s="338" t="str">
        <x:v>Audit Emitter</x:v>
      </x:c>
      <x:c r="C18" s="338" t="str">
        <x:v>Emit local audit for policy decisions, state changes, suppression, upload and admin actions.</x:v>
      </x:c>
      <x:c r="D18" s="338" t="str">
        <x:v>Internal module actions</x:v>
      </x:c>
      <x:c r="E18" s="338" t="str">
        <x:v>Audit events</x:v>
      </x:c>
      <x:c r="F18" s="338" t="str">
        <x:v>Immutable, signed, privacy-minimised audit</x:v>
      </x:c>
      <x:c r="G18" s="338" t="str">
        <x:v>Audit/Security</x:v>
      </x:c>
      <x:c r="H18" s="338" t="str">
        <x:v>Critical</x:v>
      </x:c>
      <x:c r="I18" s="339" t="str">
        <x:v>Draft Complete</x:v>
      </x:c>
    </x:row>
    <x:row r="19">
      <x:c r="A19" s="334" t="str">
        <x:v>MOD-015</x:v>
      </x:c>
      <x:c r="B19" s="335" t="str">
        <x:v>Telemetry Gap Reporter</x:v>
      </x:c>
      <x:c r="C19" s="335" t="str">
        <x:v>Report missed permissions, sensor failure, offline gaps, clock drift and dropped events.</x:v>
      </x:c>
      <x:c r="D19" s="335" t="str">
        <x:v>Health/session/journal state</x:v>
      </x:c>
      <x:c r="E19" s="335" t="str">
        <x:v>Gap events</x:v>
      </x:c>
      <x:c r="F19" s="335" t="str">
        <x:v>Prevents silent false timelines</x:v>
      </x:c>
      <x:c r="G19" s="335" t="str">
        <x:v>Data/SRE</x:v>
      </x:c>
      <x:c r="H19" s="335" t="str">
        <x:v>High</x:v>
      </x:c>
      <x:c r="I19" s="336" t="str">
        <x:v>Draft Complete</x:v>
      </x:c>
    </x:row>
  </x:sheetData>
  <x:mergeCells>
    <x:mergeCell ref="A1:I1"/>
    <x:mergeCell ref="A2:I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2" hidden="0" customWidth="1"/>
    <x:col min="2" max="2" width="24" hidden="0" customWidth="1"/>
    <x:col min="3" max="3" width="46" hidden="0" customWidth="1"/>
    <x:col min="4" max="4" width="36" hidden="0" customWidth="1"/>
    <x:col min="5" max="5" width="36" hidden="0" customWidth="1"/>
    <x:col min="6" max="6" width="48" hidden="0" customWidth="1"/>
    <x:col min="7" max="7" width="34" hidden="0" customWidth="1"/>
    <x:col min="8" max="8" width="42" hidden="0" customWidth="1"/>
    <x:col min="9" max="9" width="18" hidden="0" customWidth="1"/>
  </x:cols>
  <x:sheetData>
    <x:row r="1" ht="30" customHeight="1">
      <x:c r="A1" s="294" t="str">
        <x:v>Stage 3 — Work-Day and Task-Session State Machine</x:v>
      </x:c>
      <x:c r="B1" s="294"/>
      <x:c r="C1" s="294"/>
      <x:c r="D1" s="294"/>
      <x:c r="E1" s="294"/>
      <x:c r="F1" s="294"/>
      <x:c r="G1" s="294"/>
      <x:c r="H1" s="294"/>
      <x:c r="I1" s="294"/>
    </x:row>
    <x:row r="2" ht="36" customHeight="1">
      <x:c r="A2" s="298" t="str">
        <x:v>Mandatory endpoint state model. Future capture modules cannot operate outside approved state and policy.</x:v>
      </x:c>
      <x:c r="B2" s="298"/>
      <x:c r="C2" s="298"/>
      <x:c r="D2" s="298"/>
      <x:c r="E2" s="298"/>
      <x:c r="F2" s="298"/>
      <x:c r="G2" s="298"/>
      <x:c r="H2" s="298"/>
      <x:c r="I2" s="298"/>
    </x:row>
    <x:row r="4" ht="30" customHeight="1">
      <x:c r="A4" s="310" t="str">
        <x:v>ID</x:v>
      </x:c>
      <x:c r="B4" s="311" t="str">
        <x:v>State</x:v>
      </x:c>
      <x:c r="C4" s="311" t="str">
        <x:v>Definition</x:v>
      </x:c>
      <x:c r="D4" s="311" t="str">
        <x:v>Entry trigger</x:v>
      </x:c>
      <x:c r="E4" s="311" t="str">
        <x:v>Exit transition</x:v>
      </x:c>
      <x:c r="F4" s="311" t="str">
        <x:v>Capture permission</x:v>
      </x:c>
      <x:c r="G4" s="311" t="str">
        <x:v>Allowed actions</x:v>
      </x:c>
      <x:c r="H4" s="311" t="str">
        <x:v>Guardrail</x:v>
      </x:c>
      <x:c r="I4" s="312" t="str">
        <x:v>Status</x:v>
      </x:c>
    </x:row>
    <x:row r="5">
      <x:c r="A5" s="329" t="str">
        <x:v>STATE-001</x:v>
      </x:c>
      <x:c r="B5" s="330" t="str">
        <x:v>Unregistered</x:v>
      </x:c>
      <x:c r="C5" s="330" t="str">
        <x:v>Installed but not linked to tenant/device identity.</x:v>
      </x:c>
      <x:c r="D5" s="330" t="str">
        <x:v>Install complete</x:v>
      </x:c>
      <x:c r="E5" s="330" t="str">
        <x:v>Registration workflow</x:v>
      </x:c>
      <x:c r="F5" s="330" t="str">
        <x:v>No capture; only registration UI/health.</x:v>
      </x:c>
      <x:c r="G5" s="330" t="str">
        <x:v>Register, uninstall</x:v>
      </x:c>
      <x:c r="H5" s="330" t="str">
        <x:v>Registration token required.</x:v>
      </x:c>
      <x:c r="I5" s="331" t="str">
        <x:v>Draft Complete</x:v>
      </x:c>
    </x:row>
    <x:row r="6">
      <x:c r="A6" s="337" t="str">
        <x:v>STATE-002</x:v>
      </x:c>
      <x:c r="B6" s="338" t="str">
        <x:v>Registered</x:v>
      </x:c>
      <x:c r="C6" s="338" t="str">
        <x:v>Device identity exists; policy not yet valid or session not started.</x:v>
      </x:c>
      <x:c r="D6" s="338" t="str">
        <x:v>Registration success</x:v>
      </x:c>
      <x:c r="E6" s="338" t="str">
        <x:v>Policy sync</x:v>
      </x:c>
      <x:c r="F6" s="338" t="str">
        <x:v>No sensitive capture; health only.</x:v>
      </x:c>
      <x:c r="G6" s="338" t="str">
        <x:v>Sync policy, sign out, uninstall</x:v>
      </x:c>
      <x:c r="H6" s="338" t="str">
        <x:v>mTLS certificate active.</x:v>
      </x:c>
      <x:c r="I6" s="339" t="str">
        <x:v>Draft Complete</x:v>
      </x:c>
    </x:row>
    <x:row r="7">
      <x:c r="A7" s="332" t="str">
        <x:v>STATE-003</x:v>
      </x:c>
      <x:c r="B7" s="114" t="str">
        <x:v>Policy unavailable</x:v>
      </x:c>
      <x:c r="C7" s="114" t="str">
        <x:v>Cannot fetch or verify current policy.</x:v>
      </x:c>
      <x:c r="D7" s="114" t="str">
        <x:v>Network failure or invalid policy</x:v>
      </x:c>
      <x:c r="E7" s="114" t="str">
        <x:v>Ready after valid policy</x:v>
      </x:c>
      <x:c r="F7" s="114" t="str">
        <x:v>Fail safe; no sensitive capture.</x:v>
      </x:c>
      <x:c r="G7" s="114" t="str">
        <x:v>Retry, show status, contact support</x:v>
      </x:c>
      <x:c r="H7" s="114" t="str">
        <x:v>No policy = no capture.</x:v>
      </x:c>
      <x:c r="I7" s="333" t="str">
        <x:v>Draft Complete</x:v>
      </x:c>
    </x:row>
    <x:row r="8">
      <x:c r="A8" s="337" t="str">
        <x:v>STATE-004</x:v>
      </x:c>
      <x:c r="B8" s="338" t="str">
        <x:v>Ready</x:v>
      </x:c>
      <x:c r="C8" s="338" t="str">
        <x:v>Valid policy, user authenticated, no active work session.</x:v>
      </x:c>
      <x:c r="D8" s="338" t="str">
        <x:v>Policy valid and user context resolved</x:v>
      </x:c>
      <x:c r="E8" s="338" t="str">
        <x:v>Work session active</x:v>
      </x:c>
      <x:c r="F8" s="338" t="str">
        <x:v>No active task capture; allowed task list fetch.</x:v>
      </x:c>
      <x:c r="G8" s="338" t="str">
        <x:v>Start work, sync tasks, pause</x:v>
      </x:c>
      <x:c r="H8" s="338" t="str">
        <x:v>Visible idle/ready state.</x:v>
      </x:c>
      <x:c r="I8" s="339" t="str">
        <x:v>Draft Complete</x:v>
      </x:c>
    </x:row>
    <x:row r="9">
      <x:c r="A9" s="332" t="str">
        <x:v>STATE-005</x:v>
      </x:c>
      <x:c r="B9" s="114" t="str">
        <x:v>Work session active</x:v>
      </x:c>
      <x:c r="C9" s="114" t="str">
        <x:v>Working day/session active but no task selected or task is general.</x:v>
      </x:c>
      <x:c r="D9" s="114" t="str">
        <x:v>User starts work session</x:v>
      </x:c>
      <x:c r="E9" s="114" t="str">
        <x:v>Task active / paused / stopped</x:v>
      </x:c>
      <x:c r="F9" s="114" t="str">
        <x:v>Only policy-approved low-intrusion context unless task starts.</x:v>
      </x:c>
      <x:c r="G9" s="114" t="str">
        <x:v>Select task, pause, stop</x:v>
      </x:c>
      <x:c r="H9" s="114" t="str">
        <x:v>Capture level depends policy.</x:v>
      </x:c>
      <x:c r="I9" s="333" t="str">
        <x:v>Draft Complete</x:v>
      </x:c>
    </x:row>
    <x:row r="10">
      <x:c r="A10" s="337" t="str">
        <x:v>STATE-006</x:v>
      </x:c>
      <x:c r="B10" s="338" t="str">
        <x:v>Task active</x:v>
      </x:c>
      <x:c r="C10" s="338" t="str">
        <x:v>Approved task selected and active.</x:v>
      </x:c>
      <x:c r="D10" s="338" t="str">
        <x:v>Task selected and task contract available</x:v>
      </x:c>
      <x:c r="E10" s="338" t="str">
        <x:v>Paused / private / offline / stopped</x:v>
      </x:c>
      <x:c r="F10" s="338" t="str">
        <x:v>Task-scoped capture according to policy.</x:v>
      </x:c>
      <x:c r="G10" s="338" t="str">
        <x:v>Switch task, pause, report issue, stop</x:v>
      </x:c>
      <x:c r="H10" s="338" t="str">
        <x:v>Visible task and sensors.</x:v>
      </x:c>
      <x:c r="I10" s="339" t="str">
        <x:v>Draft Complete</x:v>
      </x:c>
    </x:row>
    <x:row r="11">
      <x:c r="A11" s="332" t="str">
        <x:v>STATE-007</x:v>
      </x:c>
      <x:c r="B11" s="114" t="str">
        <x:v>Paused</x:v>
      </x:c>
      <x:c r="C11" s="114" t="str">
        <x:v>User paused capture under policy.</x:v>
      </x:c>
      <x:c r="D11" s="114" t="str">
        <x:v>User pause or scheduled break</x:v>
      </x:c>
      <x:c r="E11" s="114" t="str">
        <x:v>Task active / ready</x:v>
      </x:c>
      <x:c r="F11" s="114" t="str">
        <x:v>No new capture except pause audit/health.</x:v>
      </x:c>
      <x:c r="G11" s="114" t="str">
        <x:v>Resume, stop</x:v>
      </x:c>
      <x:c r="H11" s="114" t="str">
        <x:v>Pause reason optional and policy-defined.</x:v>
      </x:c>
      <x:c r="I11" s="333" t="str">
        <x:v>Draft Complete</x:v>
      </x:c>
    </x:row>
    <x:row r="12">
      <x:c r="A12" s="337" t="str">
        <x:v>STATE-008</x:v>
      </x:c>
      <x:c r="B12" s="338" t="str">
        <x:v>Private/excluded</x:v>
      </x:c>
      <x:c r="C12" s="338" t="str">
        <x:v>Current app/domain/display/control is excluded.</x:v>
      </x:c>
      <x:c r="D12" s="338" t="str">
        <x:v>Policy match or user private mode</x:v>
      </x:c>
      <x:c r="E12" s="338" t="str">
        <x:v>Previous active state after exclusion ends</x:v>
      </x:c>
      <x:c r="F12" s="338" t="str">
        <x:v>Suppress sensitive content; emit excluded-state metadata only if permitted.</x:v>
      </x:c>
      <x:c r="G12" s="338" t="str">
        <x:v>Return, report issue</x:v>
      </x:c>
      <x:c r="H12" s="338" t="str">
        <x:v>Must avoid raw content storage.</x:v>
      </x:c>
      <x:c r="I12" s="339" t="str">
        <x:v>Draft Complete</x:v>
      </x:c>
    </x:row>
    <x:row r="13">
      <x:c r="A13" s="332" t="str">
        <x:v>STATE-009</x:v>
      </x:c>
      <x:c r="B13" s="114" t="str">
        <x:v>Offline</x:v>
      </x:c>
      <x:c r="C13" s="114" t="str">
        <x:v>Network unavailable; local policy still valid.</x:v>
      </x:c>
      <x:c r="D13" s="114" t="str">
        <x:v>Upload failure/network loss</x:v>
      </x:c>
      <x:c r="E13" s="114" t="str">
        <x:v>Previous state after reconnect</x:v>
      </x:c>
      <x:c r="F13" s="114" t="str">
        <x:v>Capture continues only within valid cached policy; journal queue bounded.</x:v>
      </x:c>
      <x:c r="G13" s="114" t="str">
        <x:v>Continue, pause, stop</x:v>
      </x:c>
      <x:c r="H13" s="114" t="str">
        <x:v>Offline expiry enforced.</x:v>
      </x:c>
      <x:c r="I13" s="333" t="str">
        <x:v>Draft Complete</x:v>
      </x:c>
    </x:row>
    <x:row r="14">
      <x:c r="A14" s="337" t="str">
        <x:v>STATE-010</x:v>
      </x:c>
      <x:c r="B14" s="338" t="str">
        <x:v>Policy expired</x:v>
      </x:c>
      <x:c r="C14" s="338" t="str">
        <x:v>Cached policy validity ended.</x:v>
      </x:c>
      <x:c r="D14" s="338" t="str">
        <x:v>Policy TTL reached</x:v>
      </x:c>
      <x:c r="E14" s="338" t="str">
        <x:v>Policy unavailable / ready after refresh</x:v>
      </x:c>
      <x:c r="F14" s="338" t="str">
        <x:v>Fail safe; stop sensitive capture.</x:v>
      </x:c>
      <x:c r="G14" s="338" t="str">
        <x:v>Retry sync, contact support</x:v>
      </x:c>
      <x:c r="H14" s="338" t="str">
        <x:v>No sensitive capture.</x:v>
      </x:c>
      <x:c r="I14" s="339" t="str">
        <x:v>Draft Complete</x:v>
      </x:c>
    </x:row>
    <x:row r="15">
      <x:c r="A15" s="332" t="str">
        <x:v>STATE-011</x:v>
      </x:c>
      <x:c r="B15" s="114" t="str">
        <x:v>Update required</x:v>
      </x:c>
      <x:c r="C15" s="114" t="str">
        <x:v>Agent version below minimum or security update required.</x:v>
      </x:c>
      <x:c r="D15" s="114" t="str">
        <x:v>Policy or control plane requires update</x:v>
      </x:c>
      <x:c r="E15" s="114" t="str">
        <x:v>Ready after update</x:v>
      </x:c>
      <x:c r="F15" s="114" t="str">
        <x:v>Capture may be restricted or disabled.</x:v>
      </x:c>
      <x:c r="G15" s="114" t="str">
        <x:v>Update, rollback support</x:v>
      </x:c>
      <x:c r="H15" s="114" t="str">
        <x:v>Signed update only.</x:v>
      </x:c>
      <x:c r="I15" s="333" t="str">
        <x:v>Draft Complete</x:v>
      </x:c>
    </x:row>
    <x:row r="16">
      <x:c r="A16" s="337" t="str">
        <x:v>STATE-012</x:v>
      </x:c>
      <x:c r="B16" s="338" t="str">
        <x:v>Disabled</x:v>
      </x:c>
      <x:c r="C16" s="338" t="str">
        <x:v>Capture disabled by policy/admin/emergency stop.</x:v>
      </x:c>
      <x:c r="D16" s="338" t="str">
        <x:v>Admin/DPO/CISO stop command</x:v>
      </x:c>
      <x:c r="E16" s="338" t="str">
        <x:v>Ready after re-enable</x:v>
      </x:c>
      <x:c r="F16" s="338" t="str">
        <x:v>No capture; health/audit only.</x:v>
      </x:c>
      <x:c r="G16" s="338" t="str">
        <x:v>Re-enable if authorised</x:v>
      </x:c>
      <x:c r="H16" s="338" t="str">
        <x:v>Emergency stop respected.</x:v>
      </x:c>
      <x:c r="I16" s="339" t="str">
        <x:v>Draft Complete</x:v>
      </x:c>
    </x:row>
    <x:row r="17">
      <x:c r="A17" s="334" t="str">
        <x:v>STATE-013</x:v>
      </x:c>
      <x:c r="B17" s="335" t="str">
        <x:v>Revoked</x:v>
      </x:c>
      <x:c r="C17" s="335" t="str">
        <x:v>Device certificate or agent trust revoked.</x:v>
      </x:c>
      <x:c r="D17" s="335" t="str">
        <x:v>Revocation command/cert status</x:v>
      </x:c>
      <x:c r="E17" s="335" t="str">
        <x:v>Unregistered after re-enrolment</x:v>
      </x:c>
      <x:c r="F17" s="335" t="str">
        <x:v>No capture or upload except revocation acknowledgement.</x:v>
      </x:c>
      <x:c r="G17" s="335" t="str">
        <x:v>Re-enrol/uninstall</x:v>
      </x:c>
      <x:c r="H17" s="335" t="str">
        <x:v>Treat queued evidence according to policy.</x:v>
      </x:c>
      <x:c r="I17" s="336" t="str">
        <x:v>Draft Complete</x:v>
      </x:c>
    </x:row>
  </x:sheetData>
  <x:mergeCells>
    <x:mergeCell ref="A1:I1"/>
    <x:mergeCell ref="A2:I2"/>
  </x:mergeCells>
  <x:dataValidations count="1">
    <x:dataValidation type="list" sqref="I5:I17">
      <x:formula1>"Draft Complete,Needs Review,Approved,Deferred"</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32" hidden="0" customWidth="1"/>
    <x:col min="5" max="5" width="36" hidden="0" customWidth="1"/>
    <x:col min="6" max="6" width="52" hidden="0" customWidth="1"/>
    <x:col min="7" max="7" width="12" hidden="0" customWidth="1"/>
    <x:col min="8" max="8" width="18" hidden="0" customWidth="1"/>
  </x:cols>
  <x:sheetData>
    <x:row r="1" ht="30" customHeight="1">
      <x:c r="A1" s="294" t="str">
        <x:v>Stage 3 — Device Identity and Key Model</x:v>
      </x:c>
      <x:c r="B1" s="294"/>
      <x:c r="C1" s="294"/>
      <x:c r="D1" s="294"/>
      <x:c r="E1" s="294"/>
      <x:c r="F1" s="294"/>
      <x:c r="G1" s="294"/>
      <x:c r="H1" s="294"/>
    </x:row>
    <x:row r="2" ht="36" customHeight="1">
      <x:c r="A2" s="298" t="str">
        <x:v>Identity, certificate, key and revocation model for trusted endpoint operation and signed evidence batches.</x:v>
      </x:c>
      <x:c r="B2" s="298"/>
      <x:c r="C2" s="298"/>
      <x:c r="D2" s="298"/>
      <x:c r="E2" s="298"/>
      <x:c r="F2" s="298"/>
      <x:c r="G2" s="298"/>
      <x:c r="H2" s="298"/>
    </x:row>
    <x:row r="4" ht="30" customHeight="1">
      <x:c r="A4" s="310" t="str">
        <x:v>ID</x:v>
      </x:c>
      <x:c r="B4" s="311" t="str">
        <x:v>Control</x:v>
      </x:c>
      <x:c r="C4" s="311" t="str">
        <x:v>Definition</x:v>
      </x:c>
      <x:c r="D4" s="311" t="str">
        <x:v>Authority / system</x:v>
      </x:c>
      <x:c r="E4" s="311" t="str">
        <x:v>Output / state</x:v>
      </x:c>
      <x:c r="F4" s="311" t="str">
        <x:v>Security rule</x:v>
      </x:c>
      <x:c r="G4" s="311" t="str">
        <x:v>Priority</x:v>
      </x:c>
      <x:c r="H4" s="312" t="str">
        <x:v>Status</x:v>
      </x:c>
    </x:row>
    <x:row r="5">
      <x:c r="A5" s="329" t="str">
        <x:v>IDK-001</x:v>
      </x:c>
      <x:c r="B5" s="330" t="str">
        <x:v>Device enrolment</x:v>
      </x:c>
      <x:c r="C5" s="330" t="str">
        <x:v>Device receives enrolment token or MDM-provisioned identity and registers with HumanOS.</x:v>
      </x:c>
      <x:c r="D5" s="330" t="str">
        <x:v>IT/MDM + Device Control Gateway</x:v>
      </x:c>
      <x:c r="E5" s="330" t="str">
        <x:v>Device record, certificate request, tenant binding</x:v>
      </x:c>
      <x:c r="F5" s="330" t="str">
        <x:v>One-time token expires quickly; no capture before registration.</x:v>
      </x:c>
      <x:c r="G5" s="330" t="str">
        <x:v>Critical</x:v>
      </x:c>
      <x:c r="H5" s="331" t="str">
        <x:v>Draft Complete</x:v>
      </x:c>
    </x:row>
    <x:row r="6">
      <x:c r="A6" s="337" t="str">
        <x:v>IDK-002</x:v>
      </x:c>
      <x:c r="B6" s="338" t="str">
        <x:v>Device certificate</x:v>
      </x:c>
      <x:c r="C6" s="338" t="str">
        <x:v>Mutual TLS certificate binds device to tenant and agent instance.</x:v>
      </x:c>
      <x:c r="D6" s="338" t="str">
        <x:v>HumanOS PKI/KMS</x:v>
      </x:c>
      <x:c r="E6" s="338" t="str">
        <x:v>Client certificate + chain; revocation status</x:v>
      </x:c>
      <x:c r="F6" s="338" t="str">
        <x:v>Certificate rotation and revocation are mandatory.</x:v>
      </x:c>
      <x:c r="G6" s="338" t="str">
        <x:v>Critical</x:v>
      </x:c>
      <x:c r="H6" s="339" t="str">
        <x:v>Draft Complete</x:v>
      </x:c>
    </x:row>
    <x:row r="7">
      <x:c r="A7" s="332" t="str">
        <x:v>IDK-003</x:v>
      </x:c>
      <x:c r="B7" s="114" t="str">
        <x:v>Person-session binding</x:v>
      </x:c>
      <x:c r="C7" s="114" t="str">
        <x:v>Agent resolves authenticated person and approved work session without hardcoding identity.</x:v>
      </x:c>
      <x:c r="D7" s="114" t="str">
        <x:v>HumanOS IAM/Session API</x:v>
      </x:c>
      <x:c r="E7" s="114" t="str">
        <x:v>Session token/ref + person ID reference</x:v>
      </x:c>
      <x:c r="F7" s="114" t="str">
        <x:v>Person identity stored as internal ID; no local HR data copy.</x:v>
      </x:c>
      <x:c r="G7" s="114" t="str">
        <x:v>Critical</x:v>
      </x:c>
      <x:c r="H7" s="333" t="str">
        <x:v>Draft Complete</x:v>
      </x:c>
    </x:row>
    <x:row r="8">
      <x:c r="A8" s="337" t="str">
        <x:v>IDK-004</x:v>
      </x:c>
      <x:c r="B8" s="338" t="str">
        <x:v>Policy signing key</x:v>
      </x:c>
      <x:c r="C8" s="338" t="str">
        <x:v>Policy bundles are signed by HumanOS policy authority.</x:v>
      </x:c>
      <x:c r="D8" s="338" t="str">
        <x:v>Policy Service/KMS</x:v>
      </x:c>
      <x:c r="E8" s="338" t="str">
        <x:v>Policy signature and key ID</x:v>
      </x:c>
      <x:c r="F8" s="338" t="str">
        <x:v>Agent rejects unsigned/unknown/expired policy.</x:v>
      </x:c>
      <x:c r="G8" s="338" t="str">
        <x:v>Critical</x:v>
      </x:c>
      <x:c r="H8" s="339" t="str">
        <x:v>Draft Complete</x:v>
      </x:c>
    </x:row>
    <x:row r="9">
      <x:c r="A9" s="332" t="str">
        <x:v>IDK-005</x:v>
      </x:c>
      <x:c r="B9" s="114" t="str">
        <x:v>Local evidence key</x:v>
      </x:c>
      <x:c r="C9" s="114" t="str">
        <x:v>Per-device and per-session keys encrypt journal and content cache.</x:v>
      </x:c>
      <x:c r="D9" s="114" t="str">
        <x:v>OS secure store + KMS envelope</x:v>
      </x:c>
      <x:c r="E9" s="114" t="str">
        <x:v>Encrypted journal and object cache</x:v>
      </x:c>
      <x:c r="F9" s="114" t="str">
        <x:v>Keys stored in DPAPI/Keychain/TPM-equivalent where possible.</x:v>
      </x:c>
      <x:c r="G9" s="114" t="str">
        <x:v>Critical</x:v>
      </x:c>
      <x:c r="H9" s="333" t="str">
        <x:v>Draft Complete</x:v>
      </x:c>
    </x:row>
    <x:row r="10">
      <x:c r="A10" s="337" t="str">
        <x:v>IDK-006</x:v>
      </x:c>
      <x:c r="B10" s="338" t="str">
        <x:v>Batch signing key</x:v>
      </x:c>
      <x:c r="C10" s="338" t="str">
        <x:v>Agent signs every event batch for integrity and origin.</x:v>
      </x:c>
      <x:c r="D10" s="338" t="str">
        <x:v>Device key derived/issued under device identity</x:v>
      </x:c>
      <x:c r="E10" s="338" t="str">
        <x:v>Batch signature + key ID</x:v>
      </x:c>
      <x:c r="F10" s="338" t="str">
        <x:v>Prevents spoofing and tampering; rotate on compromise.</x:v>
      </x:c>
      <x:c r="G10" s="338" t="str">
        <x:v>Critical</x:v>
      </x:c>
      <x:c r="H10" s="339" t="str">
        <x:v>Draft Complete</x:v>
      </x:c>
    </x:row>
    <x:row r="11">
      <x:c r="A11" s="332" t="str">
        <x:v>IDK-007</x:v>
      </x:c>
      <x:c r="B11" s="114" t="str">
        <x:v>Key rotation</x:v>
      </x:c>
      <x:c r="C11" s="114" t="str">
        <x:v>Rotate device and evidence keys according to policy or compromise events.</x:v>
      </x:c>
      <x:c r="D11" s="114" t="str">
        <x:v>Control Gateway/KMS</x:v>
      </x:c>
      <x:c r="E11" s="114" t="str">
        <x:v>New keys + audit events</x:v>
      </x:c>
      <x:c r="F11" s="114" t="str">
        <x:v>Rotation must not expose old data; queued evidence handled safely.</x:v>
      </x:c>
      <x:c r="G11" s="114" t="str">
        <x:v>High</x:v>
      </x:c>
      <x:c r="H11" s="333" t="str">
        <x:v>Draft Complete</x:v>
      </x:c>
    </x:row>
    <x:row r="12">
      <x:c r="A12" s="337" t="str">
        <x:v>IDK-008</x:v>
      </x:c>
      <x:c r="B12" s="338" t="str">
        <x:v>Revocation</x:v>
      </x:c>
      <x:c r="C12" s="338" t="str">
        <x:v>Disable device certificate, capture policy and upload when a device is lost, compromised or employee leaves.</x:v>
      </x:c>
      <x:c r="D12" s="338" t="str">
        <x:v>IAM/Device Control/Security</x:v>
      </x:c>
      <x:c r="E12" s="338" t="str">
        <x:v>Revocation event and local revoked state</x:v>
      </x:c>
      <x:c r="F12" s="338" t="str">
        <x:v>Agent stops capture and handles local retention per policy.</x:v>
      </x:c>
      <x:c r="G12" s="338" t="str">
        <x:v>Critical</x:v>
      </x:c>
      <x:c r="H12" s="339" t="str">
        <x:v>Draft Complete</x:v>
      </x:c>
    </x:row>
    <x:row r="13">
      <x:c r="A13" s="332" t="str">
        <x:v>IDK-009</x:v>
      </x:c>
      <x:c r="B13" s="114" t="str">
        <x:v>Clock and nonce</x:v>
      </x:c>
      <x:c r="C13" s="114" t="str">
        <x:v>Use server time sync, monotonic sequence and nonce to prevent replay.</x:v>
      </x:c>
      <x:c r="D13" s="114" t="str">
        <x:v>Device Control + local monotonic counter</x:v>
      </x:c>
      <x:c r="E13" s="114" t="str">
        <x:v>Signed batch metadata</x:v>
      </x:c>
      <x:c r="F13" s="114" t="str">
        <x:v>Clock drift creates telemetry-gap warning.</x:v>
      </x:c>
      <x:c r="G13" s="114" t="str">
        <x:v>High</x:v>
      </x:c>
      <x:c r="H13" s="333" t="str">
        <x:v>Draft Complete</x:v>
      </x:c>
    </x:row>
    <x:row r="14">
      <x:c r="A14" s="337" t="str">
        <x:v>IDK-010</x:v>
      </x:c>
      <x:c r="B14" s="338" t="str">
        <x:v>Least privilege</x:v>
      </x:c>
      <x:c r="C14" s="338" t="str">
        <x:v>Agent runs with minimal privileges; elevated helper only where required and separately audited.</x:v>
      </x:c>
      <x:c r="D14" s="338" t="str">
        <x:v>OS service manager</x:v>
      </x:c>
      <x:c r="E14" s="338" t="str">
        <x:v>Privilege boundary definition</x:v>
      </x:c>
      <x:c r="F14" s="338" t="str">
        <x:v>Privileged helper cannot expose raw data to untrusted UI process.</x:v>
      </x:c>
      <x:c r="G14" s="338" t="str">
        <x:v>Critical</x:v>
      </x:c>
      <x:c r="H14" s="339" t="str">
        <x:v>Draft Complete</x:v>
      </x:c>
    </x:row>
    <x:row r="15">
      <x:c r="A15" s="332" t="str">
        <x:v>IDK-011</x:v>
      </x:c>
      <x:c r="B15" s="114" t="str">
        <x:v>Credential storage</x:v>
      </x:c>
      <x:c r="C15" s="114" t="str">
        <x:v>No secrets in config files, logs, telemetry or crash dumps.</x:v>
      </x:c>
      <x:c r="D15" s="114" t="str">
        <x:v>OS secure storage / KMS / crash scrubber</x:v>
      </x:c>
      <x:c r="E15" s="114" t="str">
        <x:v>Credential references only</x:v>
      </x:c>
      <x:c r="F15" s="114" t="str">
        <x:v>Crash reporting redacts evidence and keys.</x:v>
      </x:c>
      <x:c r="G15" s="114" t="str">
        <x:v>Critical</x:v>
      </x:c>
      <x:c r="H15" s="333" t="str">
        <x:v>Draft Complete</x:v>
      </x:c>
    </x:row>
    <x:row r="16">
      <x:c r="A16" s="340" t="str">
        <x:v>IDK-012</x:v>
      </x:c>
      <x:c r="B16" s="341" t="str">
        <x:v>Device attestation</x:v>
      </x:c>
      <x:c r="C16" s="341" t="str">
        <x:v>Optional later device posture/attestation before sensitive capture.</x:v>
      </x:c>
      <x:c r="D16" s="341" t="str">
        <x:v>MDM/EDR/TPM platform</x:v>
      </x:c>
      <x:c r="E16" s="341" t="str">
        <x:v>Posture token</x:v>
      </x:c>
      <x:c r="F16" s="341" t="str">
        <x:v>Future enhancement; not blocker for first skeleton if MDM trusted.</x:v>
      </x:c>
      <x:c r="G16" s="341" t="str">
        <x:v>Medium</x:v>
      </x:c>
      <x:c r="H16" s="342"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24" hidden="0" customWidth="1"/>
    <x:col min="5" max="5" width="14" hidden="0" customWidth="1"/>
    <x:col min="6" max="6" width="34" hidden="0" customWidth="1"/>
    <x:col min="7" max="7" width="24" hidden="0" customWidth="1"/>
    <x:col min="8" max="8" width="52" hidden="0" customWidth="1"/>
    <x:col min="9" max="9" width="18" hidden="0" customWidth="1"/>
  </x:cols>
  <x:sheetData>
    <x:row r="1" ht="30" customHeight="1">
      <x:c r="A1" s="294" t="str">
        <x:v>Stage 3 — Policy Bundle Specification</x:v>
      </x:c>
      <x:c r="B1" s="294"/>
      <x:c r="C1" s="294"/>
      <x:c r="D1" s="294"/>
      <x:c r="E1" s="294"/>
      <x:c r="F1" s="294"/>
      <x:c r="G1" s="294"/>
      <x:c r="H1" s="294"/>
      <x:c r="I1" s="294"/>
    </x:row>
    <x:row r="2" ht="36" customHeight="1">
      <x:c r="A2" s="298" t="str">
        <x:v>Signed local policy bundle that controls capture capabilities, exclusions, retention, redaction, offline behaviour and visible employee controls.</x:v>
      </x:c>
      <x:c r="B2" s="298"/>
      <x:c r="C2" s="298"/>
      <x:c r="D2" s="298"/>
      <x:c r="E2" s="298"/>
      <x:c r="F2" s="298"/>
      <x:c r="G2" s="298"/>
      <x:c r="H2" s="298"/>
      <x:c r="I2" s="298"/>
    </x:row>
    <x:row r="4" ht="30" customHeight="1">
      <x:c r="A4" s="310" t="str">
        <x:v>ID</x:v>
      </x:c>
      <x:c r="B4" s="311" t="str">
        <x:v>Field / section</x:v>
      </x:c>
      <x:c r="C4" s="311" t="str">
        <x:v>Definition</x:v>
      </x:c>
      <x:c r="D4" s="311" t="str">
        <x:v>Type</x:v>
      </x:c>
      <x:c r="E4" s="311" t="str">
        <x:v>Required?</x:v>
      </x:c>
      <x:c r="F4" s="311" t="str">
        <x:v>Purpose</x:v>
      </x:c>
      <x:c r="G4" s="311" t="str">
        <x:v>Owner</x:v>
      </x:c>
      <x:c r="H4" s="311" t="str">
        <x:v>Validation / rule</x:v>
      </x:c>
      <x:c r="I4" s="312" t="str">
        <x:v>Status</x:v>
      </x:c>
    </x:row>
    <x:row r="5">
      <x:c r="A5" s="329" t="str">
        <x:v>POL-001</x:v>
      </x:c>
      <x:c r="B5" s="330" t="str">
        <x:v>bundle_id</x:v>
      </x:c>
      <x:c r="C5" s="330" t="str">
        <x:v>Unique policy bundle identifier.</x:v>
      </x:c>
      <x:c r="D5" s="330" t="str">
        <x:v>string UUID</x:v>
      </x:c>
      <x:c r="E5" s="330" t="str">
        <x:v>Required</x:v>
      </x:c>
      <x:c r="F5" s="330" t="str">
        <x:v>Versioning/audit</x:v>
      </x:c>
      <x:c r="G5" s="330" t="str">
        <x:v>Policy Service</x:v>
      </x:c>
      <x:c r="H5" s="330" t="str">
        <x:v>Agent rejects missing/duplicate bundle ID.</x:v>
      </x:c>
      <x:c r="I5" s="331" t="str">
        <x:v>Draft Complete</x:v>
      </x:c>
    </x:row>
    <x:row r="6">
      <x:c r="A6" s="337" t="str">
        <x:v>POL-002</x:v>
      </x:c>
      <x:c r="B6" s="338" t="str">
        <x:v>version</x:v>
      </x:c>
      <x:c r="C6" s="338" t="str">
        <x:v>Monotonic policy version.</x:v>
      </x:c>
      <x:c r="D6" s="338" t="str">
        <x:v>semver or integer</x:v>
      </x:c>
      <x:c r="E6" s="338" t="str">
        <x:v>Required</x:v>
      </x:c>
      <x:c r="F6" s="338" t="str">
        <x:v>Upgrade/downgrade protection</x:v>
      </x:c>
      <x:c r="G6" s="338" t="str">
        <x:v>Policy Service</x:v>
      </x:c>
      <x:c r="H6" s="338" t="str">
        <x:v>Agent rejects rollback unless explicitly authorised.</x:v>
      </x:c>
      <x:c r="I6" s="339" t="str">
        <x:v>Draft Complete</x:v>
      </x:c>
    </x:row>
    <x:row r="7">
      <x:c r="A7" s="332" t="str">
        <x:v>POL-003</x:v>
      </x:c>
      <x:c r="B7" s="114" t="str">
        <x:v>tenant_id</x:v>
      </x:c>
      <x:c r="C7" s="114" t="str">
        <x:v>Tenant scope for policy.</x:v>
      </x:c>
      <x:c r="D7" s="114" t="str">
        <x:v>string</x:v>
      </x:c>
      <x:c r="E7" s="114" t="str">
        <x:v>Required</x:v>
      </x:c>
      <x:c r="F7" s="114" t="str">
        <x:v>Tenant isolation</x:v>
      </x:c>
      <x:c r="G7" s="114" t="str">
        <x:v>Policy Service/IAM</x:v>
      </x:c>
      <x:c r="H7" s="114" t="str">
        <x:v>Must match device tenant.</x:v>
      </x:c>
      <x:c r="I7" s="333" t="str">
        <x:v>Draft Complete</x:v>
      </x:c>
    </x:row>
    <x:row r="8">
      <x:c r="A8" s="337" t="str">
        <x:v>POL-004</x:v>
      </x:c>
      <x:c r="B8" s="338" t="str">
        <x:v>jurisdiction</x:v>
      </x:c>
      <x:c r="C8" s="338" t="str">
        <x:v>Policy jurisdiction pack, e.g., UK, Pakistan-Lahore, EU-customer.</x:v>
      </x:c>
      <x:c r="D8" s="338" t="str">
        <x:v>enum/string</x:v>
      </x:c>
      <x:c r="E8" s="338" t="str">
        <x:v>Required</x:v>
      </x:c>
      <x:c r="F8" s="338" t="str">
        <x:v>Legal controls</x:v>
      </x:c>
      <x:c r="G8" s="338" t="str">
        <x:v>DPO/Legal</x:v>
      </x:c>
      <x:c r="H8" s="338" t="str">
        <x:v>Capture must match active jurisdiction.</x:v>
      </x:c>
      <x:c r="I8" s="339" t="str">
        <x:v>Draft Complete</x:v>
      </x:c>
    </x:row>
    <x:row r="9">
      <x:c r="A9" s="332" t="str">
        <x:v>POL-005</x:v>
      </x:c>
      <x:c r="B9" s="114" t="str">
        <x:v>effective_from / expires_at</x:v>
      </x:c>
      <x:c r="C9" s="114" t="str">
        <x:v>Policy validity window.</x:v>
      </x:c>
      <x:c r="D9" s="114" t="str">
        <x:v>date-time</x:v>
      </x:c>
      <x:c r="E9" s="114" t="str">
        <x:v>Required</x:v>
      </x:c>
      <x:c r="F9" s="114" t="str">
        <x:v>Fail-safe expiry</x:v>
      </x:c>
      <x:c r="G9" s="114" t="str">
        <x:v>Policy Service</x:v>
      </x:c>
      <x:c r="H9" s="114" t="str">
        <x:v>Expired policy stops sensitive capture.</x:v>
      </x:c>
      <x:c r="I9" s="333" t="str">
        <x:v>Draft Complete</x:v>
      </x:c>
    </x:row>
    <x:row r="10">
      <x:c r="A10" s="337" t="str">
        <x:v>POL-006</x:v>
      </x:c>
      <x:c r="B10" s="338" t="str">
        <x:v>signature</x:v>
      </x:c>
      <x:c r="C10" s="338" t="str">
        <x:v>Cryptographic signature over canonical bundle.</x:v>
      </x:c>
      <x:c r="D10" s="338" t="str">
        <x:v>JWS/signature</x:v>
      </x:c>
      <x:c r="E10" s="338" t="str">
        <x:v>Required</x:v>
      </x:c>
      <x:c r="F10" s="338" t="str">
        <x:v>Integrity/authenticity</x:v>
      </x:c>
      <x:c r="G10" s="338" t="str">
        <x:v>Policy Service/KMS</x:v>
      </x:c>
      <x:c r="H10" s="338" t="str">
        <x:v>Unsigned/invalid policies rejected.</x:v>
      </x:c>
      <x:c r="I10" s="339" t="str">
        <x:v>Draft Complete</x:v>
      </x:c>
    </x:row>
    <x:row r="11">
      <x:c r="A11" s="332" t="str">
        <x:v>POL-007</x:v>
      </x:c>
      <x:c r="B11" s="114" t="str">
        <x:v>subject_scope</x:v>
      </x:c>
      <x:c r="C11" s="114" t="str">
        <x:v>Person, role, device, group and pilot cohort scope.</x:v>
      </x:c>
      <x:c r="D11" s="114" t="str">
        <x:v>object</x:v>
      </x:c>
      <x:c r="E11" s="114" t="str">
        <x:v>Required</x:v>
      </x:c>
      <x:c r="F11" s="114" t="str">
        <x:v>Least-privilege capture</x:v>
      </x:c>
      <x:c r="G11" s="114" t="str">
        <x:v>IAM/Org</x:v>
      </x:c>
      <x:c r="H11" s="114" t="str">
        <x:v>Policy cannot apply to unknown person/device.</x:v>
      </x:c>
      <x:c r="I11" s="333" t="str">
        <x:v>Draft Complete</x:v>
      </x:c>
    </x:row>
    <x:row r="12">
      <x:c r="A12" s="337" t="str">
        <x:v>POL-008</x:v>
      </x:c>
      <x:c r="B12" s="338" t="str">
        <x:v>session_scope</x:v>
      </x:c>
      <x:c r="C12" s="338" t="str">
        <x:v>Allowed work hours, break periods and session types.</x:v>
      </x:c>
      <x:c r="D12" s="338" t="str">
        <x:v>object</x:v>
      </x:c>
      <x:c r="E12" s="338" t="str">
        <x:v>Required</x:v>
      </x:c>
      <x:c r="F12" s="338" t="str">
        <x:v>Working-time boundary</x:v>
      </x:c>
      <x:c r="G12" s="338" t="str">
        <x:v>HR/DPO</x:v>
      </x:c>
      <x:c r="H12" s="338" t="str">
        <x:v>Out-of-hours capture disabled.</x:v>
      </x:c>
      <x:c r="I12" s="339" t="str">
        <x:v>Draft Complete</x:v>
      </x:c>
    </x:row>
    <x:row r="13">
      <x:c r="A13" s="332" t="str">
        <x:v>POL-009</x:v>
      </x:c>
      <x:c r="B13" s="114" t="str">
        <x:v>task_scope</x:v>
      </x:c>
      <x:c r="C13" s="114" t="str">
        <x:v>Task IDs, project IDs, task-contract requirements and capture levels.</x:v>
      </x:c>
      <x:c r="D13" s="114" t="str">
        <x:v>object</x:v>
      </x:c>
      <x:c r="E13" s="114" t="str">
        <x:v>Required for task capture</x:v>
      </x:c>
      <x:c r="F13" s="114" t="str">
        <x:v>Task Service</x:v>
      </x:c>
      <x:c r="G13" s="114" t="str">
        <x:v>No task assurance without active task contract.</x:v>
      </x:c>
      <x:c r="H13" s="114" t="str">
        <x:v>Draft Complete</x:v>
      </x:c>
      <x:c r="I13" s="333"/>
    </x:row>
    <x:row r="14">
      <x:c r="A14" s="337" t="str">
        <x:v>POL-010</x:v>
      </x:c>
      <x:c r="B14" s="338" t="str">
        <x:v>capture_capabilities</x:v>
      </x:c>
      <x:c r="C14" s="338" t="str">
        <x:v>Allowed sensors/features: app window, process, screenshot, keyboard metadata, text delta, file, browser, shell, agent.</x:v>
      </x:c>
      <x:c r="D14" s="338" t="str">
        <x:v>object booleans/levels</x:v>
      </x:c>
      <x:c r="E14" s="338" t="str">
        <x:v>Required</x:v>
      </x:c>
      <x:c r="F14" s="338" t="str">
        <x:v>Purpose limitation</x:v>
      </x:c>
      <x:c r="G14" s="338" t="str">
        <x:v>DPO/Product</x:v>
      </x:c>
      <x:c r="H14" s="338" t="str">
        <x:v>Future modules check capability before emitting events.</x:v>
      </x:c>
      <x:c r="I14" s="339" t="str">
        <x:v>Draft Complete</x:v>
      </x:c>
    </x:row>
    <x:row r="15">
      <x:c r="A15" s="332" t="str">
        <x:v>POL-011</x:v>
      </x:c>
      <x:c r="B15" s="114" t="str">
        <x:v>app_exclusions</x:v>
      </x:c>
      <x:c r="C15" s="114" t="str">
        <x:v>Applications/processes excluded or restricted.</x:v>
      </x:c>
      <x:c r="D15" s="114" t="str">
        <x:v>list</x:v>
      </x:c>
      <x:c r="E15" s="114" t="str">
        <x:v>Required</x:v>
      </x:c>
      <x:c r="F15" s="114" t="str">
        <x:v>Sensitive-app suppression</x:v>
      </x:c>
      <x:c r="G15" s="114" t="str">
        <x:v>DPO/IT</x:v>
      </x:c>
      <x:c r="H15" s="114" t="str">
        <x:v>Policy wins over adapters.</x:v>
      </x:c>
      <x:c r="I15" s="333" t="str">
        <x:v>Draft Complete</x:v>
      </x:c>
    </x:row>
    <x:row r="16">
      <x:c r="A16" s="337" t="str">
        <x:v>POL-012</x:v>
      </x:c>
      <x:c r="B16" s="338" t="str">
        <x:v>domain_exclusions</x:v>
      </x:c>
      <x:c r="C16" s="338" t="str">
        <x:v>Domains or URL patterns excluded/restricted.</x:v>
      </x:c>
      <x:c r="D16" s="338" t="str">
        <x:v>list</x:v>
      </x:c>
      <x:c r="E16" s="338" t="str">
        <x:v>Required for browser</x:v>
      </x:c>
      <x:c r="F16" s="338" t="str">
        <x:v>Personal/sensitive web suppression</x:v>
      </x:c>
      <x:c r="G16" s="338" t="str">
        <x:v>DPO/IT</x:v>
      </x:c>
      <x:c r="H16" s="338" t="str">
        <x:v>Default excludes personal, health, finance where applicable.</x:v>
      </x:c>
      <x:c r="I16" s="339" t="str">
        <x:v>Draft Complete</x:v>
      </x:c>
    </x:row>
    <x:row r="17">
      <x:c r="A17" s="332" t="str">
        <x:v>POL-013</x:v>
      </x:c>
      <x:c r="B17" s="114" t="str">
        <x:v>display_exclusions</x:v>
      </x:c>
      <x:c r="C17" s="114" t="str">
        <x:v>Monitor/display/session exclusions.</x:v>
      </x:c>
      <x:c r="D17" s="114" t="str">
        <x:v>list</x:v>
      </x:c>
      <x:c r="E17" s="114" t="str">
        <x:v>Optional</x:v>
      </x:c>
      <x:c r="F17" s="114" t="str">
        <x:v>Private display protection</x:v>
      </x:c>
      <x:c r="G17" s="114" t="str">
        <x:v>DPO/Employee</x:v>
      </x:c>
      <x:c r="H17" s="114" t="str">
        <x:v>Use for dual-monitor privacy/personal display.</x:v>
      </x:c>
      <x:c r="I17" s="333" t="str">
        <x:v>Draft Complete</x:v>
      </x:c>
    </x:row>
    <x:row r="18">
      <x:c r="A18" s="337" t="str">
        <x:v>POL-014</x:v>
      </x:c>
      <x:c r="B18" s="338" t="str">
        <x:v>secure_field_policy</x:v>
      </x:c>
      <x:c r="C18" s="338" t="str">
        <x:v>Controls how secure/password/unknown-sensitive fields are handled.</x:v>
      </x:c>
      <x:c r="D18" s="338" t="str">
        <x:v>object</x:v>
      </x:c>
      <x:c r="E18" s="338" t="str">
        <x:v>Required</x:v>
      </x:c>
      <x:c r="F18" s="338" t="str">
        <x:v>Secret suppression</x:v>
      </x:c>
      <x:c r="G18" s="338" t="str">
        <x:v>CISO/DPO</x:v>
      </x:c>
      <x:c r="H18" s="338" t="str">
        <x:v>Default suppress on uncertainty.</x:v>
      </x:c>
      <x:c r="I18" s="339" t="str">
        <x:v>Draft Complete</x:v>
      </x:c>
    </x:row>
    <x:row r="19">
      <x:c r="A19" s="332" t="str">
        <x:v>POL-015</x:v>
      </x:c>
      <x:c r="B19" s="114" t="str">
        <x:v>redaction_rules</x:v>
      </x:c>
      <x:c r="C19" s="114" t="str">
        <x:v>Local redaction and DLP rules.</x:v>
      </x:c>
      <x:c r="D19" s="114" t="str">
        <x:v>object/list</x:v>
      </x:c>
      <x:c r="E19" s="114" t="str">
        <x:v>Required</x:v>
      </x:c>
      <x:c r="F19" s="114" t="str">
        <x:v>Data minimisation</x:v>
      </x:c>
      <x:c r="G19" s="114" t="str">
        <x:v>CISO/DPO</x:v>
      </x:c>
      <x:c r="H19" s="114" t="str">
        <x:v>Runs before durable storage/upload.</x:v>
      </x:c>
      <x:c r="I19" s="333" t="str">
        <x:v>Draft Complete</x:v>
      </x:c>
    </x:row>
    <x:row r="20">
      <x:c r="A20" s="337" t="str">
        <x:v>POL-016</x:v>
      </x:c>
      <x:c r="B20" s="338" t="str">
        <x:v>retention_rules</x:v>
      </x:c>
      <x:c r="C20" s="338" t="str">
        <x:v>Local and cloud TTL by data class.</x:v>
      </x:c>
      <x:c r="D20" s="338" t="str">
        <x:v>object</x:v>
      </x:c>
      <x:c r="E20" s="338" t="str">
        <x:v>Required</x:v>
      </x:c>
      <x:c r="F20" s="338" t="str">
        <x:v>Retention limitation</x:v>
      </x:c>
      <x:c r="G20" s="338" t="str">
        <x:v>DPO/Data Governance</x:v>
      </x:c>
      <x:c r="H20" s="338" t="str">
        <x:v>Agent enforces local TTL and quota.</x:v>
      </x:c>
      <x:c r="I20" s="339" t="str">
        <x:v>Draft Complete</x:v>
      </x:c>
    </x:row>
    <x:row r="21">
      <x:c r="A21" s="332" t="str">
        <x:v>POL-017</x:v>
      </x:c>
      <x:c r="B21" s="114" t="str">
        <x:v>offline_rules</x:v>
      </x:c>
      <x:c r="C21" s="114" t="str">
        <x:v>What can happen while offline and for how long.</x:v>
      </x:c>
      <x:c r="D21" s="114" t="str">
        <x:v>object</x:v>
      </x:c>
      <x:c r="E21" s="114" t="str">
        <x:v>Required</x:v>
      </x:c>
      <x:c r="F21" s="114" t="str">
        <x:v>Fail-safe offline</x:v>
      </x:c>
      <x:c r="G21" s="114" t="str">
        <x:v>CISO/Product</x:v>
      </x:c>
      <x:c r="H21" s="114" t="str">
        <x:v>Sensitive capture stops after policy offline TTL.</x:v>
      </x:c>
      <x:c r="I21" s="333" t="str">
        <x:v>Draft Complete</x:v>
      </x:c>
    </x:row>
    <x:row r="22">
      <x:c r="A22" s="337" t="str">
        <x:v>POL-018</x:v>
      </x:c>
      <x:c r="B22" s="338" t="str">
        <x:v>upload_rules</x:v>
      </x:c>
      <x:c r="C22" s="338" t="str">
        <x:v>Batch size, compression, endpoints, retry and evidence-object policy.</x:v>
      </x:c>
      <x:c r="D22" s="338" t="str">
        <x:v>object</x:v>
      </x:c>
      <x:c r="E22" s="338" t="str">
        <x:v>Required</x:v>
      </x:c>
      <x:c r="F22" s="338" t="str">
        <x:v>Secure upload</x:v>
      </x:c>
      <x:c r="G22" s="338" t="str">
        <x:v>Platform/Data</x:v>
      </x:c>
      <x:c r="H22" s="338" t="str">
        <x:v>Signed/idempotent batches only.</x:v>
      </x:c>
      <x:c r="I22" s="339" t="str">
        <x:v>Draft Complete</x:v>
      </x:c>
    </x:row>
    <x:row r="23">
      <x:c r="A23" s="332" t="str">
        <x:v>POL-019</x:v>
      </x:c>
      <x:c r="B23" s="114" t="str">
        <x:v>employee_ui_rules</x:v>
      </x:c>
      <x:c r="C23" s="114" t="str">
        <x:v>Required visible controls and messages.</x:v>
      </x:c>
      <x:c r="D23" s="114" t="str">
        <x:v>object</x:v>
      </x:c>
      <x:c r="E23" s="114" t="str">
        <x:v>Required</x:v>
      </x:c>
      <x:c r="F23" s="114" t="str">
        <x:v>Transparency</x:v>
      </x:c>
      <x:c r="G23" s="114" t="str">
        <x:v>Product/HR</x:v>
      </x:c>
      <x:c r="H23" s="114" t="str">
        <x:v>UI must show active sensors and task.</x:v>
      </x:c>
      <x:c r="I23" s="333" t="str">
        <x:v>Draft Complete</x:v>
      </x:c>
    </x:row>
    <x:row r="24">
      <x:c r="A24" s="337" t="str">
        <x:v>POL-020</x:v>
      </x:c>
      <x:c r="B24" s="338" t="str">
        <x:v>emergency_disable</x:v>
      </x:c>
      <x:c r="C24" s="338" t="str">
        <x:v>Kill switch or disabled capabilities.</x:v>
      </x:c>
      <x:c r="D24" s="338" t="str">
        <x:v>object</x:v>
      </x:c>
      <x:c r="E24" s="338" t="str">
        <x:v>Required</x:v>
      </x:c>
      <x:c r="F24" s="338" t="str">
        <x:v>Incident response</x:v>
      </x:c>
      <x:c r="G24" s="338" t="str">
        <x:v>DPO/CISO</x:v>
      </x:c>
      <x:c r="H24" s="338" t="str">
        <x:v>Takes immediate precedence.</x:v>
      </x:c>
      <x:c r="I24" s="339" t="str">
        <x:v>Draft Complete</x:v>
      </x:c>
    </x:row>
    <x:row r="25">
      <x:c r="A25" s="334" t="str">
        <x:v>POL-021</x:v>
      </x:c>
      <x:c r="B25" s="335" t="str">
        <x:v>audit_requirements</x:v>
      </x:c>
      <x:c r="C25" s="335" t="str">
        <x:v>Which local decisions emit audit events.</x:v>
      </x:c>
      <x:c r="D25" s="335" t="str">
        <x:v>object/list</x:v>
      </x:c>
      <x:c r="E25" s="335" t="str">
        <x:v>Required</x:v>
      </x:c>
      <x:c r="F25" s="335" t="str">
        <x:v>Auditability</x:v>
      </x:c>
      <x:c r="G25" s="335" t="str">
        <x:v>Audit/Security</x:v>
      </x:c>
      <x:c r="H25" s="335" t="str">
        <x:v>Policy decision logs are signed/minimised.</x:v>
      </x:c>
      <x:c r="I25" s="336" t="str">
        <x:v>Draft Complete</x:v>
      </x:c>
    </x:row>
  </x:sheetData>
  <x:mergeCells>
    <x:mergeCell ref="A1:I1"/>
    <x:mergeCell ref="A2:I2"/>
  </x:mergeCells>
  <x:dataValidations count="2">
    <x:dataValidation type="list" sqref="E5:E25">
      <x:formula1>"Required,Optional,Required for browser,Required for task capture"</x:formula1>
    </x:dataValidation>
    <x:dataValidation type="list" sqref="I5:I25">
      <x:formula1>"Draft Complete,Needs Review,Approved,Deferred"</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44" hidden="0" customWidth="1"/>
    <x:col min="5" max="5" width="48" hidden="0" customWidth="1"/>
    <x:col min="6" max="6" width="38" hidden="0" customWidth="1"/>
    <x:col min="7" max="7" width="12" hidden="0" customWidth="1"/>
    <x:col min="8" max="8" width="18" hidden="0" customWidth="1"/>
  </x:cols>
  <x:sheetData>
    <x:row r="1" ht="30" customHeight="1">
      <x:c r="A1" s="294" t="str">
        <x:v>Stage 3 — Local Storage Model</x:v>
      </x:c>
      <x:c r="B1" s="294"/>
      <x:c r="C1" s="294"/>
      <x:c r="D1" s="294"/>
      <x:c r="E1" s="294"/>
      <x:c r="F1" s="294"/>
      <x:c r="G1" s="294"/>
      <x:c r="H1" s="294"/>
    </x:row>
    <x:row r="2" ht="36" customHeight="1">
      <x:c r="A2" s="298" t="str">
        <x:v>Encrypted local journal and object cache design. Local storage is bounded, policy-controlled and safe under offline/crash conditions.</x:v>
      </x:c>
      <x:c r="B2" s="298"/>
      <x:c r="C2" s="298"/>
      <x:c r="D2" s="298"/>
      <x:c r="E2" s="298"/>
      <x:c r="F2" s="298"/>
      <x:c r="G2" s="298"/>
      <x:c r="H2" s="298"/>
    </x:row>
    <x:row r="4" ht="30" customHeight="1">
      <x:c r="A4" s="310" t="str">
        <x:v>ID</x:v>
      </x:c>
      <x:c r="B4" s="311" t="str">
        <x:v>Storage element</x:v>
      </x:c>
      <x:c r="C4" s="311" t="str">
        <x:v>Implementation direction</x:v>
      </x:c>
      <x:c r="D4" s="311" t="str">
        <x:v>Purpose</x:v>
      </x:c>
      <x:c r="E4" s="311" t="str">
        <x:v>Security requirement</x:v>
      </x:c>
      <x:c r="F4" s="311" t="str">
        <x:v>Reliability rule</x:v>
      </x:c>
      <x:c r="G4" s="311" t="str">
        <x:v>Priority</x:v>
      </x:c>
      <x:c r="H4" s="312" t="str">
        <x:v>Status</x:v>
      </x:c>
    </x:row>
    <x:row r="5">
      <x:c r="A5" s="329" t="str">
        <x:v>LST-001</x:v>
      </x:c>
      <x:c r="B5" s="330" t="str">
        <x:v>Database</x:v>
      </x:c>
      <x:c r="C5" s="330" t="str">
        <x:v>Encrypted SQLite/SQLCipher-style journal</x:v>
      </x:c>
      <x:c r="D5" s="330" t="str">
        <x:v>Stores event metadata, upload state, hashes, policy version and local sequence.</x:v>
      </x:c>
      <x:c r="E5" s="330" t="str">
        <x:v>Per-device and per-session keys via OS secure store/KMS envelope.</x:v>
      </x:c>
      <x:c r="F5" s="330" t="str">
        <x:v>Append-only sequence + WAL + checksums.</x:v>
      </x:c>
      <x:c r="G5" s="330" t="str">
        <x:v>Critical</x:v>
      </x:c>
      <x:c r="H5" s="331" t="str">
        <x:v>Draft Complete</x:v>
      </x:c>
    </x:row>
    <x:row r="6">
      <x:c r="A6" s="337" t="str">
        <x:v>LST-002</x:v>
      </x:c>
      <x:c r="B6" s="338" t="str">
        <x:v>Object cache</x:v>
      </x:c>
      <x:c r="C6" s="338" t="str">
        <x:v>Content-addressed encrypted object store</x:v>
      </x:c>
      <x:c r="D6" s="338" t="str">
        <x:v>Stores approved redacted screenshots/text snippets/artefacts pending upload or expiry.</x:v>
      </x:c>
      <x:c r="E6" s="338" t="str">
        <x:v>Per-object metadata includes class, retention and hash.</x:v>
      </x:c>
      <x:c r="F6" s="338" t="str">
        <x:v>Quota, TTL and compaction.</x:v>
      </x:c>
      <x:c r="G6" s="338" t="str">
        <x:v>Critical</x:v>
      </x:c>
      <x:c r="H6" s="339" t="str">
        <x:v>Draft Complete</x:v>
      </x:c>
    </x:row>
    <x:row r="7">
      <x:c r="A7" s="332" t="str">
        <x:v>LST-003</x:v>
      </x:c>
      <x:c r="B7" s="114" t="str">
        <x:v>Event sequence</x:v>
      </x:c>
      <x:c r="C7" s="114" t="str">
        <x:v>Monotonic local sequence number</x:v>
      </x:c>
      <x:c r="D7" s="114" t="str">
        <x:v>Orders events and detects gaps, duplicates and tampering.</x:v>
      </x:c>
      <x:c r="E7" s="114" t="str">
        <x:v>Signed with batch; never reset except re-enrolment.</x:v>
      </x:c>
      <x:c r="F7" s="114" t="str">
        <x:v>Replay and ingestion validation.</x:v>
      </x:c>
      <x:c r="G7" s="114" t="str">
        <x:v>Critical</x:v>
      </x:c>
      <x:c r="H7" s="333" t="str">
        <x:v>Draft Complete</x:v>
      </x:c>
    </x:row>
    <x:row r="8">
      <x:c r="A8" s="337" t="str">
        <x:v>LST-004</x:v>
      </x:c>
      <x:c r="B8" s="338" t="str">
        <x:v>Hash chain</x:v>
      </x:c>
      <x:c r="C8" s="338" t="str">
        <x:v>Optional rolling chain of event hashes</x:v>
      </x:c>
      <x:c r="D8" s="338" t="str">
        <x:v>Tamper evidence for local journal.</x:v>
      </x:c>
      <x:c r="E8" s="338" t="str">
        <x:v>Stored with sequence and uploaded batches.</x:v>
      </x:c>
      <x:c r="F8" s="338" t="str">
        <x:v>Detect deletion/reordering.</x:v>
      </x:c>
      <x:c r="G8" s="338" t="str">
        <x:v>High</x:v>
      </x:c>
      <x:c r="H8" s="339" t="str">
        <x:v>Draft Complete</x:v>
      </x:c>
    </x:row>
    <x:row r="9">
      <x:c r="A9" s="332" t="str">
        <x:v>LST-005</x:v>
      </x:c>
      <x:c r="B9" s="114" t="str">
        <x:v>WAL/crash recovery</x:v>
      </x:c>
      <x:c r="C9" s="114" t="str">
        <x:v>Write-ahead logging and recovery state</x:v>
      </x:c>
      <x:c r="D9" s="114" t="str">
        <x:v>Prevents loss/corruption under crash or power loss.</x:v>
      </x:c>
      <x:c r="E9" s="114" t="str">
        <x:v>Startup integrity scan; corruption event.</x:v>
      </x:c>
      <x:c r="F9" s="114" t="str">
        <x:v>Crash test required.</x:v>
      </x:c>
      <x:c r="G9" s="114" t="str">
        <x:v>Critical</x:v>
      </x:c>
      <x:c r="H9" s="333" t="str">
        <x:v>Draft Complete</x:v>
      </x:c>
    </x:row>
    <x:row r="10">
      <x:c r="A10" s="337" t="str">
        <x:v>LST-006</x:v>
      </x:c>
      <x:c r="B10" s="338" t="str">
        <x:v>Quota</x:v>
      </x:c>
      <x:c r="C10" s="338" t="str">
        <x:v>Local storage budget and pressure handling</x:v>
      </x:c>
      <x:c r="D10" s="338" t="str">
        <x:v>Bounds local evidence size and avoids disk exhaustion.</x:v>
      </x:c>
      <x:c r="E10" s="338" t="str">
        <x:v>Policy-defined per data class; oldest low-priority items expire first.</x:v>
      </x:c>
      <x:c r="F10" s="338" t="str">
        <x:v>Telemetry warning and stop sensitive capture if needed.</x:v>
      </x:c>
      <x:c r="G10" s="338" t="str">
        <x:v>High</x:v>
      </x:c>
      <x:c r="H10" s="339" t="str">
        <x:v>Draft Complete</x:v>
      </x:c>
    </x:row>
    <x:row r="11">
      <x:c r="A11" s="332" t="str">
        <x:v>LST-007</x:v>
      </x:c>
      <x:c r="B11" s="114" t="str">
        <x:v>Secure deletion</x:v>
      </x:c>
      <x:c r="C11" s="114" t="str">
        <x:v>Best-effort deletion/crypto-erase</x:v>
      </x:c>
      <x:c r="D11" s="114" t="str">
        <x:v>Remove expired objects and keys according to policy.</x:v>
      </x:c>
      <x:c r="E11" s="114" t="str">
        <x:v>Crypto key destruction where possible.</x:v>
      </x:c>
      <x:c r="F11" s="114" t="str">
        <x:v>Deletion audit event.</x:v>
      </x:c>
      <x:c r="G11" s="114" t="str">
        <x:v>High</x:v>
      </x:c>
      <x:c r="H11" s="333" t="str">
        <x:v>Draft Complete</x:v>
      </x:c>
    </x:row>
    <x:row r="12">
      <x:c r="A12" s="337" t="str">
        <x:v>LST-008</x:v>
      </x:c>
      <x:c r="B12" s="338" t="str">
        <x:v>Offline queue</x:v>
      </x:c>
      <x:c r="C12" s="338" t="str">
        <x:v>Bounded upload queue</x:v>
      </x:c>
      <x:c r="D12" s="338" t="str">
        <x:v>Supports safe offline operation for defined duration.</x:v>
      </x:c>
      <x:c r="E12" s="338" t="str">
        <x:v>Policy offline TTL and upload retry status.</x:v>
      </x:c>
      <x:c r="F12" s="338" t="str">
        <x:v>No capture beyond policy expiry.</x:v>
      </x:c>
      <x:c r="G12" s="338" t="str">
        <x:v>High</x:v>
      </x:c>
      <x:c r="H12" s="339" t="str">
        <x:v>Draft Complete</x:v>
      </x:c>
    </x:row>
    <x:row r="13">
      <x:c r="A13" s="332" t="str">
        <x:v>LST-009</x:v>
      </x:c>
      <x:c r="B13" s="114" t="str">
        <x:v>Suppression ledger</x:v>
      </x:c>
      <x:c r="C13" s="114" t="str">
        <x:v>Records that candidate evidence was suppressed/redacted without storing content.</x:v>
      </x:c>
      <x:c r="D13" s="114" t="str">
        <x:v>Supports audit and debugging without leaking secrets.</x:v>
      </x:c>
      <x:c r="E13" s="114" t="str">
        <x:v>Suppression event only; no raw content.</x:v>
      </x:c>
      <x:c r="F13" s="114" t="str">
        <x:v>DPIA/security audit.</x:v>
      </x:c>
      <x:c r="G13" s="114" t="str">
        <x:v>High</x:v>
      </x:c>
      <x:c r="H13" s="333" t="str">
        <x:v>Draft Complete</x:v>
      </x:c>
    </x:row>
    <x:row r="14">
      <x:c r="A14" s="340" t="str">
        <x:v>LST-010</x:v>
      </x:c>
      <x:c r="B14" s="341" t="str">
        <x:v>Crash dumps/logs</x:v>
      </x:c>
      <x:c r="C14" s="341" t="str">
        <x:v>Separated diagnostic logs with no evidence content.</x:v>
      </x:c>
      <x:c r="D14" s="341" t="str">
        <x:v>Supports supportability.</x:v>
      </x:c>
      <x:c r="E14" s="341" t="str">
        <x:v>Redaction and content-ban controls.</x:v>
      </x:c>
      <x:c r="F14" s="341" t="str">
        <x:v>No raw screen/text/input in logs.</x:v>
      </x:c>
      <x:c r="G14" s="341" t="str">
        <x:v>Critical</x:v>
      </x:c>
      <x:c r="H14" s="342" t="str">
        <x:v>Draft Complete</x:v>
      </x:c>
    </x:row>
  </x:sheetData>
  <x:mergeCells>
    <x:mergeCell ref="A1:H1"/>
    <x:mergeCell ref="A2:H2"/>
  </x:mergeCells>
  <x:dataValidations count="2">
    <x:dataValidation type="list" sqref="G5:G14">
      <x:formula1>"Critical,High,Medium,Low"</x:formula1>
    </x:dataValidation>
    <x:dataValidation type="list" sqref="H5:H14">
      <x:formula1>"Draft Complete,Needs Review,Approved,Deferred"</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46" hidden="0" customWidth="1"/>
    <x:col min="5" max="5" width="24" hidden="0" customWidth="1"/>
    <x:col min="6" max="6" width="28" hidden="0" customWidth="1"/>
    <x:col min="7" max="7" width="40" hidden="0" customWidth="1"/>
    <x:col min="8" max="8" width="48" hidden="0" customWidth="1"/>
    <x:col min="9" max="9" width="18" hidden="0" customWidth="1"/>
  </x:cols>
  <x:sheetData>
    <x:row r="1" ht="30" customHeight="1">
      <x:c r="A1" s="294" t="str">
        <x:v>Stage 3 — Event and API Contracts</x:v>
      </x:c>
      <x:c r="B1" s="294"/>
      <x:c r="C1" s="294"/>
      <x:c r="D1" s="294"/>
      <x:c r="E1" s="294"/>
      <x:c r="F1" s="294"/>
      <x:c r="G1" s="294"/>
      <x:c r="H1" s="294"/>
      <x:c r="I1" s="294"/>
    </x:row>
    <x:row r="2" ht="36" customHeight="1">
      <x:c r="A2" s="298" t="str">
        <x:v>Cloud-facing APIs and event contracts for device registration, policy sync, session state, signed batch upload and health.</x:v>
      </x:c>
      <x:c r="B2" s="298"/>
      <x:c r="C2" s="298"/>
      <x:c r="D2" s="298"/>
      <x:c r="E2" s="298"/>
      <x:c r="F2" s="298"/>
      <x:c r="G2" s="298"/>
      <x:c r="H2" s="298"/>
      <x:c r="I2" s="298"/>
    </x:row>
    <x:row r="4" ht="30" customHeight="1">
      <x:c r="A4" s="310" t="str">
        <x:v>ID</x:v>
      </x:c>
      <x:c r="B4" s="311" t="str">
        <x:v>Contract type</x:v>
      </x:c>
      <x:c r="C4" s="311" t="str">
        <x:v>Name / endpoint</x:v>
      </x:c>
      <x:c r="D4" s="311" t="str">
        <x:v>Purpose</x:v>
      </x:c>
      <x:c r="E4" s="311" t="str">
        <x:v>Producer / caller</x:v>
      </x:c>
      <x:c r="F4" s="311" t="str">
        <x:v>Consumer / owner</x:v>
      </x:c>
      <x:c r="G4" s="311" t="str">
        <x:v>Payload / output</x:v>
      </x:c>
      <x:c r="H4" s="311" t="str">
        <x:v>Security rule</x:v>
      </x:c>
      <x:c r="I4" s="312" t="str">
        <x:v>Status</x:v>
      </x:c>
    </x:row>
    <x:row r="5">
      <x:c r="A5" s="329" t="str">
        <x:v>S3-EVT-001</x:v>
      </x:c>
      <x:c r="B5" s="330" t="str">
        <x:v>REST</x:v>
      </x:c>
      <x:c r="C5" s="330" t="str">
        <x:v>POST /devices/register</x:v>
      </x:c>
      <x:c r="D5" s="330" t="str">
        <x:v>Register managed device and agent instance.</x:v>
      </x:c>
      <x:c r="E5" s="330" t="str">
        <x:v>Agent bootstrap</x:v>
      </x:c>
      <x:c r="F5" s="330" t="str">
        <x:v>Device Control Gateway</x:v>
      </x:c>
      <x:c r="G5" s="330" t="str">
        <x:v>Device cert request/status</x:v>
      </x:c>
      <x:c r="H5" s="330" t="str">
        <x:v>mTLS after registration; one-time token before.</x:v>
      </x:c>
      <x:c r="I5" s="331" t="str">
        <x:v>Draft Complete</x:v>
      </x:c>
    </x:row>
    <x:row r="6">
      <x:c r="A6" s="337" t="str">
        <x:v>S3-EVT-002</x:v>
      </x:c>
      <x:c r="B6" s="338" t="str">
        <x:v>REST</x:v>
      </x:c>
      <x:c r="C6" s="338" t="str">
        <x:v>GET /devices/{id}/policy</x:v>
      </x:c>
      <x:c r="D6" s="338" t="str">
        <x:v>Fetch signed policy bundle.</x:v>
      </x:c>
      <x:c r="E6" s="338" t="str">
        <x:v>Agent policy cache</x:v>
      </x:c>
      <x:c r="F6" s="338" t="str">
        <x:v>Device Control/Policy</x:v>
      </x:c>
      <x:c r="G6" s="338" t="str">
        <x:v>Policy bundle + signature</x:v>
      </x:c>
      <x:c r="H6" s="338" t="str">
        <x:v>Cache with expiry; reject invalid signature.</x:v>
      </x:c>
      <x:c r="I6" s="339" t="str">
        <x:v>Draft Complete</x:v>
      </x:c>
    </x:row>
    <x:row r="7">
      <x:c r="A7" s="332" t="str">
        <x:v>S3-EVT-003</x:v>
      </x:c>
      <x:c r="B7" s="114" t="str">
        <x:v>REST</x:v>
      </x:c>
      <x:c r="C7" s="114" t="str">
        <x:v>POST /devices/{id}/heartbeat</x:v>
      </x:c>
      <x:c r="D7" s="114" t="str">
        <x:v>Non-sensitive health and permission state.</x:v>
      </x:c>
      <x:c r="E7" s="114" t="str">
        <x:v>Agent health</x:v>
      </x:c>
      <x:c r="F7" s="114" t="str">
        <x:v>Device Control</x:v>
      </x:c>
      <x:c r="G7" s="114" t="str">
        <x:v>Health receipt/commands</x:v>
      </x:c>
      <x:c r="H7" s="114" t="str">
        <x:v>No raw evidence content.</x:v>
      </x:c>
      <x:c r="I7" s="333" t="str">
        <x:v>Draft Complete</x:v>
      </x:c>
    </x:row>
    <x:row r="8">
      <x:c r="A8" s="337" t="str">
        <x:v>S3-EVT-004</x:v>
      </x:c>
      <x:c r="B8" s="338" t="str">
        <x:v>REST</x:v>
      </x:c>
      <x:c r="C8" s="338" t="str">
        <x:v>POST /events/batches</x:v>
      </x:c>
      <x:c r="D8" s="338" t="str">
        <x:v>Upload signed event batch and object refs.</x:v>
      </x:c>
      <x:c r="E8" s="338" t="str">
        <x:v>Agent uploader</x:v>
      </x:c>
      <x:c r="F8" s="338" t="str">
        <x:v>Telemetry Ingestion</x:v>
      </x:c>
      <x:c r="G8" s="338" t="str">
        <x:v>Ack/reject with idempotency key</x:v>
      </x:c>
      <x:c r="H8" s="338" t="str">
        <x:v>Signed, compressed, schema-versioned.</x:v>
      </x:c>
      <x:c r="I8" s="339" t="str">
        <x:v>Draft Complete</x:v>
      </x:c>
    </x:row>
    <x:row r="9">
      <x:c r="A9" s="332" t="str">
        <x:v>S3-EVT-005</x:v>
      </x:c>
      <x:c r="B9" s="114" t="str">
        <x:v>REST</x:v>
      </x:c>
      <x:c r="C9" s="114" t="str">
        <x:v>POST /events/objects</x:v>
      </x:c>
      <x:c r="D9" s="114" t="str">
        <x:v>Upload encrypted/redacted evidence object when allowed.</x:v>
      </x:c>
      <x:c r="E9" s="114" t="str">
        <x:v>Agent uploader</x:v>
      </x:c>
      <x:c r="F9" s="114" t="str">
        <x:v>Object/Evidence gateway</x:v>
      </x:c>
      <x:c r="G9" s="114" t="str">
        <x:v>Object receipt</x:v>
      </x:c>
      <x:c r="H9" s="114" t="str">
        <x:v>Object classification and retention required.</x:v>
      </x:c>
      <x:c r="I9" s="333" t="str">
        <x:v>Draft Complete</x:v>
      </x:c>
    </x:row>
    <x:row r="10">
      <x:c r="A10" s="337" t="str">
        <x:v>S3-EVT-006</x:v>
      </x:c>
      <x:c r="B10" s="338" t="str">
        <x:v>Event</x:v>
      </x:c>
      <x:c r="C10" s="338" t="str">
        <x:v>device.registered</x:v>
      </x:c>
      <x:c r="D10" s="338" t="str">
        <x:v>Device registration completed.</x:v>
      </x:c>
      <x:c r="E10" s="338" t="str">
        <x:v>Device Control</x:v>
      </x:c>
      <x:c r="F10" s="338" t="str">
        <x:v>HumanOS event bus</x:v>
      </x:c>
      <x:c r="G10" s="338" t="str">
        <x:v>Device metadata</x:v>
      </x:c>
      <x:c r="H10" s="338" t="str">
        <x:v>No personal raw data.</x:v>
      </x:c>
      <x:c r="I10" s="339" t="str">
        <x:v>Draft Complete</x:v>
      </x:c>
    </x:row>
    <x:row r="11">
      <x:c r="A11" s="332" t="str">
        <x:v>S3-EVT-007</x:v>
      </x:c>
      <x:c r="B11" s="114" t="str">
        <x:v>Event</x:v>
      </x:c>
      <x:c r="C11" s="114" t="str">
        <x:v>device.policy.applied</x:v>
      </x:c>
      <x:c r="D11" s="114" t="str">
        <x:v>Agent validated and applied policy.</x:v>
      </x:c>
      <x:c r="E11" s="114" t="str">
        <x:v>Agent/Control Gateway</x:v>
      </x:c>
      <x:c r="F11" s="114" t="str">
        <x:v>Event bus/audit</x:v>
      </x:c>
      <x:c r="G11" s="114" t="str">
        <x:v>policy_id, version, device_id</x:v>
      </x:c>
      <x:c r="H11" s="114" t="str">
        <x:v>Signed policy version and timestamp.</x:v>
      </x:c>
      <x:c r="I11" s="333" t="str">
        <x:v>Draft Complete</x:v>
      </x:c>
    </x:row>
    <x:row r="12">
      <x:c r="A12" s="337" t="str">
        <x:v>S3-EVT-008</x:v>
      </x:c>
      <x:c r="B12" s="338" t="str">
        <x:v>Event</x:v>
      </x:c>
      <x:c r="C12" s="338" t="str">
        <x:v>work.session.state.changed</x:v>
      </x:c>
      <x:c r="D12" s="338" t="str">
        <x:v>Endpoint session state changed.</x:v>
      </x:c>
      <x:c r="E12" s="338" t="str">
        <x:v>Agent</x:v>
      </x:c>
      <x:c r="F12" s="338" t="str">
        <x:v>Telemetry Ingestion</x:v>
      </x:c>
      <x:c r="G12" s="338" t="str">
        <x:v>state_before, state_after, reason</x:v>
      </x:c>
      <x:c r="H12" s="338" t="str">
        <x:v>Visible to employee; no content.</x:v>
      </x:c>
      <x:c r="I12" s="339" t="str">
        <x:v>Draft Complete</x:v>
      </x:c>
    </x:row>
    <x:row r="13">
      <x:c r="A13" s="332" t="str">
        <x:v>S3-EVT-009</x:v>
      </x:c>
      <x:c r="B13" s="114" t="str">
        <x:v>Event</x:v>
      </x:c>
      <x:c r="C13" s="114" t="str">
        <x:v>task.session.started</x:v>
      </x:c>
      <x:c r="D13" s="114" t="str">
        <x:v>Approved task became active.</x:v>
      </x:c>
      <x:c r="E13" s="114" t="str">
        <x:v>Agent</x:v>
      </x:c>
      <x:c r="F13" s="114" t="str">
        <x:v>Telemetry Ingestion</x:v>
      </x:c>
      <x:c r="G13" s="114" t="str">
        <x:v>task_id, task_contract_version</x:v>
      </x:c>
      <x:c r="H13" s="114" t="str">
        <x:v>Task contract must be available.</x:v>
      </x:c>
      <x:c r="I13" s="333" t="str">
        <x:v>Draft Complete</x:v>
      </x:c>
    </x:row>
    <x:row r="14">
      <x:c r="A14" s="337" t="str">
        <x:v>S3-EVT-010</x:v>
      </x:c>
      <x:c r="B14" s="338" t="str">
        <x:v>Event</x:v>
      </x:c>
      <x:c r="C14" s="338" t="str">
        <x:v>capture.suppressed</x:v>
      </x:c>
      <x:c r="D14" s="338" t="str">
        <x:v>Candidate capture suppressed due to secure field, exclusion or policy.</x:v>
      </x:c>
      <x:c r="E14" s="338" t="str">
        <x:v>Agent</x:v>
      </x:c>
      <x:c r="F14" s="338" t="str">
        <x:v>Audit/Evidence</x:v>
      </x:c>
      <x:c r="G14" s="338" t="str">
        <x:v>reason, app/category, policy_id</x:v>
      </x:c>
      <x:c r="H14" s="338" t="str">
        <x:v>No suppressed content stored.</x:v>
      </x:c>
      <x:c r="I14" s="339" t="str">
        <x:v>Draft Complete</x:v>
      </x:c>
    </x:row>
    <x:row r="15">
      <x:c r="A15" s="332" t="str">
        <x:v>S3-EVT-011</x:v>
      </x:c>
      <x:c r="B15" s="114" t="str">
        <x:v>Event</x:v>
      </x:c>
      <x:c r="C15" s="114" t="str">
        <x:v>agent.health.reported</x:v>
      </x:c>
      <x:c r="D15" s="114" t="str">
        <x:v>Agent status/permissions/queue/latency reported.</x:v>
      </x:c>
      <x:c r="E15" s="114" t="str">
        <x:v>Agent</x:v>
      </x:c>
      <x:c r="F15" s="114" t="str">
        <x:v>Device Control/SRE</x:v>
      </x:c>
      <x:c r="G15" s="114" t="str">
        <x:v>health metrics</x:v>
      </x:c>
      <x:c r="H15" s="114" t="str">
        <x:v>No evidence content.</x:v>
      </x:c>
      <x:c r="I15" s="333" t="str">
        <x:v>Draft Complete</x:v>
      </x:c>
    </x:row>
    <x:row r="16">
      <x:c r="A16" s="337" t="str">
        <x:v>S3-EVT-012</x:v>
      </x:c>
      <x:c r="B16" s="338" t="str">
        <x:v>Event</x:v>
      </x:c>
      <x:c r="C16" s="338" t="str">
        <x:v>telemetry.gap.detected</x:v>
      </x:c>
      <x:c r="D16" s="338" t="str">
        <x:v>Agent detected missed events, clock drift, sensor failure or dropped queue.</x:v>
      </x:c>
      <x:c r="E16" s="338" t="str">
        <x:v>Agent</x:v>
      </x:c>
      <x:c r="F16" s="338" t="str">
        <x:v>Evidence/Task Assurance</x:v>
      </x:c>
      <x:c r="G16" s="338" t="str">
        <x:v>gap type, duration, affected sensors</x:v>
      </x:c>
      <x:c r="H16" s="338" t="str">
        <x:v>Prevents false timeline confidence.</x:v>
      </x:c>
      <x:c r="I16" s="339" t="str">
        <x:v>Draft Complete</x:v>
      </x:c>
    </x:row>
    <x:row r="17">
      <x:c r="A17" s="332" t="str">
        <x:v>S3-EVT-013</x:v>
      </x:c>
      <x:c r="B17" s="114" t="str">
        <x:v>Event</x:v>
      </x:c>
      <x:c r="C17" s="114" t="str">
        <x:v>batch.upload.acknowledged</x:v>
      </x:c>
      <x:c r="D17" s="114" t="str">
        <x:v>Batch successfully ingested.</x:v>
      </x:c>
      <x:c r="E17" s="114" t="str">
        <x:v>Telemetry Ingestion</x:v>
      </x:c>
      <x:c r="F17" s="114" t="str">
        <x:v>Agent/Evidence</x:v>
      </x:c>
      <x:c r="G17" s="114" t="str">
        <x:v>batch_id, accepted_count</x:v>
      </x:c>
      <x:c r="H17" s="114" t="str">
        <x:v>Idempotency and dedupe.</x:v>
      </x:c>
      <x:c r="I17" s="333" t="str">
        <x:v>Draft Complete</x:v>
      </x:c>
    </x:row>
    <x:row r="18">
      <x:c r="A18" s="337" t="str">
        <x:v>S3-EVT-014</x:v>
      </x:c>
      <x:c r="B18" s="338" t="str">
        <x:v>Event</x:v>
      </x:c>
      <x:c r="C18" s="338" t="str">
        <x:v>agent.update.applied</x:v>
      </x:c>
      <x:c r="D18" s="338" t="str">
        <x:v>Agent update applied or rolled back.</x:v>
      </x:c>
      <x:c r="E18" s="338" t="str">
        <x:v>Agent/Control</x:v>
      </x:c>
      <x:c r="F18" s="338" t="str">
        <x:v>Audit/SRE</x:v>
      </x:c>
      <x:c r="G18" s="338" t="str">
        <x:v>version, result, rollback flag</x:v>
      </x:c>
      <x:c r="H18" s="338" t="str">
        <x:v>Signed update only.</x:v>
      </x:c>
      <x:c r="I18" s="339" t="str">
        <x:v>Draft Complete</x:v>
      </x:c>
    </x:row>
    <x:row r="19">
      <x:c r="A19" s="332" t="str">
        <x:v>S3-EVT-015</x:v>
      </x:c>
      <x:c r="B19" s="114" t="str">
        <x:v>Event</x:v>
      </x:c>
      <x:c r="C19" s="114" t="str">
        <x:v>device.revoked</x:v>
      </x:c>
      <x:c r="D19" s="114" t="str">
        <x:v>Device trust revoked.</x:v>
      </x:c>
      <x:c r="E19" s="114" t="str">
        <x:v>Device Control</x:v>
      </x:c>
      <x:c r="F19" s="114" t="str">
        <x:v>Agent/audit</x:v>
      </x:c>
      <x:c r="G19" s="114" t="str">
        <x:v>device_id, reason code</x:v>
      </x:c>
      <x:c r="H19" s="114" t="str">
        <x:v>Agent enters Revoked state.</x:v>
      </x:c>
      <x:c r="I19" s="333" t="str">
        <x:v>Draft Complete</x:v>
      </x:c>
    </x:row>
    <x:row r="20">
      <x:c r="A20" s="337" t="str">
        <x:v>S3-EVT-016</x:v>
      </x:c>
      <x:c r="B20" s="338" t="str">
        <x:v>Schema</x:v>
      </x:c>
      <x:c r="C20" s="338" t="str">
        <x:v>AgentEventEnvelope.schema.json</x:v>
      </x:c>
      <x:c r="D20" s="338" t="str">
        <x:v>Common local/batch event envelope.</x:v>
      </x:c>
      <x:c r="E20" s="338" t="str">
        <x:v>Data Architect</x:v>
      </x:c>
      <x:c r="F20" s="338" t="str">
        <x:v>Agent/ingestion</x:v>
      </x:c>
      <x:c r="G20" s="338" t="str">
        <x:v>JSON Schema</x:v>
      </x:c>
      <x:c r="H20" s="338" t="str">
        <x:v>tenant/person/device/session/task scope required.</x:v>
      </x:c>
      <x:c r="I20" s="339" t="str">
        <x:v>Draft Complete</x:v>
      </x:c>
    </x:row>
    <x:row r="21">
      <x:c r="A21" s="334" t="str">
        <x:v>S3-EVT-017</x:v>
      </x:c>
      <x:c r="B21" s="335" t="str">
        <x:v>Schema</x:v>
      </x:c>
      <x:c r="C21" s="335" t="str">
        <x:v>PolicyBundle.schema.json</x:v>
      </x:c>
      <x:c r="D21" s="335" t="str">
        <x:v>Signed policy bundle validation.</x:v>
      </x:c>
      <x:c r="E21" s="335" t="str">
        <x:v>Policy Service</x:v>
      </x:c>
      <x:c r="F21" s="335" t="str">
        <x:v>Agent</x:v>
      </x:c>
      <x:c r="G21" s="335" t="str">
        <x:v>JSON Schema/JWS profile</x:v>
      </x:c>
      <x:c r="H21" s="335" t="str">
        <x:v>Effective/expiry/signature required.</x:v>
      </x:c>
      <x:c r="I21" s="336" t="str">
        <x:v>Draft Complete</x:v>
      </x:c>
    </x:row>
  </x:sheetData>
  <x:mergeCells>
    <x:mergeCell ref="A1:I1"/>
    <x:mergeCell ref="A2:I2"/>
  </x:mergeCells>
  <x:dataValidations count="1">
    <x:dataValidation type="list" sqref="I5:I21">
      <x:formula1>"Draft Complete,Needs Review,Approved,Deferred"</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28" hidden="0" customWidth="1"/>
    <x:col min="3" max="3" width="50" hidden="0" customWidth="1"/>
    <x:col min="4" max="4" width="48" hidden="0" customWidth="1"/>
    <x:col min="5" max="5" width="42" hidden="0" customWidth="1"/>
    <x:col min="6" max="6" width="22" hidden="0" customWidth="1"/>
    <x:col min="7" max="7" width="12" hidden="0" customWidth="1"/>
    <x:col min="8" max="8" width="14" hidden="0" customWidth="1"/>
    <x:col min="9" max="9" width="52" hidden="0" customWidth="1"/>
    <x:col min="10" max="10" width="18" hidden="0" customWidth="1"/>
    <x:col min="11" max="11" width="28" hidden="0" customWidth="1"/>
  </x:cols>
  <x:sheetData>
    <x:row r="1" ht="30" customHeight="1">
      <x:c r="A1" s="294" t="str">
        <x:v>Stage 3 — Technical Spikes</x:v>
      </x:c>
      <x:c r="B1" s="294"/>
      <x:c r="C1" s="294"/>
      <x:c r="D1" s="294"/>
      <x:c r="E1" s="294"/>
      <x:c r="F1" s="294"/>
      <x:c r="G1" s="294"/>
      <x:c r="H1" s="294"/>
      <x:c r="I1" s="294"/>
      <x:c r="J1" s="294"/>
      <x:c r="K1" s="294"/>
    </x:row>
    <x:row r="2" ht="36" customHeight="1">
      <x:c r="A2" s="298" t="str">
        <x:v>Measurable technical spikes that de-risk endpoint capture foundation before broader capture implementation.</x:v>
      </x:c>
      <x:c r="B2" s="298"/>
      <x:c r="C2" s="298"/>
      <x:c r="D2" s="298"/>
      <x:c r="E2" s="298"/>
      <x:c r="F2" s="298"/>
      <x:c r="G2" s="298"/>
      <x:c r="H2" s="298"/>
      <x:c r="I2" s="298"/>
      <x:c r="J2" s="298"/>
      <x:c r="K2" s="298"/>
    </x:row>
    <x:row r="4" ht="30" customHeight="1">
      <x:c r="A4" s="310" t="str">
        <x:v>ID</x:v>
      </x:c>
      <x:c r="B4" s="311" t="str">
        <x:v>Spike</x:v>
      </x:c>
      <x:c r="C4" s="311" t="str">
        <x:v>Hypothesis</x:v>
      </x:c>
      <x:c r="D4" s="311" t="str">
        <x:v>Method</x:v>
      </x:c>
      <x:c r="E4" s="311" t="str">
        <x:v>Metrics</x:v>
      </x:c>
      <x:c r="F4" s="311" t="str">
        <x:v>Owner</x:v>
      </x:c>
      <x:c r="G4" s="311" t="str">
        <x:v>Priority</x:v>
      </x:c>
      <x:c r="H4" s="311" t="str">
        <x:v>Duration</x:v>
      </x:c>
      <x:c r="I4" s="311" t="str">
        <x:v>Decision rule</x:v>
      </x:c>
      <x:c r="J4" s="311" t="str">
        <x:v>Status</x:v>
      </x:c>
      <x:c r="K4" s="312" t="str">
        <x:v>Source / basis</x:v>
      </x:c>
    </x:row>
    <x:row r="5">
      <x:c r="A5" s="329" t="str">
        <x:v>S3-SPK-001</x:v>
      </x:c>
      <x:c r="B5" s="330" t="str">
        <x:v>Windows foreground app/window</x:v>
      </x:c>
      <x:c r="C5" s="330" t="str">
        <x:v>Can capture foreground app/window changes with ≥99% completeness and low overhead.</x:v>
      </x:c>
      <x:c r="D5" s="330" t="str">
        <x:v>Prototype Win32/UIA/ETW combination; compare against ActivityWatch patterns.</x:v>
      </x:c>
      <x:c r="E5" s="330" t="str">
        <x:v>Foreground change recall/precision; CPU/memory; title redaction.</x:v>
      </x:c>
      <x:c r="F5" s="330" t="str">
        <x:v>Desktop Windows Lead</x:v>
      </x:c>
      <x:c r="G5" s="330" t="str">
        <x:v>Critical</x:v>
      </x:c>
      <x:c r="H5" s="330" t="str">
        <x:v>5 days</x:v>
      </x:c>
      <x:c r="I5" s="330" t="str">
        <x:v>Proceed if ≥99% in controlled app matrix and no sensitive titles under exclusions.</x:v>
      </x:c>
      <x:c r="J5" s="330" t="str">
        <x:v>Draft Complete</x:v>
      </x:c>
      <x:c r="K5" s="331" t="str">
        <x:v>Microsoft UIA/ETW</x:v>
      </x:c>
    </x:row>
    <x:row r="6">
      <x:c r="A6" s="337" t="str">
        <x:v>S3-SPK-002</x:v>
      </x:c>
      <x:c r="B6" s="338" t="str">
        <x:v>macOS foreground app/window</x:v>
      </x:c>
      <x:c r="C6" s="338" t="str">
        <x:v>Can capture app/window state with required permissions and stable identifiers.</x:v>
      </x:c>
      <x:c r="D6" s="338" t="str">
        <x:v>Prototype NSWorkspace/AX approach.</x:v>
      </x:c>
      <x:c r="E6" s="338" t="str">
        <x:v>Completeness; TCC prompts; app compatibility.</x:v>
      </x:c>
      <x:c r="F6" s="338" t="str">
        <x:v>macOS Lead</x:v>
      </x:c>
      <x:c r="G6" s="338" t="str">
        <x:v>Critical</x:v>
      </x:c>
      <x:c r="H6" s="338" t="str">
        <x:v>5 days</x:v>
      </x:c>
      <x:c r="I6" s="338" t="str">
        <x:v>Proceed if stable across approved pilot apps.</x:v>
      </x:c>
      <x:c r="J6" s="338" t="str">
        <x:v>Draft Complete</x:v>
      </x:c>
      <x:c r="K6" s="339" t="str">
        <x:v>Apple Accessibility</x:v>
      </x:c>
    </x:row>
    <x:row r="7">
      <x:c r="A7" s="332" t="str">
        <x:v>S3-SPK-003</x:v>
      </x:c>
      <x:c r="B7" s="114" t="str">
        <x:v>Secure-field detection</x:v>
      </x:c>
      <x:c r="C7" s="114" t="str">
        <x:v>Can reliably suppress password/auth codes in supported browsers, IDEs, terminals and common apps.</x:v>
      </x:c>
      <x:c r="D7" s="114" t="str">
        <x:v>Build adversarial test app + browser forms + terminal secrets; test local guard.</x:v>
      </x:c>
      <x:c r="E7" s="114" t="str">
        <x:v>Zero known secret retention; suppression false-positive rate.</x:v>
      </x:c>
      <x:c r="F7" s="114" t="str">
        <x:v>Security/Desktop</x:v>
      </x:c>
      <x:c r="G7" s="114" t="str">
        <x:v>Critical</x:v>
      </x:c>
      <x:c r="H7" s="114" t="str">
        <x:v>10 days</x:v>
      </x:c>
      <x:c r="I7" s="114" t="str">
        <x:v>Block if any known secret retained.</x:v>
      </x:c>
      <x:c r="J7" s="114" t="str">
        <x:v>Draft Complete</x:v>
      </x:c>
      <x:c r="K7" s="333" t="str">
        <x:v>Privacy engineering</x:v>
      </x:c>
    </x:row>
    <x:row r="8">
      <x:c r="A8" s="337" t="str">
        <x:v>S3-SPK-004</x:v>
      </x:c>
      <x:c r="B8" s="338" t="str">
        <x:v>Local encrypted journal</x:v>
      </x:c>
      <x:c r="C8" s="338" t="str">
        <x:v>Can sustain queue and crash recovery without data loss/corruption.</x:v>
      </x:c>
      <x:c r="D8" s="338" t="str">
        <x:v>Implement prototype SQLite/SQLCipher-style journal, WAL, sequence, checksum, quota.</x:v>
      </x:c>
      <x:c r="E8" s="338" t="str">
        <x:v>Crash/restart recovery; write latency; upload resume.</x:v>
      </x:c>
      <x:c r="F8" s="338" t="str">
        <x:v>Desktop/Data</x:v>
      </x:c>
      <x:c r="G8" s="338" t="str">
        <x:v>Critical</x:v>
      </x:c>
      <x:c r="H8" s="338" t="str">
        <x:v>10 days</x:v>
      </x:c>
      <x:c r="I8" s="338" t="str">
        <x:v>Proceed if 72-hour offline/chaos test passes.</x:v>
      </x:c>
      <x:c r="J8" s="338" t="str">
        <x:v>Draft Complete</x:v>
      </x:c>
      <x:c r="K8" s="339" t="str">
        <x:v>SQLCipher/WAL</x:v>
      </x:c>
    </x:row>
    <x:row r="9">
      <x:c r="A9" s="332" t="str">
        <x:v>S3-SPK-005</x:v>
      </x:c>
      <x:c r="B9" s="114" t="str">
        <x:v>Signed policy bundle</x:v>
      </x:c>
      <x:c r="C9" s="114" t="str">
        <x:v>Agent can verify policy signature, expiry and fail-safe on invalid/expired policy.</x:v>
      </x:c>
      <x:c r="D9" s="114" t="str">
        <x:v>Implement PolicyBundle schema + signature validation + local decision test.</x:v>
      </x:c>
      <x:c r="E9" s="114" t="str">
        <x:v>Reject invalid/expired/rollback; decision latency.</x:v>
      </x:c>
      <x:c r="F9" s="114" t="str">
        <x:v>Security/Platform</x:v>
      </x:c>
      <x:c r="G9" s="114" t="str">
        <x:v>Critical</x:v>
      </x:c>
      <x:c r="H9" s="114" t="str">
        <x:v>7 days</x:v>
      </x:c>
      <x:c r="I9" s="114" t="str">
        <x:v>Proceed if all invalid cases fail closed.</x:v>
      </x:c>
      <x:c r="J9" s="114" t="str">
        <x:v>Draft Complete</x:v>
      </x:c>
      <x:c r="K9" s="333" t="str">
        <x:v>OPA/JWS pattern</x:v>
      </x:c>
    </x:row>
    <x:row r="10">
      <x:c r="A10" s="337" t="str">
        <x:v>S3-SPK-006</x:v>
      </x:c>
      <x:c r="B10" s="338" t="str">
        <x:v>Signed batch ingestion</x:v>
      </x:c>
      <x:c r="C10" s="338" t="str">
        <x:v>Event batches are idempotent, signed, compressed and accepted/rejected deterministically.</x:v>
      </x:c>
      <x:c r="D10" s="338" t="str">
        <x:v>Agent batch + Java ingestion stub + schema validation.</x:v>
      </x:c>
      <x:c r="E10" s="338" t="str">
        <x:v>Duplicate handling; ack/retry; throughput.</x:v>
      </x:c>
      <x:c r="F10" s="338" t="str">
        <x:v>Platform/Data</x:v>
      </x:c>
      <x:c r="G10" s="338" t="str">
        <x:v>Critical</x:v>
      </x:c>
      <x:c r="H10" s="338" t="str">
        <x:v>7 days</x:v>
      </x:c>
      <x:c r="I10" s="338" t="str">
        <x:v>Proceed if duplicates safe and replay deterministic.</x:v>
      </x:c>
      <x:c r="J10" s="338" t="str">
        <x:v>Draft Complete</x:v>
      </x:c>
      <x:c r="K10" s="339" t="str">
        <x:v>Kafka/CloudEvents</x:v>
      </x:c>
    </x:row>
    <x:row r="11">
      <x:c r="A11" s="332" t="str">
        <x:v>S3-SPK-007</x:v>
      </x:c>
      <x:c r="B11" s="114" t="str">
        <x:v>macOS ScreenCaptureKit</x:v>
      </x:c>
      <x:c r="C11" s="114" t="str">
        <x:v>Can capture selected display/window/app when policy allows and TCC permission granted.</x:v>
      </x:c>
      <x:c r="D11" s="114" t="str">
        <x:v>One-shot screenshot and stream prototype; changed frame hash.</x:v>
      </x:c>
      <x:c r="E11" s="114" t="str">
        <x:v>Capture latency; CPU; permission UX; exclusion handling.</x:v>
      </x:c>
      <x:c r="F11" s="114" t="str">
        <x:v>macOS Lead</x:v>
      </x:c>
      <x:c r="G11" s="114" t="str">
        <x:v>High</x:v>
      </x:c>
      <x:c r="H11" s="114" t="str">
        <x:v>7 days</x:v>
      </x:c>
      <x:c r="I11" s="114" t="str">
        <x:v>Proceed to Stage 5 design only with explicit permission and exclusion path.</x:v>
      </x:c>
      <x:c r="J11" s="114" t="str">
        <x:v>Draft Complete</x:v>
      </x:c>
      <x:c r="K11" s="333" t="str">
        <x:v>Apple ScreenCaptureKit</x:v>
      </x:c>
    </x:row>
    <x:row r="12">
      <x:c r="A12" s="337" t="str">
        <x:v>S3-SPK-008</x:v>
      </x:c>
      <x:c r="B12" s="338" t="str">
        <x:v>Windows screen capture</x:v>
      </x:c>
      <x:c r="C12" s="338" t="str">
        <x:v>Can capture approved window/display under policy with acceptable overhead.</x:v>
      </x:c>
      <x:c r="D12" s="338" t="str">
        <x:v>Prototype Windows Graphics Capture one-shot/event-driven screenshot.</x:v>
      </x:c>
      <x:c r="E12" s="338" t="str">
        <x:v>Latency; CPU; redaction/exclusion; multi-monitor.</x:v>
      </x:c>
      <x:c r="F12" s="338" t="str">
        <x:v>Windows Lead</x:v>
      </x:c>
      <x:c r="G12" s="338" t="str">
        <x:v>High</x:v>
      </x:c>
      <x:c r="H12" s="338" t="str">
        <x:v>7 days</x:v>
      </x:c>
      <x:c r="I12" s="338" t="str">
        <x:v>Proceed if event-driven capture feasible.</x:v>
      </x:c>
      <x:c r="J12" s="338" t="str">
        <x:v>Draft Complete</x:v>
      </x:c>
      <x:c r="K12" s="339" t="str">
        <x:v>Windows Graphics Capture</x:v>
      </x:c>
    </x:row>
    <x:row r="13">
      <x:c r="A13" s="332" t="str">
        <x:v>S3-SPK-009</x:v>
      </x:c>
      <x:c r="B13" s="114" t="str">
        <x:v>Input provenance</x:v>
      </x:c>
      <x:c r="C13" s="114" t="str">
        <x:v>Can distinguish physical input, injected/automation and paste/shortcut categories in supported contexts.</x:v>
      </x:c>
      <x:c r="D13" s="114" t="str">
        <x:v>Evaluate Raw Input vs low-level hooks; dedicated thread; no text capture yet.</x:v>
      </x:c>
      <x:c r="E13" s="114" t="str">
        <x:v>Latency; completeness; injected flag quality; hook timeout risk.</x:v>
      </x:c>
      <x:c r="F13" s="114" t="str">
        <x:v>Desktop Lead</x:v>
      </x:c>
      <x:c r="G13" s="114" t="str">
        <x:v>High</x:v>
      </x:c>
      <x:c r="H13" s="114" t="str">
        <x:v>10 days</x:v>
      </x:c>
      <x:c r="I13" s="114" t="str">
        <x:v>Prefer Raw Input if reliability sufficient.</x:v>
      </x:c>
      <x:c r="J13" s="114" t="str">
        <x:v>Draft Complete</x:v>
      </x:c>
      <x:c r="K13" s="333" t="str">
        <x:v>Microsoft Raw Input/LowLevelMouseProc</x:v>
      </x:c>
    </x:row>
    <x:row r="14">
      <x:c r="A14" s="337" t="str">
        <x:v>S3-SPK-010</x:v>
      </x:c>
      <x:c r="B14" s="338" t="str">
        <x:v>Accessibility tree coverage</x:v>
      </x:c>
      <x:c r="C14" s="338" t="str">
        <x:v>Supported pilot apps expose sufficient UI/accessibility metadata.</x:v>
      </x:c>
      <x:c r="D14" s="338" t="str">
        <x:v>Sample VS Code, JetBrains, Xcode, browsers, terminals and internal apps.</x:v>
      </x:c>
      <x:c r="E14" s="338" t="str">
        <x:v>Coverage; sensitive field exposure; data volume.</x:v>
      </x:c>
      <x:c r="F14" s="338" t="str">
        <x:v>Desktop/QA</x:v>
      </x:c>
      <x:c r="G14" s="338" t="str">
        <x:v>High</x:v>
      </x:c>
      <x:c r="H14" s="338" t="str">
        <x:v>10 days</x:v>
      </x:c>
      <x:c r="I14" s="338" t="str">
        <x:v>If coverage inadequate, define visual/OCR fallback later.</x:v>
      </x:c>
      <x:c r="J14" s="338" t="str">
        <x:v>Draft Complete</x:v>
      </x:c>
      <x:c r="K14" s="339" t="str">
        <x:v>UIA/AX</x:v>
      </x:c>
    </x:row>
    <x:row r="15">
      <x:c r="A15" s="332" t="str">
        <x:v>S3-SPK-011</x:v>
      </x:c>
      <x:c r="B15" s="114" t="str">
        <x:v>File-system activity</x:v>
      </x:c>
      <x:c r="C15" s="114" t="str">
        <x:v>Can capture project-root file create/modify/delete/rename events without personal-folder scanning.</x:v>
      </x:c>
      <x:c r="D15" s="114" t="str">
        <x:v>Implement allowlisted root watcher prototype.</x:v>
      </x:c>
      <x:c r="E15" s="114" t="str">
        <x:v>Completeness; duplicate events; privacy boundaries.</x:v>
      </x:c>
      <x:c r="F15" s="114" t="str">
        <x:v>Desktop/Data</x:v>
      </x:c>
      <x:c r="G15" s="114" t="str">
        <x:v>High</x:v>
      </x:c>
      <x:c r="H15" s="114" t="str">
        <x:v>5 days</x:v>
      </x:c>
      <x:c r="I15" s="114" t="str">
        <x:v>Proceed if project-root allowlists enforceable.</x:v>
      </x:c>
      <x:c r="J15" s="114" t="str">
        <x:v>Draft Complete</x:v>
      </x:c>
      <x:c r="K15" s="333" t="str">
        <x:v>OS file events</x:v>
      </x:c>
    </x:row>
    <x:row r="16">
      <x:c r="A16" s="337" t="str">
        <x:v>S3-SPK-012</x:v>
      </x:c>
      <x:c r="B16" s="338" t="str">
        <x:v>Browser native messaging</x:v>
      </x:c>
      <x:c r="C16" s="338" t="str">
        <x:v>Browser extension can securely pass active tab metadata to local agent.</x:v>
      </x:c>
      <x:c r="D16" s="338" t="str">
        <x:v>Chrome/Edge extension + native host prototype.</x:v>
      </x:c>
      <x:c r="E16" s="338" t="str">
        <x:v>Permissions, installation, policy allowlist, latency.</x:v>
      </x:c>
      <x:c r="F16" s="338" t="str">
        <x:v>Browser Lead</x:v>
      </x:c>
      <x:c r="G16" s="338" t="str">
        <x:v>High</x:v>
      </x:c>
      <x:c r="H16" s="338" t="str">
        <x:v>5 days</x:v>
      </x:c>
      <x:c r="I16" s="338" t="str">
        <x:v>Proceed for Stage 6 if enterprise deployment feasible.</x:v>
      </x:c>
      <x:c r="J16" s="338" t="str">
        <x:v>Draft Complete</x:v>
      </x:c>
      <x:c r="K16" s="339" t="str">
        <x:v>Chrome native messaging</x:v>
      </x:c>
    </x:row>
    <x:row r="17">
      <x:c r="A17" s="332" t="str">
        <x:v>S3-SPK-013</x:v>
      </x:c>
      <x:c r="B17" s="114" t="str">
        <x:v>Shell/PTY integration</x:v>
      </x:c>
      <x:c r="C17" s="114" t="str">
        <x:v>Command/result semantics can be captured without exposing secrets.</x:v>
      </x:c>
      <x:c r="D17" s="114" t="str">
        <x:v>Prototype shell integration for PowerShell, bash/zsh; redact env vars.</x:v>
      </x:c>
      <x:c r="E17" s="114" t="str">
        <x:v>Command recall; secret redaction; shell compatibility.</x:v>
      </x:c>
      <x:c r="F17" s="114" t="str">
        <x:v>Integrations Lead</x:v>
      </x:c>
      <x:c r="G17" s="114" t="str">
        <x:v>High</x:v>
      </x:c>
      <x:c r="H17" s="114" t="str">
        <x:v>10 days</x:v>
      </x:c>
      <x:c r="I17" s="114" t="str">
        <x:v>Proceed with supported shells list and redaction tests.</x:v>
      </x:c>
      <x:c r="J17" s="114" t="str">
        <x:v>Draft Complete</x:v>
      </x:c>
      <x:c r="K17" s="333" t="str">
        <x:v>Shell integration</x:v>
      </x:c>
    </x:row>
    <x:row r="18">
      <x:c r="A18" s="337" t="str">
        <x:v>S3-SPK-014</x:v>
      </x:c>
      <x:c r="B18" s="338" t="str">
        <x:v>Codex/Claude adapters</x:v>
      </x:c>
      <x:c r="C18" s="338" t="str">
        <x:v>AI-agent hooks can be normalised into local AgentEvent schema.</x:v>
      </x:c>
      <x:c r="D18" s="338" t="str">
        <x:v>Instrument Codex hooks and Claude Code/session logs where available.</x:v>
      </x:c>
      <x:c r="E18" s="338" t="str">
        <x:v>Prompt/tool capture accuracy; provider version drift; privacy filtering.</x:v>
      </x:c>
      <x:c r="F18" s="338" t="str">
        <x:v>AI Integrations</x:v>
      </x:c>
      <x:c r="G18" s="338" t="str">
        <x:v>High</x:v>
      </x:c>
      <x:c r="H18" s="338" t="str">
        <x:v>10 days</x:v>
      </x:c>
      <x:c r="I18" s="338" t="str">
        <x:v>Proceed with provider-specific adapters behind common contract.</x:v>
      </x:c>
      <x:c r="J18" s="338" t="str">
        <x:v>Draft Complete</x:v>
      </x:c>
      <x:c r="K18" s="339" t="str">
        <x:v>Codex hooks/Claude-Mem</x:v>
      </x:c>
    </x:row>
    <x:row r="19">
      <x:c r="A19" s="334" t="str">
        <x:v>S3-SPK-015</x:v>
      </x:c>
      <x:c r="B19" s="335" t="str">
        <x:v>Installer/update</x:v>
      </x:c>
      <x:c r="C19" s="335" t="str">
        <x:v>Signed Windows/macOS agent can install, update, rollback and uninstall cleanly.</x:v>
      </x:c>
      <x:c r="D19" s="335" t="str">
        <x:v>Build minimal signed/notarised installer pipeline and update manifest.</x:v>
      </x:c>
      <x:c r="E19" s="335" t="str">
        <x:v>Install success, rollback, clean uninstall, Gatekeeper/SmartScreen.</x:v>
      </x:c>
      <x:c r="F19" s="335" t="str">
        <x:v>DevSecOps/Desktop</x:v>
      </x:c>
      <x:c r="G19" s="335" t="str">
        <x:v>Critical</x:v>
      </x:c>
      <x:c r="H19" s="335" t="str">
        <x:v>15 days</x:v>
      </x:c>
      <x:c r="I19" s="335" t="str">
        <x:v>Proceed if signed build pipeline and rollback pass.</x:v>
      </x:c>
      <x:c r="J19" s="335" t="str">
        <x:v>Draft Complete</x:v>
      </x:c>
      <x:c r="K19" s="336" t="str">
        <x:v>MSIX signing/Apple notarization</x:v>
      </x:c>
    </x:row>
  </x:sheetData>
  <x:mergeCells>
    <x:mergeCell ref="A1:K1"/>
    <x:mergeCell ref="A2:K2"/>
  </x:mergeCells>
  <x:dataValidations count="2">
    <x:dataValidation type="list" sqref="G5:G19">
      <x:formula1>"Critical,High,Medium,Low"</x:formula1>
    </x:dataValidation>
    <x:dataValidation type="list" sqref="J5:J19">
      <x:formula1>"Draft Complete,Not Started,In Progress,Passed,Failed,Deferred"</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4" hidden="0" customWidth="1"/>
    <x:col min="5" max="5" width="34" hidden="0" customWidth="1"/>
    <x:col min="6" max="6" width="22" hidden="0" customWidth="1"/>
    <x:col min="7" max="7" width="12" hidden="0" customWidth="1"/>
    <x:col min="8" max="8" width="18" hidden="0" customWidth="1"/>
  </x:cols>
  <x:sheetData>
    <x:row r="1" ht="30" customHeight="1">
      <x:c r="A1" s="294" t="str">
        <x:v>Stage 3 — Performance and Reliability Budgets</x:v>
      </x:c>
      <x:c r="B1" s="294"/>
      <x:c r="C1" s="294"/>
      <x:c r="D1" s="294"/>
      <x:c r="E1" s="294"/>
      <x:c r="F1" s="294"/>
      <x:c r="G1" s="294"/>
      <x:c r="H1" s="294"/>
    </x:row>
    <x:row r="2" ht="36" customHeight="1">
      <x:c r="A2" s="298" t="str">
        <x:v>Initial budgets for the device-agent skeleton and later capture spikes. Targets must be validated on actual Nessovo pilot hardware.</x:v>
      </x:c>
      <x:c r="B2" s="298"/>
      <x:c r="C2" s="298"/>
      <x:c r="D2" s="298"/>
      <x:c r="E2" s="298"/>
      <x:c r="F2" s="298"/>
      <x:c r="G2" s="298"/>
      <x:c r="H2" s="298"/>
    </x:row>
    <x:row r="4" ht="30" customHeight="1">
      <x:c r="A4" s="310" t="str">
        <x:v>ID</x:v>
      </x:c>
      <x:c r="B4" s="311" t="str">
        <x:v>Budget area</x:v>
      </x:c>
      <x:c r="C4" s="311" t="str">
        <x:v>Target</x:v>
      </x:c>
      <x:c r="D4" s="311" t="str">
        <x:v>Validation method</x:v>
      </x:c>
      <x:c r="E4" s="311" t="str">
        <x:v>Metric</x:v>
      </x:c>
      <x:c r="F4" s="311" t="str">
        <x:v>Owner</x:v>
      </x:c>
      <x:c r="G4" s="311" t="str">
        <x:v>Priority</x:v>
      </x:c>
      <x:c r="H4" s="312" t="str">
        <x:v>Status</x:v>
      </x:c>
    </x:row>
    <x:row r="5">
      <x:c r="A5" s="329" t="str">
        <x:v>PERF-001</x:v>
      </x:c>
      <x:c r="B5" s="330" t="str">
        <x:v>Agent idle CPU</x:v>
      </x:c>
      <x:c r="C5" s="330" t="str">
        <x:v>≤1% typical when no active capture.</x:v>
      </x:c>
      <x:c r="D5" s="330" t="str">
        <x:v>Continuous 8h idle on Windows/macOS pilot devices.</x:v>
      </x:c>
      <x:c r="E5" s="330" t="str">
        <x:v>p95 CPU; thermal/battery.</x:v>
      </x:c>
      <x:c r="F5" s="330" t="str">
        <x:v>SRE/Desktop</x:v>
      </x:c>
      <x:c r="G5" s="330" t="str">
        <x:v>Critical</x:v>
      </x:c>
      <x:c r="H5" s="331" t="str">
        <x:v>Draft Complete</x:v>
      </x:c>
    </x:row>
    <x:row r="6">
      <x:c r="A6" s="337" t="str">
        <x:v>PERF-002</x:v>
      </x:c>
      <x:c r="B6" s="338" t="str">
        <x:v>Agent active CPU</x:v>
      </x:c>
      <x:c r="C6" s="338" t="str">
        <x:v>≤7% typical during approved event-driven capture; spikes bounded.</x:v>
      </x:c>
      <x:c r="D6" s="338" t="str">
        <x:v>4h realistic dev workload.</x:v>
      </x:c>
      <x:c r="E6" s="338" t="str">
        <x:v>p95 CPU and max spike duration.</x:v>
      </x:c>
      <x:c r="F6" s="338" t="str">
        <x:v>SRE/Desktop</x:v>
      </x:c>
      <x:c r="G6" s="338" t="str">
        <x:v>Critical</x:v>
      </x:c>
      <x:c r="H6" s="339" t="str">
        <x:v>Draft Complete</x:v>
      </x:c>
    </x:row>
    <x:row r="7">
      <x:c r="A7" s="332" t="str">
        <x:v>PERF-003</x:v>
      </x:c>
      <x:c r="B7" s="114" t="str">
        <x:v>Memory</x:v>
      </x:c>
      <x:c r="C7" s="114" t="str">
        <x:v>≤750 MB typical full agent, preferably much lower for skeleton.</x:v>
      </x:c>
      <x:c r="D7" s="114" t="str">
        <x:v>Long-duration workload.</x:v>
      </x:c>
      <x:c r="E7" s="114" t="str">
        <x:v>p95 RSS/working set.</x:v>
      </x:c>
      <x:c r="F7" s="114" t="str">
        <x:v>SRE/Desktop</x:v>
      </x:c>
      <x:c r="G7" s="114" t="str">
        <x:v>High</x:v>
      </x:c>
      <x:c r="H7" s="333" t="str">
        <x:v>Draft Complete</x:v>
      </x:c>
    </x:row>
    <x:row r="8">
      <x:c r="A8" s="337" t="str">
        <x:v>PERF-004</x:v>
      </x:c>
      <x:c r="B8" s="338" t="str">
        <x:v>Input latency</x:v>
      </x:c>
      <x:c r="C8" s="338" t="str">
        <x:v>No perceptible keyboard/mouse latency; hook/Raw Input path returns immediately.</x:v>
      </x:c>
      <x:c r="D8" s="338" t="str">
        <x:v>Synthetic keystroke/mouse benchmark and human UX test.</x:v>
      </x:c>
      <x:c r="E8" s="338" t="str">
        <x:v>Latency p95/p99; dropped input zero.</x:v>
      </x:c>
      <x:c r="F8" s="338" t="str">
        <x:v>Desktop QA</x:v>
      </x:c>
      <x:c r="G8" s="338" t="str">
        <x:v>Critical</x:v>
      </x:c>
      <x:c r="H8" s="339" t="str">
        <x:v>Draft Complete</x:v>
      </x:c>
    </x:row>
    <x:row r="9">
      <x:c r="A9" s="332" t="str">
        <x:v>PERF-005</x:v>
      </x:c>
      <x:c r="B9" s="114" t="str">
        <x:v>Local write latency</x:v>
      </x:c>
      <x:c r="C9" s="114" t="str">
        <x:v>Event journal write p95 ≤10 ms for metadata events.</x:v>
      </x:c>
      <x:c r="D9" s="114" t="str">
        <x:v>Stress test with event bursts.</x:v>
      </x:c>
      <x:c r="E9" s="114" t="str">
        <x:v>p95/p99 write latency and data loss.</x:v>
      </x:c>
      <x:c r="F9" s="114" t="str">
        <x:v>Data/Desktop</x:v>
      </x:c>
      <x:c r="G9" s="114" t="str">
        <x:v>High</x:v>
      </x:c>
      <x:c r="H9" s="333" t="str">
        <x:v>Draft Complete</x:v>
      </x:c>
    </x:row>
    <x:row r="10">
      <x:c r="A10" s="337" t="str">
        <x:v>PERF-006</x:v>
      </x:c>
      <x:c r="B10" s="338" t="str">
        <x:v>Batch upload</x:v>
      </x:c>
      <x:c r="C10" s="338" t="str">
        <x:v>Acknowledged batch upload p95 ≤5s under normal network for metadata-only batches.</x:v>
      </x:c>
      <x:c r="D10" s="338" t="str">
        <x:v>Controlled network benchmark.</x:v>
      </x:c>
      <x:c r="E10" s="338" t="str">
        <x:v>p95 ack latency and retry rates.</x:v>
      </x:c>
      <x:c r="F10" s="338" t="str">
        <x:v>Platform/Data</x:v>
      </x:c>
      <x:c r="G10" s="338" t="str">
        <x:v>Medium</x:v>
      </x:c>
      <x:c r="H10" s="339" t="str">
        <x:v>Draft Complete</x:v>
      </x:c>
    </x:row>
    <x:row r="11">
      <x:c r="A11" s="332" t="str">
        <x:v>PERF-007</x:v>
      </x:c>
      <x:c r="B11" s="114" t="str">
        <x:v>Offline duration</x:v>
      </x:c>
      <x:c r="C11" s="114" t="str">
        <x:v>Safe offline operation for at least 72h within valid policy and storage quota.</x:v>
      </x:c>
      <x:c r="D11" s="114" t="str">
        <x:v>Disconnect/reconnect test.</x:v>
      </x:c>
      <x:c r="E11" s="114" t="str">
        <x:v>No corruption, proper expiry, resume success.</x:v>
      </x:c>
      <x:c r="F11" s="114" t="str">
        <x:v>Desktop/SRE</x:v>
      </x:c>
      <x:c r="G11" s="114" t="str">
        <x:v>High</x:v>
      </x:c>
      <x:c r="H11" s="333" t="str">
        <x:v>Draft Complete</x:v>
      </x:c>
    </x:row>
    <x:row r="12">
      <x:c r="A12" s="337" t="str">
        <x:v>PERF-008</x:v>
      </x:c>
      <x:c r="B12" s="338" t="str">
        <x:v>Storage quota</x:v>
      </x:c>
      <x:c r="C12" s="338" t="str">
        <x:v>Configurable; pilot starting point 1–5 GB local evidence cap depending enabled capture.</x:v>
      </x:c>
      <x:c r="D12" s="338" t="str">
        <x:v>Disk pressure test.</x:v>
      </x:c>
      <x:c r="E12" s="338" t="str">
        <x:v>Quota enforcement and graceful degradation.</x:v>
      </x:c>
      <x:c r="F12" s="338" t="str">
        <x:v>DPO/Data/SRE</x:v>
      </x:c>
      <x:c r="G12" s="338" t="str">
        <x:v>High</x:v>
      </x:c>
      <x:c r="H12" s="339" t="str">
        <x:v>Draft Complete</x:v>
      </x:c>
    </x:row>
    <x:row r="13">
      <x:c r="A13" s="332" t="str">
        <x:v>PERF-009</x:v>
      </x:c>
      <x:c r="B13" s="114" t="str">
        <x:v>Crash recovery</x:v>
      </x:c>
      <x:c r="C13" s="114" t="str">
        <x:v>No unrecoverable journal corruption after forced termination or restart.</x:v>
      </x:c>
      <x:c r="D13" s="114" t="str">
        <x:v>Kill/restart/fuzz local journal.</x:v>
      </x:c>
      <x:c r="E13" s="114" t="str">
        <x:v>Recovery success, gap event emitted.</x:v>
      </x:c>
      <x:c r="F13" s="114" t="str">
        <x:v>Desktop QA</x:v>
      </x:c>
      <x:c r="G13" s="114" t="str">
        <x:v>Critical</x:v>
      </x:c>
      <x:c r="H13" s="333" t="str">
        <x:v>Draft Complete</x:v>
      </x:c>
    </x:row>
    <x:row r="14">
      <x:c r="A14" s="337" t="str">
        <x:v>PERF-010</x:v>
      </x:c>
      <x:c r="B14" s="338" t="str">
        <x:v>Battery impact</x:v>
      </x:c>
      <x:c r="C14" s="338" t="str">
        <x:v>No material battery degradation beyond approved threshold on macOS laptops.</x:v>
      </x:c>
      <x:c r="D14" s="338" t="str">
        <x:v>Battery rundown benchmark.</x:v>
      </x:c>
      <x:c r="E14" s="338" t="str">
        <x:v>Battery delta vs baseline.</x:v>
      </x:c>
      <x:c r="F14" s="338" t="str">
        <x:v>SRE/Desktop</x:v>
      </x:c>
      <x:c r="G14" s="338" t="str">
        <x:v>High</x:v>
      </x:c>
      <x:c r="H14" s="339" t="str">
        <x:v>Draft Complete</x:v>
      </x:c>
    </x:row>
    <x:row r="15">
      <x:c r="A15" s="332" t="str">
        <x:v>PERF-011</x:v>
      </x:c>
      <x:c r="B15" s="114" t="str">
        <x:v>Installation success</x:v>
      </x:c>
      <x:c r="C15" s="114" t="str">
        <x:v>≥98% install/update/uninstall success in managed test cohort before pilot.</x:v>
      </x:c>
      <x:c r="D15" s="114" t="str">
        <x:v>MDM/manual test matrix.</x:v>
      </x:c>
      <x:c r="E15" s="114" t="str">
        <x:v>Success rate and remediation time.</x:v>
      </x:c>
      <x:c r="F15" s="114" t="str">
        <x:v>IT/DevSecOps</x:v>
      </x:c>
      <x:c r="G15" s="114" t="str">
        <x:v>Critical</x:v>
      </x:c>
      <x:c r="H15" s="333" t="str">
        <x:v>Draft Complete</x:v>
      </x:c>
    </x:row>
    <x:row r="16">
      <x:c r="A16" s="337" t="str">
        <x:v>PERF-012</x:v>
      </x:c>
      <x:c r="B16" s="338" t="str">
        <x:v>Health heartbeat</x:v>
      </x:c>
      <x:c r="C16" s="338" t="str">
        <x:v>Agent reports health within 60s of status changes and at configured interval.</x:v>
      </x:c>
      <x:c r="D16" s="338" t="str">
        <x:v>Health simulation.</x:v>
      </x:c>
      <x:c r="E16" s="338" t="str">
        <x:v>Heartbeat latency and false alerts.</x:v>
      </x:c>
      <x:c r="F16" s="338" t="str">
        <x:v>SRE/Platform</x:v>
      </x:c>
      <x:c r="G16" s="338" t="str">
        <x:v>Medium</x:v>
      </x:c>
      <x:c r="H16" s="339" t="str">
        <x:v>Draft Complete</x:v>
      </x:c>
    </x:row>
    <x:row r="17">
      <x:c r="A17" s="332" t="str">
        <x:v>PERF-013</x:v>
      </x:c>
      <x:c r="B17" s="114" t="str">
        <x:v>Policy decision latency</x:v>
      </x:c>
      <x:c r="C17" s="114" t="str">
        <x:v>Local policy decision p95 ≤5 ms for hot-path decisions.</x:v>
      </x:c>
      <x:c r="D17" s="114" t="str">
        <x:v>Policy stress test.</x:v>
      </x:c>
      <x:c r="E17" s="114" t="str">
        <x:v>Latency and fail-safe behaviour.</x:v>
      </x:c>
      <x:c r="F17" s="114" t="str">
        <x:v>Security/Desktop</x:v>
      </x:c>
      <x:c r="G17" s="114" t="str">
        <x:v>High</x:v>
      </x:c>
      <x:c r="H17" s="333" t="str">
        <x:v>Draft Complete</x:v>
      </x:c>
    </x:row>
    <x:row r="18">
      <x:c r="A18" s="340" t="str">
        <x:v>PERF-014</x:v>
      </x:c>
      <x:c r="B18" s="341" t="str">
        <x:v>Visual spike budget</x:v>
      </x:c>
      <x:c r="C18" s="341" t="str">
        <x:v>Stage 5 target: event-driven screenshot p95 capture+hash ≤500 ms for approved regions.</x:v>
      </x:c>
      <x:c r="D18" s="341" t="str">
        <x:v>Stage 5 spike; not Stage 3 skeleton.</x:v>
      </x:c>
      <x:c r="E18" s="341" t="str">
        <x:v>Latency and CPU.</x:v>
      </x:c>
      <x:c r="F18" s="341" t="str">
        <x:v>Desktop</x:v>
      </x:c>
      <x:c r="G18" s="341" t="str">
        <x:v>Medium</x:v>
      </x:c>
      <x:c r="H18" s="342"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2" hidden="0" customWidth="1"/>
    <x:col min="2" max="2" width="24" hidden="0" customWidth="1"/>
    <x:col min="3" max="3" width="50"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24" hidden="0" customWidth="1"/>
  </x:cols>
  <x:sheetData>
    <x:row r="1" ht="30" customHeight="1">
      <x:c r="A1" s="294" t="str">
        <x:v>Stage 3 — Device Agent Threat Model</x:v>
      </x:c>
      <x:c r="B1" s="294"/>
      <x:c r="C1" s="294"/>
      <x:c r="D1" s="294"/>
      <x:c r="E1" s="294"/>
      <x:c r="F1" s="294"/>
      <x:c r="G1" s="294"/>
      <x:c r="H1" s="294"/>
      <x:c r="I1" s="294"/>
      <x:c r="J1" s="294"/>
    </x:row>
    <x:row r="2" ht="36" customHeight="1">
      <x:c r="A2" s="298" t="str">
        <x:v>Endpoint-specific threat scenarios and blocking controls for the device-agent foundation.</x:v>
      </x:c>
      <x:c r="B2" s="298"/>
      <x:c r="C2" s="298"/>
      <x:c r="D2" s="298"/>
      <x:c r="E2" s="298"/>
      <x:c r="F2" s="298"/>
      <x:c r="G2" s="298"/>
      <x:c r="H2" s="298"/>
      <x:c r="I2" s="298"/>
      <x:c r="J2" s="298"/>
    </x:row>
    <x:row r="4" ht="30" customHeight="1">
      <x:c r="A4" s="310" t="str">
        <x:v>ID</x:v>
      </x:c>
      <x:c r="B4" s="311" t="str">
        <x:v>Threat</x:v>
      </x:c>
      <x:c r="C4" s="311" t="str">
        <x:v>Scenario</x:v>
      </x:c>
      <x:c r="D4" s="311" t="str">
        <x:v>Likelihood</x:v>
      </x:c>
      <x:c r="E4" s="311" t="str">
        <x:v>Impact</x:v>
      </x:c>
      <x:c r="F4" s="311" t="str">
        <x:v>Score</x:v>
      </x:c>
      <x:c r="G4" s="311" t="str">
        <x:v>Required control</x:v>
      </x:c>
      <x:c r="H4" s="311" t="str">
        <x:v>Owner</x:v>
      </x:c>
      <x:c r="I4" s="311" t="str">
        <x:v>Status</x:v>
      </x:c>
      <x:c r="J4" s="312" t="str">
        <x:v>Gate / trigger</x:v>
      </x:c>
    </x:row>
    <x:row r="5">
      <x:c r="A5" s="329" t="str">
        <x:v>S3-THR-001</x:v>
      </x:c>
      <x:c r="B5" s="330" t="str">
        <x:v>Agent tampering</x:v>
      </x:c>
      <x:c r="C5" s="330" t="str">
        <x:v>User/malware modifies agent, config or local journal.</x:v>
      </x:c>
      <x:c r="D5" s="330" t="n">
        <x:v>3</x:v>
      </x:c>
      <x:c r="E5" s="330" t="n">
        <x:v>5</x:v>
      </x:c>
      <x:c r="F5" s="330" t="n">
        <x:f>D5*E5</x:f>
        <x:v>15</x:v>
      </x:c>
      <x:c r="G5" s="330" t="str">
        <x:v>Signed binaries, protected install path, hash checks, tamper events, MDM/EDR integration.</x:v>
      </x:c>
      <x:c r="H5" s="330" t="str">
        <x:v>Desktop Security</x:v>
      </x:c>
      <x:c r="I5" s="330" t="str">
        <x:v>Open</x:v>
      </x:c>
      <x:c r="J5" s="331" t="str">
        <x:v>Stage 3 gate</x:v>
      </x:c>
    </x:row>
    <x:row r="6">
      <x:c r="A6" s="337" t="str">
        <x:v>S3-THR-002</x:v>
      </x:c>
      <x:c r="B6" s="338" t="str">
        <x:v>Privilege escalation</x:v>
      </x:c>
      <x:c r="C6" s="338" t="str">
        <x:v>Agent/helper privileges abused to gain system access.</x:v>
      </x:c>
      <x:c r="D6" s="338" t="n">
        <x:v>2</x:v>
      </x:c>
      <x:c r="E6" s="338" t="n">
        <x:v>5</x:v>
      </x:c>
      <x:c r="F6" s="338" t="n">
        <x:f>D6*E6</x:f>
        <x:v>10</x:v>
      </x:c>
      <x:c r="G6" s="338" t="str">
        <x:v>Least privilege, separated helper, code review, sandbox where feasible, penetration test.</x:v>
      </x:c>
      <x:c r="H6" s="338" t="str">
        <x:v>CISO/Desktop</x:v>
      </x:c>
      <x:c r="I6" s="338" t="str">
        <x:v>Open</x:v>
      </x:c>
      <x:c r="J6" s="339" t="str">
        <x:v>Stage 3 gate</x:v>
      </x:c>
    </x:row>
    <x:row r="7">
      <x:c r="A7" s="332" t="str">
        <x:v>S3-THR-003</x:v>
      </x:c>
      <x:c r="B7" s="114" t="str">
        <x:v>Secret capture</x:v>
      </x:c>
      <x:c r="C7" s="114" t="str">
        <x:v>Password/auth token captured via input/text/screenshot/log.</x:v>
      </x:c>
      <x:c r="D7" s="114" t="n">
        <x:v>4</x:v>
      </x:c>
      <x:c r="E7" s="114" t="n">
        <x:v>5</x:v>
      </x:c>
      <x:c r="F7" s="114" t="n">
        <x:f>D7*E7</x:f>
        <x:v>20</x:v>
      </x:c>
      <x:c r="G7" s="114" t="str">
        <x:v>Secure-field guard, secret scanning, exclusions, suppression ledger, zero-retention tests.</x:v>
      </x:c>
      <x:c r="H7" s="114" t="str">
        <x:v>CISO/DPO</x:v>
      </x:c>
      <x:c r="I7" s="114" t="str">
        <x:v>Open</x:v>
      </x:c>
      <x:c r="J7" s="333" t="str">
        <x:v>Blocking</x:v>
      </x:c>
    </x:row>
    <x:row r="8">
      <x:c r="A8" s="337" t="str">
        <x:v>S3-THR-004</x:v>
      </x:c>
      <x:c r="B8" s="338" t="str">
        <x:v>Malicious update</x:v>
      </x:c>
      <x:c r="C8" s="338" t="str">
        <x:v>Compromised update artefact or signing key installs malicious agent.</x:v>
      </x:c>
      <x:c r="D8" s="338" t="n">
        <x:v>3</x:v>
      </x:c>
      <x:c r="E8" s="338" t="n">
        <x:v>5</x:v>
      </x:c>
      <x:c r="F8" s="338" t="n">
        <x:f>D8*E8</x:f>
        <x:v>15</x:v>
      </x:c>
      <x:c r="G8" s="338" t="str">
        <x:v>Code signing, notarization, SBOM, provenance, staged rollout, rollback and key-incident runbook.</x:v>
      </x:c>
      <x:c r="H8" s="338" t="str">
        <x:v>DevSecOps</x:v>
      </x:c>
      <x:c r="I8" s="338" t="str">
        <x:v>Open</x:v>
      </x:c>
      <x:c r="J8" s="339" t="str">
        <x:v>Stage 3 gate</x:v>
      </x:c>
    </x:row>
    <x:row r="9">
      <x:c r="A9" s="332" t="str">
        <x:v>S3-THR-005</x:v>
      </x:c>
      <x:c r="B9" s="114" t="str">
        <x:v>Evidence exfiltration</x:v>
      </x:c>
      <x:c r="C9" s="114" t="str">
        <x:v>Local evidence cache or upload path leaks sensitive content.</x:v>
      </x:c>
      <x:c r="D9" s="114" t="n">
        <x:v>3</x:v>
      </x:c>
      <x:c r="E9" s="114" t="n">
        <x:v>5</x:v>
      </x:c>
      <x:c r="F9" s="114" t="n">
        <x:f>D9*E9</x:f>
        <x:v>15</x:v>
      </x:c>
      <x:c r="G9" s="114" t="str">
        <x:v>Encryption, mTLS, object policy, local redaction, short TTL, endpoint hardening.</x:v>
      </x:c>
      <x:c r="H9" s="114" t="str">
        <x:v>CISO/Data</x:v>
      </x:c>
      <x:c r="I9" s="114" t="str">
        <x:v>Open</x:v>
      </x:c>
      <x:c r="J9" s="333" t="str">
        <x:v>Blocking</x:v>
      </x:c>
    </x:row>
    <x:row r="10">
      <x:c r="A10" s="337" t="str">
        <x:v>S3-THR-006</x:v>
      </x:c>
      <x:c r="B10" s="338" t="str">
        <x:v>Spoofed events</x:v>
      </x:c>
      <x:c r="C10" s="338" t="str">
        <x:v>Attacker sends fake agent batches or alters identity.</x:v>
      </x:c>
      <x:c r="D10" s="338" t="n">
        <x:v>3</x:v>
      </x:c>
      <x:c r="E10" s="338" t="n">
        <x:v>4</x:v>
      </x:c>
      <x:c r="F10" s="338" t="n">
        <x:f>D10*E10</x:f>
        <x:v>12</x:v>
      </x:c>
      <x:c r="G10" s="338" t="str">
        <x:v>mTLS, batch signatures, sequence numbers, device cert revocation.</x:v>
      </x:c>
      <x:c r="H10" s="338" t="str">
        <x:v>Platform Security</x:v>
      </x:c>
      <x:c r="I10" s="338" t="str">
        <x:v>Open</x:v>
      </x:c>
      <x:c r="J10" s="339" t="str">
        <x:v>Stage 4 gate</x:v>
      </x:c>
    </x:row>
    <x:row r="11">
      <x:c r="A11" s="332" t="str">
        <x:v>S3-THR-007</x:v>
      </x:c>
      <x:c r="B11" s="114" t="str">
        <x:v>Event deletion/reordering</x:v>
      </x:c>
      <x:c r="C11" s="114" t="str">
        <x:v>Local or cloud event order altered causing false timeline.</x:v>
      </x:c>
      <x:c r="D11" s="114" t="n">
        <x:v>3</x:v>
      </x:c>
      <x:c r="E11" s="114" t="n">
        <x:v>4</x:v>
      </x:c>
      <x:c r="F11" s="114" t="n">
        <x:f>D11*E11</x:f>
        <x:v>12</x:v>
      </x:c>
      <x:c r="G11" s="114" t="str">
        <x:v>Monotonic sequence, hash chain, idempotency, telemetry-gap events and replay checks.</x:v>
      </x:c>
      <x:c r="H11" s="114" t="str">
        <x:v>Data Architect</x:v>
      </x:c>
      <x:c r="I11" s="114" t="str">
        <x:v>Open</x:v>
      </x:c>
      <x:c r="J11" s="333" t="str">
        <x:v>Stage 4 gate</x:v>
      </x:c>
    </x:row>
    <x:row r="12">
      <x:c r="A12" s="337" t="str">
        <x:v>S3-THR-008</x:v>
      </x:c>
      <x:c r="B12" s="338" t="str">
        <x:v>Policy bypass</x:v>
      </x:c>
      <x:c r="C12" s="338" t="str">
        <x:v>Adapter or capture module emits events without policy approval.</x:v>
      </x:c>
      <x:c r="D12" s="338" t="n">
        <x:v>3</x:v>
      </x:c>
      <x:c r="E12" s="338" t="n">
        <x:v>5</x:v>
      </x:c>
      <x:c r="F12" s="338" t="n">
        <x:f>D12*E12</x:f>
        <x:v>15</x:v>
      </x:c>
      <x:c r="G12" s="338" t="str">
        <x:v>Adapter sandbox/manifest, policy evaluator required in event pipeline, contract tests.</x:v>
      </x:c>
      <x:c r="H12" s="338" t="str">
        <x:v>Desktop/Platform</x:v>
      </x:c>
      <x:c r="I12" s="338" t="str">
        <x:v>Open</x:v>
      </x:c>
      <x:c r="J12" s="339" t="str">
        <x:v>Blocking</x:v>
      </x:c>
    </x:row>
    <x:row r="13">
      <x:c r="A13" s="332" t="str">
        <x:v>S3-THR-009</x:v>
      </x:c>
      <x:c r="B13" s="114" t="str">
        <x:v>Insider misuse</x:v>
      </x:c>
      <x:c r="C13" s="114" t="str">
        <x:v>Admin accesses agent logs or evidence without approved purpose.</x:v>
      </x:c>
      <x:c r="D13" s="114" t="n">
        <x:v>3</x:v>
      </x:c>
      <x:c r="E13" s="114" t="n">
        <x:v>5</x:v>
      </x:c>
      <x:c r="F13" s="114" t="n">
        <x:f>D13*E13</x:f>
        <x:v>15</x:v>
      </x:c>
      <x:c r="G13" s="114" t="str">
        <x:v>Purpose-limited access, audit, separation of duties, encrypted local content.</x:v>
      </x:c>
      <x:c r="H13" s="114" t="str">
        <x:v>Security/DPO</x:v>
      </x:c>
      <x:c r="I13" s="114" t="str">
        <x:v>Open</x:v>
      </x:c>
      <x:c r="J13" s="333" t="str">
        <x:v>Stage 0/3</x:v>
      </x:c>
    </x:row>
    <x:row r="14">
      <x:c r="A14" s="337" t="str">
        <x:v>S3-THR-010</x:v>
      </x:c>
      <x:c r="B14" s="338" t="str">
        <x:v>Malicious adapter</x:v>
      </x:c>
      <x:c r="C14" s="338" t="str">
        <x:v>Third-party or internal adapter captures content beyond allowed scope.</x:v>
      </x:c>
      <x:c r="D14" s="338" t="n">
        <x:v>3</x:v>
      </x:c>
      <x:c r="E14" s="338" t="n">
        <x:v>4</x:v>
      </x:c>
      <x:c r="F14" s="338" t="n">
        <x:f>D14*E14</x:f>
        <x:v>12</x:v>
      </x:c>
      <x:c r="G14" s="338" t="str">
        <x:v>Signed adapter manifests, capability restrictions, review, adapter allowlist and tests.</x:v>
      </x:c>
      <x:c r="H14" s="338" t="str">
        <x:v>Integrations/Security</x:v>
      </x:c>
      <x:c r="I14" s="338" t="str">
        <x:v>Open</x:v>
      </x:c>
      <x:c r="J14" s="339" t="str">
        <x:v>Stage 6</x:v>
      </x:c>
    </x:row>
    <x:row r="15">
      <x:c r="A15" s="332" t="str">
        <x:v>S3-THR-011</x:v>
      </x:c>
      <x:c r="B15" s="114" t="str">
        <x:v>Crash/log leakage</x:v>
      </x:c>
      <x:c r="C15" s="114" t="str">
        <x:v>Crash dumps or diagnostic logs contain sensitive evidence or keys.</x:v>
      </x:c>
      <x:c r="D15" s="114" t="n">
        <x:v>3</x:v>
      </x:c>
      <x:c r="E15" s="114" t="n">
        <x:v>5</x:v>
      </x:c>
      <x:c r="F15" s="114" t="n">
        <x:f>D15*E15</x:f>
        <x:v>15</x:v>
      </x:c>
      <x:c r="G15" s="114" t="str">
        <x:v>Content-ban logging, crash dump redaction/disable, secrets scan, test corpus.</x:v>
      </x:c>
      <x:c r="H15" s="114" t="str">
        <x:v>SRE/Security</x:v>
      </x:c>
      <x:c r="I15" s="114" t="str">
        <x:v>Open</x:v>
      </x:c>
      <x:c r="J15" s="333" t="str">
        <x:v>Blocking</x:v>
      </x:c>
    </x:row>
    <x:row r="16">
      <x:c r="A16" s="337" t="str">
        <x:v>S3-THR-012</x:v>
      </x:c>
      <x:c r="B16" s="338" t="str">
        <x:v>Clock drift</x:v>
      </x:c>
      <x:c r="C16" s="338" t="str">
        <x:v>Incorrect device time causes invalid session timelines or policy windows.</x:v>
      </x:c>
      <x:c r="D16" s="338" t="n">
        <x:v>3</x:v>
      </x:c>
      <x:c r="E16" s="338" t="n">
        <x:v>3</x:v>
      </x:c>
      <x:c r="F16" s="338" t="n">
        <x:f>D16*E16</x:f>
        <x:v>9</x:v>
      </x:c>
      <x:c r="G16" s="338" t="str">
        <x:v>Server-time sync, monotonic sequence, drift warnings and evidence confidence reduction.</x:v>
      </x:c>
      <x:c r="H16" s="338" t="str">
        <x:v>Data/SRE</x:v>
      </x:c>
      <x:c r="I16" s="338" t="str">
        <x:v>Open</x:v>
      </x:c>
      <x:c r="J16" s="339" t="str">
        <x:v>Stage 3</x:v>
      </x:c>
    </x:row>
    <x:row r="17">
      <x:c r="A17" s="332" t="str">
        <x:v>S3-THR-013</x:v>
      </x:c>
      <x:c r="B17" s="114" t="str">
        <x:v>Untrusted network</x:v>
      </x:c>
      <x:c r="C17" s="114" t="str">
        <x:v>MITM or captive portal interferes with policy/upload.</x:v>
      </x:c>
      <x:c r="D17" s="114" t="n">
        <x:v>3</x:v>
      </x:c>
      <x:c r="E17" s="114" t="n">
        <x:v>4</x:v>
      </x:c>
      <x:c r="F17" s="114" t="n">
        <x:f>D17*E17</x:f>
        <x:v>12</x:v>
      </x:c>
      <x:c r="G17" s="114" t="str">
        <x:v>mTLS, cert pinning decision, retries, offline TTL, no downgrade.</x:v>
      </x:c>
      <x:c r="H17" s="114" t="str">
        <x:v>Platform Security</x:v>
      </x:c>
      <x:c r="I17" s="114" t="str">
        <x:v>Open</x:v>
      </x:c>
      <x:c r="J17" s="333" t="str">
        <x:v>Stage 3</x:v>
      </x:c>
    </x:row>
    <x:row r="18">
      <x:c r="A18" s="340" t="str">
        <x:v>S3-THR-014</x:v>
      </x:c>
      <x:c r="B18" s="341" t="str">
        <x:v>User confusion</x:v>
      </x:c>
      <x:c r="C18" s="341" t="str">
        <x:v>Employee does not understand when monitoring is active.</x:v>
      </x:c>
      <x:c r="D18" s="341" t="n">
        <x:v>4</x:v>
      </x:c>
      <x:c r="E18" s="341" t="n">
        <x:v>4</x:v>
      </x:c>
      <x:c r="F18" s="341" t="n">
        <x:f>D18*E18</x:f>
        <x:v>16</x:v>
      </x:c>
      <x:c r="G18" s="341" t="str">
        <x:v>Persistent UI status, onboarding, sensor display, pause/private controls, accessibility review.</x:v>
      </x:c>
      <x:c r="H18" s="341" t="str">
        <x:v>Product/UX/HR</x:v>
      </x:c>
      <x:c r="I18" s="341" t="str">
        <x:v>Open</x:v>
      </x:c>
      <x:c r="J18" s="342" t="str">
        <x:v>Stage 3</x:v>
      </x:c>
    </x:row>
  </x:sheetData>
  <x:mergeCells>
    <x:mergeCell ref="A1:J1"/>
    <x:mergeCell ref="A2:J2"/>
  </x:mergeCells>
  <x:dataValidations count="1">
    <x:dataValidation type="list" sqref="I5:I18">
      <x:formula1>"Open,Mitigating,Accepted,Closed,Blocked"</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2" hidden="0" customWidth="1"/>
    <x:col min="5" max="5" width="52" hidden="0" customWidth="1"/>
    <x:col min="6" max="6" width="24" hidden="0" customWidth="1"/>
    <x:col min="7" max="7" width="12" hidden="0" customWidth="1"/>
    <x:col min="8" max="8" width="16" hidden="0" customWidth="1"/>
  </x:cols>
  <x:sheetData>
    <x:row r="1" ht="30" customHeight="1">
      <x:c r="A1" s="294" t="str">
        <x:v>Stage 3 — Test Matrix</x:v>
      </x:c>
      <x:c r="B1" s="294"/>
      <x:c r="C1" s="294"/>
      <x:c r="D1" s="294"/>
      <x:c r="E1" s="294"/>
      <x:c r="F1" s="294"/>
      <x:c r="G1" s="294"/>
      <x:c r="H1" s="294"/>
    </x:row>
    <x:row r="2" ht="36" customHeight="1">
      <x:c r="A2" s="298" t="str">
        <x:v>Endpoint-agent test strategy covering unit, contract, integration, security, privacy, performance, installer and employee UX testing.</x:v>
      </x:c>
      <x:c r="B2" s="298"/>
      <x:c r="C2" s="298"/>
      <x:c r="D2" s="298"/>
      <x:c r="E2" s="298"/>
      <x:c r="F2" s="298"/>
      <x:c r="G2" s="298"/>
      <x:c r="H2" s="298"/>
    </x:row>
    <x:row r="4" ht="30" customHeight="1">
      <x:c r="A4" s="310" t="str">
        <x:v>ID</x:v>
      </x:c>
      <x:c r="B4" s="311" t="str">
        <x:v>Test type</x:v>
      </x:c>
      <x:c r="C4" s="311" t="str">
        <x:v>Test target</x:v>
      </x:c>
      <x:c r="D4" s="311" t="str">
        <x:v>Scenario</x:v>
      </x:c>
      <x:c r="E4" s="311" t="str">
        <x:v>Acceptance criterion</x:v>
      </x:c>
      <x:c r="F4" s="311" t="str">
        <x:v>Owner</x:v>
      </x:c>
      <x:c r="G4" s="311" t="str">
        <x:v>Priority</x:v>
      </x:c>
      <x:c r="H4" s="312" t="str">
        <x:v>Stage</x:v>
      </x:c>
    </x:row>
    <x:row r="5">
      <x:c r="A5" s="329" t="str">
        <x:v>TST-001</x:v>
      </x:c>
      <x:c r="B5" s="330" t="str">
        <x:v>Unit</x:v>
      </x:c>
      <x:c r="C5" s="330" t="str">
        <x:v>Rust core policy evaluator</x:v>
      </x:c>
      <x:c r="D5" s="330" t="str">
        <x:v>Valid/invalid/expired/rollback policy decisions.</x:v>
      </x:c>
      <x:c r="E5" s="330" t="str">
        <x:v>100% critical path branches; fail-safe cases pass.</x:v>
      </x:c>
      <x:c r="F5" s="330" t="str">
        <x:v>Desktop QA</x:v>
      </x:c>
      <x:c r="G5" s="330" t="str">
        <x:v>Critical</x:v>
      </x:c>
      <x:c r="H5" s="331" t="str">
        <x:v>Stage 3</x:v>
      </x:c>
    </x:row>
    <x:row r="6">
      <x:c r="A6" s="337" t="str">
        <x:v>TST-002</x:v>
      </x:c>
      <x:c r="B6" s="338" t="str">
        <x:v>Unit</x:v>
      </x:c>
      <x:c r="C6" s="338" t="str">
        <x:v>Local journal</x:v>
      </x:c>
      <x:c r="D6" s="338" t="str">
        <x:v>Write/read/recover/encrypt/compact/TTL behaviours.</x:v>
      </x:c>
      <x:c r="E6" s="338" t="str">
        <x:v>No corruption or plaintext leakage in test artefacts.</x:v>
      </x:c>
      <x:c r="F6" s="338" t="str">
        <x:v>Desktop/Data QA</x:v>
      </x:c>
      <x:c r="G6" s="338" t="str">
        <x:v>Critical</x:v>
      </x:c>
      <x:c r="H6" s="339" t="str">
        <x:v>Stage 3</x:v>
      </x:c>
    </x:row>
    <x:row r="7">
      <x:c r="A7" s="332" t="str">
        <x:v>TST-003</x:v>
      </x:c>
      <x:c r="B7" s="114" t="str">
        <x:v>Contract</x:v>
      </x:c>
      <x:c r="C7" s="114" t="str">
        <x:v>AgentEventEnvelope schema</x:v>
      </x:c>
      <x:c r="D7" s="114" t="str">
        <x:v>Events validate across Rust agent and Java ingestion.</x:v>
      </x:c>
      <x:c r="E7" s="114" t="str">
        <x:v>All sample events pass; negative samples fail.</x:v>
      </x:c>
      <x:c r="F7" s="114" t="str">
        <x:v>Data QA</x:v>
      </x:c>
      <x:c r="G7" s="114" t="str">
        <x:v>Critical</x:v>
      </x:c>
      <x:c r="H7" s="333" t="str">
        <x:v>Stage 3/4</x:v>
      </x:c>
    </x:row>
    <x:row r="8">
      <x:c r="A8" s="337" t="str">
        <x:v>TST-004</x:v>
      </x:c>
      <x:c r="B8" s="338" t="str">
        <x:v>Contract</x:v>
      </x:c>
      <x:c r="C8" s="338" t="str">
        <x:v>PolicyBundle schema</x:v>
      </x:c>
      <x:c r="D8" s="338" t="str">
        <x:v>Bundle validation in policy service and agent.</x:v>
      </x:c>
      <x:c r="E8" s="338" t="str">
        <x:v>Same decisions across Java and Rust implementations.</x:v>
      </x:c>
      <x:c r="F8" s="338" t="str">
        <x:v>Security QA</x:v>
      </x:c>
      <x:c r="G8" s="338" t="str">
        <x:v>Critical</x:v>
      </x:c>
      <x:c r="H8" s="339" t="str">
        <x:v>Stage 3</x:v>
      </x:c>
    </x:row>
    <x:row r="9">
      <x:c r="A9" s="332" t="str">
        <x:v>TST-005</x:v>
      </x:c>
      <x:c r="B9" s="114" t="str">
        <x:v>Integration</x:v>
      </x:c>
      <x:c r="C9" s="114" t="str">
        <x:v>Device registration</x:v>
      </x:c>
      <x:c r="D9" s="114" t="str">
        <x:v>Install → register → receive cert → fetch policy.</x:v>
      </x:c>
      <x:c r="E9" s="114" t="str">
        <x:v>End-to-end success and audit event.</x:v>
      </x:c>
      <x:c r="F9" s="114" t="str">
        <x:v>Platform QA</x:v>
      </x:c>
      <x:c r="G9" s="114" t="str">
        <x:v>Critical</x:v>
      </x:c>
      <x:c r="H9" s="333" t="str">
        <x:v>Stage 3</x:v>
      </x:c>
    </x:row>
    <x:row r="10">
      <x:c r="A10" s="337" t="str">
        <x:v>TST-006</x:v>
      </x:c>
      <x:c r="B10" s="338" t="str">
        <x:v>Integration</x:v>
      </x:c>
      <x:c r="C10" s="338" t="str">
        <x:v>Signed batch upload</x:v>
      </x:c>
      <x:c r="D10" s="338" t="str">
        <x:v>Create local event → batch → sign → ingest → ack.</x:v>
      </x:c>
      <x:c r="E10" s="338" t="str">
        <x:v>Idempotent retries and duplicates safe.</x:v>
      </x:c>
      <x:c r="F10" s="338" t="str">
        <x:v>Platform/Data QA</x:v>
      </x:c>
      <x:c r="G10" s="338" t="str">
        <x:v>Critical</x:v>
      </x:c>
      <x:c r="H10" s="339" t="str">
        <x:v>Stage 3/4</x:v>
      </x:c>
    </x:row>
    <x:row r="11">
      <x:c r="A11" s="332" t="str">
        <x:v>TST-007</x:v>
      </x:c>
      <x:c r="B11" s="114" t="str">
        <x:v>OS permission</x:v>
      </x:c>
      <x:c r="C11" s="114" t="str">
        <x:v>macOS TCC prompts</x:v>
      </x:c>
      <x:c r="D11" s="114" t="str">
        <x:v>Screen/accessibility/input permissions and denial cases.</x:v>
      </x:c>
      <x:c r="E11" s="114" t="str">
        <x:v>Clear UX and safe disabled state when denied.</x:v>
      </x:c>
      <x:c r="F11" s="114" t="str">
        <x:v>macOS QA</x:v>
      </x:c>
      <x:c r="G11" s="114" t="str">
        <x:v>High</x:v>
      </x:c>
      <x:c r="H11" s="333" t="str">
        <x:v>Stage 3/5</x:v>
      </x:c>
    </x:row>
    <x:row r="12">
      <x:c r="A12" s="337" t="str">
        <x:v>TST-008</x:v>
      </x:c>
      <x:c r="B12" s="338" t="str">
        <x:v>OS permission</x:v>
      </x:c>
      <x:c r="C12" s="338" t="str">
        <x:v>Windows install/service permissions</x:v>
      </x:c>
      <x:c r="D12" s="338" t="str">
        <x:v>Standard user/admin/MDM installation and service lifecycle.</x:v>
      </x:c>
      <x:c r="E12" s="338" t="str">
        <x:v>No unnecessary privileges.</x:v>
      </x:c>
      <x:c r="F12" s="338" t="str">
        <x:v>Windows QA</x:v>
      </x:c>
      <x:c r="G12" s="338" t="str">
        <x:v>High</x:v>
      </x:c>
      <x:c r="H12" s="339" t="str">
        <x:v>Stage 3</x:v>
      </x:c>
    </x:row>
    <x:row r="13">
      <x:c r="A13" s="332" t="str">
        <x:v>TST-009</x:v>
      </x:c>
      <x:c r="B13" s="114" t="str">
        <x:v>Security</x:v>
      </x:c>
      <x:c r="C13" s="114" t="str">
        <x:v>Secure-field/secret redaction</x:v>
      </x:c>
      <x:c r="D13" s="114" t="str">
        <x:v>Known password/auth-token corpus across test apps and browsers.</x:v>
      </x:c>
      <x:c r="E13" s="114" t="str">
        <x:v>Zero known secret retention.</x:v>
      </x:c>
      <x:c r="F13" s="114" t="str">
        <x:v>Security QA</x:v>
      </x:c>
      <x:c r="G13" s="114" t="str">
        <x:v>Critical</x:v>
      </x:c>
      <x:c r="H13" s="333" t="str">
        <x:v>Stage 3/5</x:v>
      </x:c>
    </x:row>
    <x:row r="14">
      <x:c r="A14" s="337" t="str">
        <x:v>TST-010</x:v>
      </x:c>
      <x:c r="B14" s="338" t="str">
        <x:v>Security</x:v>
      </x:c>
      <x:c r="C14" s="338" t="str">
        <x:v>Tamper resistance</x:v>
      </x:c>
      <x:c r="D14" s="338" t="str">
        <x:v>Modify binary/config/journal/policy; attempt spoofed batches.</x:v>
      </x:c>
      <x:c r="E14" s="338" t="str">
        <x:v>Tamper detected; capture disabled or audit emitted.</x:v>
      </x:c>
      <x:c r="F14" s="338" t="str">
        <x:v>Security QA</x:v>
      </x:c>
      <x:c r="G14" s="338" t="str">
        <x:v>Critical</x:v>
      </x:c>
      <x:c r="H14" s="339" t="str">
        <x:v>Stage 3</x:v>
      </x:c>
    </x:row>
    <x:row r="15">
      <x:c r="A15" s="332" t="str">
        <x:v>TST-011</x:v>
      </x:c>
      <x:c r="B15" s="114" t="str">
        <x:v>Performance</x:v>
      </x:c>
      <x:c r="C15" s="114" t="str">
        <x:v>CPU/memory/battery/input latency</x:v>
      </x:c>
      <x:c r="D15" s="114" t="str">
        <x:v>Synthetic and realistic developer workloads.</x:v>
      </x:c>
      <x:c r="E15" s="114" t="str">
        <x:v>Within performance budgets.</x:v>
      </x:c>
      <x:c r="F15" s="114" t="str">
        <x:v>SRE/Desktop QA</x:v>
      </x:c>
      <x:c r="G15" s="114" t="str">
        <x:v>Critical</x:v>
      </x:c>
      <x:c r="H15" s="333" t="str">
        <x:v>Stage 3/5</x:v>
      </x:c>
    </x:row>
    <x:row r="16">
      <x:c r="A16" s="337" t="str">
        <x:v>TST-012</x:v>
      </x:c>
      <x:c r="B16" s="338" t="str">
        <x:v>Chaos/offline</x:v>
      </x:c>
      <x:c r="C16" s="338" t="str">
        <x:v>Network loss, crash, disk pressure, clock drift.</x:v>
      </x:c>
      <x:c r="D16" s="338" t="str">
        <x:v>No data corruption; safe policy expiry; gap events emitted.</x:v>
      </x:c>
      <x:c r="E16" s="338" t="str">
        <x:v>SRE/Data QA</x:v>
      </x:c>
      <x:c r="F16" s="338" t="str">
        <x:v>High</x:v>
      </x:c>
      <x:c r="G16" s="338" t="str">
        <x:v>Stage 3</x:v>
      </x:c>
      <x:c r="H16" s="339"/>
    </x:row>
    <x:row r="17">
      <x:c r="A17" s="332" t="str">
        <x:v>TST-013</x:v>
      </x:c>
      <x:c r="B17" s="114" t="str">
        <x:v>Installer/update</x:v>
      </x:c>
      <x:c r="C17" s="114" t="str">
        <x:v>Install/update/rollback/uninstall on supported OS matrix.</x:v>
      </x:c>
      <x:c r="D17" s="114" t="str">
        <x:v>≥98% success in controlled cohort before pilot.</x:v>
      </x:c>
      <x:c r="E17" s="114" t="str">
        <x:v>DevSecOps QA</x:v>
      </x:c>
      <x:c r="F17" s="114" t="str">
        <x:v>Critical</x:v>
      </x:c>
      <x:c r="G17" s="114" t="str">
        <x:v>Stage 3</x:v>
      </x:c>
      <x:c r="H17" s="333"/>
    </x:row>
    <x:row r="18">
      <x:c r="A18" s="337" t="str">
        <x:v>TST-014</x:v>
      </x:c>
      <x:c r="B18" s="338" t="str">
        <x:v>Accessibility UX</x:v>
      </x:c>
      <x:c r="C18" s="338" t="str">
        <x:v>Tray/menu/task controls with keyboard and screen reader.</x:v>
      </x:c>
      <x:c r="D18" s="338" t="str">
        <x:v>Accessible employee controls.</x:v>
      </x:c>
      <x:c r="E18" s="338" t="str">
        <x:v>UX QA</x:v>
      </x:c>
      <x:c r="F18" s="338" t="str">
        <x:v>High</x:v>
      </x:c>
      <x:c r="G18" s="338" t="str">
        <x:v>Stage 3</x:v>
      </x:c>
      <x:c r="H18" s="339"/>
    </x:row>
    <x:row r="19">
      <x:c r="A19" s="332" t="str">
        <x:v>TST-015</x:v>
      </x:c>
      <x:c r="B19" s="114" t="str">
        <x:v>Privacy UX</x:v>
      </x:c>
      <x:c r="C19" s="114" t="str">
        <x:v>User understands active sensors and can report incorrect capture.</x:v>
      </x:c>
      <x:c r="D19" s="114" t="str">
        <x:v>Usability test pass with participant comprehension.</x:v>
      </x:c>
      <x:c r="E19" s="114" t="str">
        <x:v>Product/HR</x:v>
      </x:c>
      <x:c r="F19" s="114" t="str">
        <x:v>High</x:v>
      </x:c>
      <x:c r="G19" s="114" t="str">
        <x:v>Stage 3</x:v>
      </x:c>
      <x:c r="H19" s="333"/>
    </x:row>
    <x:row r="20">
      <x:c r="A20" s="340" t="str">
        <x:v>TST-016</x:v>
      </x:c>
      <x:c r="B20" s="341" t="str">
        <x:v>Observability</x:v>
      </x:c>
      <x:c r="C20" s="341" t="str">
        <x:v>No raw evidence in logs/traces/health.</x:v>
      </x:c>
      <x:c r="D20" s="341" t="str">
        <x:v>Search test finds no sensitive sample values.</x:v>
      </x:c>
      <x:c r="E20" s="341" t="str">
        <x:v>SRE/Security</x:v>
      </x:c>
      <x:c r="F20" s="341" t="str">
        <x:v>Critical</x:v>
      </x:c>
      <x:c r="G20" s="341" t="str">
        <x:v>Stage 3</x:v>
      </x:c>
      <x:c r="H20" s="342"/>
    </x:row>
  </x:sheetData>
  <x:mergeCells>
    <x:mergeCell ref="A1:H1"/>
    <x:mergeCell ref="A2:H2"/>
  </x:mergeCells>
  <x:dataValidations count="1">
    <x:dataValidation type="list" sqref="G5:G20">
      <x:formula1>"Critical,High,Medium,Low"</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8" hidden="0" customWidth="1"/>
    <x:col min="3" max="3" width="30" hidden="0" customWidth="1"/>
    <x:col min="4" max="4" width="52" hidden="0" customWidth="1"/>
    <x:col min="5" max="5" width="58" hidden="0" customWidth="1"/>
    <x:col min="6" max="6" width="24" hidden="0" customWidth="1"/>
    <x:col min="7" max="7" width="18" hidden="0" customWidth="1"/>
  </x:cols>
  <x:sheetData>
    <x:row r="1" ht="30" customHeight="1">
      <x:c r="A1" s="294" t="str">
        <x:v>Stage 3 — Repository and CI/CD Plan</x:v>
      </x:c>
      <x:c r="B1" s="294"/>
      <x:c r="C1" s="294"/>
      <x:c r="D1" s="294"/>
      <x:c r="E1" s="294"/>
      <x:c r="F1" s="294"/>
      <x:c r="G1" s="294"/>
    </x:row>
    <x:row r="2" ht="36" customHeight="1">
      <x:c r="A2" s="298" t="str">
        <x:v>Proposed repository, packaging, signing, SBOM, testing and rollout plan for the device-agent foundation.</x:v>
      </x:c>
      <x:c r="B2" s="298"/>
      <x:c r="C2" s="298"/>
      <x:c r="D2" s="298"/>
      <x:c r="E2" s="298"/>
      <x:c r="F2" s="298"/>
      <x:c r="G2" s="298"/>
    </x:row>
    <x:row r="4" ht="30" customHeight="1">
      <x:c r="A4" s="310" t="str">
        <x:v>ID</x:v>
      </x:c>
      <x:c r="B4" s="311" t="str">
        <x:v>Area</x:v>
      </x:c>
      <x:c r="C4" s="311" t="str">
        <x:v>Item</x:v>
      </x:c>
      <x:c r="D4" s="311" t="str">
        <x:v>Description</x:v>
      </x:c>
      <x:c r="E4" s="311" t="str">
        <x:v>Acceptance / implementation note</x:v>
      </x:c>
      <x:c r="F4" s="311" t="str">
        <x:v>Owner</x:v>
      </x:c>
      <x:c r="G4" s="312" t="str">
        <x:v>Status</x:v>
      </x:c>
    </x:row>
    <x:row r="5">
      <x:c r="A5" s="329" t="str">
        <x:v>REPO-001</x:v>
      </x:c>
      <x:c r="B5" s="330" t="str">
        <x:v>Repository structure</x:v>
      </x:c>
      <x:c r="C5" s="330" t="str">
        <x:v>humanos-work-agent/</x:v>
      </x:c>
      <x:c r="D5" s="330" t="str">
        <x:v>Rust shared core plus platform bridges and browser extension.</x:v>
      </x:c>
      <x:c r="E5" s="330" t="str">
        <x:v>Separate crates/modules for core, windows, macos, browser, schemas, test fixtures.</x:v>
      </x:c>
      <x:c r="F5" s="330" t="str">
        <x:v>Desktop Lead</x:v>
      </x:c>
      <x:c r="G5" s="331" t="str">
        <x:v>Draft Complete</x:v>
      </x:c>
    </x:row>
    <x:row r="6">
      <x:c r="A6" s="337" t="str">
        <x:v>REPO-002</x:v>
      </x:c>
      <x:c r="B6" s="338" t="str">
        <x:v>Repository structure</x:v>
      </x:c>
      <x:c r="C6" s="338" t="str">
        <x:v>humanos-work-agent-cloud-contracts/</x:v>
      </x:c>
      <x:c r="D6" s="338" t="str">
        <x:v>Shared OpenAPI/JSON Schema/CloudEvents contracts for agent/control plane.</x:v>
      </x:c>
      <x:c r="E6" s="338" t="str">
        <x:v>Generated clients for Java/Rust/TypeScript where suitable.</x:v>
      </x:c>
      <x:c r="F6" s="338" t="str">
        <x:v>Data Architect</x:v>
      </x:c>
      <x:c r="G6" s="339" t="str">
        <x:v>Draft Complete</x:v>
      </x:c>
    </x:row>
    <x:row r="7">
      <x:c r="A7" s="332" t="str">
        <x:v>REPO-003</x:v>
      </x:c>
      <x:c r="B7" s="114" t="str">
        <x:v>Repository structure</x:v>
      </x:c>
      <x:c r="C7" s="114" t="str">
        <x:v>humanos-work-intelligence-services/</x:v>
      </x:c>
      <x:c r="D7" s="114" t="str">
        <x:v>Java/Spring services and Python evaluator services may live in mono-repo or domain repos depending HumanOS standard.</x:v>
      </x:c>
      <x:c r="E7" s="114" t="str">
        <x:v>Follow existing HumanOS repository pattern.</x:v>
      </x:c>
      <x:c r="F7" s="114" t="str">
        <x:v>CTO/Platform</x:v>
      </x:c>
      <x:c r="G7" s="333" t="str">
        <x:v>Owner Input</x:v>
      </x:c>
    </x:row>
    <x:row r="8">
      <x:c r="A8" s="337" t="str">
        <x:v>CICD-001</x:v>
      </x:c>
      <x:c r="B8" s="338" t="str">
        <x:v>Build</x:v>
      </x:c>
      <x:c r="C8" s="338" t="str">
        <x:v>Rust agent build</x:v>
      </x:c>
      <x:c r="D8" s="338" t="str">
        <x:v>Cross-platform build and test pipeline.</x:v>
      </x:c>
      <x:c r="E8" s="338" t="str">
        <x:v>cargo fmt/clippy/test, dependency audit, reproducible artefact where possible.</x:v>
      </x:c>
      <x:c r="F8" s="338" t="str">
        <x:v>DevSecOps</x:v>
      </x:c>
      <x:c r="G8" s="339" t="str">
        <x:v>Draft Complete</x:v>
      </x:c>
    </x:row>
    <x:row r="9">
      <x:c r="A9" s="332" t="str">
        <x:v>CICD-002</x:v>
      </x:c>
      <x:c r="B9" s="114" t="str">
        <x:v>Build</x:v>
      </x:c>
      <x:c r="C9" s="114" t="str">
        <x:v>Windows package</x:v>
      </x:c>
      <x:c r="D9" s="114" t="str">
        <x:v>MSIX/MSI/EXE signed package depending deployment strategy.</x:v>
      </x:c>
      <x:c r="E9" s="114" t="str">
        <x:v>Code signing, timestamping, SmartScreen/enterprise trust path.</x:v>
      </x:c>
      <x:c r="F9" s="114" t="str">
        <x:v>Windows DevSecOps</x:v>
      </x:c>
      <x:c r="G9" s="333" t="str">
        <x:v>Draft Complete</x:v>
      </x:c>
    </x:row>
    <x:row r="10">
      <x:c r="A10" s="337" t="str">
        <x:v>CICD-003</x:v>
      </x:c>
      <x:c r="B10" s="338" t="str">
        <x:v>Build</x:v>
      </x:c>
      <x:c r="C10" s="338" t="str">
        <x:v>macOS package</x:v>
      </x:c>
      <x:c r="D10" s="338" t="str">
        <x:v>Developer ID signed and notarised DMG/PKG/app.</x:v>
      </x:c>
      <x:c r="E10" s="338" t="str">
        <x:v>Hardened runtime, notarization, stapling, Gatekeeper test.</x:v>
      </x:c>
      <x:c r="F10" s="338" t="str">
        <x:v>macOS DevSecOps</x:v>
      </x:c>
      <x:c r="G10" s="339" t="str">
        <x:v>Draft Complete</x:v>
      </x:c>
    </x:row>
    <x:row r="11">
      <x:c r="A11" s="332" t="str">
        <x:v>CICD-004</x:v>
      </x:c>
      <x:c r="B11" s="114" t="str">
        <x:v>Security</x:v>
      </x:c>
      <x:c r="C11" s="114" t="str">
        <x:v>SBOM</x:v>
      </x:c>
      <x:c r="D11" s="114" t="str">
        <x:v>Generate CycloneDX and/or SPDX SBOM for endpoint and services.</x:v>
      </x:c>
      <x:c r="E11" s="114" t="str">
        <x:v>SBOM stored with artefact and reviewed for licences/vulnerabilities.</x:v>
      </x:c>
      <x:c r="F11" s="114" t="str">
        <x:v>DevSecOps/CISO</x:v>
      </x:c>
      <x:c r="G11" s="333" t="str">
        <x:v>Draft Complete</x:v>
      </x:c>
    </x:row>
    <x:row r="12">
      <x:c r="A12" s="337" t="str">
        <x:v>CICD-005</x:v>
      </x:c>
      <x:c r="B12" s="338" t="str">
        <x:v>Security</x:v>
      </x:c>
      <x:c r="C12" s="338" t="str">
        <x:v>Artefact signing</x:v>
      </x:c>
      <x:c r="D12" s="338" t="str">
        <x:v>Sign release artefacts and optionally use transparency/attestations.</x:v>
      </x:c>
      <x:c r="E12" s="338" t="str">
        <x:v>Cosign/Sigstore for containers/blobs where compatible; platform code signing for OS packages.</x:v>
      </x:c>
      <x:c r="F12" s="338" t="str">
        <x:v>DevSecOps</x:v>
      </x:c>
      <x:c r="G12" s="339" t="str">
        <x:v>Draft Complete</x:v>
      </x:c>
    </x:row>
    <x:row r="13">
      <x:c r="A13" s="332" t="str">
        <x:v>CICD-006</x:v>
      </x:c>
      <x:c r="B13" s="114" t="str">
        <x:v>Security</x:v>
      </x:c>
      <x:c r="C13" s="114" t="str">
        <x:v>Dependency scanning</x:v>
      </x:c>
      <x:c r="D13" s="114" t="str">
        <x:v>Rust/Java/Python/TypeScript dependencies scanned.</x:v>
      </x:c>
      <x:c r="E13" s="114" t="str">
        <x:v>Fail on critical exploitable vulnerabilities or disallowed licences.</x:v>
      </x:c>
      <x:c r="F13" s="114" t="str">
        <x:v>DevSecOps</x:v>
      </x:c>
      <x:c r="G13" s="333" t="str">
        <x:v>Draft Complete</x:v>
      </x:c>
    </x:row>
    <x:row r="14">
      <x:c r="A14" s="337" t="str">
        <x:v>CICD-007</x:v>
      </x:c>
      <x:c r="B14" s="338" t="str">
        <x:v>Testing</x:v>
      </x:c>
      <x:c r="C14" s="338" t="str">
        <x:v>Contract tests</x:v>
      </x:c>
      <x:c r="D14" s="338" t="str">
        <x:v>Agent contracts against Java ingestion and policy service.</x:v>
      </x:c>
      <x:c r="E14" s="338" t="str">
        <x:v>CI blocks on schema incompatibility.</x:v>
      </x:c>
      <x:c r="F14" s="338" t="str">
        <x:v>Data QA</x:v>
      </x:c>
      <x:c r="G14" s="339" t="str">
        <x:v>Draft Complete</x:v>
      </x:c>
    </x:row>
    <x:row r="15">
      <x:c r="A15" s="332" t="str">
        <x:v>CICD-008</x:v>
      </x:c>
      <x:c r="B15" s="114" t="str">
        <x:v>Testing</x:v>
      </x:c>
      <x:c r="C15" s="114" t="str">
        <x:v>OS test farm</x:v>
      </x:c>
      <x:c r="D15" s="114" t="str">
        <x:v>Windows/macOS build agents or device farm for permission/install/update tests.</x:v>
      </x:c>
      <x:c r="E15" s="114" t="str">
        <x:v>Required for Stage 3 acceptance.</x:v>
      </x:c>
      <x:c r="F15" s="114" t="str">
        <x:v>Desktop QA</x:v>
      </x:c>
      <x:c r="G15" s="333" t="str">
        <x:v>Owner Input</x:v>
      </x:c>
    </x:row>
    <x:row r="16">
      <x:c r="A16" s="337" t="str">
        <x:v>CICD-009</x:v>
      </x:c>
      <x:c r="B16" s="338" t="str">
        <x:v>Release</x:v>
      </x:c>
      <x:c r="C16" s="338" t="str">
        <x:v>Canary rollout</x:v>
      </x:c>
      <x:c r="D16" s="338" t="str">
        <x:v>Small internal canary group before broader pilot.</x:v>
      </x:c>
      <x:c r="E16" s="338" t="str">
        <x:v>Health, rollback, incident and support metrics monitored.</x:v>
      </x:c>
      <x:c r="F16" s="338" t="str">
        <x:v>SRE/IT</x:v>
      </x:c>
      <x:c r="G16" s="339" t="str">
        <x:v>Draft Complete</x:v>
      </x:c>
    </x:row>
    <x:row r="17">
      <x:c r="A17" s="334" t="str">
        <x:v>CICD-010</x:v>
      </x:c>
      <x:c r="B17" s="335" t="str">
        <x:v>Operations</x:v>
      </x:c>
      <x:c r="C17" s="335" t="str">
        <x:v>Feature flags</x:v>
      </x:c>
      <x:c r="D17" s="335" t="str">
        <x:v>Remote disable and per-sensor capability flags.</x:v>
      </x:c>
      <x:c r="E17" s="335" t="str">
        <x:v>DPO/CISO emergency disable path tested.</x:v>
      </x:c>
      <x:c r="F17" s="335" t="str">
        <x:v>Platform/Security</x:v>
      </x:c>
      <x:c r="G17" s="336" t="str">
        <x:v>Draft Complete</x:v>
      </x:c>
    </x:row>
  </x:sheetData>
  <x:mergeCells>
    <x:mergeCell ref="A1:G1"/>
    <x:mergeCell ref="A2:G2"/>
  </x:mergeCells>
  <x:dataValidations count="1">
    <x:dataValidation type="list" sqref="G5:G17">
      <x:formula1>"Draft Complete,Owner Input,Needs Review,Approved,Deferred"</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2" hidden="0" customWidth="1"/>
    <x:col min="14" max="14" width="28" hidden="0" customWidth="1"/>
  </x:cols>
  <x:sheetData>
    <x:row r="1" ht="30" customHeight="1">
      <x:c r="A1" s="294" t="str">
        <x:v>Stage 3 — Device Agent Foundation Backlog</x:v>
      </x:c>
      <x:c r="B1" s="294"/>
      <x:c r="C1" s="294"/>
      <x:c r="D1" s="294"/>
      <x:c r="E1" s="294"/>
      <x:c r="F1" s="294"/>
      <x:c r="G1" s="294"/>
      <x:c r="H1" s="294"/>
      <x:c r="I1" s="294"/>
      <x:c r="J1" s="294"/>
      <x:c r="K1" s="294"/>
      <x:c r="L1" s="294"/>
      <x:c r="M1" s="294"/>
      <x:c r="N1" s="294"/>
    </x:row>
    <x:row r="2" ht="36" customHeight="1">
      <x:c r="A2" s="298" t="str">
        <x:v>Implementation backlog for the signed, visible, policy-controlled device-agent foundation and its validation spikes.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S3-BL-001</x:v>
      </x:c>
      <x:c r="B5" s="330" t="str">
        <x:v>Architecture</x:v>
      </x:c>
      <x:c r="C5" s="330" t="str">
        <x:v>Create agent repository skeleton</x:v>
      </x:c>
      <x:c r="D5" s="330" t="str">
        <x:v>Set up Rust workspace, platform-bridge modules, contracts package and CI basics.</x:v>
      </x:c>
      <x:c r="E5" s="330" t="str">
        <x:v>Desktop Lead</x:v>
      </x:c>
      <x:c r="F5" s="330" t="str">
        <x:v>DevSecOps</x:v>
      </x:c>
      <x:c r="G5" s="330" t="str">
        <x:v>None</x:v>
      </x:c>
      <x:c r="H5" s="330" t="str">
        <x:v>Critical</x:v>
      </x:c>
      <x:c r="I5" s="330" t="str">
        <x:v>Not Started</x:v>
      </x:c>
      <x:c r="J5" s="347" t="n">
        <x:f>IF(I5="Approved",1,IF(I5="Draft Complete",0.8,IF(I5="In Review",0.6,IF(I5="In Progress",0.4,IF(I5="Blocked",0,0)))))</x:f>
        <x:v>0</x:v>
      </x:c>
      <x:c r="K5" s="330" t="n">
        <x:v>5</x:v>
      </x:c>
      <x:c r="L5" s="330" t="str">
        <x:v>Repository skeleton</x:v>
      </x:c>
      <x:c r="M5" s="330" t="str">
        <x:v>Build/test pipeline runs on all target platforms.</x:v>
      </x:c>
      <x:c r="N5" s="331" t="str">
        <x:v>Stage 3 ADRs</x:v>
      </x:c>
    </x:row>
    <x:row r="6">
      <x:c r="A6" s="337" t="str">
        <x:v>S3-BL-002</x:v>
      </x:c>
      <x:c r="B6" s="338" t="str">
        <x:v>Contracts</x:v>
      </x:c>
      <x:c r="C6" s="338" t="str">
        <x:v>Define AgentEventEnvelope schema</x:v>
      </x:c>
      <x:c r="D6" s="338" t="str">
        <x:v>Create JSON Schema and sample positive/negative fixtures.</x:v>
      </x:c>
      <x:c r="E6" s="338" t="str">
        <x:v>Data Architect</x:v>
      </x:c>
      <x:c r="F6" s="338" t="str">
        <x:v>Rust/Java</x:v>
      </x:c>
      <x:c r="G6" s="338" t="str">
        <x:v>S3-BL-001</x:v>
      </x:c>
      <x:c r="H6" s="338" t="str">
        <x:v>Critical</x:v>
      </x:c>
      <x:c r="I6" s="338" t="str">
        <x:v>Not Started</x:v>
      </x:c>
      <x:c r="J6" s="348" t="n">
        <x:f>IF(I6="Approved",1,IF(I6="Draft Complete",0.8,IF(I6="In Review",0.6,IF(I6="In Progress",0.4,IF(I6="Blocked",0,0)))))</x:f>
        <x:v>0</x:v>
      </x:c>
      <x:c r="K6" s="338" t="n">
        <x:v>4</x:v>
      </x:c>
      <x:c r="L6" s="338" t="str">
        <x:v>Schema package</x:v>
      </x:c>
      <x:c r="M6" s="338" t="str">
        <x:v>Rust and Java contract tests validate same fixtures.</x:v>
      </x:c>
      <x:c r="N6" s="339" t="str">
        <x:v>Event and API Contracts</x:v>
      </x:c>
    </x:row>
    <x:row r="7">
      <x:c r="A7" s="332" t="str">
        <x:v>S3-BL-003</x:v>
      </x:c>
      <x:c r="B7" s="114" t="str">
        <x:v>Policy</x:v>
      </x:c>
      <x:c r="C7" s="114" t="str">
        <x:v>Implement PolicyBundle schema and verifier</x:v>
      </x:c>
      <x:c r="D7" s="114" t="str">
        <x:v>Signed policy format, expiry, version, scope and fail-safe invalid cases.</x:v>
      </x:c>
      <x:c r="E7" s="114" t="str">
        <x:v>Security Architect</x:v>
      </x:c>
      <x:c r="F7" s="114" t="str">
        <x:v>Desktop/Platform</x:v>
      </x:c>
      <x:c r="G7" s="114" t="str">
        <x:v>S3-BL-001,S3-BL-002</x:v>
      </x:c>
      <x:c r="H7" s="114" t="str">
        <x:v>Critical</x:v>
      </x:c>
      <x:c r="I7" s="114" t="str">
        <x:v>Not Started</x:v>
      </x:c>
      <x:c r="J7" s="135" t="n">
        <x:f>IF(I7="Approved",1,IF(I7="Draft Complete",0.8,IF(I7="In Review",0.6,IF(I7="In Progress",0.4,IF(I7="Blocked",0,0)))))</x:f>
        <x:v>0</x:v>
      </x:c>
      <x:c r="K7" s="114" t="n">
        <x:v>8</x:v>
      </x:c>
      <x:c r="L7" s="114" t="str">
        <x:v>Policy verifier prototype</x:v>
      </x:c>
      <x:c r="M7" s="114" t="str">
        <x:v>Invalid/expired/rollback policies fail closed.</x:v>
      </x:c>
      <x:c r="N7" s="333" t="str">
        <x:v>Policy Bundle</x:v>
      </x:c>
    </x:row>
    <x:row r="8">
      <x:c r="A8" s="337" t="str">
        <x:v>S3-BL-004</x:v>
      </x:c>
      <x:c r="B8" s="338" t="str">
        <x:v>Device identity</x:v>
      </x:c>
      <x:c r="C8" s="338" t="str">
        <x:v>Implement registration and device certificate prototype</x:v>
      </x:c>
      <x:c r="D8" s="338" t="str">
        <x:v>Agent registers, receives certificate and uses mTLS to policy gateway stub.</x:v>
      </x:c>
      <x:c r="E8" s="338" t="str">
        <x:v>Platform Security</x:v>
      </x:c>
      <x:c r="F8" s="338" t="str">
        <x:v>Java/Desktop</x:v>
      </x:c>
      <x:c r="G8" s="338" t="str">
        <x:v>S3-BL-002</x:v>
      </x:c>
      <x:c r="H8" s="338" t="str">
        <x:v>Critical</x:v>
      </x:c>
      <x:c r="I8" s="338" t="str">
        <x:v>Not Started</x:v>
      </x:c>
      <x:c r="J8" s="348" t="n">
        <x:f>IF(I8="Approved",1,IF(I8="Draft Complete",0.8,IF(I8="In Review",0.6,IF(I8="In Progress",0.4,IF(I8="Blocked",0,0)))))</x:f>
        <x:v>0</x:v>
      </x:c>
      <x:c r="K8" s="338" t="n">
        <x:v>10</x:v>
      </x:c>
      <x:c r="L8" s="338" t="str">
        <x:v>Registration prototype</x:v>
      </x:c>
      <x:c r="M8" s="338" t="str">
        <x:v>Device can register, rotate and revoke cert in test.</x:v>
      </x:c>
      <x:c r="N8" s="339" t="str">
        <x:v>Device Identity and Key Model</x:v>
      </x:c>
    </x:row>
    <x:row r="9">
      <x:c r="A9" s="332" t="str">
        <x:v>S3-BL-005</x:v>
      </x:c>
      <x:c r="B9" s="114" t="str">
        <x:v>Session control</x:v>
      </x:c>
      <x:c r="C9" s="114" t="str">
        <x:v>Implement visible session state machine</x:v>
      </x:c>
      <x:c r="D9" s="114" t="str">
        <x:v>Ready/work/task/pause/private/offline/disabled/revoked states with UI stubs.</x:v>
      </x:c>
      <x:c r="E9" s="114" t="str">
        <x:v>Desktop/Product</x:v>
      </x:c>
      <x:c r="F9" s="114" t="str">
        <x:v>UX/QA</x:v>
      </x:c>
      <x:c r="G9" s="114" t="str">
        <x:v>S3-BL-003</x:v>
      </x:c>
      <x:c r="H9" s="114" t="str">
        <x:v>Critical</x:v>
      </x:c>
      <x:c r="I9" s="114" t="str">
        <x:v>Not Started</x:v>
      </x:c>
      <x:c r="J9" s="135" t="n">
        <x:f>IF(I9="Approved",1,IF(I9="Draft Complete",0.8,IF(I9="In Review",0.6,IF(I9="In Progress",0.4,IF(I9="Blocked",0,0)))))</x:f>
        <x:v>0</x:v>
      </x:c>
      <x:c r="K9" s="114" t="n">
        <x:v>10</x:v>
      </x:c>
      <x:c r="L9" s="114" t="str">
        <x:v>State-machine prototype</x:v>
      </x:c>
      <x:c r="M9" s="114" t="str">
        <x:v>No event capture path is active outside allowed state.</x:v>
      </x:c>
      <x:c r="N9" s="333" t="str">
        <x:v>Session State Machine</x:v>
      </x:c>
    </x:row>
    <x:row r="10">
      <x:c r="A10" s="337" t="str">
        <x:v>S3-BL-006</x:v>
      </x:c>
      <x:c r="B10" s="338" t="str">
        <x:v>Local storage</x:v>
      </x:c>
      <x:c r="C10" s="338" t="str">
        <x:v>Implement encrypted journal prototype</x:v>
      </x:c>
      <x:c r="D10" s="338" t="str">
        <x:v>Encrypted SQLite/SQLCipher-style journal, sequence, WAL, checksums, quota and recovery.</x:v>
      </x:c>
      <x:c r="E10" s="338" t="str">
        <x:v>Desktop/Data</x:v>
      </x:c>
      <x:c r="F10" s="338" t="str">
        <x:v>Security/QA</x:v>
      </x:c>
      <x:c r="G10" s="338" t="str">
        <x:v>S3-BL-001</x:v>
      </x:c>
      <x:c r="H10" s="338" t="str">
        <x:v>Critical</x:v>
      </x:c>
      <x:c r="I10" s="338" t="str">
        <x:v>Not Started</x:v>
      </x:c>
      <x:c r="J10" s="348" t="n">
        <x:f>IF(I10="Approved",1,IF(I10="Draft Complete",0.8,IF(I10="In Review",0.6,IF(I10="In Progress",0.4,IF(I10="Blocked",0,0)))))</x:f>
        <x:v>0</x:v>
      </x:c>
      <x:c r="K10" s="338" t="n">
        <x:v>12</x:v>
      </x:c>
      <x:c r="L10" s="338" t="str">
        <x:v>Local journal prototype</x:v>
      </x:c>
      <x:c r="M10" s="338" t="str">
        <x:v>72-hour offline and crash recovery tests pass.</x:v>
      </x:c>
      <x:c r="N10" s="339" t="str">
        <x:v>Local Storage Model</x:v>
      </x:c>
    </x:row>
    <x:row r="11">
      <x:c r="A11" s="332" t="str">
        <x:v>S3-BL-007</x:v>
      </x:c>
      <x:c r="B11" s="114" t="str">
        <x:v>Uploader</x:v>
      </x:c>
      <x:c r="C11" s="114" t="str">
        <x:v>Implement signed batch uploader and Java ingestion stub</x:v>
      </x:c>
      <x:c r="D11" s="114" t="str">
        <x:v>Batch compression, signature, idempotency, retry/backoff and ack/reject.</x:v>
      </x:c>
      <x:c r="E11" s="114" t="str">
        <x:v>Platform/Data</x:v>
      </x:c>
      <x:c r="F11" s="114" t="str">
        <x:v>Desktop/Java</x:v>
      </x:c>
      <x:c r="G11" s="114" t="str">
        <x:v>S3-BL-002,S3-BL-006</x:v>
      </x:c>
      <x:c r="H11" s="114" t="str">
        <x:v>Critical</x:v>
      </x:c>
      <x:c r="I11" s="114" t="str">
        <x:v>Not Started</x:v>
      </x:c>
      <x:c r="J11" s="135" t="n">
        <x:f>IF(I11="Approved",1,IF(I11="Draft Complete",0.8,IF(I11="In Review",0.6,IF(I11="In Progress",0.4,IF(I11="Blocked",0,0)))))</x:f>
        <x:v>0</x:v>
      </x:c>
      <x:c r="K11" s="114" t="n">
        <x:v>10</x:v>
      </x:c>
      <x:c r="L11" s="114" t="str">
        <x:v>Batch upload prototype</x:v>
      </x:c>
      <x:c r="M11" s="114" t="str">
        <x:v>Duplicate and late batches are safe.</x:v>
      </x:c>
      <x:c r="N11" s="333" t="str">
        <x:v>Event and API Contracts</x:v>
      </x:c>
    </x:row>
    <x:row r="12">
      <x:c r="A12" s="337" t="str">
        <x:v>S3-BL-008</x:v>
      </x:c>
      <x:c r="B12" s="338" t="str">
        <x:v>Employee UI</x:v>
      </x:c>
      <x:c r="C12" s="338" t="str">
        <x:v>Build tray/menu UI skeleton</x:v>
      </x:c>
      <x:c r="D12" s="338" t="str">
        <x:v>Visible active task, monitoring state, sensors, pause/private, support/report issue.</x:v>
      </x:c>
      <x:c r="E12" s="338" t="str">
        <x:v>Product/UX</x:v>
      </x:c>
      <x:c r="F12" s="338" t="str">
        <x:v>Desktop/Accessibility</x:v>
      </x:c>
      <x:c r="G12" s="338" t="str">
        <x:v>S3-BL-005</x:v>
      </x:c>
      <x:c r="H12" s="338" t="str">
        <x:v>Critical</x:v>
      </x:c>
      <x:c r="I12" s="338" t="str">
        <x:v>Not Started</x:v>
      </x:c>
      <x:c r="J12" s="348" t="n">
        <x:f>IF(I12="Approved",1,IF(I12="Draft Complete",0.8,IF(I12="In Review",0.6,IF(I12="In Progress",0.4,IF(I12="Blocked",0,0)))))</x:f>
        <x:v>0</x:v>
      </x:c>
      <x:c r="K12" s="338" t="n">
        <x:v>8</x:v>
      </x:c>
      <x:c r="L12" s="338" t="str">
        <x:v>UI skeleton</x:v>
      </x:c>
      <x:c r="M12" s="338" t="str">
        <x:v>Keyboard and screen-reader accessible.</x:v>
      </x:c>
      <x:c r="N12" s="339" t="str">
        <x:v>Session State Machine</x:v>
      </x:c>
    </x:row>
    <x:row r="13">
      <x:c r="A13" s="332" t="str">
        <x:v>S3-BL-009</x:v>
      </x:c>
      <x:c r="B13" s="114" t="str">
        <x:v>Windows spike</x:v>
      </x:c>
      <x:c r="C13" s="114" t="str">
        <x:v>Foreground app/window/process spike</x:v>
      </x:c>
      <x:c r="D13" s="114" t="str">
        <x:v>Prototype Windows event capture without content.</x:v>
      </x:c>
      <x:c r="E13" s="114" t="str">
        <x:v>Windows Lead</x:v>
      </x:c>
      <x:c r="F13" s="114" t="str">
        <x:v>QA/Security</x:v>
      </x:c>
      <x:c r="G13" s="114" t="str">
        <x:v>S3-BL-001</x:v>
      </x:c>
      <x:c r="H13" s="114" t="str">
        <x:v>High</x:v>
      </x:c>
      <x:c r="I13" s="114" t="str">
        <x:v>Not Started</x:v>
      </x:c>
      <x:c r="J13" s="135" t="n">
        <x:f>IF(I13="Approved",1,IF(I13="Draft Complete",0.8,IF(I13="In Review",0.6,IF(I13="In Progress",0.4,IF(I13="Blocked",0,0)))))</x:f>
        <x:v>0</x:v>
      </x:c>
      <x:c r="K13" s="114" t="n">
        <x:v>6</x:v>
      </x:c>
      <x:c r="L13" s="114" t="str">
        <x:v>Windows telemetry spike</x:v>
      </x:c>
      <x:c r="M13" s="114" t="str">
        <x:v>Meets OS Capability Matrix criteria.</x:v>
      </x:c>
      <x:c r="N13" s="333" t="str">
        <x:v>Technical Spikes</x:v>
      </x:c>
    </x:row>
    <x:row r="14">
      <x:c r="A14" s="337" t="str">
        <x:v>S3-BL-010</x:v>
      </x:c>
      <x:c r="B14" s="338" t="str">
        <x:v>macOS spike</x:v>
      </x:c>
      <x:c r="C14" s="338" t="str">
        <x:v>Foreground app/window/process spike</x:v>
      </x:c>
      <x:c r="D14" s="338" t="str">
        <x:v>Prototype macOS state capture and TCC permission UX.</x:v>
      </x:c>
      <x:c r="E14" s="338" t="str">
        <x:v>macOS Lead</x:v>
      </x:c>
      <x:c r="F14" s="338" t="str">
        <x:v>QA/Security</x:v>
      </x:c>
      <x:c r="G14" s="338" t="str">
        <x:v>S3-BL-001</x:v>
      </x:c>
      <x:c r="H14" s="338" t="str">
        <x:v>High</x:v>
      </x:c>
      <x:c r="I14" s="338" t="str">
        <x:v>Not Started</x:v>
      </x:c>
      <x:c r="J14" s="348" t="n">
        <x:f>IF(I14="Approved",1,IF(I14="Draft Complete",0.8,IF(I14="In Review",0.6,IF(I14="In Progress",0.4,IF(I14="Blocked",0,0)))))</x:f>
        <x:v>0</x:v>
      </x:c>
      <x:c r="K14" s="338" t="n">
        <x:v>6</x:v>
      </x:c>
      <x:c r="L14" s="338" t="str">
        <x:v>macOS telemetry spike</x:v>
      </x:c>
      <x:c r="M14" s="338" t="str">
        <x:v>Meets OS Capability Matrix criteria.</x:v>
      </x:c>
      <x:c r="N14" s="339" t="str">
        <x:v>Technical Spikes</x:v>
      </x:c>
    </x:row>
    <x:row r="15">
      <x:c r="A15" s="332" t="str">
        <x:v>S3-BL-011</x:v>
      </x:c>
      <x:c r="B15" s="114" t="str">
        <x:v>Security</x:v>
      </x:c>
      <x:c r="C15" s="114" t="str">
        <x:v>Secure-field/secret suppression test harness</x:v>
      </x:c>
      <x:c r="D15" s="114" t="str">
        <x:v>Adversarial test app/browser/terminal fixtures and scanner tests.</x:v>
      </x:c>
      <x:c r="E15" s="114" t="str">
        <x:v>CISO/Desktop</x:v>
      </x:c>
      <x:c r="F15" s="114" t="str">
        <x:v>QA/DPO</x:v>
      </x:c>
      <x:c r="G15" s="114" t="str">
        <x:v>S3-BL-003,S3-BL-006</x:v>
      </x:c>
      <x:c r="H15" s="114" t="str">
        <x:v>Critical</x:v>
      </x:c>
      <x:c r="I15" s="114" t="str">
        <x:v>Not Started</x:v>
      </x:c>
      <x:c r="J15" s="135" t="n">
        <x:f>IF(I15="Approved",1,IF(I15="Draft Complete",0.8,IF(I15="In Review",0.6,IF(I15="In Progress",0.4,IF(I15="Blocked",0,0)))))</x:f>
        <x:v>0</x:v>
      </x:c>
      <x:c r="K15" s="114" t="n">
        <x:v>10</x:v>
      </x:c>
      <x:c r="L15" s="114" t="str">
        <x:v>Secret-suppression harness</x:v>
      </x:c>
      <x:c r="M15" s="114" t="str">
        <x:v>Zero known secret retention.</x:v>
      </x:c>
      <x:c r="N15" s="333" t="str">
        <x:v>Technical Spikes</x:v>
      </x:c>
    </x:row>
    <x:row r="16">
      <x:c r="A16" s="337" t="str">
        <x:v>S3-BL-012</x:v>
      </x:c>
      <x:c r="B16" s="338" t="str">
        <x:v>Update</x:v>
      </x:c>
      <x:c r="C16" s="338" t="str">
        <x:v>Signed update and rollback pipeline</x:v>
      </x:c>
      <x:c r="D16" s="338" t="str">
        <x:v>Windows/macOS package signing, notarization, update manifest, rollback and SBOM.</x:v>
      </x:c>
      <x:c r="E16" s="338" t="str">
        <x:v>DevSecOps</x:v>
      </x:c>
      <x:c r="F16" s="338" t="str">
        <x:v>Desktop/IT</x:v>
      </x:c>
      <x:c r="G16" s="338" t="str">
        <x:v>S3-BL-001</x:v>
      </x:c>
      <x:c r="H16" s="338" t="str">
        <x:v>Critical</x:v>
      </x:c>
      <x:c r="I16" s="338" t="str">
        <x:v>Not Started</x:v>
      </x:c>
      <x:c r="J16" s="348" t="n">
        <x:f>IF(I16="Approved",1,IF(I16="Draft Complete",0.8,IF(I16="In Review",0.6,IF(I16="In Progress",0.4,IF(I16="Blocked",0,0)))))</x:f>
        <x:v>0</x:v>
      </x:c>
      <x:c r="K16" s="338" t="n">
        <x:v>15</x:v>
      </x:c>
      <x:c r="L16" s="338" t="str">
        <x:v>Signed update pipeline</x:v>
      </x:c>
      <x:c r="M16" s="338" t="str">
        <x:v>Install/update/rollback/uninstall matrix passes.</x:v>
      </x:c>
      <x:c r="N16" s="339" t="str">
        <x:v>Repository and CI/CD Plan</x:v>
      </x:c>
    </x:row>
    <x:row r="17">
      <x:c r="A17" s="332" t="str">
        <x:v>S3-BL-013</x:v>
      </x:c>
      <x:c r="B17" s="114" t="str">
        <x:v>Observability</x:v>
      </x:c>
      <x:c r="C17" s="114" t="str">
        <x:v>Health and diagnostics without evidence content</x:v>
      </x:c>
      <x:c r="D17" s="114" t="str">
        <x:v>Queue, policy, permission, version, heartbeat and error reporting.</x:v>
      </x:c>
      <x:c r="E17" s="114" t="str">
        <x:v>SRE/Desktop</x:v>
      </x:c>
      <x:c r="F17" s="114" t="str">
        <x:v>Security</x:v>
      </x:c>
      <x:c r="G17" s="114" t="str">
        <x:v>S3-BL-005,S3-BL-006</x:v>
      </x:c>
      <x:c r="H17" s="114" t="str">
        <x:v>High</x:v>
      </x:c>
      <x:c r="I17" s="114" t="str">
        <x:v>Not Started</x:v>
      </x:c>
      <x:c r="J17" s="135" t="n">
        <x:f>IF(I17="Approved",1,IF(I17="Draft Complete",0.8,IF(I17="In Review",0.6,IF(I17="In Progress",0.4,IF(I17="Blocked",0,0)))))</x:f>
        <x:v>0</x:v>
      </x:c>
      <x:c r="K17" s="114" t="n">
        <x:v>6</x:v>
      </x:c>
      <x:c r="L17" s="114" t="str">
        <x:v>Health prototype</x:v>
      </x:c>
      <x:c r="M17" s="114" t="str">
        <x:v>No sensitive sample value appears in logs/traces.</x:v>
      </x:c>
      <x:c r="N17" s="333" t="str">
        <x:v>Performance Budgets</x:v>
      </x:c>
    </x:row>
    <x:row r="18">
      <x:c r="A18" s="337" t="str">
        <x:v>S3-BL-014</x:v>
      </x:c>
      <x:c r="B18" s="338" t="str">
        <x:v>Security</x:v>
      </x:c>
      <x:c r="C18" s="338" t="str">
        <x:v>Stage 3 endpoint threat review</x:v>
      </x:c>
      <x:c r="D18" s="338" t="str">
        <x:v>Review tamper, privilege, secret, update, exfiltration and spoofing risks.</x:v>
      </x:c>
      <x:c r="E18" s="338" t="str">
        <x:v>CISO</x:v>
      </x:c>
      <x:c r="F18" s="338" t="str">
        <x:v>All leads</x:v>
      </x:c>
      <x:c r="G18" s="338" t="str">
        <x:v>S3-BL-003:S3-BL-013</x:v>
      </x:c>
      <x:c r="H18" s="338" t="str">
        <x:v>Critical</x:v>
      </x:c>
      <x:c r="I18" s="338" t="str">
        <x:v>Not Started</x:v>
      </x:c>
      <x:c r="J18" s="348" t="n">
        <x:f>IF(I18="Approved",1,IF(I18="Draft Complete",0.8,IF(I18="In Review",0.6,IF(I18="In Progress",0.4,IF(I18="Blocked",0,0)))))</x:f>
        <x:v>0</x:v>
      </x:c>
      <x:c r="K18" s="338" t="n">
        <x:v>4</x:v>
      </x:c>
      <x:c r="L18" s="338" t="str">
        <x:v>Security review record</x:v>
      </x:c>
      <x:c r="M18" s="338" t="str">
        <x:v>Critical threats have tested controls or blocking status.</x:v>
      </x:c>
      <x:c r="N18" s="339" t="str">
        <x:v>Stage 3 Threat Model</x:v>
      </x:c>
    </x:row>
    <x:row r="19">
      <x:c r="A19" s="332" t="str">
        <x:v>S3-BL-015</x:v>
      </x:c>
      <x:c r="B19" s="114" t="str">
        <x:v>QA</x:v>
      </x:c>
      <x:c r="C19" s="114" t="str">
        <x:v>Full Stage 3 test matrix execution</x:v>
      </x:c>
      <x:c r="D19" s="114" t="str">
        <x:v>Unit, contract, integration, OS, security, performance, offline, installer and UX tests.</x:v>
      </x:c>
      <x:c r="E19" s="114" t="str">
        <x:v>QA Lead</x:v>
      </x:c>
      <x:c r="F19" s="114" t="str">
        <x:v>All leads</x:v>
      </x:c>
      <x:c r="G19" s="114" t="str">
        <x:v>S3-BL-001:S3-BL-014</x:v>
      </x:c>
      <x:c r="H19" s="114" t="str">
        <x:v>Critical</x:v>
      </x:c>
      <x:c r="I19" s="114" t="str">
        <x:v>Not Started</x:v>
      </x:c>
      <x:c r="J19" s="135" t="n">
        <x:f>IF(I19="Approved",1,IF(I19="Draft Complete",0.8,IF(I19="In Review",0.6,IF(I19="In Progress",0.4,IF(I19="Blocked",0,0)))))</x:f>
        <x:v>0</x:v>
      </x:c>
      <x:c r="K19" s="114" t="n">
        <x:v>10</x:v>
      </x:c>
      <x:c r="L19" s="114" t="str">
        <x:v>Test report</x:v>
      </x:c>
      <x:c r="M19" s="114" t="str">
        <x:v>All blocking tests pass or gate holds.</x:v>
      </x:c>
      <x:c r="N19" s="333" t="str">
        <x:v>Test Matrix</x:v>
      </x:c>
    </x:row>
    <x:row r="20">
      <x:c r="A20" s="340" t="str">
        <x:v>S3-BL-016</x:v>
      </x:c>
      <x:c r="B20" s="341" t="str">
        <x:v>Documentation</x:v>
      </x:c>
      <x:c r="C20" s="341" t="str">
        <x:v>Stage 3 implementation package</x:v>
      </x:c>
      <x:c r="D20" s="341" t="str">
        <x:v>Architecture, module specs, state machine, policy, local storage, APIs, spikes, tests, ADRs and gate evidence.</x:v>
      </x:c>
      <x:c r="E20" s="341" t="str">
        <x:v>Programme Lead</x:v>
      </x:c>
      <x:c r="F20" s="341" t="str">
        <x:v>All owners</x:v>
      </x:c>
      <x:c r="G20" s="341" t="str">
        <x:v>S3-BL-001:S3-BL-015</x:v>
      </x:c>
      <x:c r="H20" s="341" t="str">
        <x:v>High</x:v>
      </x:c>
      <x:c r="I20" s="341" t="str">
        <x:v>Not Started</x:v>
      </x:c>
      <x:c r="J20" s="349" t="n">
        <x:f>IF(I20="Approved",1,IF(I20="Draft Complete",0.8,IF(I20="In Review",0.6,IF(I20="In Progress",0.4,IF(I20="Blocked",0,0)))))</x:f>
        <x:v>0</x:v>
      </x:c>
      <x:c r="K20" s="341" t="n">
        <x:v>4</x:v>
      </x:c>
      <x:c r="L20" s="341" t="str">
        <x:v>Stage 3 package</x:v>
      </x:c>
      <x:c r="M20" s="341" t="str">
        <x:v>Ready for Stage 3 gate review and Stage 4/5 handoff.</x:v>
      </x:c>
      <x:c r="N20" s="342" t="str">
        <x:v>Stage 3 Gate</x:v>
      </x:c>
    </x:row>
  </x:sheetData>
  <x:mergeCells>
    <x:mergeCell ref="A1:N1"/>
    <x:mergeCell ref="A2:N2"/>
  </x:mergeCells>
  <x:dataValidations count="2">
    <x:dataValidation type="list" sqref="H5:H20">
      <x:formula1>"Critical,High,Medium,Low"</x:formula1>
    </x:dataValidation>
    <x:dataValidation type="list" sqref="I5:I20">
      <x:formula1>"Not Started,In Progress,Draft Complete,In Review,Approved,Blocked,Deferred"</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32" hidden="0" customWidth="1"/>
    <x:col min="3" max="3" width="20" hidden="0" customWidth="1"/>
    <x:col min="4" max="4" width="46" hidden="0" customWidth="1"/>
    <x:col min="5" max="5" width="54" hidden="0" customWidth="1"/>
    <x:col min="6" max="6" width="34" hidden="0" customWidth="1"/>
    <x:col min="7" max="7" width="42" hidden="0" customWidth="1"/>
    <x:col min="8" max="8" width="38" hidden="0" customWidth="1"/>
    <x:col min="9" max="9" width="34" hidden="0" customWidth="1"/>
    <x:col min="10" max="10" width="24" hidden="0" customWidth="1"/>
    <x:col min="11" max="11" width="28" hidden="0" customWidth="1"/>
  </x:cols>
  <x:sheetData>
    <x:row r="1" ht="30" customHeight="1">
      <x:c r="A1" s="294" t="str">
        <x:v>Stage 3 — Architecture Decision Records</x:v>
      </x:c>
      <x:c r="B1" s="294"/>
      <x:c r="C1" s="294"/>
      <x:c r="D1" s="294"/>
      <x:c r="E1" s="294"/>
      <x:c r="F1" s="294"/>
      <x:c r="G1" s="294"/>
      <x:c r="H1" s="294"/>
      <x:c r="I1" s="294"/>
      <x:c r="J1" s="294"/>
      <x:c r="K1" s="294"/>
    </x:row>
    <x:row r="2" ht="36" customHeight="1">
      <x:c r="A2" s="298" t="str">
        <x:v>Device-agent foundation architecture decisions and trade-offs.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S3-ADR-001</x:v>
      </x:c>
      <x:c r="B5" s="330" t="str">
        <x:v>Rust shared core</x:v>
      </x:c>
      <x:c r="C5" s="330" t="str">
        <x:v>Accepted in principle</x:v>
      </x:c>
      <x:c r="D5" s="330" t="str">
        <x:v>Endpoint core requires long-running performance, memory safety and cross-platform logic.</x:v>
      </x:c>
      <x:c r="E5" s="330" t="str">
        <x:v>Use Rust for shared policy/session/journal/batch core.</x:v>
      </x:c>
      <x:c r="F5" s="330" t="str">
        <x:v>Java/Python/Electron always-on capture core.</x:v>
      </x:c>
      <x:c r="G5" s="330" t="str">
        <x:v>Performance, memory safety and cross-platform reuse.</x:v>
      </x:c>
      <x:c r="H5" s="330" t="str">
        <x:v>Rust/FFI expertise needed.</x:v>
      </x:c>
      <x:c r="I5" s="330" t="str">
        <x:v>Stage 3 skeleton and performance tests.</x:v>
      </x:c>
      <x:c r="J5" s="330" t="str">
        <x:v>Desktop Architect</x:v>
      </x:c>
      <x:c r="K5" s="331" t="str">
        <x:v>Rust architecture recommendation</x:v>
      </x:c>
    </x:row>
    <x:row r="6">
      <x:c r="A6" s="337" t="str">
        <x:v>S3-ADR-002</x:v>
      </x:c>
      <x:c r="B6" s="338" t="str">
        <x:v>Native OS bridges</x:v>
      </x:c>
      <x:c r="C6" s="338" t="str">
        <x:v>Accepted in principle</x:v>
      </x:c>
      <x:c r="D6" s="338" t="str">
        <x:v>OS capture and permissions require platform APIs.</x:v>
      </x:c>
      <x:c r="E6" s="338" t="str">
        <x:v>Use Swift/Objective-C for macOS and Rust FFI+C#/C++/native APIs on Windows where needed.</x:v>
      </x:c>
      <x:c r="F6" s="338" t="str">
        <x:v>Pure Rust only; cross-platform GUI toolkit only.</x:v>
      </x:c>
      <x:c r="G6" s="338" t="str">
        <x:v>Access to ScreenCaptureKit, AX, UIA, ETW and signing paths.</x:v>
      </x:c>
      <x:c r="H6" s="338" t="str">
        <x:v>Bridge complexity.</x:v>
      </x:c>
      <x:c r="I6" s="338" t="str">
        <x:v>OS spike matrix.</x:v>
      </x:c>
      <x:c r="J6" s="338" t="str">
        <x:v>Windows/macOS Leads</x:v>
      </x:c>
      <x:c r="K6" s="339" t="str">
        <x:v>Apple/Microsoft docs</x:v>
      </x:c>
    </x:row>
    <x:row r="7">
      <x:c r="A7" s="332" t="str">
        <x:v>S3-ADR-003</x:v>
      </x:c>
      <x:c r="B7" s="114" t="str">
        <x:v>Stage 3 excludes sensitive capture implementation</x:v>
      </x:c>
      <x:c r="C7" s="114" t="str">
        <x:v>Accepted</x:v>
      </x:c>
      <x:c r="D7" s="114" t="str">
        <x:v>Secure agent foundation must exist before keystroke/text/screenshot capture.</x:v>
      </x:c>
      <x:c r="E7" s="114" t="str">
        <x:v>Stage 3 builds skeleton, policy, storage, UI, identity and spikes; Stage 5 implements broader capture.</x:v>
      </x:c>
      <x:c r="F7" s="114" t="str">
        <x:v>Implement full capture immediately.</x:v>
      </x:c>
      <x:c r="G7" s="114" t="str">
        <x:v>Reduces privacy/security risk.</x:v>
      </x:c>
      <x:c r="H7" s="114" t="str">
        <x:v>Some stakeholders may expect visible capture output earlier.</x:v>
      </x:c>
      <x:c r="I7" s="114" t="str">
        <x:v>Stage 3 gate and Stage 5 handoff.</x:v>
      </x:c>
      <x:c r="J7" s="114" t="str">
        <x:v>Product/DPO/CISO</x:v>
      </x:c>
      <x:c r="K7" s="333" t="str">
        <x:v>Stage prompt</x:v>
      </x:c>
    </x:row>
    <x:row r="8">
      <x:c r="A8" s="337" t="str">
        <x:v>S3-ADR-004</x:v>
      </x:c>
      <x:c r="B8" s="338" t="str">
        <x:v>Fail-safe policy</x:v>
      </x:c>
      <x:c r="C8" s="338" t="str">
        <x:v>Accepted</x:v>
      </x:c>
      <x:c r="D8" s="338" t="str">
        <x:v>Capture policy may be unavailable, expired or tampered.</x:v>
      </x:c>
      <x:c r="E8" s="338" t="str">
        <x:v>Sensitive capture disabled when policy is invalid, expired or unverifiable.</x:v>
      </x:c>
      <x:c r="F8" s="338" t="str">
        <x:v>Allow last-known-policy indefinitely.</x:v>
      </x:c>
      <x:c r="G8" s="338" t="str">
        <x:v>Compliance and safety.</x:v>
      </x:c>
      <x:c r="H8" s="338" t="str">
        <x:v>May lose evidence during outages.</x:v>
      </x:c>
      <x:c r="I8" s="338" t="str">
        <x:v>Offline rules and telemetry gap events.</x:v>
      </x:c>
      <x:c r="J8" s="338" t="str">
        <x:v>Security/DPO</x:v>
      </x:c>
      <x:c r="K8" s="339" t="str">
        <x:v>Policy Bundle</x:v>
      </x:c>
    </x:row>
    <x:row r="9">
      <x:c r="A9" s="332" t="str">
        <x:v>S3-ADR-005</x:v>
      </x:c>
      <x:c r="B9" s="114" t="str">
        <x:v>Local-first redaction</x:v>
      </x:c>
      <x:c r="C9" s="114" t="str">
        <x:v>Accepted in principle</x:v>
      </x:c>
      <x:c r="D9" s="114" t="str">
        <x:v>Uploading raw candidate evidence increases privacy and security risk.</x:v>
      </x:c>
      <x:c r="E9" s="114" t="str">
        <x:v>Apply exclusion/redaction before durable storage/upload; log suppression without content.</x:v>
      </x:c>
      <x:c r="F9" s="114" t="str">
        <x:v>Cloud-first redaction.</x:v>
      </x:c>
      <x:c r="G9" s="114" t="str">
        <x:v>Lower data exposure.</x:v>
      </x:c>
      <x:c r="H9" s="114" t="str">
        <x:v>Edge redaction is harder to update/test.</x:v>
      </x:c>
      <x:c r="I9" s="114" t="str">
        <x:v>Secret-suppression harness.</x:v>
      </x:c>
      <x:c r="J9" s="114" t="str">
        <x:v>CISO/Desktop</x:v>
      </x:c>
      <x:c r="K9" s="333" t="str">
        <x:v>Purpose matrix</x:v>
      </x:c>
    </x:row>
    <x:row r="10">
      <x:c r="A10" s="337" t="str">
        <x:v>S3-ADR-006</x:v>
      </x:c>
      <x:c r="B10" s="338" t="str">
        <x:v>Encrypted local journal</x:v>
      </x:c>
      <x:c r="C10" s="338" t="str">
        <x:v>Accepted in principle</x:v>
      </x:c>
      <x:c r="D10" s="338" t="str">
        <x:v>Offline operation and crash recovery need durable local queue.</x:v>
      </x:c>
      <x:c r="E10" s="338" t="str">
        <x:v>Use encrypted SQLite/SQLCipher-style journal with WAL, sequence and object cache.</x:v>
      </x:c>
      <x:c r="F10" s="338" t="str">
        <x:v>Plain logs; cloud-only queue; custom binary store.</x:v>
      </x:c>
      <x:c r="G10" s="338" t="str">
        <x:v>Reliability and queryability.</x:v>
      </x:c>
      <x:c r="H10" s="338" t="str">
        <x:v>SQLCipher/licence/performance review needed.</x:v>
      </x:c>
      <x:c r="I10" s="338" t="str">
        <x:v>Local storage spike.</x:v>
      </x:c>
      <x:c r="J10" s="338" t="str">
        <x:v>Desktop/Data</x:v>
      </x:c>
      <x:c r="K10" s="339" t="str">
        <x:v>SQLCipher/SQLite pattern</x:v>
      </x:c>
    </x:row>
    <x:row r="11">
      <x:c r="A11" s="332" t="str">
        <x:v>S3-ADR-007</x:v>
      </x:c>
      <x:c r="B11" s="114" t="str">
        <x:v>Signed batches and idempotency</x:v>
      </x:c>
      <x:c r="C11" s="114" t="str">
        <x:v>Accepted</x:v>
      </x:c>
      <x:c r="D11" s="114" t="str">
        <x:v>Evidence integrity depends on trustworthy device origin and safe retries.</x:v>
      </x:c>
      <x:c r="E11" s="114" t="str">
        <x:v>Every batch signed, schema-versioned and idempotent with sequence/gap handling.</x:v>
      </x:c>
      <x:c r="F11" s="114" t="str">
        <x:v>Unsigned JSON posts.</x:v>
      </x:c>
      <x:c r="G11" s="114" t="str">
        <x:v>Prevents spoofing and duplicate corruption.</x:v>
      </x:c>
      <x:c r="H11" s="114" t="str">
        <x:v>More ingest complexity.</x:v>
      </x:c>
      <x:c r="I11" s="114" t="str">
        <x:v>Batch upload tests.</x:v>
      </x:c>
      <x:c r="J11" s="114" t="str">
        <x:v>Data/Platform</x:v>
      </x:c>
      <x:c r="K11" s="333" t="str">
        <x:v>Event architecture</x:v>
      </x:c>
    </x:row>
    <x:row r="12">
      <x:c r="A12" s="337" t="str">
        <x:v>S3-ADR-008</x:v>
      </x:c>
      <x:c r="B12" s="338" t="str">
        <x:v>Visible employee UI is infrastructure</x:v>
      </x:c>
      <x:c r="C12" s="338" t="str">
        <x:v>Accepted</x:v>
      </x:c>
      <x:c r="D12" s="338" t="str">
        <x:v>Transparency is a functional requirement, not an optional dashboard.</x:v>
      </x:c>
      <x:c r="E12" s="338" t="str">
        <x:v>Agent includes persistent status, active task, sensors and pause/private controls.</x:v>
      </x:c>
      <x:c r="F12" s="338" t="str">
        <x:v>Background service only.</x:v>
      </x:c>
      <x:c r="G12" s="338" t="str">
        <x:v>Employee trust and legal compliance.</x:v>
      </x:c>
      <x:c r="H12" s="338" t="str">
        <x:v>Additional UX complexity.</x:v>
      </x:c>
      <x:c r="I12" s="338" t="str">
        <x:v>Accessibility and comprehension tests.</x:v>
      </x:c>
      <x:c r="J12" s="338" t="str">
        <x:v>Product/HR/DPO</x:v>
      </x:c>
      <x:c r="K12" s="339" t="str">
        <x:v>Governance baseline</x:v>
      </x:c>
    </x:row>
    <x:row r="13">
      <x:c r="A13" s="332" t="str">
        <x:v>S3-ADR-009</x:v>
      </x:c>
      <x:c r="B13" s="114" t="str">
        <x:v>Linux deferred</x:v>
      </x:c>
      <x:c r="C13" s="114" t="str">
        <x:v>Accepted in principle</x:v>
      </x:c>
      <x:c r="D13" s="114" t="str">
        <x:v>Wayland/compositor restrictions make uniform input/screen capture unreliable.</x:v>
      </x:c>
      <x:c r="E13" s="114" t="str">
        <x:v>Support Windows/macOS first; Linux only after managed desktop environment validation.</x:v>
      </x:c>
      <x:c r="F13" s="114" t="str">
        <x:v>Promise Linux parity immediately.</x:v>
      </x:c>
      <x:c r="G13" s="114" t="str">
        <x:v>Avoids false claims and poor delivery.</x:v>
      </x:c>
      <x:c r="H13" s="114" t="str">
        <x:v>Linux users wait.</x:v>
      </x:c>
      <x:c r="I13" s="114" t="str">
        <x:v>Linux capability matrix.</x:v>
      </x:c>
      <x:c r="J13" s="114" t="str">
        <x:v>CTO/Desktop</x:v>
      </x:c>
      <x:c r="K13" s="333" t="str">
        <x:v>XDG portal limitations</x:v>
      </x:c>
    </x:row>
    <x:row r="14">
      <x:c r="A14" s="340" t="str">
        <x:v>S3-ADR-010</x:v>
      </x:c>
      <x:c r="B14" s="341" t="str">
        <x:v>No raw evidence in health/observability</x:v>
      </x:c>
      <x:c r="C14" s="341" t="str">
        <x:v>Accepted</x:v>
      </x:c>
      <x:c r="D14" s="341" t="str">
        <x:v>Logs/traces can leak employee evidence if not controlled.</x:v>
      </x:c>
      <x:c r="E14" s="341" t="str">
        <x:v>Health/telemetry contain only operational metadata and content references.</x:v>
      </x:c>
      <x:c r="F14" s="341" t="str">
        <x:v>Use logs/traces as evidence store.</x:v>
      </x:c>
      <x:c r="G14" s="341" t="str">
        <x:v>Reduces breach exposure.</x:v>
      </x:c>
      <x:c r="H14" s="341" t="str">
        <x:v>Need evidence correlation IDs.</x:v>
      </x:c>
      <x:c r="I14" s="341" t="str">
        <x:v>Content-leak test.</x:v>
      </x:c>
      <x:c r="J14" s="341" t="str">
        <x:v>SRE/DPO</x:v>
      </x:c>
      <x:c r="K14" s="342" t="str">
        <x:v>OpenTelemetry sensitivity</x:v>
      </x:c>
    </x:row>
  </x:sheetData>
  <x:mergeCells>
    <x:mergeCell ref="A1:K1"/>
    <x:mergeCell ref="A2:K2"/>
  </x:mergeCells>
  <x:dataValidations count="1">
    <x:dataValidation type="list" sqref="C5:C14">
      <x:formula1>"Proposed,Accepted in principle,Accepted,Rejected,Deferred"</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6"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3 — Go / No-Go Gate</x:v>
      </x:c>
      <x:c r="B1" s="294"/>
      <x:c r="C1" s="294"/>
      <x:c r="D1" s="294"/>
      <x:c r="E1" s="294"/>
      <x:c r="F1" s="294"/>
      <x:c r="G1" s="294"/>
      <x:c r="H1" s="294"/>
      <x:c r="I1" s="294"/>
    </x:row>
    <x:row r="2" ht="36" customHeight="1">
      <x:c r="A2" s="298" t="str">
        <x:v>Readiness criteria for the Device Agent Foundation. This gate approves agent foundation implementation; it does not approve unrestricted capture.</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S3-G-001</x:v>
      </x:c>
      <x:c r="B5" s="330" t="str">
        <x:v>Architecture</x:v>
      </x:c>
      <x:c r="C5" s="330" t="str">
        <x:v>Yes</x:v>
      </x:c>
      <x:c r="D5" s="330" t="str">
        <x:v>Agent architecture defines shared core, native bridges, policy, UI, journal, batcher and update components.</x:v>
      </x:c>
      <x:c r="E5" s="330" t="str">
        <x:v>Agent Architecture</x:v>
      </x:c>
      <x:c r="F5" s="330" t="str">
        <x:v>Draft Ready</x:v>
      </x:c>
      <x:c r="G5" s="347" t="n">
        <x:f>IF(F5="Met",1,IF(F5="Draft Ready",0.8,IF(F5="In Review",0.6,IF(F5="Owner Input",0.3,IF(F5="Blocked",0,0)))))</x:f>
        <x:v>0.8</x:v>
      </x:c>
      <x:c r="H5" s="330" t="str">
        <x:v>No component owner or boundary.</x:v>
      </x:c>
      <x:c r="I5" s="331" t="str">
        <x:v>CTO/Desktop</x:v>
      </x:c>
      <x:c r="K5" s="329" t="str">
        <x:v>Stage 3 readiness</x:v>
      </x:c>
      <x:c r="L5" s="350" t="n">
        <x:f>AVERAGE(G5:G19)</x:f>
        <x:v>0.7333333333333333</x:v>
      </x:c>
    </x:row>
    <x:row r="6">
      <x:c r="A6" s="337" t="str">
        <x:v>S3-G-002</x:v>
      </x:c>
      <x:c r="B6" s="338" t="str">
        <x:v>OS matrix</x:v>
      </x:c>
      <x:c r="C6" s="338" t="str">
        <x:v>Yes</x:v>
      </x:c>
      <x:c r="D6" s="338" t="str">
        <x:v>Windows/macOS/Linux capabilities, permissions and limitations are documented.</x:v>
      </x:c>
      <x:c r="E6" s="338" t="str">
        <x:v>OS Capability Matrix</x:v>
      </x:c>
      <x:c r="F6" s="338" t="str">
        <x:v>Draft Ready</x:v>
      </x:c>
      <x:c r="G6" s="348" t="n">
        <x:f>IF(F6="Met",1,IF(F6="Draft Ready",0.8,IF(F6="In Review",0.6,IF(F6="Owner Input",0.3,IF(F6="Blocked",0,0)))))</x:f>
        <x:v>0.8</x:v>
      </x:c>
      <x:c r="H6" s="338" t="str">
        <x:v>Linux parity overclaimed.</x:v>
      </x:c>
      <x:c r="I6" s="339" t="str">
        <x:v>Desktop Architect</x:v>
      </x:c>
      <x:c r="K6" s="332" t="str">
        <x:v>Mandatory not started/blocked</x:v>
      </x:c>
      <x:c r="L6" s="333" t="n">
        <x:f>COUNTIFS(C5:C19,"Yes",F5:F19,"Not Started")+COUNTIFS(C5:C19,"Yes",F5:F19,"Blocked")</x:f>
        <x:v>1</x:v>
      </x:c>
    </x:row>
    <x:row r="7">
      <x:c r="A7" s="332" t="str">
        <x:v>S3-G-003</x:v>
      </x:c>
      <x:c r="B7" s="114" t="str">
        <x:v>Policy first</x:v>
      </x:c>
      <x:c r="C7" s="114" t="str">
        <x:v>Yes</x:v>
      </x:c>
      <x:c r="D7" s="114" t="str">
        <x:v>Signed policy bundle and fail-safe behaviour are specified.</x:v>
      </x:c>
      <x:c r="E7" s="114" t="str">
        <x:v>Policy Bundle</x:v>
      </x:c>
      <x:c r="F7" s="114" t="str">
        <x:v>Draft Ready</x:v>
      </x:c>
      <x:c r="G7" s="135" t="n">
        <x:f>IF(F7="Met",1,IF(F7="Draft Ready",0.8,IF(F7="In Review",0.6,IF(F7="Owner Input",0.3,IF(F7="Blocked",0,0)))))</x:f>
        <x:v>0.8</x:v>
      </x:c>
      <x:c r="H7" s="114" t="str">
        <x:v>Capture can run without valid policy.</x:v>
      </x:c>
      <x:c r="I7" s="333" t="str">
        <x:v>CISO/DPO</x:v>
      </x:c>
      <x:c r="K7" s="332" t="str">
        <x:v>Draft-ready/met items</x:v>
      </x:c>
      <x:c r="L7" s="333" t="n">
        <x:f>COUNTIF(F5:F19,"Met")+COUNTIF(F5:F19,"Draft Ready")</x:f>
        <x:v>13</x:v>
      </x:c>
    </x:row>
    <x:row r="8">
      <x:c r="A8" s="337" t="str">
        <x:v>S3-G-004</x:v>
      </x:c>
      <x:c r="B8" s="338" t="str">
        <x:v>Visible session control</x:v>
      </x:c>
      <x:c r="C8" s="338" t="str">
        <x:v>Yes</x:v>
      </x:c>
      <x:c r="D8" s="338" t="str">
        <x:v>Work-day/task state machine and employee UI requirements are specified.</x:v>
      </x:c>
      <x:c r="E8" s="338" t="str">
        <x:v>Session State Machine / Agent Architecture</x:v>
      </x:c>
      <x:c r="F8" s="338" t="str">
        <x:v>Draft Ready</x:v>
      </x:c>
      <x:c r="G8" s="348" t="n">
        <x:f>IF(F8="Met",1,IF(F8="Draft Ready",0.8,IF(F8="In Review",0.6,IF(F8="Owner Input",0.3,IF(F8="Blocked",0,0)))))</x:f>
        <x:v>0.8</x:v>
      </x:c>
      <x:c r="H8" s="338" t="str">
        <x:v>Hidden or ambiguous capture state.</x:v>
      </x:c>
      <x:c r="I8" s="339" t="str">
        <x:v>Product/HR</x:v>
      </x:c>
      <x:c r="K8" s="334" t="str">
        <x:v>Formal decision count</x:v>
      </x:c>
      <x:c r="L8" s="336" t="n">
        <x:f>0</x:f>
        <x:v>0</x:v>
      </x:c>
    </x:row>
    <x:row r="9">
      <x:c r="A9" s="332" t="str">
        <x:v>S3-G-005</x:v>
      </x:c>
      <x:c r="B9" s="114" t="str">
        <x:v>Identity and keys</x:v>
      </x:c>
      <x:c r="C9" s="114" t="str">
        <x:v>Yes</x:v>
      </x:c>
      <x:c r="D9" s="114" t="str">
        <x:v>Device registration, certificate, mTLS, rotation, revocation and evidence keys are specified.</x:v>
      </x:c>
      <x:c r="E9" s="114" t="str">
        <x:v>Device Identity and Key Model</x:v>
      </x:c>
      <x:c r="F9" s="114" t="str">
        <x:v>Draft Ready</x:v>
      </x:c>
      <x:c r="G9" s="135" t="n">
        <x:f>IF(F9="Met",1,IF(F9="Draft Ready",0.8,IF(F9="In Review",0.6,IF(F9="Owner Input",0.3,IF(F9="Blocked",0,0)))))</x:f>
        <x:v>0.8</x:v>
      </x:c>
      <x:c r="H9" s="114" t="str">
        <x:v>No revocation or secure key storage.</x:v>
      </x:c>
      <x:c r="I9" s="333" t="str">
        <x:v>Platform Security</x:v>
      </x:c>
    </x:row>
    <x:row r="10">
      <x:c r="A10" s="337" t="str">
        <x:v>S3-G-006</x:v>
      </x:c>
      <x:c r="B10" s="338" t="str">
        <x:v>Local storage</x:v>
      </x:c>
      <x:c r="C10" s="338" t="str">
        <x:v>Yes</x:v>
      </x:c>
      <x:c r="D10" s="338" t="str">
        <x:v>Encrypted journal, object cache, sequence, crash recovery, quota and deletion model are specified.</x:v>
      </x:c>
      <x:c r="E10" s="338" t="str">
        <x:v>Local Storage Model</x:v>
      </x:c>
      <x:c r="F10" s="338" t="str">
        <x:v>Draft Ready</x:v>
      </x:c>
      <x:c r="G10" s="348" t="n">
        <x:f>IF(F10="Met",1,IF(F10="Draft Ready",0.8,IF(F10="In Review",0.6,IF(F10="Owner Input",0.3,IF(F10="Blocked",0,0)))))</x:f>
        <x:v>0.8</x:v>
      </x:c>
      <x:c r="H10" s="338" t="str">
        <x:v>Plaintext or unbounded storage.</x:v>
      </x:c>
      <x:c r="I10" s="339" t="str">
        <x:v>Data/Desktop</x:v>
      </x:c>
    </x:row>
    <x:row r="11">
      <x:c r="A11" s="332" t="str">
        <x:v>S3-G-007</x:v>
      </x:c>
      <x:c r="B11" s="114" t="str">
        <x:v>API/event contracts</x:v>
      </x:c>
      <x:c r="C11" s="114" t="str">
        <x:v>Yes</x:v>
      </x:c>
      <x:c r="D11" s="114" t="str">
        <x:v>Device APIs and batch/event schemas are specified.</x:v>
      </x:c>
      <x:c r="E11" s="114" t="str">
        <x:v>Event and API Contracts</x:v>
      </x:c>
      <x:c r="F11" s="114" t="str">
        <x:v>Draft Ready</x:v>
      </x:c>
      <x:c r="G11" s="135" t="n">
        <x:f>IF(F11="Met",1,IF(F11="Draft Ready",0.8,IF(F11="In Review",0.6,IF(F11="Owner Input",0.3,IF(F11="Blocked",0,0)))))</x:f>
        <x:v>0.8</x:v>
      </x:c>
      <x:c r="H11" s="114" t="str">
        <x:v>No contract between agent and cloud.</x:v>
      </x:c>
      <x:c r="I11" s="333" t="str">
        <x:v>Data/Platform</x:v>
      </x:c>
    </x:row>
    <x:row r="12">
      <x:c r="A12" s="337" t="str">
        <x:v>S3-G-008</x:v>
      </x:c>
      <x:c r="B12" s="338" t="str">
        <x:v>Spikes</x:v>
      </x:c>
      <x:c r="C12" s="338" t="str">
        <x:v>Yes</x:v>
      </x:c>
      <x:c r="D12" s="338" t="str">
        <x:v>Highest-risk technical spikes have methods, metrics and decision rules.</x:v>
      </x:c>
      <x:c r="E12" s="338" t="str">
        <x:v>Technical Spikes</x:v>
      </x:c>
      <x:c r="F12" s="338" t="str">
        <x:v>Draft Ready</x:v>
      </x:c>
      <x:c r="G12" s="348" t="n">
        <x:f>IF(F12="Met",1,IF(F12="Draft Ready",0.8,IF(F12="In Review",0.6,IF(F12="Owner Input",0.3,IF(F12="Blocked",0,0)))))</x:f>
        <x:v>0.8</x:v>
      </x:c>
      <x:c r="H12" s="338" t="str">
        <x:v>Implementation starts without measurable uncertainty reduction.</x:v>
      </x:c>
      <x:c r="I12" s="339" t="str">
        <x:v>Programme/Architecture</x:v>
      </x:c>
    </x:row>
    <x:row r="13">
      <x:c r="A13" s="332" t="str">
        <x:v>S3-G-009</x:v>
      </x:c>
      <x:c r="B13" s="114" t="str">
        <x:v>Performance/reliability</x:v>
      </x:c>
      <x:c r="C13" s="114" t="str">
        <x:v>Yes</x:v>
      </x:c>
      <x:c r="D13" s="114" t="str">
        <x:v>CPU, memory, input latency, storage, offline, crash and install budgets are defined.</x:v>
      </x:c>
      <x:c r="E13" s="114" t="str">
        <x:v>Performance Budgets</x:v>
      </x:c>
      <x:c r="F13" s="114" t="str">
        <x:v>Draft Ready</x:v>
      </x:c>
      <x:c r="G13" s="135" t="n">
        <x:f>IF(F13="Met",1,IF(F13="Draft Ready",0.8,IF(F13="In Review",0.6,IF(F13="Owner Input",0.3,IF(F13="Blocked",0,0)))))</x:f>
        <x:v>0.8</x:v>
      </x:c>
      <x:c r="H13" s="114" t="str">
        <x:v>No endpoint performance targets.</x:v>
      </x:c>
      <x:c r="I13" s="333" t="str">
        <x:v>SRE/Desktop</x:v>
      </x:c>
    </x:row>
    <x:row r="14">
      <x:c r="A14" s="337" t="str">
        <x:v>S3-G-010</x:v>
      </x:c>
      <x:c r="B14" s="338" t="str">
        <x:v>Threat model</x:v>
      </x:c>
      <x:c r="C14" s="338" t="str">
        <x:v>Yes</x:v>
      </x:c>
      <x:c r="D14" s="338" t="str">
        <x:v>Endpoint threat model covers tampering, privilege, secret capture, update, spoofing and misuse.</x:v>
      </x:c>
      <x:c r="E14" s="338" t="str">
        <x:v>Stage 3 Threat Model</x:v>
      </x:c>
      <x:c r="F14" s="338" t="str">
        <x:v>Draft Ready</x:v>
      </x:c>
      <x:c r="G14" s="348" t="n">
        <x:f>IF(F14="Met",1,IF(F14="Draft Ready",0.8,IF(F14="In Review",0.6,IF(F14="Owner Input",0.3,IF(F14="Blocked",0,0)))))</x:f>
        <x:v>0.8</x:v>
      </x:c>
      <x:c r="H14" s="338" t="str">
        <x:v>Critical threat lacks control.</x:v>
      </x:c>
      <x:c r="I14" s="339" t="str">
        <x:v>CISO</x:v>
      </x:c>
    </x:row>
    <x:row r="15">
      <x:c r="A15" s="332" t="str">
        <x:v>S3-G-011</x:v>
      </x:c>
      <x:c r="B15" s="114" t="str">
        <x:v>Test strategy</x:v>
      </x:c>
      <x:c r="C15" s="114" t="str">
        <x:v>Yes</x:v>
      </x:c>
      <x:c r="D15" s="114" t="str">
        <x:v>Unit, contract, integration, OS, security, performance, chaos, installer and UX tests are defined.</x:v>
      </x:c>
      <x:c r="E15" s="114" t="str">
        <x:v>Test Matrix</x:v>
      </x:c>
      <x:c r="F15" s="114" t="str">
        <x:v>Draft Ready</x:v>
      </x:c>
      <x:c r="G15" s="135" t="n">
        <x:f>IF(F15="Met",1,IF(F15="Draft Ready",0.8,IF(F15="In Review",0.6,IF(F15="Owner Input",0.3,IF(F15="Blocked",0,0)))))</x:f>
        <x:v>0.8</x:v>
      </x:c>
      <x:c r="H15" s="114" t="str">
        <x:v>No blocking tests for policy/secret/security.</x:v>
      </x:c>
      <x:c r="I15" s="333" t="str">
        <x:v>QA Lead</x:v>
      </x:c>
    </x:row>
    <x:row r="16">
      <x:c r="A16" s="337" t="str">
        <x:v>S3-G-012</x:v>
      </x:c>
      <x:c r="B16" s="338" t="str">
        <x:v>CI/CD</x:v>
      </x:c>
      <x:c r="C16" s="338" t="str">
        <x:v>Yes</x:v>
      </x:c>
      <x:c r="D16" s="338" t="str">
        <x:v>Repository, signing, notarisation, SBOM, dependency scan, canary and rollback are specified.</x:v>
      </x:c>
      <x:c r="E16" s="338" t="str">
        <x:v>Repository and CI/CD Plan</x:v>
      </x:c>
      <x:c r="F16" s="338" t="str">
        <x:v>Draft Ready</x:v>
      </x:c>
      <x:c r="G16" s="348" t="n">
        <x:f>IF(F16="Met",1,IF(F16="Draft Ready",0.8,IF(F16="In Review",0.6,IF(F16="Owner Input",0.3,IF(F16="Blocked",0,0)))))</x:f>
        <x:v>0.8</x:v>
      </x:c>
      <x:c r="H16" s="338" t="str">
        <x:v>Unsigned/unmanaged endpoint deployment.</x:v>
      </x:c>
      <x:c r="I16" s="339" t="str">
        <x:v>DevSecOps</x:v>
      </x:c>
    </x:row>
    <x:row r="17">
      <x:c r="A17" s="332" t="str">
        <x:v>S3-G-013</x:v>
      </x:c>
      <x:c r="B17" s="114" t="str">
        <x:v>HumanOS reuse</x:v>
      </x:c>
      <x:c r="C17" s="114" t="str">
        <x:v>Yes</x:v>
      </x:c>
      <x:c r="D17" s="114" t="str">
        <x:v>Device control, policy, identity, secrets, audit, event and object service integration is defined.</x:v>
      </x:c>
      <x:c r="E17" s="114" t="str">
        <x:v>Agent Architecture / Microservices Map</x:v>
      </x:c>
      <x:c r="F17" s="114" t="str">
        <x:v>In Review</x:v>
      </x:c>
      <x:c r="G17" s="135" t="n">
        <x:f>IF(F17="Met",1,IF(F17="Draft Ready",0.8,IF(F17="In Review",0.6,IF(F17="Owner Input",0.3,IF(F17="Blocked",0,0)))))</x:f>
        <x:v>0.6</x:v>
      </x:c>
      <x:c r="H17" s="114" t="str">
        <x:v>Duplicate platform services.</x:v>
      </x:c>
      <x:c r="I17" s="333" t="str">
        <x:v>Enterprise Architect</x:v>
      </x:c>
    </x:row>
    <x:row r="18">
      <x:c r="A18" s="337" t="str">
        <x:v>S3-G-014</x:v>
      </x:c>
      <x:c r="B18" s="338" t="str">
        <x:v>Stage 3 backlog</x:v>
      </x:c>
      <x:c r="C18" s="338" t="str">
        <x:v>Yes</x:v>
      </x:c>
      <x:c r="D18" s="338" t="str">
        <x:v>Implementation backlog has owners, dependencies, effort, deliverables and tests.</x:v>
      </x:c>
      <x:c r="E18" s="338" t="str">
        <x:v>Stage 3 Backlog</x:v>
      </x:c>
      <x:c r="F18" s="338" t="str">
        <x:v>Draft Ready</x:v>
      </x:c>
      <x:c r="G18" s="348" t="n">
        <x:f>IF(F18="Met",1,IF(F18="Draft Ready",0.8,IF(F18="In Review",0.6,IF(F18="Owner Input",0.3,IF(F18="Blocked",0,0)))))</x:f>
        <x:v>0.8</x:v>
      </x:c>
      <x:c r="H18" s="338" t="str">
        <x:v>No executable engineering plan.</x:v>
      </x:c>
      <x:c r="I18" s="339" t="str">
        <x:v>Programme</x:v>
      </x:c>
    </x:row>
    <x:row r="19">
      <x:c r="A19" s="334" t="str">
        <x:v>S3-G-015</x:v>
      </x:c>
      <x:c r="B19" s="335" t="str">
        <x:v>Formal decision</x:v>
      </x:c>
      <x:c r="C19" s="335" t="str">
        <x:v>Yes</x:v>
      </x:c>
      <x:c r="D19" s="335" t="str">
        <x:v>CTO, CISO, DPO, Product, IT and Architecture Board record Stage 3 gate decision.</x:v>
      </x:c>
      <x:c r="E19" s="335" t="str">
        <x:v>Review minutes and gate record</x:v>
      </x:c>
      <x:c r="F19" s="335" t="str">
        <x:v>Not Started</x:v>
      </x:c>
      <x:c r="G19" s="351" t="n">
        <x:f>IF(F19="Met",1,IF(F19="Draft Ready",0.8,IF(F19="In Review",0.6,IF(F19="Owner Input",0.3,IF(F19="Blocked",0,0)))))</x:f>
        <x:v>0</x:v>
      </x:c>
      <x:c r="H19" s="335" t="str">
        <x:v>No gate decision.</x:v>
      </x:c>
      <x:c r="I19" s="336"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34" hidden="0" customWidth="1"/>
    <x:col min="3" max="3" width="24" hidden="0" customWidth="1"/>
    <x:col min="4" max="4" width="54" hidden="0" customWidth="1"/>
    <x:col min="5" max="5" width="64" hidden="0" customWidth="1"/>
    <x:col min="6" max="6" width="12" hidden="0" customWidth="1"/>
    <x:col min="7" max="7" width="44" hidden="0" customWidth="1"/>
  </x:cols>
  <x:sheetData>
    <x:row r="1" ht="30" customHeight="1">
      <x:c r="A1" s="294" t="str">
        <x:v>Stage 3 — Source Register</x:v>
      </x:c>
      <x:c r="B1" s="294"/>
      <x:c r="C1" s="294"/>
      <x:c r="D1" s="294"/>
      <x:c r="E1" s="294"/>
      <x:c r="F1" s="294"/>
      <x:c r="G1" s="294"/>
    </x:row>
    <x:row r="2" ht="36" customHeight="1">
      <x:c r="A2" s="298" t="str">
        <x:v>Device-agent foundation sources: OS APIs, signing/notarisation, local storage, SBOM/signing, API/event schemas and observability.</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S3-SRC-001</x:v>
      </x:c>
      <x:c r="B5" s="330" t="str">
        <x:v>Microsoft UI Automation overview</x:v>
      </x:c>
      <x:c r="C5" s="330" t="str">
        <x:v>Windows UI/accessibility</x:v>
      </x:c>
      <x:c r="D5" s="330" t="str">
        <x:v>AutomationElement tree, properties and control patterns.</x:v>
      </x:c>
      <x:c r="E5" s="330" t="str">
        <x:v>https://learn.microsoft.com/en-us/dotnet/framework/ui-automation/ui-automation-overview</x:v>
      </x:c>
      <x:c r="F5" s="330" t="str">
        <x:v>High</x:v>
      </x:c>
      <x:c r="G5" s="331" t="str">
        <x:v>Windows semantic UI state.</x:v>
      </x:c>
    </x:row>
    <x:row r="6">
      <x:c r="A6" s="337" t="str">
        <x:v>S3-SRC-002</x:v>
      </x:c>
      <x:c r="B6" s="338" t="str">
        <x:v>Microsoft Raw Input overview</x:v>
      </x:c>
      <x:c r="C6" s="338" t="str">
        <x:v>Windows input</x:v>
      </x:c>
      <x:c r="D6" s="338" t="str">
        <x:v>Raw input as an asynchronous input monitoring option.</x:v>
      </x:c>
      <x:c r="E6" s="338" t="str">
        <x:v>https://learn.microsoft.com/en-us/windows/win32/inputdev/about-raw-input</x:v>
      </x:c>
      <x:c r="F6" s="338" t="str">
        <x:v>High</x:v>
      </x:c>
      <x:c r="G6" s="339" t="str">
        <x:v>Input-provenance spike.</x:v>
      </x:c>
    </x:row>
    <x:row r="7">
      <x:c r="A7" s="332" t="str">
        <x:v>S3-SRC-003</x:v>
      </x:c>
      <x:c r="B7" s="114" t="str">
        <x:v>Microsoft LowLevelMouseProc</x:v>
      </x:c>
      <x:c r="C7" s="114" t="str">
        <x:v>Windows hooks</x:v>
      </x:c>
      <x:c r="D7" s="114" t="str">
        <x:v>Low-level hook timeout and recommendation to use raw input in many cases.</x:v>
      </x:c>
      <x:c r="E7" s="114" t="str">
        <x:v>https://learn.microsoft.com/en-us/windows/win32/winmsg/lowlevelmouseproc</x:v>
      </x:c>
      <x:c r="F7" s="114" t="str">
        <x:v>High</x:v>
      </x:c>
      <x:c r="G7" s="333" t="str">
        <x:v>Avoid blocking low-level hooks.</x:v>
      </x:c>
    </x:row>
    <x:row r="8">
      <x:c r="A8" s="337" t="str">
        <x:v>S3-SRC-004</x:v>
      </x:c>
      <x:c r="B8" s="338" t="str">
        <x:v>Microsoft MSIX signing</x:v>
      </x:c>
      <x:c r="C8" s="338" t="str">
        <x:v>Windows signing</x:v>
      </x:c>
      <x:c r="D8" s="338" t="str">
        <x:v>Windows requires MSIX packages to be signed and trusted; timestamping recommended.</x:v>
      </x:c>
      <x:c r="E8" s="338" t="str">
        <x:v>https://learn.microsoft.com/en-us/windows/msix/package/signing-package-overview</x:v>
      </x:c>
      <x:c r="F8" s="338" t="str">
        <x:v>High</x:v>
      </x:c>
      <x:c r="G8" s="339" t="str">
        <x:v>Endpoint package trust.</x:v>
      </x:c>
    </x:row>
    <x:row r="9">
      <x:c r="A9" s="332" t="str">
        <x:v>S3-SRC-005</x:v>
      </x:c>
      <x:c r="B9" s="114" t="str">
        <x:v>Microsoft code-signing options</x:v>
      </x:c>
      <x:c r="C9" s="114" t="str">
        <x:v>Windows signing</x:v>
      </x:c>
      <x:c r="D9" s="114" t="str">
        <x:v>Windows signing options for Store and non-Store app distribution.</x:v>
      </x:c>
      <x:c r="E9" s="114" t="str">
        <x:v>https://learn.microsoft.com/en-us/windows/apps/package-and-deploy/code-signing-options</x:v>
      </x:c>
      <x:c r="F9" s="114" t="str">
        <x:v>Medium</x:v>
      </x:c>
      <x:c r="G9" s="333" t="str">
        <x:v>Signing strategy.</x:v>
      </x:c>
    </x:row>
    <x:row r="10">
      <x:c r="A10" s="337" t="str">
        <x:v>S3-SRC-006</x:v>
      </x:c>
      <x:c r="B10" s="338" t="str">
        <x:v>Apple ScreenCaptureKit</x:v>
      </x:c>
      <x:c r="C10" s="338" t="str">
        <x:v>macOS capture</x:v>
      </x:c>
      <x:c r="D10" s="338" t="str">
        <x:v>High-performance frame capture of selected screen/window/app content.</x:v>
      </x:c>
      <x:c r="E10" s="338" t="str">
        <x:v>https://developer.apple.com/documentation/screencapturekit</x:v>
      </x:c>
      <x:c r="F10" s="338" t="str">
        <x:v>High</x:v>
      </x:c>
      <x:c r="G10" s="339" t="str">
        <x:v>Stage 5 capture spike; not unrestricted Stage 3.</x:v>
      </x:c>
    </x:row>
    <x:row r="11">
      <x:c r="A11" s="332" t="str">
        <x:v>S3-SRC-007</x:v>
      </x:c>
      <x:c r="B11" s="114" t="str">
        <x:v>Apple Developer ID</x:v>
      </x:c>
      <x:c r="C11" s="114" t="str">
        <x:v>macOS signing/notarisation</x:v>
      </x:c>
      <x:c r="D11" s="114" t="str">
        <x:v>Developer ID signing and notarization for apps outside the Mac App Store.</x:v>
      </x:c>
      <x:c r="E11" s="114" t="str">
        <x:v>https://developer.apple.com/developer-id/</x:v>
      </x:c>
      <x:c r="F11" s="114" t="str">
        <x:v>High</x:v>
      </x:c>
      <x:c r="G11" s="333" t="str">
        <x:v>macOS distribution.</x:v>
      </x:c>
    </x:row>
    <x:row r="12">
      <x:c r="A12" s="337" t="str">
        <x:v>S3-SRC-008</x:v>
      </x:c>
      <x:c r="B12" s="338" t="str">
        <x:v>Xcode notarization help</x:v>
      </x:c>
      <x:c r="C12" s="338" t="str">
        <x:v>macOS notarisation</x:v>
      </x:c>
      <x:c r="D12" s="338" t="str">
        <x:v>Upload, hardened runtime and notarization workflow.</x:v>
      </x:c>
      <x:c r="E12" s="338" t="str">
        <x:v>https://help.apple.com/xcode/mac/current/en.lproj/dev88332a81e.html</x:v>
      </x:c>
      <x:c r="F12" s="338" t="str">
        <x:v>Medium</x:v>
      </x:c>
      <x:c r="G12" s="339" t="str">
        <x:v>CI/CD package validation.</x:v>
      </x:c>
    </x:row>
    <x:row r="13">
      <x:c r="A13" s="332" t="str">
        <x:v>S3-SRC-009</x:v>
      </x:c>
      <x:c r="B13" s="114" t="str">
        <x:v>Apple Endpoint Security</x:v>
      </x:c>
      <x:c r="C13" s="114" t="str">
        <x:v>macOS event monitoring</x:v>
      </x:c>
      <x:c r="D13" s="114" t="str">
        <x:v>System extension API for monitoring process and system events.</x:v>
      </x:c>
      <x:c r="E13" s="114" t="str">
        <x:v>https://developer.apple.com/documentation/endpointsecurity</x:v>
      </x:c>
      <x:c r="F13" s="114" t="str">
        <x:v>Medium</x:v>
      </x:c>
      <x:c r="G13" s="333" t="str">
        <x:v>Process/file spike; privilege review needed.</x:v>
      </x:c>
    </x:row>
    <x:row r="14">
      <x:c r="A14" s="337" t="str">
        <x:v>S3-SRC-010</x:v>
      </x:c>
      <x:c r="B14" s="338" t="str">
        <x:v>Chrome Native Messaging</x:v>
      </x:c>
      <x:c r="C14" s="338" t="str">
        <x:v>Browser integration</x:v>
      </x:c>
      <x:c r="D14" s="338" t="str">
        <x:v>Browser extension to native application communication.</x:v>
      </x:c>
      <x:c r="E14" s="338" t="str">
        <x:v>https://developer.chrome.com/docs/extensions/develop/concepts/native-messaging</x:v>
      </x:c>
      <x:c r="F14" s="338" t="str">
        <x:v>High</x:v>
      </x:c>
      <x:c r="G14" s="339" t="str">
        <x:v>Browser adapter.</x:v>
      </x:c>
    </x:row>
    <x:row r="15">
      <x:c r="A15" s="332" t="str">
        <x:v>S3-SRC-011</x:v>
      </x:c>
      <x:c r="B15" s="114" t="str">
        <x:v>Chrome Tabs API</x:v>
      </x:c>
      <x:c r="C15" s="114" t="str">
        <x:v>Browser tab metadata</x:v>
      </x:c>
      <x:c r="D15" s="114" t="str">
        <x:v>Tab title/URL/activity permissions and access.</x:v>
      </x:c>
      <x:c r="E15" s="114" t="str">
        <x:v>https://developer.chrome.com/docs/extensions/reference/api/tabs</x:v>
      </x:c>
      <x:c r="F15" s="114" t="str">
        <x:v>High</x:v>
      </x:c>
      <x:c r="G15" s="333" t="str">
        <x:v>Browser metadata collection.</x:v>
      </x:c>
    </x:row>
    <x:row r="16">
      <x:c r="A16" s="337" t="str">
        <x:v>S3-SRC-012</x:v>
      </x:c>
      <x:c r="B16" s="338" t="str">
        <x:v>XDG Desktop Portal InputCapture</x:v>
      </x:c>
      <x:c r="C16" s="338" t="str">
        <x:v>Linux/Wayland</x:v>
      </x:c>
      <x:c r="D16" s="338" t="str">
        <x:v>Input capture portal limitations and compositor control.</x:v>
      </x:c>
      <x:c r="E16" s="338" t="str">
        <x:v>https://flatpak.github.io/xdg-desktop-portal/docs/doc-org.freedesktop.portal.InputCapture.html</x:v>
      </x:c>
      <x:c r="F16" s="338" t="str">
        <x:v>Medium</x:v>
      </x:c>
      <x:c r="G16" s="339" t="str">
        <x:v>Reason for Linux deferral.</x:v>
      </x:c>
    </x:row>
    <x:row r="17">
      <x:c r="A17" s="332" t="str">
        <x:v>S3-SRC-013</x:v>
      </x:c>
      <x:c r="B17" s="114" t="str">
        <x:v>SQLCipher</x:v>
      </x:c>
      <x:c r="C17" s="114" t="str">
        <x:v>Encrypted local storage</x:v>
      </x:c>
      <x:c r="D17" s="114" t="str">
        <x:v>SQLite-compatible encrypted database option.</x:v>
      </x:c>
      <x:c r="E17" s="114" t="str">
        <x:v>https://www.zetetic.net/sqlcipher/</x:v>
      </x:c>
      <x:c r="F17" s="114" t="str">
        <x:v>Medium</x:v>
      </x:c>
      <x:c r="G17" s="333" t="str">
        <x:v>Evaluate licence/performance before use.</x:v>
      </x:c>
    </x:row>
    <x:row r="18">
      <x:c r="A18" s="337" t="str">
        <x:v>S3-SRC-014</x:v>
      </x:c>
      <x:c r="B18" s="338" t="str">
        <x:v>CycloneDX SBOM</x:v>
      </x:c>
      <x:c r="C18" s="338" t="str">
        <x:v>Supply chain</x:v>
      </x:c>
      <x:c r="D18" s="338" t="str">
        <x:v>Machine-readable software component/dependency inventory and risk management.</x:v>
      </x:c>
      <x:c r="E18" s="338" t="str">
        <x:v>https://cyclonedx.org/capabilities/sbom/</x:v>
      </x:c>
      <x:c r="F18" s="338" t="str">
        <x:v>High</x:v>
      </x:c>
      <x:c r="G18" s="339" t="str">
        <x:v>Endpoint/service SBOM.</x:v>
      </x:c>
    </x:row>
    <x:row r="19">
      <x:c r="A19" s="332" t="str">
        <x:v>S3-SRC-015</x:v>
      </x:c>
      <x:c r="B19" s="114" t="str">
        <x:v>SPDX</x:v>
      </x:c>
      <x:c r="C19" s="114" t="str">
        <x:v>Supply chain</x:v>
      </x:c>
      <x:c r="D19" s="114" t="str">
        <x:v>ISO/IEC 5962:2021 open standard for SBOM and other references.</x:v>
      </x:c>
      <x:c r="E19" s="114" t="str">
        <x:v>https://spdx.dev/</x:v>
      </x:c>
      <x:c r="F19" s="114" t="str">
        <x:v>High</x:v>
      </x:c>
      <x:c r="G19" s="333" t="str">
        <x:v>Licence/SBOM alternative.</x:v>
      </x:c>
    </x:row>
    <x:row r="20">
      <x:c r="A20" s="337" t="str">
        <x:v>S3-SRC-016</x:v>
      </x:c>
      <x:c r="B20" s="338" t="str">
        <x:v>Sigstore Cosign</x:v>
      </x:c>
      <x:c r="C20" s="338" t="str">
        <x:v>Artefact signing</x:v>
      </x:c>
      <x:c r="D20" s="338" t="str">
        <x:v>Signing and verification for containers and other artefacts.</x:v>
      </x:c>
      <x:c r="E20" s="338" t="str">
        <x:v>https://docs.sigstore.dev/cosign/</x:v>
      </x:c>
      <x:c r="F20" s="338" t="str">
        <x:v>Medium</x:v>
      </x:c>
      <x:c r="G20" s="339" t="str">
        <x:v>Use where compatible with deployment.</x:v>
      </x:c>
    </x:row>
    <x:row r="21">
      <x:c r="A21" s="332" t="str">
        <x:v>S3-SRC-017</x:v>
      </x:c>
      <x:c r="B21" s="114" t="str">
        <x:v>OpenAPI 3.1.1</x:v>
      </x:c>
      <x:c r="C21" s="114" t="str">
        <x:v>API standard</x:v>
      </x:c>
      <x:c r="D21" s="114" t="str">
        <x:v>Language-agnostic HTTP API contracts.</x:v>
      </x:c>
      <x:c r="E21" s="114" t="str">
        <x:v>https://spec.openapis.org/oas/v3.1.1.html</x:v>
      </x:c>
      <x:c r="F21" s="114" t="str">
        <x:v>High</x:v>
      </x:c>
      <x:c r="G21" s="333" t="str">
        <x:v>Device control APIs.</x:v>
      </x:c>
    </x:row>
    <x:row r="22">
      <x:c r="A22" s="337" t="str">
        <x:v>S3-SRC-018</x:v>
      </x:c>
      <x:c r="B22" s="338" t="str">
        <x:v>JSON Schema 2020-12</x:v>
      </x:c>
      <x:c r="C22" s="338" t="str">
        <x:v>Schema standard</x:v>
      </x:c>
      <x:c r="D22" s="338" t="str">
        <x:v>Structural validation for policy/event schemas.</x:v>
      </x:c>
      <x:c r="E22" s="338" t="str">
        <x:v>https://json-schema.org/draft/2020-12/json-schema-validation</x:v>
      </x:c>
      <x:c r="F22" s="338" t="str">
        <x:v>High</x:v>
      </x:c>
      <x:c r="G22" s="339" t="str">
        <x:v>Policy/event schemas.</x:v>
      </x:c>
    </x:row>
    <x:row r="23">
      <x:c r="A23" s="332" t="str">
        <x:v>S3-SRC-019</x:v>
      </x:c>
      <x:c r="B23" s="114" t="str">
        <x:v>CloudEvents</x:v>
      </x:c>
      <x:c r="C23" s="114" t="str">
        <x:v>Event standard</x:v>
      </x:c>
      <x:c r="D23" s="114" t="str">
        <x:v>Common event metadata for interoperability.</x:v>
      </x:c>
      <x:c r="E23" s="114" t="str">
        <x:v>https://cloudevents.io/</x:v>
      </x:c>
      <x:c r="F23" s="114" t="str">
        <x:v>High</x:v>
      </x:c>
      <x:c r="G23" s="333" t="str">
        <x:v>Event envelopes.</x:v>
      </x:c>
    </x:row>
    <x:row r="24">
      <x:c r="A24" s="340" t="str">
        <x:v>S3-SRC-020</x:v>
      </x:c>
      <x:c r="B24" s="341" t="str">
        <x:v>OpenTelemetry</x:v>
      </x:c>
      <x:c r="C24" s="341" t="str">
        <x:v>Observability</x:v>
      </x:c>
      <x:c r="D24" s="341" t="str">
        <x:v>Service telemetry conventions; content must be governed.</x:v>
      </x:c>
      <x:c r="E24" s="341" t="str">
        <x:v>https://opentelemetry.io/docs/concepts/semantic-conventions/</x:v>
      </x:c>
      <x:c r="F24" s="341" t="str">
        <x:v>Medium</x:v>
      </x:c>
      <x:c r="G24" s="342" t="str">
        <x:v>Operational telemetry only.</x:v>
      </x:c>
    </x:row>
  </x:sheetData>
  <x:mergeCells>
    <x:mergeCell ref="A1:G1"/>
    <x:mergeCell ref="A2:G2"/>
  </x:mergeCells>
  <x:dataValidations count="1">
    <x:dataValidation type="list" sqref="F5:F24">
      <x:formula1>"Critical,High,Medium,Low"</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449" t="str">
        <x:v>Stage 4–5 Dashboard — Evidence Foundation and Universal Capture</x:v>
      </x:c>
      <x:c r="B1" s="449"/>
      <x:c r="C1" s="449"/>
      <x:c r="D1" s="449"/>
      <x:c r="E1" s="449"/>
      <x:c r="F1" s="449"/>
      <x:c r="G1" s="449"/>
      <x:c r="H1" s="449"/>
      <x:c r="I1" s="449"/>
      <x:c r="J1" s="449"/>
    </x:row>
    <x:row r="2" ht="36" customHeight="1">
      <x:c r="A2" s="453" t="str">
        <x:v>Specification status for Stage 4 Telemetry Ingestion &amp; Evidence Storage and Stage 5 Universal Capture MVP. Implementation backlogs remain unstarted until formal gate decisions and resourcing.</x:v>
      </x:c>
      <x:c r="B2" s="453"/>
      <x:c r="C2" s="453"/>
      <x:c r="D2" s="453"/>
      <x:c r="E2" s="453"/>
      <x:c r="F2" s="453"/>
      <x:c r="G2" s="453"/>
      <x:c r="H2" s="453"/>
      <x:c r="I2" s="453"/>
      <x:c r="J2" s="453"/>
    </x:row>
    <x:row r="4" ht="30" customHeight="1">
      <x:c r="A4" s="465" t="str">
        <x:v>Metric</x:v>
      </x:c>
      <x:c r="B4" s="467" t="str">
        <x:v>Value</x:v>
      </x:c>
      <x:c r="D4" s="465" t="str">
        <x:v>Workstream</x:v>
      </x:c>
      <x:c r="E4" s="467" t="str">
        <x:v>Readiness %</x:v>
      </x:c>
    </x:row>
    <x:row r="5">
      <x:c r="A5" s="484" t="str">
        <x:v>Stage 4 gate readiness</x:v>
      </x:c>
      <x:c r="B5" s="502" t="n">
        <x:f>'Stage 4 Gate'!L5</x:f>
        <x:v>0.7333333333333335</x:v>
      </x:c>
      <x:c r="D5" s="484" t="str">
        <x:v>Stage 4 gate</x:v>
      </x:c>
      <x:c r="E5" s="516" t="n">
        <x:f>B5*100</x:f>
        <x:v>73.33333333333336</x:v>
      </x:c>
    </x:row>
    <x:row r="6">
      <x:c r="A6" s="487" t="str">
        <x:v>Stage 5 gate readiness</x:v>
      </x:c>
      <x:c r="B6" s="509" t="n">
        <x:f>'Stage 5 Gate'!L5</x:f>
        <x:v>0.7375000000000002</x:v>
      </x:c>
      <x:c r="D6" s="487" t="str">
        <x:v>Stage 5 gate</x:v>
      </x:c>
      <x:c r="E6" s="517" t="n">
        <x:f>B6*100</x:f>
        <x:v>73.75000000000001</x:v>
      </x:c>
    </x:row>
    <x:row r="7">
      <x:c r="A7" s="487" t="str">
        <x:v>Stage 4 backlog maturity</x:v>
      </x:c>
      <x:c r="B7" s="509" t="n">
        <x:f>AVERAGE('Stage 4 Backlog'!J5:J22)</x:f>
        <x:v>0</x:v>
      </x:c>
      <x:c r="D7" s="487" t="str">
        <x:v>Stage 4 backlog</x:v>
      </x:c>
      <x:c r="E7" s="517" t="n">
        <x:f>B7*100</x:f>
        <x:v>0</x:v>
      </x:c>
    </x:row>
    <x:row r="8">
      <x:c r="A8" s="487" t="str">
        <x:v>Stage 5 backlog maturity</x:v>
      </x:c>
      <x:c r="B8" s="509" t="n">
        <x:f>AVERAGE('Stage 5 Backlog'!J5:J24)</x:f>
        <x:v>0</x:v>
      </x:c>
      <x:c r="D8" s="489" t="str">
        <x:v>Stage 5 backlog</x:v>
      </x:c>
      <x:c r="E8" s="518" t="n">
        <x:f>B8*100</x:f>
        <x:v>0</x:v>
      </x:c>
    </x:row>
    <x:row r="9">
      <x:c r="A9" s="487" t="str">
        <x:v>Stage 4 mandatory not started/blocked</x:v>
      </x:c>
      <x:c r="B9" s="488" t="n">
        <x:f>'Stage 4 Gate'!L6</x:f>
        <x:v>1</x:v>
      </x:c>
    </x:row>
    <x:row r="10">
      <x:c r="A10" s="487" t="str">
        <x:v>Stage 5 mandatory not started/blocked</x:v>
      </x:c>
      <x:c r="B10" s="488" t="n">
        <x:f>'Stage 5 Gate'!L6</x:f>
        <x:v>1</x:v>
      </x:c>
    </x:row>
    <x:row r="11">
      <x:c r="A11" s="487" t="str">
        <x:v>Stage 4 risks open</x:v>
      </x:c>
      <x:c r="B11" s="488" t="n">
        <x:f>COUNTIF('Stage 4 Risks'!I5:I16,"Open")+COUNTIF('Stage 4 Risks'!I5:I16,"Mitigating")</x:f>
        <x:v>12</x:v>
      </x:c>
    </x:row>
    <x:row r="12">
      <x:c r="A12" s="487" t="str">
        <x:v>Stage 5 risks open</x:v>
      </x:c>
      <x:c r="B12" s="488" t="n">
        <x:f>COUNTIF('Stage 5 Risks'!I5:I18,"Open")+COUNTIF('Stage 5 Risks'!I5:I18,"Mitigating")</x:f>
        <x:v>14</x:v>
      </x:c>
    </x:row>
    <x:row r="13">
      <x:c r="A13" s="487" t="str">
        <x:v>Stage 4 source count</x:v>
      </x:c>
      <x:c r="B13" s="488" t="n">
        <x:f>COUNTA('Stage 4 Sources'!A5:A100)</x:f>
        <x:v>15</x:v>
      </x:c>
    </x:row>
    <x:row r="14">
      <x:c r="A14" s="487" t="str">
        <x:v>Stage 5 source count</x:v>
      </x:c>
      <x:c r="B14" s="488" t="n">
        <x:f>COUNTA('Stage 5 Sources'!A5:A100)</x:f>
        <x:v>19</x:v>
      </x:c>
    </x:row>
    <x:row r="15">
      <x:c r="A15" s="487" t="str">
        <x:v>Stage 4 ADRs accepted/in principle</x:v>
      </x:c>
      <x:c r="B15" s="488" t="n">
        <x:f>COUNTIF('Stage 4 ADRs'!C5:C16,"Accepted in principle")+COUNTIF('Stage 4 ADRs'!C5:C16,"Accepted")</x:f>
        <x:v>12</x:v>
      </x:c>
    </x:row>
    <x:row r="16">
      <x:c r="A16" s="489" t="str">
        <x:v>Stage 5 ADRs accepted/in principle</x:v>
      </x:c>
      <x:c r="B16" s="491" t="n">
        <x:f>COUNTIF('Stage 5 ADRs'!C5:C16,"Accepted in principle")+COUNTIF('Stage 5 ADRs'!C5:C16,"Accepted")</x:f>
        <x:v>12</x:v>
      </x:c>
    </x:row>
    <x:row r="20" ht="24" customHeight="1">
      <x:c r="A20" s="519" t="str">
        <x:v>Current interpretation</x:v>
      </x:c>
      <x:c r="B20" s="519"/>
      <x:c r="C20" s="519"/>
      <x:c r="D20" s="519"/>
      <x:c r="E20" s="519"/>
      <x:c r="F20" s="519"/>
      <x:c r="G20" s="519"/>
      <x:c r="H20" s="519"/>
      <x:c r="I20" s="519"/>
      <x:c r="J20" s="519"/>
    </x:row>
    <x:row r="21" ht="30" customHeight="1">
      <x:c r="A21" s="465" t="str">
        <x:v>#</x:v>
      </x:c>
      <x:c r="B21" s="467" t="str">
        <x:v>Interpretation</x:v>
      </x:c>
    </x:row>
    <x:row r="22">
      <x:c r="A22" s="484" t="str">
        <x:v>1</x:v>
      </x:c>
      <x:c r="B22" s="486" t="str">
        <x:v>Stage 4 is specification-complete: signed batch contract, Kafka topics, PostgreSQL/object storage, replay, retention, evidence access, backlog, risks, ADRs and gate criteria.</x:v>
      </x:c>
      <x:c r="C22" s="279"/>
      <x:c r="D22" s="279"/>
      <x:c r="E22" s="279"/>
      <x:c r="F22" s="279"/>
      <x:c r="G22" s="279"/>
      <x:c r="H22" s="279"/>
      <x:c r="I22" s="279"/>
      <x:c r="J22" s="279"/>
    </x:row>
    <x:row r="23">
      <x:c r="A23" s="487" t="str">
        <x:v>2</x:v>
      </x:c>
      <x:c r="B23" s="488" t="str">
        <x:v>Stage 5 is specification-complete: capture scope, sensor contracts, visual state, input/text attribution, idle/automation logic, privacy tests, environment matrix, backlog, risks, ADRs and gate criteria.</x:v>
      </x:c>
      <x:c r="C23" s="279"/>
      <x:c r="D23" s="279"/>
      <x:c r="E23" s="279"/>
      <x:c r="F23" s="279"/>
      <x:c r="G23" s="279"/>
      <x:c r="H23" s="279"/>
      <x:c r="I23" s="279"/>
      <x:c r="J23" s="279"/>
    </x:row>
    <x:row r="24">
      <x:c r="A24" s="487" t="str">
        <x:v>3</x:v>
      </x:c>
      <x:c r="B24" s="488" t="str">
        <x:v>Stage 4 uses at-least-once delivery with application-level idempotency and deterministic replay. Kafka transactions are reserved for bounded Kafka read-process-write paths.</x:v>
      </x:c>
      <x:c r="C24" s="279"/>
      <x:c r="D24" s="279"/>
      <x:c r="E24" s="279"/>
      <x:c r="F24" s="279"/>
      <x:c r="G24" s="279"/>
      <x:c r="H24" s="279"/>
      <x:c r="I24" s="279"/>
      <x:c r="J24" s="279"/>
    </x:row>
    <x:row r="25">
      <x:c r="A25" s="487" t="str">
        <x:v>4</x:v>
      </x:c>
      <x:c r="B25" s="488" t="str">
        <x:v>Stage 5 does not authorise unrestricted keylogging, continuous video or manager live surveillance. Exact text evidence is restricted to approved non-secure semantic surfaces.</x:v>
      </x:c>
      <x:c r="C25" s="279"/>
      <x:c r="D25" s="279"/>
      <x:c r="E25" s="279"/>
      <x:c r="F25" s="279"/>
      <x:c r="G25" s="279"/>
      <x:c r="H25" s="279"/>
      <x:c r="I25" s="279"/>
      <x:c r="J25" s="279"/>
    </x:row>
    <x:row r="26">
      <x:c r="A26" s="489" t="str">
        <x:v>5</x:v>
      </x:c>
      <x:c r="B26" s="491" t="str">
        <x:v>The next execution package is one combined prompt for Stages 6 and 7: semantic adapters, provenance graph and Task Assurance.</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{4FE040D9-F956-E00C-AA97-35EB259D8713}</x14:id>
        </x:ext>
      </x:extLst>
    </x:cfRule>
  </x:conditionalFormatting>
  <x:pageMargins left="0.7" right="0.7" top="0.75" bottom="0.75" header="0.3" footer="0.3"/>
  <x:drawing xmlns:r="http://schemas.openxmlformats.org/officeDocument/2006/relationships" r:id="R4a35fafa4b384b0a"/>
  <x:extLst>
    <x:ext xmlns:x14="http://schemas.microsoft.com/office/spreadsheetml/2009/9/main" xmlns:xm="http://schemas.microsoft.com/office/excel/2006/main" uri="{78C0D931-6437-407d-A8EE-F0AAD7539E65}">
      <x14:conditionalFormattings>
        <x14:conditionalFormatting>
          <x14:cfRule type="dataBar" priority="1" id="{4FE040D9-F956-E00C-AA97-35EB259D8713}">
            <x14:dataBar gradient="1">
              <x14:cfvo type="min"/>
              <x14:cfvo type="max"/>
              <x14:fillColor rgb="FFA02B93"/>
            </x14:dataBar>
          </x14:cfRule>
          <xm:sqref>B5:B8</xm:sqref>
        </x14:conditionalFormatting>
      </x14:conditionalFormattings>
    </x:ext>
  </x:extLst>
</x:worksheet>
</file>

<file path=xl/worksheets/sheet61.xml><?xml version="1.0" encoding="utf-8"?>
<x:worksheet xmlns:x="http://schemas.openxmlformats.org/spreadsheetml/2006/main">
  <x:sheetFormatPr defaultRowHeight="15"/>
  <x:cols>
    <x:col min="1" max="1" width="14" hidden="0" customWidth="1"/>
    <x:col min="2" max="2" width="30" hidden="0" customWidth="1"/>
    <x:col min="3" max="3" width="54" hidden="0" customWidth="1"/>
    <x:col min="4" max="4" width="36" hidden="0" customWidth="1"/>
    <x:col min="5" max="5" width="38" hidden="0" customWidth="1"/>
    <x:col min="6" max="6" width="38" hidden="0" customWidth="1"/>
    <x:col min="7" max="7" width="38" hidden="0" customWidth="1"/>
    <x:col min="8" max="8" width="52" hidden="0" customWidth="1"/>
    <x:col min="9" max="9" width="12" hidden="0" customWidth="1"/>
    <x:col min="10" max="10" width="18" hidden="0" customWidth="1"/>
    <x:col min="11" max="11" width="32" hidden="0" customWidth="1"/>
  </x:cols>
  <x:sheetData>
    <x:row r="1" ht="30" customHeight="1">
      <x:c r="A1" s="449" t="str">
        <x:v>Stage 4 — Telemetry Ingestion and Evidence Architecture</x:v>
      </x:c>
      <x:c r="B1" s="449"/>
      <x:c r="C1" s="449"/>
      <x:c r="D1" s="449"/>
      <x:c r="E1" s="449"/>
      <x:c r="F1" s="449"/>
      <x:c r="G1" s="449"/>
      <x:c r="H1" s="449"/>
      <x:c r="I1" s="449"/>
      <x:c r="J1" s="449"/>
      <x:c r="K1" s="449"/>
    </x:row>
    <x:row r="2" ht="36" customHeight="1">
      <x:c r="A2" s="453" t="str">
        <x:v>HumanOS architecture for signed batch ingestion, schema validation, evidence metadata/object storage, replay, retention, access and audit. Delivery semantics are at-least-once with deterministic idempotency and replay.</x:v>
      </x:c>
      <x:c r="B2" s="453"/>
      <x:c r="C2" s="453"/>
      <x:c r="D2" s="453"/>
      <x:c r="E2" s="453"/>
      <x:c r="F2" s="453"/>
      <x:c r="G2" s="453"/>
      <x:c r="H2" s="453"/>
      <x:c r="I2" s="453"/>
      <x:c r="J2" s="453"/>
      <x:c r="K2" s="453"/>
    </x:row>
    <x:row r="4" ht="30" customHeight="1">
      <x:c r="A4" s="465" t="str">
        <x:v>ID</x:v>
      </x:c>
      <x:c r="B4" s="466" t="str">
        <x:v>Component</x:v>
      </x:c>
      <x:c r="C4" s="466" t="str">
        <x:v>Primary responsibility</x:v>
      </x:c>
      <x:c r="D4" s="466" t="str">
        <x:v>Runtime / implementation</x:v>
      </x:c>
      <x:c r="E4" s="466" t="str">
        <x:v>Data / infrastructure</x:v>
      </x:c>
      <x:c r="F4" s="466" t="str">
        <x:v>Consumes / integrates</x:v>
      </x:c>
      <x:c r="G4" s="466" t="str">
        <x:v>Publishes / exposes</x:v>
      </x:c>
      <x:c r="H4" s="466" t="str">
        <x:v>Security / governance rule</x:v>
      </x:c>
      <x:c r="I4" s="466" t="str">
        <x:v>Priority</x:v>
      </x:c>
      <x:c r="J4" s="466" t="str">
        <x:v>Status</x:v>
      </x:c>
      <x:c r="K4" s="467" t="str">
        <x:v>Source / basis</x:v>
      </x:c>
    </x:row>
    <x:row r="5">
      <x:c r="A5" s="484" t="str">
        <x:v>S4-ARC-001</x:v>
      </x:c>
      <x:c r="B5" s="485" t="str">
        <x:v>Device Ingress Edge</x:v>
      </x:c>
      <x:c r="C5" s="485" t="str">
        <x:v>Receive event batches and evidence-object manifests from managed agents.</x:v>
      </x:c>
      <x:c r="D5" s="485" t="str">
        <x:v>Java/Spring Boot edge service behind HumanOS API gateway</x:v>
      </x:c>
      <x:c r="E5" s="485" t="str">
        <x:v>mTLS, device certificate validation, rate limits, request-size limits</x:v>
      </x:c>
      <x:c r="F5" s="485" t="str">
        <x:v>Device Agent, IAM, Device Control Gateway</x:v>
      </x:c>
      <x:c r="G5" s="485" t="str">
        <x:v>Telemetry Ingestion</x:v>
      </x:c>
      <x:c r="H5" s="485" t="str">
        <x:v>No raw evidence in access logs.</x:v>
      </x:c>
      <x:c r="I5" s="485" t="str">
        <x:v>Critical</x:v>
      </x:c>
      <x:c r="J5" s="485" t="str">
        <x:v>Draft Complete</x:v>
      </x:c>
      <x:c r="K5" s="486" t="str">
        <x:v>Spring/Kafka/HumanOS</x:v>
      </x:c>
    </x:row>
    <x:row r="6">
      <x:c r="A6" s="492" t="str">
        <x:v>S4-ARC-002</x:v>
      </x:c>
      <x:c r="B6" s="493" t="str">
        <x:v>Batch Verification</x:v>
      </x:c>
      <x:c r="C6" s="493" t="str">
        <x:v>Validate batch signature, device/tenant binding, policy version, sequence range, checksums and time window.</x:v>
      </x:c>
      <x:c r="D6" s="493" t="str">
        <x:v>Java/Spring component</x:v>
      </x:c>
      <x:c r="E6" s="493" t="str">
        <x:v>PostgreSQL verification metadata + KMS/PKI</x:v>
      </x:c>
      <x:c r="F6" s="493" t="str">
        <x:v>Device registry, policy service, secrets/KMS</x:v>
      </x:c>
      <x:c r="G6" s="493" t="str">
        <x:v>AcceptedBatch / RejectedBatch</x:v>
      </x:c>
      <x:c r="H6" s="493" t="str">
        <x:v>Reject unverifiable, revoked, expired-policy or replayed batches.</x:v>
      </x:c>
      <x:c r="I6" s="493" t="str">
        <x:v>Critical</x:v>
      </x:c>
      <x:c r="J6" s="493" t="str">
        <x:v>Draft Complete</x:v>
      </x:c>
      <x:c r="K6" s="494" t="str">
        <x:v>Stage 3 Batch Contract</x:v>
      </x:c>
    </x:row>
    <x:row r="7">
      <x:c r="A7" s="487" t="str">
        <x:v>S4-ARC-003</x:v>
      </x:c>
      <x:c r="B7" s="114" t="str">
        <x:v>Schema Validation</x:v>
      </x:c>
      <x:c r="C7" s="114" t="str">
        <x:v>Validate envelope and payload schemas before publication.</x:v>
      </x:c>
      <x:c r="D7" s="114" t="str">
        <x:v>Java/Spring + schema-registry client</x:v>
      </x:c>
      <x:c r="E7" s="114" t="str">
        <x:v>Schema Registry</x:v>
      </x:c>
      <x:c r="F7" s="114" t="str">
        <x:v>Agent contracts, HumanOS schema governance</x:v>
      </x:c>
      <x:c r="G7" s="114" t="str">
        <x:v>SchemaValidatedEvent / SchemaRejectedEvent</x:v>
      </x:c>
      <x:c r="H7" s="114" t="str">
        <x:v>No permissive unknown fields for critical security metadata.</x:v>
      </x:c>
      <x:c r="I7" s="114" t="str">
        <x:v>Critical</x:v>
      </x:c>
      <x:c r="J7" s="114" t="str">
        <x:v>Draft Complete</x:v>
      </x:c>
      <x:c r="K7" s="488" t="str">
        <x:v>JSON Schema/CloudEvents</x:v>
      </x:c>
    </x:row>
    <x:row r="8">
      <x:c r="A8" s="492" t="str">
        <x:v>S4-ARC-004</x:v>
      </x:c>
      <x:c r="B8" s="493" t="str">
        <x:v>Idempotency Registry</x:v>
      </x:c>
      <x:c r="C8" s="493" t="str">
        <x:v>Prevent duplicate batch and event persistence under retries.</x:v>
      </x:c>
      <x:c r="D8" s="493" t="str">
        <x:v>Java/Spring component</x:v>
      </x:c>
      <x:c r="E8" s="493" t="str">
        <x:v>PostgreSQL unique keys + Kafka producer idempotence</x:v>
      </x:c>
      <x:c r="F8" s="493" t="str">
        <x:v>Batch verifier, event normaliser</x:v>
      </x:c>
      <x:c r="G8" s="493" t="str">
        <x:v>DuplicateIgnoredEvent</x:v>
      </x:c>
      <x:c r="H8" s="493" t="str">
        <x:v>At-least-once transport with application-level idempotency.</x:v>
      </x:c>
      <x:c r="I8" s="493" t="str">
        <x:v>Critical</x:v>
      </x:c>
      <x:c r="J8" s="493" t="str">
        <x:v>Draft Complete</x:v>
      </x:c>
      <x:c r="K8" s="494" t="str">
        <x:v>Kafka idempotence</x:v>
      </x:c>
    </x:row>
    <x:row r="9">
      <x:c r="A9" s="487" t="str">
        <x:v>S4-ARC-005</x:v>
      </x:c>
      <x:c r="B9" s="114" t="str">
        <x:v>Event Normaliser</x:v>
      </x:c>
      <x:c r="C9" s="114" t="str">
        <x:v>Convert versioned device/adapter payloads into canonical HumanOS activity/evidence events.</x:v>
      </x:c>
      <x:c r="D9" s="114" t="str">
        <x:v>Java/Spring workers</x:v>
      </x:c>
      <x:c r="E9" s="114" t="str">
        <x:v>Kafka topics + schema registry</x:v>
      </x:c>
      <x:c r="F9" s="114" t="str">
        <x:v>Accepted batch items</x:v>
      </x:c>
      <x:c r="G9" s="114" t="str">
        <x:v>Canonical activity topics</x:v>
      </x:c>
      <x:c r="H9" s="114" t="str">
        <x:v>Normalisation preserves raw signed reference and source schema version.</x:v>
      </x:c>
      <x:c r="I9" s="114" t="str">
        <x:v>Critical</x:v>
      </x:c>
      <x:c r="J9" s="114" t="str">
        <x:v>Draft Complete</x:v>
      </x:c>
      <x:c r="K9" s="488" t="str">
        <x:v>CloudEvents-style envelope</x:v>
      </x:c>
    </x:row>
    <x:row r="10">
      <x:c r="A10" s="492" t="str">
        <x:v>S4-ARC-006</x:v>
      </x:c>
      <x:c r="B10" s="493" t="str">
        <x:v>Object Intake Gateway</x:v>
      </x:c>
      <x:c r="C10" s="493" t="str">
        <x:v>Accept encrypted/redacted evidence objects and verify manifests, classification, hashes and retention policy.</x:v>
      </x:c>
      <x:c r="D10" s="493" t="str">
        <x:v>Java/Spring</x:v>
      </x:c>
      <x:c r="E10" s="493" t="str">
        <x:v>Object storage + PostgreSQL object metadata</x:v>
      </x:c>
      <x:c r="F10" s="493" t="str">
        <x:v>Agent uploader, policy service, secrets/KMS</x:v>
      </x:c>
      <x:c r="G10" s="493" t="str">
        <x:v>evidence.object.stored / rejected</x:v>
      </x:c>
      <x:c r="H10" s="493" t="str">
        <x:v>Object bytes never enter general application logs or traces.</x:v>
      </x:c>
      <x:c r="I10" s="493" t="str">
        <x:v>Critical</x:v>
      </x:c>
      <x:c r="J10" s="493" t="str">
        <x:v>Draft Complete</x:v>
      </x:c>
      <x:c r="K10" s="494" t="str">
        <x:v>S3-compatible object storage</x:v>
      </x:c>
    </x:row>
    <x:row r="11">
      <x:c r="A11" s="487" t="str">
        <x:v>S4-ARC-007</x:v>
      </x:c>
      <x:c r="B11" s="114" t="str">
        <x:v>Evidence Metadata Store</x:v>
      </x:c>
      <x:c r="C11" s="114" t="str">
        <x:v>Store batches, activity events, visual states, artefacts, provenance edges, retention and access state.</x:v>
      </x:c>
      <x:c r="D11" s="114" t="str">
        <x:v>Java/Spring domain service</x:v>
      </x:c>
      <x:c r="E11" s="114" t="str">
        <x:v>PostgreSQL with tenant/time partitioning when measured</x:v>
      </x:c>
      <x:c r="F11" s="114" t="str">
        <x:v>Normalised event consumers</x:v>
      </x:c>
      <x:c r="G11" s="114" t="str">
        <x:v>Evidence APIs and evidence-linked events</x:v>
      </x:c>
      <x:c r="H11" s="114" t="str">
        <x:v>Metadata and content remain separated.</x:v>
      </x:c>
      <x:c r="I11" s="114" t="str">
        <x:v>Critical</x:v>
      </x:c>
      <x:c r="J11" s="114" t="str">
        <x:v>Draft Complete</x:v>
      </x:c>
      <x:c r="K11" s="488" t="str">
        <x:v>PostgreSQL partitioning/RLS</x:v>
      </x:c>
    </x:row>
    <x:row r="12">
      <x:c r="A12" s="492" t="str">
        <x:v>S4-ARC-008</x:v>
      </x:c>
      <x:c r="B12" s="493" t="str">
        <x:v>Visual Evidence Indexer</x:v>
      </x:c>
      <x:c r="C12" s="493" t="str">
        <x:v>Index screenshot metadata, changed regions, redaction lineage, OCR/accessibility references and thumbnails.</x:v>
      </x:c>
      <x:c r="D12" s="493" t="str">
        <x:v>Java/Spring worker; Python only for approved OCR/vision later</x:v>
      </x:c>
      <x:c r="E12" s="493" t="str">
        <x:v>PostgreSQL + object storage + search index where justified</x:v>
      </x:c>
      <x:c r="F12" s="493" t="str">
        <x:v>visual.state.created, object stored</x:v>
      </x:c>
      <x:c r="G12" s="493" t="str">
        <x:v>visual.evidence.indexed</x:v>
      </x:c>
      <x:c r="H12" s="493" t="str">
        <x:v>No unrestricted OCR or embeddings by default.</x:v>
      </x:c>
      <x:c r="I12" s="493" t="str">
        <x:v>High</x:v>
      </x:c>
      <x:c r="J12" s="493" t="str">
        <x:v>Draft Complete</x:v>
      </x:c>
      <x:c r="K12" s="494" t="str">
        <x:v>Stage 5 dependency</x:v>
      </x:c>
    </x:row>
    <x:row r="13">
      <x:c r="A13" s="487" t="str">
        <x:v>S4-ARC-009</x:v>
      </x:c>
      <x:c r="B13" s="114" t="str">
        <x:v>Artefact Registry</x:v>
      </x:c>
      <x:c r="C13" s="114" t="str">
        <x:v>Register files, Git commits, tests, builds, PRs, documents and domain artefacts as evidence references.</x:v>
      </x:c>
      <x:c r="D13" s="114" t="str">
        <x:v>Java/Spring</x:v>
      </x:c>
      <x:c r="E13" s="114" t="str">
        <x:v>PostgreSQL</x:v>
      </x:c>
      <x:c r="F13" s="114" t="str">
        <x:v>File/Git/CI/tool events</x:v>
      </x:c>
      <x:c r="G13" s="114" t="str">
        <x:v>artefact.registered / linked</x:v>
      </x:c>
      <x:c r="H13" s="114" t="str">
        <x:v>Prefer source-system URI/hash over duplicating content.</x:v>
      </x:c>
      <x:c r="I13" s="114" t="str">
        <x:v>High</x:v>
      </x:c>
      <x:c r="J13" s="114" t="str">
        <x:v>Draft Complete</x:v>
      </x:c>
      <x:c r="K13" s="488" t="str">
        <x:v>Stage 2 ontology</x:v>
      </x:c>
    </x:row>
    <x:row r="14">
      <x:c r="A14" s="492" t="str">
        <x:v>S4-ARC-010</x:v>
      </x:c>
      <x:c r="B14" s="493" t="str">
        <x:v>Provenance Edge Store</x:v>
      </x:c>
      <x:c r="C14" s="493" t="str">
        <x:v>Persist causal links between actors, events, processes, artefacts and task context.</x:v>
      </x:c>
      <x:c r="D14" s="493" t="str">
        <x:v>Java/Spring domain module</x:v>
      </x:c>
      <x:c r="E14" s="493" t="str">
        <x:v>PostgreSQL relational edges/materialised views</x:v>
      </x:c>
      <x:c r="F14" s="493" t="str">
        <x:v>Normalised activity/tool/agent events</x:v>
      </x:c>
      <x:c r="G14" s="493" t="str">
        <x:v>provenance.edge.created</x:v>
      </x:c>
      <x:c r="H14" s="493" t="str">
        <x:v>Dedicated graph database deferred until Stage 7 benchmarks.</x:v>
      </x:c>
      <x:c r="I14" s="493" t="str">
        <x:v>High</x:v>
      </x:c>
      <x:c r="J14" s="493" t="str">
        <x:v>Draft Complete</x:v>
      </x:c>
      <x:c r="K14" s="494" t="str">
        <x:v>Stage 1 ADR</x:v>
      </x:c>
    </x:row>
    <x:row r="15">
      <x:c r="A15" s="487" t="str">
        <x:v>S4-ARC-011</x:v>
      </x:c>
      <x:c r="B15" s="114" t="str">
        <x:v>Replay Service</x:v>
      </x:c>
      <x:c r="C15" s="114" t="str">
        <x:v>Reconstruct ordered timelines using event time, device sequence, ingestion time, late-event correction and gap markers.</x:v>
      </x:c>
      <x:c r="D15" s="114" t="str">
        <x:v>Java/Spring</x:v>
      </x:c>
      <x:c r="E15" s="114" t="str">
        <x:v>PostgreSQL read models + Kafka replay</x:v>
      </x:c>
      <x:c r="F15" s="114" t="str">
        <x:v>Evidence metadata, batch/gap records</x:v>
      </x:c>
      <x:c r="G15" s="114" t="str">
        <x:v>Timeline/replay APIs</x:v>
      </x:c>
      <x:c r="H15" s="114" t="str">
        <x:v>Never imply complete evidence when telemetry gaps exist.</x:v>
      </x:c>
      <x:c r="I15" s="114" t="str">
        <x:v>Critical</x:v>
      </x:c>
      <x:c r="J15" s="114" t="str">
        <x:v>Draft Complete</x:v>
      </x:c>
      <x:c r="K15" s="488" t="str">
        <x:v>Replay semantics</x:v>
      </x:c>
    </x:row>
    <x:row r="16">
      <x:c r="A16" s="492" t="str">
        <x:v>S4-ARC-012</x:v>
      </x:c>
      <x:c r="B16" s="493" t="str">
        <x:v>Retention Orchestrator</x:v>
      </x:c>
      <x:c r="C16" s="493" t="str">
        <x:v>Apply local/cloud TTL, legal hold, deletion, archive and derived-record rules.</x:v>
      </x:c>
      <x:c r="D16" s="493" t="str">
        <x:v>Java/Spring scheduled/event workers</x:v>
      </x:c>
      <x:c r="E16" s="493" t="str">
        <x:v>PostgreSQL retention records + object lifecycle APIs</x:v>
      </x:c>
      <x:c r="F16" s="493" t="str">
        <x:v>Policy service, legal hold/review events</x:v>
      </x:c>
      <x:c r="G16" s="493" t="str">
        <x:v>retention.applied / deletion.completed / hold.changed</x:v>
      </x:c>
      <x:c r="H16" s="493" t="str">
        <x:v>Raw and derived records have separate retention purposes.</x:v>
      </x:c>
      <x:c r="I16" s="493" t="str">
        <x:v>Critical</x:v>
      </x:c>
      <x:c r="J16" s="493" t="str">
        <x:v>Draft Complete</x:v>
      </x:c>
      <x:c r="K16" s="494" t="str">
        <x:v>S3 Object Lock/MinIO retention</x:v>
      </x:c>
    </x:row>
    <x:row r="17">
      <x:c r="A17" s="487" t="str">
        <x:v>S4-ARC-013</x:v>
      </x:c>
      <x:c r="B17" s="114" t="str">
        <x:v>Evidence Access Broker</x:v>
      </x:c>
      <x:c r="C17" s="114" t="str">
        <x:v>Issue purpose-limited, time-limited access to raw objects and metadata.</x:v>
      </x:c>
      <x:c r="D17" s="114" t="str">
        <x:v>Java/Spring</x:v>
      </x:c>
      <x:c r="E17" s="114" t="str">
        <x:v>PostgreSQL grants + HumanOS policy/audit</x:v>
      </x:c>
      <x:c r="F17" s="114" t="str">
        <x:v>IAM, org, policy, review workflow</x:v>
      </x:c>
      <x:c r="G17" s="114" t="str">
        <x:v>Signed access URL/reference + audit event</x:v>
      </x:c>
      <x:c r="H17" s="114" t="str">
        <x:v>Manager summary-first; employee self-access; raw access requires purpose code.</x:v>
      </x:c>
      <x:c r="I17" s="114" t="str">
        <x:v>Critical</x:v>
      </x:c>
      <x:c r="J17" s="114" t="str">
        <x:v>Draft Complete</x:v>
      </x:c>
      <x:c r="K17" s="488" t="str">
        <x:v>PostgreSQL RLS + HumanOS policy</x:v>
      </x:c>
    </x:row>
    <x:row r="18">
      <x:c r="A18" s="492" t="str">
        <x:v>S4-ARC-014</x:v>
      </x:c>
      <x:c r="B18" s="493" t="str">
        <x:v>Audit Linkage</x:v>
      </x:c>
      <x:c r="C18" s="493" t="str">
        <x:v>Record ingestion, rejection, access, retention, correction and replay actions.</x:v>
      </x:c>
      <x:c r="D18" s="493" t="str">
        <x:v>Existing HumanOS Audit extension</x:v>
      </x:c>
      <x:c r="E18" s="493" t="str">
        <x:v>Append-only audit store</x:v>
      </x:c>
      <x:c r="F18" s="493" t="str">
        <x:v>All Stage 4 services</x:v>
      </x:c>
      <x:c r="G18" s="493" t="str">
        <x:v>Audit events/reports</x:v>
      </x:c>
      <x:c r="H18" s="493" t="str">
        <x:v>Audit stores references and reasons, not raw evidence content.</x:v>
      </x:c>
      <x:c r="I18" s="493" t="str">
        <x:v>Critical</x:v>
      </x:c>
      <x:c r="J18" s="493" t="str">
        <x:v>Draft Complete</x:v>
      </x:c>
      <x:c r="K18" s="494" t="str">
        <x:v>HumanOS audit</x:v>
      </x:c>
    </x:row>
    <x:row r="19">
      <x:c r="A19" s="487" t="str">
        <x:v>S4-ARC-015</x:v>
      </x:c>
      <x:c r="B19" s="114" t="str">
        <x:v>Dead-Letter and Quarantine</x:v>
      </x:c>
      <x:c r="C19" s="114" t="str">
        <x:v>Isolate malformed, suspicious or policy-inconsistent batches/objects for controlled review.</x:v>
      </x:c>
      <x:c r="D19" s="114" t="str">
        <x:v>Kafka DLQ + restricted PostgreSQL metadata/object quarantine</x:v>
      </x:c>
      <x:c r="E19" s="114" t="str">
        <x:v>Restricted topics/bucket</x:v>
      </x:c>
      <x:c r="F19" s="114" t="str">
        <x:v>Verification/schema failures</x:v>
      </x:c>
      <x:c r="G19" s="114" t="str">
        <x:v>quarantine.created / resolved</x:v>
      </x:c>
      <x:c r="H19" s="114" t="str">
        <x:v>Quarantine content access limited to security/data responders.</x:v>
      </x:c>
      <x:c r="I19" s="114" t="str">
        <x:v>High</x:v>
      </x:c>
      <x:c r="J19" s="114" t="str">
        <x:v>Draft Complete</x:v>
      </x:c>
      <x:c r="K19" s="488" t="str">
        <x:v>Kafka/DLQ patterns</x:v>
      </x:c>
    </x:row>
    <x:row r="20">
      <x:c r="A20" s="492" t="str">
        <x:v>S4-ARC-016</x:v>
      </x:c>
      <x:c r="B20" s="493" t="str">
        <x:v>Operational Observability</x:v>
      </x:c>
      <x:c r="C20" s="493" t="str">
        <x:v>Monitor throughput, latency, errors, queue depth, object failures, schema drift and storage health.</x:v>
      </x:c>
      <x:c r="D20" s="493" t="str">
        <x:v>OpenTelemetry + existing HumanOS observability</x:v>
      </x:c>
      <x:c r="E20" s="493" t="str">
        <x:v>Metrics/logs/traces backend</x:v>
      </x:c>
      <x:c r="F20" s="493" t="str">
        <x:v>All Stage 4 services</x:v>
      </x:c>
      <x:c r="G20" s="493" t="str">
        <x:v>Operational dashboards/alerts</x:v>
      </x:c>
      <x:c r="H20" s="493" t="str">
        <x:v>Sensitive evidence excluded; allowlist operational attributes only.</x:v>
      </x:c>
      <x:c r="I20" s="493" t="str">
        <x:v>High</x:v>
      </x:c>
      <x:c r="J20" s="493" t="str">
        <x:v>Draft Complete</x:v>
      </x:c>
      <x:c r="K20" s="494" t="str">
        <x:v>OpenTelemetry sensitive-data guidance</x:v>
      </x:c>
    </x:row>
    <x:row r="21">
      <x:c r="A21" s="487" t="str">
        <x:v>S4-ARC-017</x:v>
      </x:c>
      <x:c r="B21" s="114" t="str">
        <x:v>Regional Routing</x:v>
      </x:c>
      <x:c r="C21" s="114" t="str">
        <x:v>Route metadata and objects to approved region/tenant storage and processing.</x:v>
      </x:c>
      <x:c r="D21" s="114" t="str">
        <x:v>HumanOS platform routing + Java policy checks</x:v>
      </x:c>
      <x:c r="E21" s="114" t="str">
        <x:v>Regional Kafka/PostgreSQL/object storage</x:v>
      </x:c>
      <x:c r="F21" s="114" t="str">
        <x:v>Tenant/jurisdiction policy</x:v>
      </x:c>
      <x:c r="G21" s="114" t="str">
        <x:v>Region-specific accepted/rejected events</x:v>
      </x:c>
      <x:c r="H21" s="114" t="str">
        <x:v>No cross-region replication without legal/policy approval.</x:v>
      </x:c>
      <x:c r="I21" s="114" t="str">
        <x:v>High</x:v>
      </x:c>
      <x:c r="J21" s="114" t="str">
        <x:v>Draft Complete</x:v>
      </x:c>
      <x:c r="K21" s="488" t="str">
        <x:v>Stage 0 jurisdiction policy</x:v>
      </x:c>
    </x:row>
    <x:row r="22">
      <x:c r="A22" s="492" t="str">
        <x:v>S4-ARC-018</x:v>
      </x:c>
      <x:c r="B22" s="493" t="str">
        <x:v>Backpressure and Admission Control</x:v>
      </x:c>
      <x:c r="C22" s="493" t="str">
        <x:v>Protect ingestion and storage under load or malicious bursts.</x:v>
      </x:c>
      <x:c r="D22" s="493" t="str">
        <x:v>Gateway quotas + Kafka buffering + circuit breakers</x:v>
      </x:c>
      <x:c r="E22" s="493" t="str">
        <x:v>Rate-limit/queue state</x:v>
      </x:c>
      <x:c r="F22" s="493" t="str">
        <x:v>Device agents and services</x:v>
      </x:c>
      <x:c r="G22" s="493" t="str">
        <x:v>Retry-after/partial acceptance/health alerts</x:v>
      </x:c>
      <x:c r="H22" s="493" t="str">
        <x:v>Do not silently discard; emit rejection or gap semantics.</x:v>
      </x:c>
      <x:c r="I22" s="493" t="str">
        <x:v>High</x:v>
      </x:c>
      <x:c r="J22" s="493" t="str">
        <x:v>Draft Complete</x:v>
      </x:c>
      <x:c r="K22" s="494" t="str">
        <x:v>Resilience/SRE design</x:v>
      </x:c>
    </x:row>
    <x:row r="23">
      <x:c r="A23" s="487" t="str">
        <x:v>S4-ARC-019</x:v>
      </x:c>
      <x:c r="B23" s="114" t="str">
        <x:v>Schema Evolution Governance</x:v>
      </x:c>
      <x:c r="C23" s="114" t="str">
        <x:v>Manage compatible schema versions, migration and deprecation.</x:v>
      </x:c>
      <x:c r="D23" s="114" t="str">
        <x:v>Schema Registry + review workflow</x:v>
      </x:c>
      <x:c r="E23" s="114" t="str">
        <x:v>Schema definitions and compatibility metadata</x:v>
      </x:c>
      <x:c r="F23" s="114" t="str">
        <x:v>Agent/cloud contract owners</x:v>
      </x:c>
      <x:c r="G23" s="114" t="str">
        <x:v>schema.version.published / deprecated</x:v>
      </x:c>
      <x:c r="H23" s="114" t="str">
        <x:v>Breaking changes require staged agent compatibility plan.</x:v>
      </x:c>
      <x:c r="I23" s="114" t="str">
        <x:v>High</x:v>
      </x:c>
      <x:c r="J23" s="114" t="str">
        <x:v>Draft Complete</x:v>
      </x:c>
      <x:c r="K23" s="488" t="str">
        <x:v>JSON Schema/registry</x:v>
      </x:c>
    </x:row>
    <x:row r="24">
      <x:c r="A24" s="495" t="str">
        <x:v>S4-ARC-020</x:v>
      </x:c>
      <x:c r="B24" s="496" t="str">
        <x:v>Stage Boundary</x:v>
      </x:c>
      <x:c r="C24" s="496" t="str">
        <x:v>Stage 4 stores trustworthy evidence; it does not decide task alignment, capability or employee performance.</x:v>
      </x:c>
      <x:c r="D24" s="496" t="str">
        <x:v>Architecture rule</x:v>
      </x:c>
      <x:c r="E24" s="496" t="str">
        <x:v>N/A</x:v>
      </x:c>
      <x:c r="F24" s="496" t="str">
        <x:v>Stage 7/8 consumers</x:v>
      </x:c>
      <x:c r="G24" s="496" t="str">
        <x:v>Evidence and timeline APIs only</x:v>
      </x:c>
      <x:c r="H24" s="496" t="str">
        <x:v>AI/evaluator findings remain separate and versioned.</x:v>
      </x:c>
      <x:c r="I24" s="496" t="str">
        <x:v>Critical</x:v>
      </x:c>
      <x:c r="J24" s="496" t="str">
        <x:v>Draft Complete</x:v>
      </x:c>
      <x:c r="K24" s="497" t="str">
        <x:v>Stage 4 prompt</x:v>
      </x:c>
    </x:row>
  </x:sheetData>
  <x:mergeCells>
    <x:mergeCell ref="A1:K1"/>
    <x:mergeCell ref="A2:K2"/>
  </x:mergeCells>
  <x:dataValidations count="2">
    <x:dataValidation type="list" sqref="I5:I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28" hidden="0" customWidth="1"/>
    <x:col min="3" max="3" width="48" hidden="0" customWidth="1"/>
    <x:col min="4" max="4" width="20" hidden="0" customWidth="1"/>
    <x:col min="5" max="5" width="20" hidden="0" customWidth="1"/>
    <x:col min="6" max="6" width="34" hidden="0" customWidth="1"/>
    <x:col min="7" max="7" width="52" hidden="0" customWidth="1"/>
    <x:col min="8" max="8" width="42" hidden="0" customWidth="1"/>
    <x:col min="9" max="9" width="18" hidden="0" customWidth="1"/>
  </x:cols>
  <x:sheetData>
    <x:row r="1" ht="30" customHeight="1">
      <x:c r="A1" s="449" t="str">
        <x:v>Stage 4 — Signed Batch Contract</x:v>
      </x:c>
      <x:c r="B1" s="449"/>
      <x:c r="C1" s="449"/>
      <x:c r="D1" s="449"/>
      <x:c r="E1" s="449"/>
      <x:c r="F1" s="449"/>
      <x:c r="G1" s="449"/>
      <x:c r="H1" s="449"/>
      <x:c r="I1" s="449"/>
    </x:row>
    <x:row r="2" ht="36" customHeight="1">
      <x:c r="A2" s="453" t="str">
        <x:v>Implementation contract for endpoint-to-HumanOS delivery. Transport is at-least-once; batch IDs, digests, sequence ranges and database uniqueness provide deterministic idempotency and replay safety.</x:v>
      </x:c>
      <x:c r="B2" s="453"/>
      <x:c r="C2" s="453"/>
      <x:c r="D2" s="453"/>
      <x:c r="E2" s="453"/>
      <x:c r="F2" s="453"/>
      <x:c r="G2" s="453"/>
      <x:c r="H2" s="453"/>
      <x:c r="I2" s="453"/>
    </x:row>
    <x:row r="4" ht="30" customHeight="1">
      <x:c r="A4" s="465" t="str">
        <x:v>ID</x:v>
      </x:c>
      <x:c r="B4" s="466" t="str">
        <x:v>Field</x:v>
      </x:c>
      <x:c r="C4" s="466" t="str">
        <x:v>Definition</x:v>
      </x:c>
      <x:c r="D4" s="466" t="str">
        <x:v>Type</x:v>
      </x:c>
      <x:c r="E4" s="466" t="str">
        <x:v>Requirement</x:v>
      </x:c>
      <x:c r="F4" s="466" t="str">
        <x:v>Purpose</x:v>
      </x:c>
      <x:c r="G4" s="466" t="str">
        <x:v>Validation rule</x:v>
      </x:c>
      <x:c r="H4" s="466" t="str">
        <x:v>Failure behaviour</x:v>
      </x:c>
      <x:c r="I4" s="467" t="str">
        <x:v>Status</x:v>
      </x:c>
    </x:row>
    <x:row r="5">
      <x:c r="A5" s="484" t="str">
        <x:v>BATCH-001</x:v>
      </x:c>
      <x:c r="B5" s="485" t="str">
        <x:v>batch_id</x:v>
      </x:c>
      <x:c r="C5" s="485" t="str">
        <x:v>UUIDv7/ULID or equivalent unique identifier.</x:v>
      </x:c>
      <x:c r="D5" s="485" t="str">
        <x:v>string</x:v>
      </x:c>
      <x:c r="E5" s="485" t="str">
        <x:v>Required</x:v>
      </x:c>
      <x:c r="F5" s="485" t="str">
        <x:v>Application idempotency and audit.</x:v>
      </x:c>
      <x:c r="G5" s="485" t="str">
        <x:v>Unique per device uploader attempt set; same logical retry reuses ID.</x:v>
      </x:c>
      <x:c r="H5" s="485" t="str">
        <x:v>Reject conflicting duplicate payload.</x:v>
      </x:c>
      <x:c r="I5" s="486" t="str">
        <x:v>Draft Complete</x:v>
      </x:c>
    </x:row>
    <x:row r="6">
      <x:c r="A6" s="492" t="str">
        <x:v>BATCH-002</x:v>
      </x:c>
      <x:c r="B6" s="493" t="str">
        <x:v>specversion</x:v>
      </x:c>
      <x:c r="C6" s="493" t="str">
        <x:v>Envelope specification version.</x:v>
      </x:c>
      <x:c r="D6" s="493" t="str">
        <x:v>string</x:v>
      </x:c>
      <x:c r="E6" s="493" t="str">
        <x:v>Required</x:v>
      </x:c>
      <x:c r="F6" s="493" t="str">
        <x:v>Contract routing.</x:v>
      </x:c>
      <x:c r="G6" s="493" t="str">
        <x:v>CloudEvents-style version plus Nessovo batch schema version.</x:v>
      </x:c>
      <x:c r="H6" s="493" t="str">
        <x:v>Reject unsupported major version.</x:v>
      </x:c>
      <x:c r="I6" s="494" t="str">
        <x:v>Draft Complete</x:v>
      </x:c>
    </x:row>
    <x:row r="7">
      <x:c r="A7" s="487" t="str">
        <x:v>BATCH-003</x:v>
      </x:c>
      <x:c r="B7" s="114" t="str">
        <x:v>batch_schema_version</x:v>
      </x:c>
      <x:c r="C7" s="114" t="str">
        <x:v>Nessovo signed batch schema version.</x:v>
      </x:c>
      <x:c r="D7" s="114" t="str">
        <x:v>semver/integer</x:v>
      </x:c>
      <x:c r="E7" s="114" t="str">
        <x:v>Required</x:v>
      </x:c>
      <x:c r="F7" s="114" t="str">
        <x:v>Schema validation/evolution.</x:v>
      </x:c>
      <x:c r="G7" s="114" t="str">
        <x:v>Must exist in approved schema registry.</x:v>
      </x:c>
      <x:c r="H7" s="114" t="str">
        <x:v>Quarantine unknown version.</x:v>
      </x:c>
      <x:c r="I7" s="488" t="str">
        <x:v>Draft Complete</x:v>
      </x:c>
    </x:row>
    <x:row r="8">
      <x:c r="A8" s="492" t="str">
        <x:v>BATCH-004</x:v>
      </x:c>
      <x:c r="B8" s="493" t="str">
        <x:v>tenant_id</x:v>
      </x:c>
      <x:c r="C8" s="493" t="str">
        <x:v>Tenant scope.</x:v>
      </x:c>
      <x:c r="D8" s="493" t="str">
        <x:v>string</x:v>
      </x:c>
      <x:c r="E8" s="493" t="str">
        <x:v>Required</x:v>
      </x:c>
      <x:c r="F8" s="493" t="str">
        <x:v>Tenant isolation.</x:v>
      </x:c>
      <x:c r="G8" s="493" t="str">
        <x:v>Must match device certificate and policy.</x:v>
      </x:c>
      <x:c r="H8" s="493" t="str">
        <x:v>Reject mismatch.</x:v>
      </x:c>
      <x:c r="I8" s="494" t="str">
        <x:v>Draft Complete</x:v>
      </x:c>
    </x:row>
    <x:row r="9">
      <x:c r="A9" s="487" t="str">
        <x:v>BATCH-005</x:v>
      </x:c>
      <x:c r="B9" s="114" t="str">
        <x:v>device_id</x:v>
      </x:c>
      <x:c r="C9" s="114" t="str">
        <x:v>Registered managed device identifier.</x:v>
      </x:c>
      <x:c r="D9" s="114" t="str">
        <x:v>string</x:v>
      </x:c>
      <x:c r="E9" s="114" t="str">
        <x:v>Required</x:v>
      </x:c>
      <x:c r="F9" s="114" t="str">
        <x:v>Device origin.</x:v>
      </x:c>
      <x:c r="G9" s="114" t="str">
        <x:v>Must be active and not revoked.</x:v>
      </x:c>
      <x:c r="H9" s="114" t="str">
        <x:v>Reject revoked/unknown device.</x:v>
      </x:c>
      <x:c r="I9" s="488" t="str">
        <x:v>Draft Complete</x:v>
      </x:c>
    </x:row>
    <x:row r="10">
      <x:c r="A10" s="492" t="str">
        <x:v>BATCH-006</x:v>
      </x:c>
      <x:c r="B10" s="493" t="str">
        <x:v>agent_instance_id</x:v>
      </x:c>
      <x:c r="C10" s="493" t="str">
        <x:v>Specific installed agent instance.</x:v>
      </x:c>
      <x:c r="D10" s="493" t="str">
        <x:v>string</x:v>
      </x:c>
      <x:c r="E10" s="493" t="str">
        <x:v>Required</x:v>
      </x:c>
      <x:c r="F10" s="493" t="str">
        <x:v>Re-enrolment/update tracking.</x:v>
      </x:c>
      <x:c r="G10" s="493" t="str">
        <x:v>Changes after reinstall/re-enrolment.</x:v>
      </x:c>
      <x:c r="H10" s="493" t="str">
        <x:v>Flag unexpected rollback.</x:v>
      </x:c>
      <x:c r="I10" s="494" t="str">
        <x:v>Draft Complete</x:v>
      </x:c>
    </x:row>
    <x:row r="11">
      <x:c r="A11" s="487" t="str">
        <x:v>BATCH-007</x:v>
      </x:c>
      <x:c r="B11" s="114" t="str">
        <x:v>person_id_ref</x:v>
      </x:c>
      <x:c r="C11" s="114" t="str">
        <x:v>Internal person reference active for the session.</x:v>
      </x:c>
      <x:c r="D11" s="114" t="str">
        <x:v>string/ref</x:v>
      </x:c>
      <x:c r="E11" s="114" t="str">
        <x:v>Conditional</x:v>
      </x:c>
      <x:c r="F11" s="114" t="str">
        <x:v>Employee self-access/task context.</x:v>
      </x:c>
      <x:c r="G11" s="114" t="str">
        <x:v>Resolved through HumanOS IAM; no HR profile copied.</x:v>
      </x:c>
      <x:c r="H11" s="114" t="str">
        <x:v>Reject if required session binding missing.</x:v>
      </x:c>
      <x:c r="I11" s="488" t="str">
        <x:v>Draft Complete</x:v>
      </x:c>
    </x:row>
    <x:row r="12">
      <x:c r="A12" s="492" t="str">
        <x:v>BATCH-008</x:v>
      </x:c>
      <x:c r="B12" s="493" t="str">
        <x:v>work_session_id</x:v>
      </x:c>
      <x:c r="C12" s="493" t="str">
        <x:v>Active work-session identifier.</x:v>
      </x:c>
      <x:c r="D12" s="493" t="str">
        <x:v>string</x:v>
      </x:c>
      <x:c r="E12" s="493" t="str">
        <x:v>Required for work events</x:v>
      </x:c>
      <x:c r="F12" s="493" t="str">
        <x:v>Session scope.</x:v>
      </x:c>
      <x:c r="G12" s="493" t="str">
        <x:v>Must be valid for person/device/policy.</x:v>
      </x:c>
      <x:c r="H12" s="493" t="str">
        <x:v>Reject invalid session; health batches may omit.</x:v>
      </x:c>
      <x:c r="I12" s="494" t="str">
        <x:v>Draft Complete</x:v>
      </x:c>
    </x:row>
    <x:row r="13">
      <x:c r="A13" s="487" t="str">
        <x:v>BATCH-009</x:v>
      </x:c>
      <x:c r="B13" s="114" t="str">
        <x:v>task_session_id</x:v>
      </x:c>
      <x:c r="C13" s="114" t="str">
        <x:v>Active task-session identifier.</x:v>
      </x:c>
      <x:c r="D13" s="114" t="str">
        <x:v>string</x:v>
      </x:c>
      <x:c r="E13" s="114" t="str">
        <x:v>Conditional</x:v>
      </x:c>
      <x:c r="F13" s="114" t="str">
        <x:v>Task scope.</x:v>
      </x:c>
      <x:c r="G13" s="114" t="str">
        <x:v>Required for task-scoped events where policy demands.</x:v>
      </x:c>
      <x:c r="H13" s="114" t="str">
        <x:v>Store as null only for approved general/health events.</x:v>
      </x:c>
      <x:c r="I13" s="488" t="str">
        <x:v>Draft Complete</x:v>
      </x:c>
    </x:row>
    <x:row r="14">
      <x:c r="A14" s="492" t="str">
        <x:v>BATCH-010</x:v>
      </x:c>
      <x:c r="B14" s="493" t="str">
        <x:v>task_contract_version</x:v>
      </x:c>
      <x:c r="C14" s="493" t="str">
        <x:v>Task Execution Contract version used by the agent.</x:v>
      </x:c>
      <x:c r="D14" s="493" t="str">
        <x:v>string</x:v>
      </x:c>
      <x:c r="E14" s="493" t="str">
        <x:v>Conditional</x:v>
      </x:c>
      <x:c r="F14" s="493" t="str">
        <x:v>Later Task Assurance traceability.</x:v>
      </x:c>
      <x:c r="G14" s="493" t="str">
        <x:v>Must be approved/current when present.</x:v>
      </x:c>
      <x:c r="H14" s="493" t="str">
        <x:v>Flag stale version; do not silently rewrite.</x:v>
      </x:c>
      <x:c r="I14" s="494" t="str">
        <x:v>Draft Complete</x:v>
      </x:c>
    </x:row>
    <x:row r="15">
      <x:c r="A15" s="487" t="str">
        <x:v>BATCH-011</x:v>
      </x:c>
      <x:c r="B15" s="114" t="str">
        <x:v>policy_id</x:v>
      </x:c>
      <x:c r="C15" s="114" t="str">
        <x:v>Applied signed policy identifier.</x:v>
      </x:c>
      <x:c r="D15" s="114" t="str">
        <x:v>string</x:v>
      </x:c>
      <x:c r="E15" s="114" t="str">
        <x:v>Required</x:v>
      </x:c>
      <x:c r="F15" s="114" t="str">
        <x:v>Purpose and capture authority.</x:v>
      </x:c>
      <x:c r="G15" s="114" t="str">
        <x:v>Must match known policy bundle.</x:v>
      </x:c>
      <x:c r="H15" s="114" t="str">
        <x:v>Reject invalid/unknown policy.</x:v>
      </x:c>
      <x:c r="I15" s="488" t="str">
        <x:v>Draft Complete</x:v>
      </x:c>
    </x:row>
    <x:row r="16">
      <x:c r="A16" s="492" t="str">
        <x:v>BATCH-012</x:v>
      </x:c>
      <x:c r="B16" s="493" t="str">
        <x:v>policy_version</x:v>
      </x:c>
      <x:c r="C16" s="493" t="str">
        <x:v>Applied policy version.</x:v>
      </x:c>
      <x:c r="D16" s="493" t="str">
        <x:v>string/integer</x:v>
      </x:c>
      <x:c r="E16" s="493" t="str">
        <x:v>Required</x:v>
      </x:c>
      <x:c r="F16" s="493" t="str">
        <x:v>Audit and compatibility.</x:v>
      </x:c>
      <x:c r="G16" s="493" t="str">
        <x:v>Within effective/expiry window at event time.</x:v>
      </x:c>
      <x:c r="H16" s="493" t="str">
        <x:v>Reject or quarantine policy inconsistency.</x:v>
      </x:c>
      <x:c r="I16" s="494" t="str">
        <x:v>Draft Complete</x:v>
      </x:c>
    </x:row>
    <x:row r="17">
      <x:c r="A17" s="487" t="str">
        <x:v>BATCH-013</x:v>
      </x:c>
      <x:c r="B17" s="114" t="str">
        <x:v>sequence_start</x:v>
      </x:c>
      <x:c r="C17" s="114" t="str">
        <x:v>First local monotonic event sequence in batch.</x:v>
      </x:c>
      <x:c r="D17" s="114" t="str">
        <x:v>int64</x:v>
      </x:c>
      <x:c r="E17" s="114" t="str">
        <x:v>Required</x:v>
      </x:c>
      <x:c r="F17" s="114" t="str">
        <x:v>Ordering/gap detection.</x:v>
      </x:c>
      <x:c r="G17" s="114" t="str">
        <x:v>Greater than prior accepted sequence unless replayed known batch.</x:v>
      </x:c>
      <x:c r="H17" s="114" t="str">
        <x:v>Detect duplicate/gap/out-of-order.</x:v>
      </x:c>
      <x:c r="I17" s="488" t="str">
        <x:v>Draft Complete</x:v>
      </x:c>
    </x:row>
    <x:row r="18">
      <x:c r="A18" s="492" t="str">
        <x:v>BATCH-014</x:v>
      </x:c>
      <x:c r="B18" s="493" t="str">
        <x:v>sequence_end</x:v>
      </x:c>
      <x:c r="C18" s="493" t="str">
        <x:v>Last local sequence in batch.</x:v>
      </x:c>
      <x:c r="D18" s="493" t="str">
        <x:v>int64</x:v>
      </x:c>
      <x:c r="E18" s="493" t="str">
        <x:v>Required</x:v>
      </x:c>
      <x:c r="F18" s="493" t="str">
        <x:v>Ordering/gap detection.</x:v>
      </x:c>
      <x:c r="G18" s="493" t="str">
        <x:v>Must cover event count and be ≥ start.</x:v>
      </x:c>
      <x:c r="H18" s="493" t="str">
        <x:v>Reject malformed range.</x:v>
      </x:c>
      <x:c r="I18" s="494" t="str">
        <x:v>Draft Complete</x:v>
      </x:c>
    </x:row>
    <x:row r="19">
      <x:c r="A19" s="487" t="str">
        <x:v>BATCH-015</x:v>
      </x:c>
      <x:c r="B19" s="114" t="str">
        <x:v>event_count</x:v>
      </x:c>
      <x:c r="C19" s="114" t="str">
        <x:v>Number of event records.</x:v>
      </x:c>
      <x:c r="D19" s="114" t="str">
        <x:v>integer</x:v>
      </x:c>
      <x:c r="E19" s="114" t="str">
        <x:v>Required</x:v>
      </x:c>
      <x:c r="F19" s="114" t="str">
        <x:v>Integrity and quotas.</x:v>
      </x:c>
      <x:c r="G19" s="114" t="str">
        <x:v>Must equal decoded event count.</x:v>
      </x:c>
      <x:c r="H19" s="114" t="str">
        <x:v>Reject mismatch.</x:v>
      </x:c>
      <x:c r="I19" s="488" t="str">
        <x:v>Draft Complete</x:v>
      </x:c>
    </x:row>
    <x:row r="20">
      <x:c r="A20" s="492" t="str">
        <x:v>BATCH-016</x:v>
      </x:c>
      <x:c r="B20" s="493" t="str">
        <x:v>created_at_device</x:v>
      </x:c>
      <x:c r="C20" s="493" t="str">
        <x:v>Device batch creation timestamp.</x:v>
      </x:c>
      <x:c r="D20" s="493" t="str">
        <x:v>RFC3339 date-time</x:v>
      </x:c>
      <x:c r="E20" s="493" t="str">
        <x:v>Required</x:v>
      </x:c>
      <x:c r="F20" s="493" t="str">
        <x:v>Latency/clock analysis.</x:v>
      </x:c>
      <x:c r="G20" s="493" t="str">
        <x:v>Store with server receive time and drift estimate.</x:v>
      </x:c>
      <x:c r="H20" s="493" t="str">
        <x:v>Do not trust as sole ordering source.</x:v>
      </x:c>
      <x:c r="I20" s="494" t="str">
        <x:v>Draft Complete</x:v>
      </x:c>
    </x:row>
    <x:row r="21">
      <x:c r="A21" s="487" t="str">
        <x:v>BATCH-017</x:v>
      </x:c>
      <x:c r="B21" s="114" t="str">
        <x:v>device_clock_offset_ms</x:v>
      </x:c>
      <x:c r="C21" s="114" t="str">
        <x:v>Estimated device-to-server clock offset.</x:v>
      </x:c>
      <x:c r="D21" s="114" t="str">
        <x:v>integer</x:v>
      </x:c>
      <x:c r="E21" s="114" t="str">
        <x:v>Optional</x:v>
      </x:c>
      <x:c r="F21" s="114" t="str">
        <x:v>Timeline confidence.</x:v>
      </x:c>
      <x:c r="G21" s="114" t="str">
        <x:v>Computed during heartbeat/sync.</x:v>
      </x:c>
      <x:c r="H21" s="114" t="str">
        <x:v>Flag excessive drift.</x:v>
      </x:c>
      <x:c r="I21" s="488" t="str">
        <x:v>Draft Complete</x:v>
      </x:c>
    </x:row>
    <x:row r="22">
      <x:c r="A22" s="492" t="str">
        <x:v>BATCH-018</x:v>
      </x:c>
      <x:c r="B22" s="493" t="str">
        <x:v>compression</x:v>
      </x:c>
      <x:c r="C22" s="493" t="str">
        <x:v>Compression algorithm and version.</x:v>
      </x:c>
      <x:c r="D22" s="493" t="str">
        <x:v>enum</x:v>
      </x:c>
      <x:c r="E22" s="493" t="str">
        <x:v>Required</x:v>
      </x:c>
      <x:c r="F22" s="493" t="str">
        <x:v>Transport efficiency.</x:v>
      </x:c>
      <x:c r="G22" s="493" t="str">
        <x:v>zstd/gzip/none by approved profile.</x:v>
      </x:c>
      <x:c r="H22" s="493" t="str">
        <x:v>Reject unsupported/decompression bomb.</x:v>
      </x:c>
      <x:c r="I22" s="494" t="str">
        <x:v>Draft Complete</x:v>
      </x:c>
    </x:row>
    <x:row r="23">
      <x:c r="A23" s="487" t="str">
        <x:v>BATCH-019</x:v>
      </x:c>
      <x:c r="B23" s="114" t="str">
        <x:v>content_encoding</x:v>
      </x:c>
      <x:c r="C23" s="114" t="str">
        <x:v>Serialization of event collection.</x:v>
      </x:c>
      <x:c r="D23" s="114" t="str">
        <x:v>enum</x:v>
      </x:c>
      <x:c r="E23" s="114" t="str">
        <x:v>Required</x:v>
      </x:c>
      <x:c r="F23" s="114" t="str">
        <x:v>Decoder selection.</x:v>
      </x:c>
      <x:c r="G23" s="114" t="str">
        <x:v>JSON/CBOR/Protobuf profile according to approved schema.</x:v>
      </x:c>
      <x:c r="H23" s="114" t="str">
        <x:v>Reject unsupported.</x:v>
      </x:c>
      <x:c r="I23" s="488" t="str">
        <x:v>Draft Complete</x:v>
      </x:c>
    </x:row>
    <x:row r="24">
      <x:c r="A24" s="492" t="str">
        <x:v>BATCH-020</x:v>
      </x:c>
      <x:c r="B24" s="493" t="str">
        <x:v>events_digest</x:v>
      </x:c>
      <x:c r="C24" s="493" t="str">
        <x:v>Cryptographic digest of canonical event payload.</x:v>
      </x:c>
      <x:c r="D24" s="493" t="str">
        <x:v>hash string</x:v>
      </x:c>
      <x:c r="E24" s="493" t="str">
        <x:v>Required</x:v>
      </x:c>
      <x:c r="F24" s="493" t="str">
        <x:v>Integrity.</x:v>
      </x:c>
      <x:c r="G24" s="493" t="str">
        <x:v>SHA-256 or approved algorithm.</x:v>
      </x:c>
      <x:c r="H24" s="493" t="str">
        <x:v>Reject mismatch.</x:v>
      </x:c>
      <x:c r="I24" s="494" t="str">
        <x:v>Draft Complete</x:v>
      </x:c>
    </x:row>
    <x:row r="25">
      <x:c r="A25" s="487" t="str">
        <x:v>BATCH-021</x:v>
      </x:c>
      <x:c r="B25" s="114" t="str">
        <x:v>previous_batch_digest</x:v>
      </x:c>
      <x:c r="C25" s="114" t="str">
        <x:v>Optional link to previous batch/hash chain.</x:v>
      </x:c>
      <x:c r="D25" s="114" t="str">
        <x:v>hash string</x:v>
      </x:c>
      <x:c r="E25" s="114" t="str">
        <x:v>Recommended</x:v>
      </x:c>
      <x:c r="F25" s="114" t="str">
        <x:v>Deletion/reordering detection.</x:v>
      </x:c>
      <x:c r="G25" s="114" t="str">
        <x:v>Per device/session chain where feasible.</x:v>
      </x:c>
      <x:c r="H25" s="114" t="str">
        <x:v>Gap event if chain breaks.</x:v>
      </x:c>
      <x:c r="I25" s="488" t="str">
        <x:v>Draft Complete</x:v>
      </x:c>
    </x:row>
    <x:row r="26">
      <x:c r="A26" s="492" t="str">
        <x:v>BATCH-022</x:v>
      </x:c>
      <x:c r="B26" s="493" t="str">
        <x:v>object_manifest</x:v>
      </x:c>
      <x:c r="C26" s="493" t="str">
        <x:v>References to separately uploaded evidence objects.</x:v>
      </x:c>
      <x:c r="D26" s="493" t="str">
        <x:v>array</x:v>
      </x:c>
      <x:c r="E26" s="493" t="str">
        <x:v>Conditional</x:v>
      </x:c>
      <x:c r="F26" s="493" t="str">
        <x:v>Content separation.</x:v>
      </x:c>
      <x:c r="G26" s="493" t="str">
        <x:v>Each object includes hash, size, class, retention and encryption metadata.</x:v>
      </x:c>
      <x:c r="H26" s="493" t="str">
        <x:v>Reject missing/extra object refs.</x:v>
      </x:c>
      <x:c r="I26" s="494" t="str">
        <x:v>Draft Complete</x:v>
      </x:c>
    </x:row>
    <x:row r="27">
      <x:c r="A27" s="487" t="str">
        <x:v>BATCH-023</x:v>
      </x:c>
      <x:c r="B27" s="114" t="str">
        <x:v>signature_algorithm</x:v>
      </x:c>
      <x:c r="C27" s="114" t="str">
        <x:v>Signature algorithm/profile.</x:v>
      </x:c>
      <x:c r="D27" s="114" t="str">
        <x:v>enum</x:v>
      </x:c>
      <x:c r="E27" s="114" t="str">
        <x:v>Required</x:v>
      </x:c>
      <x:c r="F27" s="114" t="str">
        <x:v>Authenticity.</x:v>
      </x:c>
      <x:c r="G27" s="114" t="str">
        <x:v>Approved algorithm and key ID profile.</x:v>
      </x:c>
      <x:c r="H27" s="114" t="str">
        <x:v>Reject weak/unsupported.</x:v>
      </x:c>
      <x:c r="I27" s="488" t="str">
        <x:v>Draft Complete</x:v>
      </x:c>
    </x:row>
    <x:row r="28">
      <x:c r="A28" s="492" t="str">
        <x:v>BATCH-024</x:v>
      </x:c>
      <x:c r="B28" s="493" t="str">
        <x:v>signing_key_id</x:v>
      </x:c>
      <x:c r="C28" s="493" t="str">
        <x:v>Device batch-signing key reference.</x:v>
      </x:c>
      <x:c r="D28" s="493" t="str">
        <x:v>string</x:v>
      </x:c>
      <x:c r="E28" s="493" t="str">
        <x:v>Required</x:v>
      </x:c>
      <x:c r="F28" s="493" t="str">
        <x:v>Verification/rotation.</x:v>
      </x:c>
      <x:c r="G28" s="493" t="str">
        <x:v>Must be valid for device at batch time.</x:v>
      </x:c>
      <x:c r="H28" s="493" t="str">
        <x:v>Reject revoked key.</x:v>
      </x:c>
      <x:c r="I28" s="494" t="str">
        <x:v>Draft Complete</x:v>
      </x:c>
    </x:row>
    <x:row r="29">
      <x:c r="A29" s="487" t="str">
        <x:v>BATCH-025</x:v>
      </x:c>
      <x:c r="B29" s="114" t="str">
        <x:v>signature</x:v>
      </x:c>
      <x:c r="C29" s="114" t="str">
        <x:v>Detached signature over canonical batch envelope/digest.</x:v>
      </x:c>
      <x:c r="D29" s="114" t="str">
        <x:v>bytes/string</x:v>
      </x:c>
      <x:c r="E29" s="114" t="str">
        <x:v>Required</x:v>
      </x:c>
      <x:c r="F29" s="114" t="str">
        <x:v>Origin/integrity.</x:v>
      </x:c>
      <x:c r="G29" s="114" t="str">
        <x:v>Verify before decompression/persistence where possible.</x:v>
      </x:c>
      <x:c r="H29" s="114" t="str">
        <x:v>Reject invalid.</x:v>
      </x:c>
      <x:c r="I29" s="488" t="str">
        <x:v>Draft Complete</x:v>
      </x:c>
    </x:row>
    <x:row r="30">
      <x:c r="A30" s="492" t="str">
        <x:v>BATCH-026</x:v>
      </x:c>
      <x:c r="B30" s="493" t="str">
        <x:v>retry_count</x:v>
      </x:c>
      <x:c r="C30" s="493" t="str">
        <x:v>Agent-side logical retry count.</x:v>
      </x:c>
      <x:c r="D30" s="493" t="str">
        <x:v>integer</x:v>
      </x:c>
      <x:c r="E30" s="493" t="str">
        <x:v>Optional</x:v>
      </x:c>
      <x:c r="F30" s="493" t="str">
        <x:v>Diagnostics.</x:v>
      </x:c>
      <x:c r="G30" s="493" t="str">
        <x:v>Does not change batch_id or content digest.</x:v>
      </x:c>
      <x:c r="H30" s="493" t="str">
        <x:v>Operational metadata only.</x:v>
      </x:c>
      <x:c r="I30" s="494" t="str">
        <x:v>Draft Complete</x:v>
      </x:c>
    </x:row>
    <x:row r="31">
      <x:c r="A31" s="487" t="str">
        <x:v>BATCH-027</x:v>
      </x:c>
      <x:c r="B31" s="114" t="str">
        <x:v>agent_version</x:v>
      </x:c>
      <x:c r="C31" s="114" t="str">
        <x:v>Agent software version.</x:v>
      </x:c>
      <x:c r="D31" s="114" t="str">
        <x:v>string</x:v>
      </x:c>
      <x:c r="E31" s="114" t="str">
        <x:v>Required</x:v>
      </x:c>
      <x:c r="F31" s="114" t="str">
        <x:v>Compatibility and incident response.</x:v>
      </x:c>
      <x:c r="G31" s="114" t="str">
        <x:v>Check minimum/blocked versions.</x:v>
      </x:c>
      <x:c r="H31" s="114" t="str">
        <x:v>Quarantine blocked versions.</x:v>
      </x:c>
      <x:c r="I31" s="488" t="str">
        <x:v>Draft Complete</x:v>
      </x:c>
    </x:row>
    <x:row r="32">
      <x:c r="A32" s="492" t="str">
        <x:v>BATCH-028</x:v>
      </x:c>
      <x:c r="B32" s="493" t="str">
        <x:v>adapter_versions</x:v>
      </x:c>
      <x:c r="C32" s="493" t="str">
        <x:v>Versions of contributing adapters.</x:v>
      </x:c>
      <x:c r="D32" s="493" t="str">
        <x:v>map</x:v>
      </x:c>
      <x:c r="E32" s="493" t="str">
        <x:v>Optional</x:v>
      </x:c>
      <x:c r="F32" s="493" t="str">
        <x:v>Provenance/schema debugging.</x:v>
      </x:c>
      <x:c r="G32" s="493" t="str">
        <x:v>No sensitive adapter config.</x:v>
      </x:c>
      <x:c r="H32" s="493" t="str">
        <x:v>Flag unsupported adapter.</x:v>
      </x:c>
      <x:c r="I32" s="494" t="str">
        <x:v>Draft Complete</x:v>
      </x:c>
    </x:row>
    <x:row r="33">
      <x:c r="A33" s="487" t="str">
        <x:v>BATCH-029</x:v>
      </x:c>
      <x:c r="B33" s="114" t="str">
        <x:v>privacy_summary</x:v>
      </x:c>
      <x:c r="C33" s="114" t="str">
        <x:v>Counts of suppressed/redacted objects/events by reason.</x:v>
      </x:c>
      <x:c r="D33" s="114" t="str">
        <x:v>object</x:v>
      </x:c>
      <x:c r="E33" s="114" t="str">
        <x:v>Required when applicable</x:v>
      </x:c>
      <x:c r="F33" s="114" t="str">
        <x:v>Privacy control audit.</x:v>
      </x:c>
      <x:c r="G33" s="114" t="str">
        <x:v>No suppressed content included.</x:v>
      </x:c>
      <x:c r="H33" s="114" t="str">
        <x:v>Audit/health use only.</x:v>
      </x:c>
      <x:c r="I33" s="488" t="str">
        <x:v>Draft Complete</x:v>
      </x:c>
    </x:row>
    <x:row r="34">
      <x:c r="A34" s="495" t="str">
        <x:v>BATCH-030</x:v>
      </x:c>
      <x:c r="B34" s="496" t="str">
        <x:v>acknowledgement_contract</x:v>
      </x:c>
      <x:c r="C34" s="496" t="str">
        <x:v>Accepted/rejected status, accepted sequence, duplicate/gap details and retry directive.</x:v>
      </x:c>
      <x:c r="D34" s="496" t="str">
        <x:v>response object</x:v>
      </x:c>
      <x:c r="E34" s="496" t="str">
        <x:v>Required</x:v>
      </x:c>
      <x:c r="F34" s="496" t="str">
        <x:v>Safe delivery.</x:v>
      </x:c>
      <x:c r="G34" s="496" t="str">
        <x:v>Server returns deterministic reason codes and accepted object refs.</x:v>
      </x:c>
      <x:c r="H34" s="496" t="str">
        <x:v>Never return raw evidence content.</x:v>
      </x:c>
      <x:c r="I34" s="497" t="str">
        <x:v>Draft Complete</x:v>
      </x:c>
    </x:row>
  </x:sheetData>
  <x:mergeCells>
    <x:mergeCell ref="A1:I1"/>
    <x:mergeCell ref="A2:I2"/>
  </x:mergeCells>
  <x:dataValidations count="2">
    <x:dataValidation type="list" sqref="E5:E34">
      <x:formula1>"Required,Conditional,Optional,Recommended,Required for work events,Required when applicable"</x:formula1>
    </x:dataValidation>
    <x:dataValidation type="list" sqref="I5:I34">
      <x:formula1>"Draft Complete,Needs Review,Approved,Deferred"</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38" hidden="0" customWidth="1"/>
    <x:col min="3" max="3" width="48" hidden="0" customWidth="1"/>
    <x:col min="4" max="4" width="28" hidden="0" customWidth="1"/>
    <x:col min="5" max="5" width="24" hidden="0" customWidth="1"/>
    <x:col min="6" max="6" width="38" hidden="0" customWidth="1"/>
    <x:col min="7" max="7" width="52" hidden="0" customWidth="1"/>
    <x:col min="8" max="8" width="12" hidden="0" customWidth="1"/>
    <x:col min="9" max="9" width="18" hidden="0" customWidth="1"/>
  </x:cols>
  <x:sheetData>
    <x:row r="1" ht="30" customHeight="1">
      <x:c r="A1" s="449" t="str">
        <x:v>Stage 4 — Kafka-Compatible Event Topics</x:v>
      </x:c>
      <x:c r="B1" s="449"/>
      <x:c r="C1" s="449"/>
      <x:c r="D1" s="449"/>
      <x:c r="E1" s="449"/>
      <x:c r="F1" s="449"/>
      <x:c r="G1" s="449"/>
      <x:c r="H1" s="449"/>
      <x:c r="I1" s="449"/>
    </x:row>
    <x:row r="2" ht="36" customHeight="1">
      <x:c r="A2" s="453" t="str">
        <x:v>Topic catalogue for ingestion, evidence metadata, replay, retention, access and operational failure handling. Partition keys preserve per-device/session order where required.</x:v>
      </x:c>
      <x:c r="B2" s="453"/>
      <x:c r="C2" s="453"/>
      <x:c r="D2" s="453"/>
      <x:c r="E2" s="453"/>
      <x:c r="F2" s="453"/>
      <x:c r="G2" s="453"/>
      <x:c r="H2" s="453"/>
      <x:c r="I2" s="453"/>
    </x:row>
    <x:row r="4" ht="30" customHeight="1">
      <x:c r="A4" s="465" t="str">
        <x:v>ID</x:v>
      </x:c>
      <x:c r="B4" s="466" t="str">
        <x:v>Topic</x:v>
      </x:c>
      <x:c r="C4" s="466" t="str">
        <x:v>Purpose</x:v>
      </x:c>
      <x:c r="D4" s="466" t="str">
        <x:v>Partition key</x:v>
      </x:c>
      <x:c r="E4" s="466" t="str">
        <x:v>Retention proposal</x:v>
      </x:c>
      <x:c r="F4" s="466" t="str">
        <x:v>Consumers</x:v>
      </x:c>
      <x:c r="G4" s="466" t="str">
        <x:v>Sensitive-data rule</x:v>
      </x:c>
      <x:c r="H4" s="466" t="str">
        <x:v>Priority</x:v>
      </x:c>
      <x:c r="I4" s="467" t="str">
        <x:v>Status</x:v>
      </x:c>
    </x:row>
    <x:row r="5">
      <x:c r="A5" s="484" t="str">
        <x:v>TOPIC-001</x:v>
      </x:c>
      <x:c r="B5" s="485" t="str">
        <x:v>wi.ingest.batch.accepted.v1</x:v>
      </x:c>
      <x:c r="C5" s="485" t="str">
        <x:v>Accepted batch metadata after signature/schema validation.</x:v>
      </x:c>
      <x:c r="D5" s="485" t="str">
        <x:v>tenant_id + device_id</x:v>
      </x:c>
      <x:c r="E5" s="485" t="str">
        <x:v>7–30 days</x:v>
      </x:c>
      <x:c r="F5" s="485" t="str">
        <x:v>Ingestion, audit, evidence persistors</x:v>
      </x:c>
      <x:c r="G5" s="485" t="str">
        <x:v>No raw object bytes; batch metadata/digests only.</x:v>
      </x:c>
      <x:c r="H5" s="485" t="str">
        <x:v>Critical</x:v>
      </x:c>
      <x:c r="I5" s="486" t="str">
        <x:v>Draft Complete</x:v>
      </x:c>
    </x:row>
    <x:row r="6">
      <x:c r="A6" s="492" t="str">
        <x:v>TOPIC-002</x:v>
      </x:c>
      <x:c r="B6" s="493" t="str">
        <x:v>wi.ingest.batch.rejected.v1</x:v>
      </x:c>
      <x:c r="C6" s="493" t="str">
        <x:v>Rejected/quarantined batch with reason code.</x:v>
      </x:c>
      <x:c r="D6" s="493" t="str">
        <x:v>tenant_id + device_id</x:v>
      </x:c>
      <x:c r="E6" s="493" t="str">
        <x:v>30–90 days</x:v>
      </x:c>
      <x:c r="F6" s="493" t="str">
        <x:v>Security, support, audit</x:v>
      </x:c>
      <x:c r="G6" s="493" t="str">
        <x:v>No raw payload in general topic; restricted quarantine reference.</x:v>
      </x:c>
      <x:c r="H6" s="493" t="str">
        <x:v>High</x:v>
      </x:c>
      <x:c r="I6" s="494" t="str">
        <x:v>Draft Complete</x:v>
      </x:c>
    </x:row>
    <x:row r="7">
      <x:c r="A7" s="487" t="str">
        <x:v>TOPIC-003</x:v>
      </x:c>
      <x:c r="B7" s="114" t="str">
        <x:v>wi.activity.normalized.v1</x:v>
      </x:c>
      <x:c r="C7" s="114" t="str">
        <x:v>Canonical activity events.</x:v>
      </x:c>
      <x:c r="D7" s="114" t="str">
        <x:v>tenant_id + device_id/session_id</x:v>
      </x:c>
      <x:c r="E7" s="114" t="str">
        <x:v>30–90 days hot; replay policy</x:v>
      </x:c>
      <x:c r="F7" s="114" t="str">
        <x:v>Evidence, timeline, Stage 7</x:v>
      </x:c>
      <x:c r="G7" s="114" t="str">
        <x:v>Sensitive content via references only.</x:v>
      </x:c>
      <x:c r="H7" s="114" t="str">
        <x:v>Critical</x:v>
      </x:c>
      <x:c r="I7" s="488" t="str">
        <x:v>Draft Complete</x:v>
      </x:c>
    </x:row>
    <x:row r="8">
      <x:c r="A8" s="492" t="str">
        <x:v>TOPIC-004</x:v>
      </x:c>
      <x:c r="B8" s="493" t="str">
        <x:v>wi.visual.state.created.v1</x:v>
      </x:c>
      <x:c r="C8" s="493" t="str">
        <x:v>Visual-state metadata and object references.</x:v>
      </x:c>
      <x:c r="D8" s="493" t="str">
        <x:v>tenant_id + session_id</x:v>
      </x:c>
      <x:c r="E8" s="493" t="str">
        <x:v>30–90 days</x:v>
      </x:c>
      <x:c r="F8" s="493" t="str">
        <x:v>Visual indexer, evidence store</x:v>
      </x:c>
      <x:c r="G8" s="493" t="str">
        <x:v>No screenshot bytes in Kafka.</x:v>
      </x:c>
      <x:c r="H8" s="493" t="str">
        <x:v>High</x:v>
      </x:c>
      <x:c r="I8" s="494" t="str">
        <x:v>Draft Complete</x:v>
      </x:c>
    </x:row>
    <x:row r="9">
      <x:c r="A9" s="487" t="str">
        <x:v>TOPIC-005</x:v>
      </x:c>
      <x:c r="B9" s="114" t="str">
        <x:v>wi.evidence.object.stored.v1</x:v>
      </x:c>
      <x:c r="C9" s="114" t="str">
        <x:v>Evidence object successfully stored and classified.</x:v>
      </x:c>
      <x:c r="D9" s="114" t="str">
        <x:v>tenant_id + object_id</x:v>
      </x:c>
      <x:c r="E9" s="114" t="str">
        <x:v>90 days</x:v>
      </x:c>
      <x:c r="F9" s="114" t="str">
        <x:v>Evidence, retention, audit</x:v>
      </x:c>
      <x:c r="G9" s="114" t="str">
        <x:v>Hash/classification/retention only.</x:v>
      </x:c>
      <x:c r="H9" s="114" t="str">
        <x:v>High</x:v>
      </x:c>
      <x:c r="I9" s="488" t="str">
        <x:v>Draft Complete</x:v>
      </x:c>
    </x:row>
    <x:row r="10">
      <x:c r="A10" s="492" t="str">
        <x:v>TOPIC-006</x:v>
      </x:c>
      <x:c r="B10" s="493" t="str">
        <x:v>wi.evidence.object.rejected.v1</x:v>
      </x:c>
      <x:c r="C10" s="493" t="str">
        <x:v>Evidence object rejected or quarantined.</x:v>
      </x:c>
      <x:c r="D10" s="493" t="str">
        <x:v>tenant_id + device_id</x:v>
      </x:c>
      <x:c r="E10" s="493" t="str">
        <x:v>90 days</x:v>
      </x:c>
      <x:c r="F10" s="493" t="str">
        <x:v>Security/support</x:v>
      </x:c>
      <x:c r="G10" s="493" t="str">
        <x:v>Restricted quarantine reference.</x:v>
      </x:c>
      <x:c r="H10" s="493" t="str">
        <x:v>High</x:v>
      </x:c>
      <x:c r="I10" s="494" t="str">
        <x:v>Draft Complete</x:v>
      </x:c>
    </x:row>
    <x:row r="11">
      <x:c r="A11" s="487" t="str">
        <x:v>TOPIC-007</x:v>
      </x:c>
      <x:c r="B11" s="114" t="str">
        <x:v>wi.artefact.registered.v1</x:v>
      </x:c>
      <x:c r="C11" s="114" t="str">
        <x:v>Source-system artefact reference registered.</x:v>
      </x:c>
      <x:c r="D11" s="114" t="str">
        <x:v>tenant_id + task_id</x:v>
      </x:c>
      <x:c r="E11" s="114" t="str">
        <x:v>12–24 months</x:v>
      </x:c>
      <x:c r="F11" s="114" t="str">
        <x:v>Task Assurance, Capability</x:v>
      </x:c>
      <x:c r="G11" s="114" t="str">
        <x:v>URI/hash/classification; avoid duplicate content.</x:v>
      </x:c>
      <x:c r="H11" s="114" t="str">
        <x:v>High</x:v>
      </x:c>
      <x:c r="I11" s="488" t="str">
        <x:v>Draft Complete</x:v>
      </x:c>
    </x:row>
    <x:row r="12">
      <x:c r="A12" s="492" t="str">
        <x:v>TOPIC-008</x:v>
      </x:c>
      <x:c r="B12" s="493" t="str">
        <x:v>wi.provenance.edge.created.v1</x:v>
      </x:c>
      <x:c r="C12" s="493" t="str">
        <x:v>Causal/provenance relation created.</x:v>
      </x:c>
      <x:c r="D12" s="493" t="str">
        <x:v>tenant_id + session_id</x:v>
      </x:c>
      <x:c r="E12" s="493" t="str">
        <x:v>12–24 months</x:v>
      </x:c>
      <x:c r="F12" s="493" t="str">
        <x:v>Stage 7 provenance graph</x:v>
      </x:c>
      <x:c r="G12" s="493" t="str">
        <x:v>No unsupported causal assertion; confidence/source included.</x:v>
      </x:c>
      <x:c r="H12" s="493" t="str">
        <x:v>High</x:v>
      </x:c>
      <x:c r="I12" s="494" t="str">
        <x:v>Draft Complete</x:v>
      </x:c>
    </x:row>
    <x:row r="13">
      <x:c r="A13" s="487" t="str">
        <x:v>TOPIC-009</x:v>
      </x:c>
      <x:c r="B13" s="114" t="str">
        <x:v>wi.telemetry.gap.detected.v1</x:v>
      </x:c>
      <x:c r="C13" s="114" t="str">
        <x:v>Sequence/permission/sensor/clock gap.</x:v>
      </x:c>
      <x:c r="D13" s="114" t="str">
        <x:v>tenant_id + device_id/session_id</x:v>
      </x:c>
      <x:c r="E13" s="114" t="str">
        <x:v>12–24 months</x:v>
      </x:c>
      <x:c r="F13" s="114" t="str">
        <x:v>Timeline, Stage 7, support</x:v>
      </x:c>
      <x:c r="G13" s="114" t="str">
        <x:v>Gap reduces completeness confidence.</x:v>
      </x:c>
      <x:c r="H13" s="114" t="str">
        <x:v>Critical</x:v>
      </x:c>
      <x:c r="I13" s="488" t="str">
        <x:v>Draft Complete</x:v>
      </x:c>
    </x:row>
    <x:row r="14">
      <x:c r="A14" s="492" t="str">
        <x:v>TOPIC-010</x:v>
      </x:c>
      <x:c r="B14" s="493" t="str">
        <x:v>wi.device.health.reported.v1</x:v>
      </x:c>
      <x:c r="C14" s="493" t="str">
        <x:v>Operational agent health.</x:v>
      </x:c>
      <x:c r="D14" s="493" t="str">
        <x:v>tenant_id + device_id</x:v>
      </x:c>
      <x:c r="E14" s="493" t="str">
        <x:v>30–90 days</x:v>
      </x:c>
      <x:c r="F14" s="493" t="str">
        <x:v>Device Control/SRE</x:v>
      </x:c>
      <x:c r="G14" s="493" t="str">
        <x:v>No raw evidence.</x:v>
      </x:c>
      <x:c r="H14" s="493" t="str">
        <x:v>Medium</x:v>
      </x:c>
      <x:c r="I14" s="494" t="str">
        <x:v>Draft Complete</x:v>
      </x:c>
    </x:row>
    <x:row r="15">
      <x:c r="A15" s="487" t="str">
        <x:v>TOPIC-011</x:v>
      </x:c>
      <x:c r="B15" s="114" t="str">
        <x:v>wi.retention.action.requested.v1</x:v>
      </x:c>
      <x:c r="C15" s="114" t="str">
        <x:v>TTL/delete/hold/archive action requested.</x:v>
      </x:c>
      <x:c r="D15" s="114" t="str">
        <x:v>tenant_id + object_id/record_id</x:v>
      </x:c>
      <x:c r="E15" s="114" t="str">
        <x:v>24 months audit</x:v>
      </x:c>
      <x:c r="F15" s="114" t="str">
        <x:v>Retention workers</x:v>
      </x:c>
      <x:c r="G15" s="114" t="str">
        <x:v>Purpose/legal-hold authority included.</x:v>
      </x:c>
      <x:c r="H15" s="114" t="str">
        <x:v>High</x:v>
      </x:c>
      <x:c r="I15" s="488" t="str">
        <x:v>Draft Complete</x:v>
      </x:c>
    </x:row>
    <x:row r="16">
      <x:c r="A16" s="492" t="str">
        <x:v>TOPIC-012</x:v>
      </x:c>
      <x:c r="B16" s="493" t="str">
        <x:v>wi.retention.action.completed.v1</x:v>
      </x:c>
      <x:c r="C16" s="493" t="str">
        <x:v>Retention or deletion completed.</x:v>
      </x:c>
      <x:c r="D16" s="493" t="str">
        <x:v>tenant_id + object_id/record_id</x:v>
      </x:c>
      <x:c r="E16" s="493" t="str">
        <x:v>24 months audit</x:v>
      </x:c>
      <x:c r="F16" s="493" t="str">
        <x:v>Audit/governance</x:v>
      </x:c>
      <x:c r="G16" s="493" t="str">
        <x:v>Outcome and verification evidence.</x:v>
      </x:c>
      <x:c r="H16" s="493" t="str">
        <x:v>High</x:v>
      </x:c>
      <x:c r="I16" s="494" t="str">
        <x:v>Draft Complete</x:v>
      </x:c>
    </x:row>
    <x:row r="17">
      <x:c r="A17" s="487" t="str">
        <x:v>TOPIC-013</x:v>
      </x:c>
      <x:c r="B17" s="114" t="str">
        <x:v>wi.access.grant.created.v1</x:v>
      </x:c>
      <x:c r="C17" s="114" t="str">
        <x:v>Purpose-limited evidence access grant issued.</x:v>
      </x:c>
      <x:c r="D17" s="114" t="str">
        <x:v>tenant_id + person/reviewer</x:v>
      </x:c>
      <x:c r="E17" s="114" t="str">
        <x:v>Employment/audit policy</x:v>
      </x:c>
      <x:c r="F17" s="114" t="str">
        <x:v>Access broker/audit</x:v>
      </x:c>
      <x:c r="G17" s="114" t="str">
        <x:v>No raw content; scope/time/reason only.</x:v>
      </x:c>
      <x:c r="H17" s="114" t="str">
        <x:v>Critical</x:v>
      </x:c>
      <x:c r="I17" s="488" t="str">
        <x:v>Draft Complete</x:v>
      </x:c>
    </x:row>
    <x:row r="18">
      <x:c r="A18" s="492" t="str">
        <x:v>TOPIC-014</x:v>
      </x:c>
      <x:c r="B18" s="493" t="str">
        <x:v>wi.access.object.viewed.v1</x:v>
      </x:c>
      <x:c r="C18" s="493" t="str">
        <x:v>Raw evidence object accessed.</x:v>
      </x:c>
      <x:c r="D18" s="493" t="str">
        <x:v>tenant_id + object_id</x:v>
      </x:c>
      <x:c r="E18" s="493" t="str">
        <x:v>Employment/audit policy</x:v>
      </x:c>
      <x:c r="F18" s="493" t="str">
        <x:v>Audit/governance</x:v>
      </x:c>
      <x:c r="G18" s="493" t="str">
        <x:v>Who/why/when/subject/purpose code.</x:v>
      </x:c>
      <x:c r="H18" s="493" t="str">
        <x:v>Critical</x:v>
      </x:c>
      <x:c r="I18" s="494" t="str">
        <x:v>Draft Complete</x:v>
      </x:c>
    </x:row>
    <x:row r="19">
      <x:c r="A19" s="487" t="str">
        <x:v>TOPIC-015</x:v>
      </x:c>
      <x:c r="B19" s="114" t="str">
        <x:v>wi.schema.version.published.v1</x:v>
      </x:c>
      <x:c r="C19" s="114" t="str">
        <x:v>Schema version made available.</x:v>
      </x:c>
      <x:c r="D19" s="114" t="str">
        <x:v>schema_name</x:v>
      </x:c>
      <x:c r="E19" s="114" t="str">
        <x:v>Permanent</x:v>
      </x:c>
      <x:c r="F19" s="114" t="str">
        <x:v>Agent/control/services</x:v>
      </x:c>
      <x:c r="G19" s="114" t="str">
        <x:v>Compatibility metadata.</x:v>
      </x:c>
      <x:c r="H19" s="114" t="str">
        <x:v>Medium</x:v>
      </x:c>
      <x:c r="I19" s="488" t="str">
        <x:v>Draft Complete</x:v>
      </x:c>
    </x:row>
    <x:row r="20">
      <x:c r="A20" s="495" t="str">
        <x:v>TOPIC-016</x:v>
      </x:c>
      <x:c r="B20" s="496" t="str">
        <x:v>wi.deadletter.ingestion.v1</x:v>
      </x:c>
      <x:c r="C20" s="496" t="str">
        <x:v>Operational dead-letter event for unrecoverable processing.</x:v>
      </x:c>
      <x:c r="D20" s="496" t="str">
        <x:v>tenant_id + source topic</x:v>
      </x:c>
      <x:c r="E20" s="496" t="str">
        <x:v>30–90 days</x:v>
      </x:c>
      <x:c r="F20" s="496" t="str">
        <x:v>Data operations</x:v>
      </x:c>
      <x:c r="G20" s="496" t="str">
        <x:v>No raw evidence; reference to restricted record.</x:v>
      </x:c>
      <x:c r="H20" s="496" t="str">
        <x:v>High</x:v>
      </x:c>
      <x:c r="I20" s="49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48" hidden="0" customWidth="1"/>
    <x:col min="5" max="5" width="60" hidden="0" customWidth="1"/>
    <x:col min="6" max="6" width="48" hidden="0" customWidth="1"/>
    <x:col min="7" max="7" width="44" hidden="0" customWidth="1"/>
    <x:col min="8" max="8" width="36" hidden="0" customWidth="1"/>
    <x:col min="9" max="9" width="48" hidden="0" customWidth="1"/>
    <x:col min="10" max="10" width="12" hidden="0" customWidth="1"/>
    <x:col min="11" max="11" width="18" hidden="0" customWidth="1"/>
  </x:cols>
  <x:sheetData>
    <x:row r="1" ht="30" customHeight="1">
      <x:c r="A1" s="449" t="str">
        <x:v>Stage 4 — Evidence Storage Model</x:v>
      </x:c>
      <x:c r="B1" s="449"/>
      <x:c r="C1" s="449"/>
      <x:c r="D1" s="449"/>
      <x:c r="E1" s="449"/>
      <x:c r="F1" s="449"/>
      <x:c r="G1" s="449"/>
      <x:c r="H1" s="449"/>
      <x:c r="I1" s="449"/>
      <x:c r="J1" s="449"/>
      <x:c r="K1" s="449"/>
    </x:row>
    <x:row r="2" ht="36" customHeight="1">
      <x:c r="A2" s="453" t="str">
        <x:v>Logical storage design separating event metadata, evidence objects, artefacts, provenance, replay, retention and access. PostgreSQL remains the initial metadata system of record; S3-compatible object storage holds encrypted content.</x:v>
      </x:c>
      <x:c r="B2" s="453"/>
      <x:c r="C2" s="453"/>
      <x:c r="D2" s="453"/>
      <x:c r="E2" s="453"/>
      <x:c r="F2" s="453"/>
      <x:c r="G2" s="453"/>
      <x:c r="H2" s="453"/>
      <x:c r="I2" s="453"/>
      <x:c r="J2" s="453"/>
      <x:c r="K2" s="453"/>
    </x:row>
    <x:row r="4" ht="30" customHeight="1">
      <x:c r="A4" s="465" t="str">
        <x:v>ID</x:v>
      </x:c>
      <x:c r="B4" s="466" t="str">
        <x:v>Entity / store</x:v>
      </x:c>
      <x:c r="C4" s="466" t="str">
        <x:v>Storage type</x:v>
      </x:c>
      <x:c r="D4" s="466" t="str">
        <x:v>Purpose</x:v>
      </x:c>
      <x:c r="E4" s="466" t="str">
        <x:v>Key fields</x:v>
      </x:c>
      <x:c r="F4" s="466" t="str">
        <x:v>Integrity / uniqueness</x:v>
      </x:c>
      <x:c r="G4" s="466" t="str">
        <x:v>Partition / physical design</x:v>
      </x:c>
      <x:c r="H4" s="466" t="str">
        <x:v>Retention proposal</x:v>
      </x:c>
      <x:c r="I4" s="466" t="str">
        <x:v>Access rule</x:v>
      </x:c>
      <x:c r="J4" s="466" t="str">
        <x:v>Priority</x:v>
      </x:c>
      <x:c r="K4" s="467" t="str">
        <x:v>Status</x:v>
      </x:c>
    </x:row>
    <x:row r="5">
      <x:c r="A5" s="484" t="str">
        <x:v>STORE-001</x:v>
      </x:c>
      <x:c r="B5" s="485" t="str">
        <x:v>event_batches</x:v>
      </x:c>
      <x:c r="C5" s="485" t="str">
        <x:v>PostgreSQL table</x:v>
      </x:c>
      <x:c r="D5" s="485" t="str">
        <x:v>One row per logical uploaded batch and acceptance/rejection state.</x:v>
      </x:c>
      <x:c r="E5" s="485" t="str">
        <x:v>batch_id PK; tenant_id; device_id; agent_instance_id; work_session_id; policy_id/version; sequence_start/end; digest; signature key; status; received_at</x:v>
      </x:c>
      <x:c r="F5" s="485" t="str">
        <x:v>Unique tenant_id+device_id+batch_id; unique accepted sequence range overlap check.</x:v>
      </x:c>
      <x:c r="G5" s="485" t="str">
        <x:v>Range partition by received_at monthly after scale validation; tenant column on every partition.</x:v>
      </x:c>
      <x:c r="H5" s="485" t="str">
        <x:v>Metadata retention 12–24 months proposed; rejected batch metadata 90 days.</x:v>
      </x:c>
      <x:c r="I5" s="485" t="str">
        <x:v>RLS/policy + service roles; raw payload not stored here.</x:v>
      </x:c>
      <x:c r="J5" s="485" t="str">
        <x:v>Critical</x:v>
      </x:c>
      <x:c r="K5" s="486" t="str">
        <x:v>Draft Complete</x:v>
      </x:c>
    </x:row>
    <x:row r="6">
      <x:c r="A6" s="492" t="str">
        <x:v>STORE-002</x:v>
      </x:c>
      <x:c r="B6" s="493" t="str">
        <x:v>activity_events</x:v>
      </x:c>
      <x:c r="C6" s="493" t="str">
        <x:v>PostgreSQL partitioned table</x:v>
      </x:c>
      <x:c r="D6" s="493" t="str">
        <x:v>Canonical normalised device/tool activity metadata.</x:v>
      </x:c>
      <x:c r="E6" s="493" t="str">
        <x:v>event_id PK; batch_id; tenant/device/person/session/task refs; event_type; event_time; ingest_time; local_sequence; actor_origin; payload_ref; privacy_class</x:v>
      </x:c>
      <x:c r="F6" s="493" t="str">
        <x:v>Unique tenant_id+device_id+event_id and tenant_id+device_id+local_sequence.</x:v>
      </x:c>
      <x:c r="G6" s="493" t="str">
        <x:v>Range partition by event_time; optional hash subpartition by tenant only after benchmark.</x:v>
      </x:c>
      <x:c r="H6" s="493" t="str">
        <x:v>Raw metadata 30–90 days hot; derived links longer by purpose.</x:v>
      </x:c>
      <x:c r="I6" s="493" t="str">
        <x:v>RLS; content references only; immutable append except correction metadata.</x:v>
      </x:c>
      <x:c r="J6" s="493" t="str">
        <x:v>Critical</x:v>
      </x:c>
      <x:c r="K6" s="494" t="str">
        <x:v>Draft Complete</x:v>
      </x:c>
    </x:row>
    <x:row r="7">
      <x:c r="A7" s="487" t="str">
        <x:v>STORE-003</x:v>
      </x:c>
      <x:c r="B7" s="114" t="str">
        <x:v>event_payloads</x:v>
      </x:c>
      <x:c r="C7" s="114" t="str">
        <x:v>Object/reference model</x:v>
      </x:c>
      <x:c r="D7" s="114" t="str">
        <x:v>Optional encrypted payload object for larger or sensitive event content.</x:v>
      </x:c>
      <x:c r="E7" s="114" t="str">
        <x:v>object_id; content_hash; media_type; schema_version; encryption_key_ref; size; retention_class</x:v>
      </x:c>
      <x:c r="F7" s="114" t="str">
        <x:v>Hash and manifest match required.</x:v>
      </x:c>
      <x:c r="G7" s="114" t="str">
        <x:v>Object store prefix by region/tenant/date/class.</x:v>
      </x:c>
      <x:c r="H7" s="114" t="str">
        <x:v>Short purpose-based TTL.</x:v>
      </x:c>
      <x:c r="I7" s="114" t="str">
        <x:v>Access Broker only; never generic SQL query.</x:v>
      </x:c>
      <x:c r="J7" s="114" t="str">
        <x:v>High</x:v>
      </x:c>
      <x:c r="K7" s="488" t="str">
        <x:v>Draft Complete</x:v>
      </x:c>
    </x:row>
    <x:row r="8">
      <x:c r="A8" s="492" t="str">
        <x:v>STORE-004</x:v>
      </x:c>
      <x:c r="B8" s="493" t="str">
        <x:v>visual_states</x:v>
      </x:c>
      <x:c r="C8" s="493" t="str">
        <x:v>PostgreSQL table</x:v>
      </x:c>
      <x:c r="D8" s="493" t="str">
        <x:v>Visual-state metadata linking screenshot object, changed regions and UI/OCR references.</x:v>
      </x:c>
      <x:c r="E8" s="493" t="str">
        <x:v>visual_state_id; event_id; screenshot_object_id; previous_state_id; app/window/display; changed_regions_json; ui_tree_ref; ocr_ref; hash; redaction_status</x:v>
      </x:c>
      <x:c r="F8" s="493" t="str">
        <x:v>Unique visual_state_id; object refs must exist/accepted.</x:v>
      </x:c>
      <x:c r="G8" s="493" t="str">
        <x:v>Range partition by event_time.</x:v>
      </x:c>
      <x:c r="H8" s="493" t="str">
        <x:v>7–30 day raw visual state proposal; derived metadata as justified.</x:v>
      </x:c>
      <x:c r="I8" s="493" t="str">
        <x:v>Employee self-access; reviewer access by purpose.</x:v>
      </x:c>
      <x:c r="J8" s="493" t="str">
        <x:v>High</x:v>
      </x:c>
      <x:c r="K8" s="494" t="str">
        <x:v>Draft Complete</x:v>
      </x:c>
    </x:row>
    <x:row r="9">
      <x:c r="A9" s="487" t="str">
        <x:v>STORE-005</x:v>
      </x:c>
      <x:c r="B9" s="114" t="str">
        <x:v>evidence_objects</x:v>
      </x:c>
      <x:c r="C9" s="114" t="str">
        <x:v>PostgreSQL table + S3-compatible object</x:v>
      </x:c>
      <x:c r="D9" s="114" t="str">
        <x:v>Authoritative metadata for each stored evidence object.</x:v>
      </x:c>
      <x:c r="E9" s="114" t="str">
        <x:v>object_id; tenant_id; bucket/key/version; hash; size; content_class; encryption; retention; legal_hold; redaction_lineage; created_at</x:v>
      </x:c>
      <x:c r="F9" s="114" t="str">
        <x:v>Unique tenant+object_id and tenant+hash+classification+version where dedupe allowed.</x:v>
      </x:c>
      <x:c r="G9" s="114" t="str">
        <x:v>Metadata partition by created_at; objects region/tenant/class prefixes.</x:v>
      </x:c>
      <x:c r="H9" s="114" t="str">
        <x:v>Per policy/class; legal hold overrides TTL.</x:v>
      </x:c>
      <x:c r="I9" s="114" t="str">
        <x:v>Object bytes via signed URL/streaming broker only.</x:v>
      </x:c>
      <x:c r="J9" s="114" t="str">
        <x:v>Critical</x:v>
      </x:c>
      <x:c r="K9" s="488" t="str">
        <x:v>Draft Complete</x:v>
      </x:c>
    </x:row>
    <x:row r="10">
      <x:c r="A10" s="492" t="str">
        <x:v>STORE-006</x:v>
      </x:c>
      <x:c r="B10" s="493" t="str">
        <x:v>evidence_object_versions</x:v>
      </x:c>
      <x:c r="C10" s="493" t="str">
        <x:v>PostgreSQL table</x:v>
      </x:c>
      <x:c r="D10" s="493" t="str">
        <x:v>Version history for redaction, correction, derived thumbnail or legal-hold changes.</x:v>
      </x:c>
      <x:c r="E10" s="493" t="str">
        <x:v>version_id; object_id; parent_version; purpose; transform; hash; created_at; superseded_at</x:v>
      </x:c>
      <x:c r="F10" s="493" t="str">
        <x:v>Immutable versions.</x:v>
      </x:c>
      <x:c r="G10" s="493" t="str">
        <x:v>Partition by created_at if needed.</x:v>
      </x:c>
      <x:c r="H10" s="493" t="str">
        <x:v>Same or shorter than parent unless legal purpose.</x:v>
      </x:c>
      <x:c r="I10" s="493" t="str">
        <x:v>No overwrite of prior evidence; new version for corrected/redacted derivative.</x:v>
      </x:c>
      <x:c r="J10" s="493" t="str">
        <x:v>High</x:v>
      </x:c>
      <x:c r="K10" s="494" t="str">
        <x:v>Draft Complete</x:v>
      </x:c>
    </x:row>
    <x:row r="11">
      <x:c r="A11" s="487" t="str">
        <x:v>STORE-007</x:v>
      </x:c>
      <x:c r="B11" s="114" t="str">
        <x:v>artefacts</x:v>
      </x:c>
      <x:c r="C11" s="114" t="str">
        <x:v>PostgreSQL table</x:v>
      </x:c>
      <x:c r="D11" s="114" t="str">
        <x:v>References to Git commits, files, tests, builds, PRs, documents and domain-system outcomes.</x:v>
      </x:c>
      <x:c r="E11" s="114" t="str">
        <x:v>artefact_id; tenant/task/person refs; type; source_system; URI; hash; status; classification; actor/provenance refs</x:v>
      </x:c>
      <x:c r="F11" s="114" t="str">
        <x:v>Source-system ID/hash uniqueness.</x:v>
      </x:c>
      <x:c r="G11" s="114" t="str">
        <x:v>Partition by created_at/task domain as scale requires.</x:v>
      </x:c>
      <x:c r="H11" s="114" t="str">
        <x:v>Project/source-system retention.</x:v>
      </x:c>
      <x:c r="I11" s="114" t="str">
        <x:v>Prefer reference; content access governed by source system.</x:v>
      </x:c>
      <x:c r="J11" s="114" t="str">
        <x:v>High</x:v>
      </x:c>
      <x:c r="K11" s="488" t="str">
        <x:v>Draft Complete</x:v>
      </x:c>
    </x:row>
    <x:row r="12">
      <x:c r="A12" s="492" t="str">
        <x:v>STORE-008</x:v>
      </x:c>
      <x:c r="B12" s="493" t="str">
        <x:v>provenance_edges</x:v>
      </x:c>
      <x:c r="C12" s="493" t="str">
        <x:v>PostgreSQL relational edge table</x:v>
      </x:c>
      <x:c r="D12" s="493" t="str">
        <x:v>Causal or attribution link between events, actors, processes and artefacts.</x:v>
      </x:c>
      <x:c r="E12" s="493" t="str">
        <x:v>edge_id; source_type/id; relationship; target_type/id; confidence; evidence_refs; created_by_rule/model; version</x:v>
      </x:c>
      <x:c r="F12" s="493" t="str">
        <x:v>Unique deterministic edge key where applicable.</x:v>
      </x:c>
      <x:c r="G12" s="493" t="str">
        <x:v>Range partition by created_at; indexes on source/target.</x:v>
      </x:c>
      <x:c r="H12" s="493" t="str">
        <x:v>12–24 months proposed for reviewed edges.</x:v>
      </x:c>
      <x:c r="I12" s="493" t="str">
        <x:v>Model-derived edges flagged and challengeable.</x:v>
      </x:c>
      <x:c r="J12" s="493" t="str">
        <x:v>High</x:v>
      </x:c>
      <x:c r="K12" s="494" t="str">
        <x:v>Draft Complete</x:v>
      </x:c>
    </x:row>
    <x:row r="13">
      <x:c r="A13" s="487" t="str">
        <x:v>STORE-009</x:v>
      </x:c>
      <x:c r="B13" s="114" t="str">
        <x:v>telemetry_gaps</x:v>
      </x:c>
      <x:c r="C13" s="114" t="str">
        <x:v>PostgreSQL table</x:v>
      </x:c>
      <x:c r="D13" s="114" t="str">
        <x:v>Known missing, delayed or unreliable telemetry intervals.</x:v>
      </x:c>
      <x:c r="E13" s="114" t="str">
        <x:v>gap_id; tenant/device/session; start/end; gap_type; affected_sensors; cause; detected_at; resolved_at; confidence_impact</x:v>
      </x:c>
      <x:c r="F13" s="114" t="str">
        <x:v>No overlapping identical unresolved gap.</x:v>
      </x:c>
      <x:c r="G13" s="114" t="str">
        <x:v>Partition by start_at.</x:v>
      </x:c>
      <x:c r="H13" s="114" t="str">
        <x:v>At least as long as affected assessment records.</x:v>
      </x:c>
      <x:c r="I13" s="114" t="str">
        <x:v>Visible to employee/reviewer; reduces timeline confidence.</x:v>
      </x:c>
      <x:c r="J13" s="114" t="str">
        <x:v>Critical</x:v>
      </x:c>
      <x:c r="K13" s="488" t="str">
        <x:v>Draft Complete</x:v>
      </x:c>
    </x:row>
    <x:row r="14">
      <x:c r="A14" s="492" t="str">
        <x:v>STORE-010</x:v>
      </x:c>
      <x:c r="B14" s="493" t="str">
        <x:v>replay_checkpoints</x:v>
      </x:c>
      <x:c r="C14" s="493" t="str">
        <x:v>PostgreSQL table</x:v>
      </x:c>
      <x:c r="D14" s="493" t="str">
        <x:v>Materialised reconstruction progress and consumer replay state.</x:v>
      </x:c>
      <x:c r="E14" s="493" t="str">
        <x:v>checkpoint_id; consumer/read_model; tenant/device/session; sequence; event_time; schema_version; built_at</x:v>
      </x:c>
      <x:c r="F14" s="493" t="str">
        <x:v>Unique per read model/session/version.</x:v>
      </x:c>
      <x:c r="G14" s="493" t="str">
        <x:v>Partition by built_at/read model.</x:v>
      </x:c>
      <x:c r="H14" s="493" t="str">
        <x:v>Operational retention.</x:v>
      </x:c>
      <x:c r="I14" s="493" t="str">
        <x:v>Service-only access.</x:v>
      </x:c>
      <x:c r="J14" s="493" t="str">
        <x:v>Medium</x:v>
      </x:c>
      <x:c r="K14" s="494" t="str">
        <x:v>Draft Complete</x:v>
      </x:c>
    </x:row>
    <x:row r="15">
      <x:c r="A15" s="487" t="str">
        <x:v>STORE-011</x:v>
      </x:c>
      <x:c r="B15" s="114" t="str">
        <x:v>retention_records</x:v>
      </x:c>
      <x:c r="C15" s="114" t="str">
        <x:v>PostgreSQL table</x:v>
      </x:c>
      <x:c r="D15" s="114" t="str">
        <x:v>Purpose/TTL/delete/hold state for every evidence class/object/derived record.</x:v>
      </x:c>
      <x:c r="E15" s="114" t="str">
        <x:v>record_id; subject_type/id; policy_id; retention_class; expires_at; legal_hold; deletion_status; last_action</x:v>
      </x:c>
      <x:c r="F15" s="114" t="str">
        <x:v>One active record per subject/purpose.</x:v>
      </x:c>
      <x:c r="G15" s="114" t="str">
        <x:v>Partition by expires_at.</x:v>
      </x:c>
      <x:c r="H15" s="114" t="str">
        <x:v>Audit retention longer than raw content.</x:v>
      </x:c>
      <x:c r="I15" s="114" t="str">
        <x:v>Governance/retention service only.</x:v>
      </x:c>
      <x:c r="J15" s="114" t="str">
        <x:v>Critical</x:v>
      </x:c>
      <x:c r="K15" s="488" t="str">
        <x:v>Draft Complete</x:v>
      </x:c>
    </x:row>
    <x:row r="16">
      <x:c r="A16" s="492" t="str">
        <x:v>STORE-012</x:v>
      </x:c>
      <x:c r="B16" s="493" t="str">
        <x:v>access_grants</x:v>
      </x:c>
      <x:c r="C16" s="493" t="str">
        <x:v>PostgreSQL table</x:v>
      </x:c>
      <x:c r="D16" s="493" t="str">
        <x:v>Purpose-limited, time-bounded grant to view metadata/raw objects.</x:v>
      </x:c>
      <x:c r="E16" s="493" t="str">
        <x:v>grant_id; tenant; grantee; subject_person; task/project; evidence_scope; purpose_code; approved_by; starts/expires; status</x:v>
      </x:c>
      <x:c r="F16" s="493" t="str">
        <x:v>No overlapping broad grant without approval.</x:v>
      </x:c>
      <x:c r="G16" s="493" t="str">
        <x:v>Partition by created_at/expiry.</x:v>
      </x:c>
      <x:c r="H16" s="493" t="str">
        <x:v>Employment/audit policy.</x:v>
      </x:c>
      <x:c r="I16" s="493" t="str">
        <x:v>RLS plus HumanOS policy; default deny.</x:v>
      </x:c>
      <x:c r="J16" s="493" t="str">
        <x:v>Critical</x:v>
      </x:c>
      <x:c r="K16" s="494" t="str">
        <x:v>Draft Complete</x:v>
      </x:c>
    </x:row>
    <x:row r="17">
      <x:c r="A17" s="487" t="str">
        <x:v>STORE-013</x:v>
      </x:c>
      <x:c r="B17" s="114" t="str">
        <x:v>evidence_access_log</x:v>
      </x:c>
      <x:c r="C17" s="114" t="str">
        <x:v>Append-only audit</x:v>
      </x:c>
      <x:c r="D17" s="114" t="str">
        <x:v>Records every raw evidence request/view/export and decision.</x:v>
      </x:c>
      <x:c r="E17" s="114" t="str">
        <x:v>access_event_id; grant_id; user/service; subject; object/event; purpose; decision; timestamp; IP/device; reason</x:v>
      </x:c>
      <x:c r="F17" s="114" t="str">
        <x:v>Append only; correlation ID required.</x:v>
      </x:c>
      <x:c r="G17" s="114" t="str">
        <x:v>Audit platform partitioning.</x:v>
      </x:c>
      <x:c r="H17" s="114" t="str">
        <x:v>Longer audit retention.</x:v>
      </x:c>
      <x:c r="I17" s="114" t="str">
        <x:v>Restricted governance access.</x:v>
      </x:c>
      <x:c r="J17" s="114" t="str">
        <x:v>Critical</x:v>
      </x:c>
      <x:c r="K17" s="488" t="str">
        <x:v>Draft Complete</x:v>
      </x:c>
    </x:row>
    <x:row r="18">
      <x:c r="A18" s="492" t="str">
        <x:v>STORE-014</x:v>
      </x:c>
      <x:c r="B18" s="493" t="str">
        <x:v>schema_versions</x:v>
      </x:c>
      <x:c r="C18" s="493" t="str">
        <x:v>Registry metadata</x:v>
      </x:c>
      <x:c r="D18" s="493" t="str">
        <x:v>Schema name/version/compatibility/status and generated-client lineage.</x:v>
      </x:c>
      <x:c r="E18" s="493" t="str">
        <x:v>schema_name; version; format; digest; compatibility_mode; status; published_at</x:v>
      </x:c>
      <x:c r="F18" s="493" t="str">
        <x:v>Unique schema+version.</x:v>
      </x:c>
      <x:c r="G18" s="493" t="str">
        <x:v>Registry-managed.</x:v>
      </x:c>
      <x:c r="H18" s="493" t="str">
        <x:v>Permanent while data exists.</x:v>
      </x:c>
      <x:c r="I18" s="493" t="str">
        <x:v>Schema admins only.</x:v>
      </x:c>
      <x:c r="J18" s="493" t="str">
        <x:v>High</x:v>
      </x:c>
      <x:c r="K18" s="494" t="str">
        <x:v>Draft Complete</x:v>
      </x:c>
    </x:row>
    <x:row r="19">
      <x:c r="A19" s="487" t="str">
        <x:v>STORE-015</x:v>
      </x:c>
      <x:c r="B19" s="114" t="str">
        <x:v>quarantine_records</x:v>
      </x:c>
      <x:c r="C19" s="114" t="str">
        <x:v>Restricted metadata + object area</x:v>
      </x:c>
      <x:c r="D19" s="114" t="str">
        <x:v>Suspicious/malformed batches or objects pending security/data review.</x:v>
      </x:c>
      <x:c r="E19" s="114" t="str">
        <x:v>quarantine_id; source; reason; restricted_object_ref; created_at; owner; resolution</x:v>
      </x:c>
      <x:c r="F19" s="114" t="str">
        <x:v>Restricted references only.</x:v>
      </x:c>
      <x:c r="G19" s="114" t="str">
        <x:v>Separate restricted partition/bucket.</x:v>
      </x:c>
      <x:c r="H19" s="114" t="str">
        <x:v>Short incident-policy TTL or legal hold.</x:v>
      </x:c>
      <x:c r="I19" s="114" t="str">
        <x:v>Security responders only.</x:v>
      </x:c>
      <x:c r="J19" s="114" t="str">
        <x:v>High</x:v>
      </x:c>
      <x:c r="K19" s="488" t="str">
        <x:v>Draft Complete</x:v>
      </x:c>
    </x:row>
    <x:row r="20">
      <x:c r="A20" s="492" t="str">
        <x:v>STORE-016</x:v>
      </x:c>
      <x:c r="B20" s="493" t="str">
        <x:v>object prefix model</x:v>
      </x:c>
      <x:c r="C20" s="493" t="str">
        <x:v>S3-compatible namespace</x:v>
      </x:c>
      <x:c r="D20" s="493" t="str">
        <x:v>Region/tenant/data-class/year/month/object-id structure.</x:v>
      </x:c>
      <x:c r="E20" s="493" t="str">
        <x:v>region/{tenant}/{data_class}/{yyyy}/{mm}/{object_id}/{version}</x:v>
      </x:c>
      <x:c r="F20" s="493" t="str">
        <x:v>No person names or task titles in object keys.</x:v>
      </x:c>
      <x:c r="G20" s="493" t="str">
        <x:v>Regional buckets with versioning.</x:v>
      </x:c>
      <x:c r="H20" s="493" t="str">
        <x:v>Lifecycle per class; Object Lock only when legally justified.</x:v>
      </x:c>
      <x:c r="I20" s="493" t="str">
        <x:v>Bucket policy + Access Broker.</x:v>
      </x:c>
      <x:c r="J20" s="493" t="str">
        <x:v>High</x:v>
      </x:c>
      <x:c r="K20" s="494" t="str">
        <x:v>Draft Complete</x:v>
      </x:c>
    </x:row>
    <x:row r="21">
      <x:c r="A21" s="487" t="str">
        <x:v>STORE-017</x:v>
      </x:c>
      <x:c r="B21" s="114" t="str">
        <x:v>encryption model</x:v>
      </x:c>
      <x:c r="C21" s="114" t="str">
        <x:v>KMS/HSM envelope encryption</x:v>
      </x:c>
      <x:c r="D21" s="114" t="str">
        <x:v>Tenant-scoped key hierarchy with object/session data keys.</x:v>
      </x:c>
      <x:c r="E21" s="114" t="str">
        <x:v>KMS key ref; encrypted data key; algorithm; rotation version</x:v>
      </x:c>
      <x:c r="F21" s="114" t="str">
        <x:v>Keys never stored plaintext; rotation metadata retained.</x:v>
      </x:c>
      <x:c r="G21" s="114" t="str">
        <x:v>Region/tenant key scope.</x:v>
      </x:c>
      <x:c r="H21" s="114" t="str">
        <x:v>Keys retained only as required to decrypt permitted evidence.</x:v>
      </x:c>
      <x:c r="I21" s="114" t="str">
        <x:v>Secrets/KMS service only.</x:v>
      </x:c>
      <x:c r="J21" s="114" t="str">
        <x:v>Critical</x:v>
      </x:c>
      <x:c r="K21" s="488" t="str">
        <x:v>Draft Complete</x:v>
      </x:c>
    </x:row>
    <x:row r="22">
      <x:c r="A22" s="495" t="str">
        <x:v>STORE-018</x:v>
      </x:c>
      <x:c r="B22" s="496" t="str">
        <x:v>search/index model</x:v>
      </x:c>
      <x:c r="C22" s="496" t="str">
        <x:v>PostgreSQL indexes + optional search service</x:v>
      </x:c>
      <x:c r="D22" s="496" t="str">
        <x:v>Search approved metadata and derived summaries without copying raw content.</x:v>
      </x:c>
      <x:c r="E22" s="496" t="str">
        <x:v>BTREE/GIN/trigram; optional OpenSearch/pgvector later</x:v>
      </x:c>
      <x:c r="F22" s="496" t="str">
        <x:v>Index only approved attributes; no raw keystroke/screenshot embeddings by default.</x:v>
      </x:c>
      <x:c r="G22" s="496" t="str">
        <x:v>Tenant/index segregation.</x:v>
      </x:c>
      <x:c r="H22" s="496" t="str">
        <x:v>Aligned to source retention.</x:v>
      </x:c>
      <x:c r="I22" s="496" t="str">
        <x:v>Policy-filtered queries.</x:v>
      </x:c>
      <x:c r="J22" s="496" t="str">
        <x:v>Medium</x:v>
      </x:c>
      <x:c r="K22" s="497" t="str">
        <x:v>Draft Complete</x:v>
      </x:c>
    </x:row>
  </x:sheetData>
  <x:mergeCells>
    <x:mergeCell ref="A1:K1"/>
    <x:mergeCell ref="A2:K2"/>
  </x:mergeCells>
  <x:dataValidations count="2">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14" hidden="0" customWidth="1"/>
    <x:col min="2" max="2" width="40" hidden="0" customWidth="1"/>
    <x:col min="3" max="3" width="48" hidden="0" customWidth="1"/>
    <x:col min="4" max="4" width="26" hidden="0" customWidth="1"/>
    <x:col min="5" max="5" width="28" hidden="0" customWidth="1"/>
    <x:col min="6" max="6" width="38" hidden="0" customWidth="1"/>
    <x:col min="7" max="7" width="38" hidden="0" customWidth="1"/>
    <x:col min="8" max="8" width="54" hidden="0" customWidth="1"/>
    <x:col min="9" max="9" width="12" hidden="0" customWidth="1"/>
    <x:col min="10" max="10" width="18" hidden="0" customWidth="1"/>
  </x:cols>
  <x:sheetData>
    <x:row r="1" ht="30" customHeight="1">
      <x:c r="A1" s="449" t="str">
        <x:v>Stage 4 — Ingestion, Evidence, Replay and Access APIs</x:v>
      </x:c>
      <x:c r="B1" s="449"/>
      <x:c r="C1" s="449"/>
      <x:c r="D1" s="449"/>
      <x:c r="E1" s="449"/>
      <x:c r="F1" s="449"/>
      <x:c r="G1" s="449"/>
      <x:c r="H1" s="449"/>
      <x:c r="I1" s="449"/>
      <x:c r="J1" s="449"/>
    </x:row>
    <x:row r="2" ht="36" customHeight="1">
      <x:c r="A2" s="453" t="str">
        <x:v>Java/Spring APIs for signed batch ingestion, evidence object intake, replay/timeline, access grants, corrections, retention and quarantine.</x:v>
      </x:c>
      <x:c r="B2" s="453"/>
      <x:c r="C2" s="453"/>
      <x:c r="D2" s="453"/>
      <x:c r="E2" s="453"/>
      <x:c r="F2" s="453"/>
      <x:c r="G2" s="453"/>
      <x:c r="H2" s="453"/>
      <x:c r="I2" s="453"/>
      <x:c r="J2" s="453"/>
    </x:row>
    <x:row r="4" ht="30" customHeight="1">
      <x:c r="A4" s="465" t="str">
        <x:v>ID</x:v>
      </x:c>
      <x:c r="B4" s="466" t="str">
        <x:v>Endpoint</x:v>
      </x:c>
      <x:c r="C4" s="466" t="str">
        <x:v>Purpose</x:v>
      </x:c>
      <x:c r="D4" s="466" t="str">
        <x:v>Caller</x:v>
      </x:c>
      <x:c r="E4" s="466" t="str">
        <x:v>Owning service</x:v>
      </x:c>
      <x:c r="F4" s="466" t="str">
        <x:v>Input</x:v>
      </x:c>
      <x:c r="G4" s="466" t="str">
        <x:v>Output</x:v>
      </x:c>
      <x:c r="H4" s="466" t="str">
        <x:v>Security / governance</x:v>
      </x:c>
      <x:c r="I4" s="466" t="str">
        <x:v>Priority</x:v>
      </x:c>
      <x:c r="J4" s="467" t="str">
        <x:v>Status</x:v>
      </x:c>
    </x:row>
    <x:row r="5">
      <x:c r="A5" s="484" t="str">
        <x:v>S4-API-001</x:v>
      </x:c>
      <x:c r="B5" s="485" t="str">
        <x:v>POST /wi/v1/ingest/batches</x:v>
      </x:c>
      <x:c r="C5" s="485" t="str">
        <x:v>Submit signed metadata/event batch.</x:v>
      </x:c>
      <x:c r="D5" s="485" t="str">
        <x:v>Device Agent</x:v>
      </x:c>
      <x:c r="E5" s="485" t="str">
        <x:v>Telemetry Ingestion</x:v>
      </x:c>
      <x:c r="F5" s="485" t="str">
        <x:v>SignedBatchEnvelope</x:v>
      </x:c>
      <x:c r="G5" s="485" t="str">
        <x:v>202 accepted + deterministic receipt; 409 duplicate-conflict; 4xx rejection</x:v>
      </x:c>
      <x:c r="H5" s="485" t="str">
        <x:v>mTLS; device cert; size/rate limit; signature before processing.</x:v>
      </x:c>
      <x:c r="I5" s="485" t="str">
        <x:v>Critical</x:v>
      </x:c>
      <x:c r="J5" s="486" t="str">
        <x:v>Draft Complete</x:v>
      </x:c>
    </x:row>
    <x:row r="6">
      <x:c r="A6" s="492" t="str">
        <x:v>S4-API-002</x:v>
      </x:c>
      <x:c r="B6" s="493" t="str">
        <x:v>GET /wi/v1/ingest/batches/{batchId}/receipt</x:v>
      </x:c>
      <x:c r="C6" s="493" t="str">
        <x:v>Retrieve acceptance/rejection receipt.</x:v>
      </x:c>
      <x:c r="D6" s="493" t="str">
        <x:v>Device Agent/Support</x:v>
      </x:c>
      <x:c r="E6" s="493" t="str">
        <x:v>Telemetry Ingestion</x:v>
      </x:c>
      <x:c r="F6" s="493" t="str">
        <x:v>batchId + device context</x:v>
      </x:c>
      <x:c r="G6" s="493" t="str">
        <x:v>BatchReceipt</x:v>
      </x:c>
      <x:c r="H6" s="493" t="str">
        <x:v>mTLS/device scope; no raw payload.</x:v>
      </x:c>
      <x:c r="I6" s="493" t="str">
        <x:v>High</x:v>
      </x:c>
      <x:c r="J6" s="494" t="str">
        <x:v>Draft Complete</x:v>
      </x:c>
    </x:row>
    <x:row r="7">
      <x:c r="A7" s="487" t="str">
        <x:v>S4-API-003</x:v>
      </x:c>
      <x:c r="B7" s="114" t="str">
        <x:v>POST /wi/v1/evidence/objects/initiate</x:v>
      </x:c>
      <x:c r="C7" s="114" t="str">
        <x:v>Create approved object-upload session.</x:v>
      </x:c>
      <x:c r="D7" s="114" t="str">
        <x:v>Device Agent</x:v>
      </x:c>
      <x:c r="E7" s="114" t="str">
        <x:v>Evidence Object Gateway</x:v>
      </x:c>
      <x:c r="F7" s="114" t="str">
        <x:v>ObjectManifest</x:v>
      </x:c>
      <x:c r="G7" s="114" t="str">
        <x:v>Upload session/pre-signed target</x:v>
      </x:c>
      <x:c r="H7" s="114" t="str">
        <x:v>Policy/class/retention/hash validated first.</x:v>
      </x:c>
      <x:c r="I7" s="114" t="str">
        <x:v>Critical</x:v>
      </x:c>
      <x:c r="J7" s="488" t="str">
        <x:v>Draft Complete</x:v>
      </x:c>
    </x:row>
    <x:row r="8">
      <x:c r="A8" s="492" t="str">
        <x:v>S4-API-004</x:v>
      </x:c>
      <x:c r="B8" s="493" t="str">
        <x:v>POST /wi/v1/evidence/objects/{objectId}/complete</x:v>
      </x:c>
      <x:c r="C8" s="493" t="str">
        <x:v>Confirm uploaded object and verify hash/metadata.</x:v>
      </x:c>
      <x:c r="D8" s="493" t="str">
        <x:v>Device Agent</x:v>
      </x:c>
      <x:c r="E8" s="493" t="str">
        <x:v>Evidence Object Gateway</x:v>
      </x:c>
      <x:c r="F8" s="493" t="str">
        <x:v>Object completion proof</x:v>
      </x:c>
      <x:c r="G8" s="493" t="str">
        <x:v>Stored/rejected status</x:v>
      </x:c>
      <x:c r="H8" s="493" t="str">
        <x:v>Server-side checksum/classification validation.</x:v>
      </x:c>
      <x:c r="I8" s="493" t="str">
        <x:v>Critical</x:v>
      </x:c>
      <x:c r="J8" s="494" t="str">
        <x:v>Draft Complete</x:v>
      </x:c>
    </x:row>
    <x:row r="9">
      <x:c r="A9" s="487" t="str">
        <x:v>S4-API-005</x:v>
      </x:c>
      <x:c r="B9" s="114" t="str">
        <x:v>GET /wi/v1/timelines/sessions/{sessionId}</x:v>
      </x:c>
      <x:c r="C9" s="114" t="str">
        <x:v>Retrieve policy-filtered session timeline.</x:v>
      </x:c>
      <x:c r="D9" s="114" t="str">
        <x:v>Employee/Reviewer/Stage 7</x:v>
      </x:c>
      <x:c r="E9" s="114" t="str">
        <x:v>Replay Service</x:v>
      </x:c>
      <x:c r="F9" s="114" t="str">
        <x:v>sessionId, cursor, filters</x:v>
      </x:c>
      <x:c r="G9" s="114" t="str">
        <x:v>Ordered events/episodes/gaps/refs</x:v>
      </x:c>
      <x:c r="H9" s="114" t="str">
        <x:v>Employee self-access or purpose-limited grant.</x:v>
      </x:c>
      <x:c r="I9" s="114" t="str">
        <x:v>Critical</x:v>
      </x:c>
      <x:c r="J9" s="488" t="str">
        <x:v>Draft Complete</x:v>
      </x:c>
    </x:row>
    <x:row r="10">
      <x:c r="A10" s="492" t="str">
        <x:v>S4-API-006</x:v>
      </x:c>
      <x:c r="B10" s="493" t="str">
        <x:v>GET /wi/v1/timelines/tasks/{taskId}</x:v>
      </x:c>
      <x:c r="C10" s="493" t="str">
        <x:v>Retrieve task-scoped evidence timeline.</x:v>
      </x:c>
      <x:c r="D10" s="493" t="str">
        <x:v>Employee/Reviewer/Stage 7</x:v>
      </x:c>
      <x:c r="E10" s="493" t="str">
        <x:v>Replay Service</x:v>
      </x:c>
      <x:c r="F10" s="493" t="str">
        <x:v>taskId, contract version, filters</x:v>
      </x:c>
      <x:c r="G10" s="493" t="str">
        <x:v>Task timeline and gap indicators</x:v>
      </x:c>
      <x:c r="H10" s="493" t="str">
        <x:v>Task scope required; raw objects not embedded.</x:v>
      </x:c>
      <x:c r="I10" s="493" t="str">
        <x:v>Critical</x:v>
      </x:c>
      <x:c r="J10" s="494" t="str">
        <x:v>Draft Complete</x:v>
      </x:c>
    </x:row>
    <x:row r="11">
      <x:c r="A11" s="487" t="str">
        <x:v>S4-API-007</x:v>
      </x:c>
      <x:c r="B11" s="114" t="str">
        <x:v>GET /wi/v1/evidence/events/{eventId}</x:v>
      </x:c>
      <x:c r="C11" s="114" t="str">
        <x:v>Get event metadata and evidence references.</x:v>
      </x:c>
      <x:c r="D11" s="114" t="str">
        <x:v>Employee/Reviewer/Services</x:v>
      </x:c>
      <x:c r="E11" s="114" t="str">
        <x:v>Evidence Service</x:v>
      </x:c>
      <x:c r="F11" s="114" t="str">
        <x:v>eventId</x:v>
      </x:c>
      <x:c r="G11" s="114" t="str">
        <x:v>Event metadata</x:v>
      </x:c>
      <x:c r="H11" s="114" t="str">
        <x:v>Policy checks and evidence classification.</x:v>
      </x:c>
      <x:c r="I11" s="114" t="str">
        <x:v>High</x:v>
      </x:c>
      <x:c r="J11" s="488" t="str">
        <x:v>Draft Complete</x:v>
      </x:c>
    </x:row>
    <x:row r="12">
      <x:c r="A12" s="492" t="str">
        <x:v>S4-API-008</x:v>
      </x:c>
      <x:c r="B12" s="493" t="str">
        <x:v>GET /wi/v1/evidence/objects/{objectId}/access</x:v>
      </x:c>
      <x:c r="C12" s="493" t="str">
        <x:v>Request time-limited raw evidence access.</x:v>
      </x:c>
      <x:c r="D12" s="493" t="str">
        <x:v>Employee/Reviewer</x:v>
      </x:c>
      <x:c r="E12" s="493" t="str">
        <x:v>Evidence Access Broker</x:v>
      </x:c>
      <x:c r="F12" s="493" t="str">
        <x:v>objectId, purpose code, review/case ID</x:v>
      </x:c>
      <x:c r="G12" s="493" t="str">
        <x:v>Signed URL/stream or deny</x:v>
      </x:c>
      <x:c r="H12" s="493" t="str">
        <x:v>Default deny; audit every decision and view.</x:v>
      </x:c>
      <x:c r="I12" s="493" t="str">
        <x:v>Critical</x:v>
      </x:c>
      <x:c r="J12" s="494" t="str">
        <x:v>Draft Complete</x:v>
      </x:c>
    </x:row>
    <x:row r="13">
      <x:c r="A13" s="487" t="str">
        <x:v>S4-API-009</x:v>
      </x:c>
      <x:c r="B13" s="114" t="str">
        <x:v>POST /wi/v1/access-grants</x:v>
      </x:c>
      <x:c r="C13" s="114" t="str">
        <x:v>Create scoped evidence access grant.</x:v>
      </x:c>
      <x:c r="D13" s="114" t="str">
        <x:v>Governance/Workflow</x:v>
      </x:c>
      <x:c r="E13" s="114" t="str">
        <x:v>Evidence Access Broker</x:v>
      </x:c>
      <x:c r="F13" s="114" t="str">
        <x:v>GrantRequest</x:v>
      </x:c>
      <x:c r="G13" s="114" t="str">
        <x:v>Grant record</x:v>
      </x:c>
      <x:c r="H13" s="114" t="str">
        <x:v>HumanOS policy and approval workflow.</x:v>
      </x:c>
      <x:c r="I13" s="114" t="str">
        <x:v>Critical</x:v>
      </x:c>
      <x:c r="J13" s="488" t="str">
        <x:v>Draft Complete</x:v>
      </x:c>
    </x:row>
    <x:row r="14">
      <x:c r="A14" s="492" t="str">
        <x:v>S4-API-010</x:v>
      </x:c>
      <x:c r="B14" s="493" t="str">
        <x:v>DELETE /wi/v1/access-grants/{grantId}</x:v>
      </x:c>
      <x:c r="C14" s="493" t="str">
        <x:v>Revoke access grant.</x:v>
      </x:c>
      <x:c r="D14" s="493" t="str">
        <x:v>Governance/Security</x:v>
      </x:c>
      <x:c r="E14" s="493" t="str">
        <x:v>Evidence Access Broker</x:v>
      </x:c>
      <x:c r="F14" s="493" t="str">
        <x:v>grantId + reason</x:v>
      </x:c>
      <x:c r="G14" s="493" t="str">
        <x:v>Revocation status</x:v>
      </x:c>
      <x:c r="H14" s="493" t="str">
        <x:v>Immediate revocation and audit.</x:v>
      </x:c>
      <x:c r="I14" s="493" t="str">
        <x:v>High</x:v>
      </x:c>
      <x:c r="J14" s="494" t="str">
        <x:v>Draft Complete</x:v>
      </x:c>
    </x:row>
    <x:row r="15">
      <x:c r="A15" s="487" t="str">
        <x:v>S4-API-011</x:v>
      </x:c>
      <x:c r="B15" s="114" t="str">
        <x:v>POST /wi/v1/retention/actions</x:v>
      </x:c>
      <x:c r="C15" s="114" t="str">
        <x:v>Request delete/hold/release/archive action.</x:v>
      </x:c>
      <x:c r="D15" s="114" t="str">
        <x:v>DPO/Governance/Workflow</x:v>
      </x:c>
      <x:c r="E15" s="114" t="str">
        <x:v>Retention Orchestrator</x:v>
      </x:c>
      <x:c r="F15" s="114" t="str">
        <x:v>RetentionActionRequest</x:v>
      </x:c>
      <x:c r="G15" s="114" t="str">
        <x:v>Action workflow/status</x:v>
      </x:c>
      <x:c r="H15" s="114" t="str">
        <x:v>Authority and policy purpose required.</x:v>
      </x:c>
      <x:c r="I15" s="114" t="str">
        <x:v>Critical</x:v>
      </x:c>
      <x:c r="J15" s="488" t="str">
        <x:v>Draft Complete</x:v>
      </x:c>
    </x:row>
    <x:row r="16">
      <x:c r="A16" s="492" t="str">
        <x:v>S4-API-012</x:v>
      </x:c>
      <x:c r="B16" s="493" t="str">
        <x:v>GET /wi/v1/retention/{subjectType}/{subjectId}</x:v>
      </x:c>
      <x:c r="C16" s="493" t="str">
        <x:v>Retrieve retention/hold state.</x:v>
      </x:c>
      <x:c r="D16" s="493" t="str">
        <x:v>Employee/Governance/Services</x:v>
      </x:c>
      <x:c r="E16" s="493" t="str">
        <x:v>Retention Orchestrator</x:v>
      </x:c>
      <x:c r="F16" s="493" t="str">
        <x:v>Subject ref</x:v>
      </x:c>
      <x:c r="G16" s="493" t="str">
        <x:v>Retention record</x:v>
      </x:c>
      <x:c r="H16" s="493" t="str">
        <x:v>Policy-filtered; employee gets own applicable state.</x:v>
      </x:c>
      <x:c r="I16" s="493" t="str">
        <x:v>High</x:v>
      </x:c>
      <x:c r="J16" s="494" t="str">
        <x:v>Draft Complete</x:v>
      </x:c>
    </x:row>
    <x:row r="17">
      <x:c r="A17" s="487" t="str">
        <x:v>S4-API-013</x:v>
      </x:c>
      <x:c r="B17" s="114" t="str">
        <x:v>POST /wi/v1/replay/jobs</x:v>
      </x:c>
      <x:c r="C17" s="114" t="str">
        <x:v>Start deterministic replay/read-model rebuild.</x:v>
      </x:c>
      <x:c r="D17" s="114" t="str">
        <x:v>Data Operations</x:v>
      </x:c>
      <x:c r="E17" s="114" t="str">
        <x:v>Replay Service</x:v>
      </x:c>
      <x:c r="F17" s="114" t="str">
        <x:v>ReplayJobRequest</x:v>
      </x:c>
      <x:c r="G17" s="114" t="str">
        <x:v>Job ID/status</x:v>
      </x:c>
      <x:c r="H17" s="114" t="str">
        <x:v>Restricted service/admin access; immutable source events.</x:v>
      </x:c>
      <x:c r="I17" s="114" t="str">
        <x:v>High</x:v>
      </x:c>
      <x:c r="J17" s="488" t="str">
        <x:v>Draft Complete</x:v>
      </x:c>
    </x:row>
    <x:row r="18">
      <x:c r="A18" s="492" t="str">
        <x:v>S4-API-014</x:v>
      </x:c>
      <x:c r="B18" s="493" t="str">
        <x:v>GET /wi/v1/replay/jobs/{jobId}</x:v>
      </x:c>
      <x:c r="C18" s="493" t="str">
        <x:v>Get replay job state and discrepancies.</x:v>
      </x:c>
      <x:c r="D18" s="493" t="str">
        <x:v>Data Operations</x:v>
      </x:c>
      <x:c r="E18" s="493" t="str">
        <x:v>Replay Service</x:v>
      </x:c>
      <x:c r="F18" s="493" t="str">
        <x:v>jobId</x:v>
      </x:c>
      <x:c r="G18" s="493" t="str">
        <x:v>Replay result/gap report</x:v>
      </x:c>
      <x:c r="H18" s="493" t="str">
        <x:v>No raw evidence in logs.</x:v>
      </x:c>
      <x:c r="I18" s="493" t="str">
        <x:v>Medium</x:v>
      </x:c>
      <x:c r="J18" s="494" t="str">
        <x:v>Draft Complete</x:v>
      </x:c>
    </x:row>
    <x:row r="19">
      <x:c r="A19" s="487" t="str">
        <x:v>S4-API-015</x:v>
      </x:c>
      <x:c r="B19" s="114" t="str">
        <x:v>POST /wi/v1/corrections/event-context</x:v>
      </x:c>
      <x:c r="C19" s="114" t="str">
        <x:v>Record employee/reviewer correction to task/context metadata without deleting original.</x:v>
      </x:c>
      <x:c r="D19" s="114" t="str">
        <x:v>Employee/Governance</x:v>
      </x:c>
      <x:c r="E19" s="114" t="str">
        <x:v>Evidence Service</x:v>
      </x:c>
      <x:c r="F19" s="114" t="str">
        <x:v>CorrectionRequest + evidence/reason</x:v>
      </x:c>
      <x:c r="G19" s="114" t="str">
        <x:v>Correction version</x:v>
      </x:c>
      <x:c r="H19" s="114" t="str">
        <x:v>Preserve original and review lineage.</x:v>
      </x:c>
      <x:c r="I19" s="114" t="str">
        <x:v>Critical</x:v>
      </x:c>
      <x:c r="J19" s="488" t="str">
        <x:v>Draft Complete</x:v>
      </x:c>
    </x:row>
    <x:row r="20">
      <x:c r="A20" s="492" t="str">
        <x:v>S4-API-016</x:v>
      </x:c>
      <x:c r="B20" s="493" t="str">
        <x:v>GET /wi/v1/schemas/{name}/{version}</x:v>
      </x:c>
      <x:c r="C20" s="493" t="str">
        <x:v>Fetch approved event schema.</x:v>
      </x:c>
      <x:c r="D20" s="493" t="str">
        <x:v>Agent/Services</x:v>
      </x:c>
      <x:c r="E20" s="493" t="str">
        <x:v>Schema Registry Gateway</x:v>
      </x:c>
      <x:c r="F20" s="493" t="str">
        <x:v>schema name/version</x:v>
      </x:c>
      <x:c r="G20" s="493" t="str">
        <x:v>Schema document/digest</x:v>
      </x:c>
      <x:c r="H20" s="493" t="str">
        <x:v>Public to authenticated platform components; signed/digested.</x:v>
      </x:c>
      <x:c r="I20" s="493" t="str">
        <x:v>High</x:v>
      </x:c>
      <x:c r="J20" s="494" t="str">
        <x:v>Draft Complete</x:v>
      </x:c>
    </x:row>
    <x:row r="21">
      <x:c r="A21" s="487" t="str">
        <x:v>S4-API-017</x:v>
      </x:c>
      <x:c r="B21" s="114" t="str">
        <x:v>POST /wi/v1/quarantine/{id}/resolve</x:v>
      </x:c>
      <x:c r="C21" s="114" t="str">
        <x:v>Resolve quarantined batch/object.</x:v>
      </x:c>
      <x:c r="D21" s="114" t="str">
        <x:v>Security/Data Responder</x:v>
      </x:c>
      <x:c r="E21" s="114" t="str">
        <x:v>Quarantine Service</x:v>
      </x:c>
      <x:c r="F21" s="114" t="str">
        <x:v>Resolution reason/action</x:v>
      </x:c>
      <x:c r="G21" s="114" t="str">
        <x:v>Resolved status</x:v>
      </x:c>
      <x:c r="H21" s="114" t="str">
        <x:v>Restricted role and audit.</x:v>
      </x:c>
      <x:c r="I21" s="114" t="str">
        <x:v>High</x:v>
      </x:c>
      <x:c r="J21" s="488" t="str">
        <x:v>Draft Complete</x:v>
      </x:c>
    </x:row>
    <x:row r="22">
      <x:c r="A22" s="495" t="str">
        <x:v>S4-API-018</x:v>
      </x:c>
      <x:c r="B22" s="496" t="str">
        <x:v>GET /wi/v1/evidence/completeness/{sessionId}</x:v>
      </x:c>
      <x:c r="C22" s="496" t="str">
        <x:v>Return known telemetry gaps and completeness indicators.</x:v>
      </x:c>
      <x:c r="D22" s="496" t="str">
        <x:v>Employee/Reviewer/Stage 7</x:v>
      </x:c>
      <x:c r="E22" s="496" t="str">
        <x:v>Replay Service</x:v>
      </x:c>
      <x:c r="F22" s="496" t="str">
        <x:v>sessionId</x:v>
      </x:c>
      <x:c r="G22" s="496" t="str">
        <x:v>Completeness summary</x:v>
      </x:c>
      <x:c r="H22" s="496" t="str">
        <x:v>No performance conclusion; evidence-quality only.</x:v>
      </x:c>
      <x:c r="I22" s="496" t="str">
        <x:v>High</x:v>
      </x:c>
      <x:c r="J22" s="49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4" hidden="0" customWidth="1"/>
    <x:col min="2" max="2" width="28" hidden="0" customWidth="1"/>
    <x:col min="3" max="3" width="58" hidden="0" customWidth="1"/>
    <x:col min="4" max="4" width="48" hidden="0" customWidth="1"/>
    <x:col min="5" max="5" width="52" hidden="0" customWidth="1"/>
    <x:col min="6" max="6" width="12" hidden="0" customWidth="1"/>
    <x:col min="7" max="7" width="18" hidden="0" customWidth="1"/>
  </x:cols>
  <x:sheetData>
    <x:row r="1" ht="30" customHeight="1">
      <x:c r="A1" s="449" t="str">
        <x:v>Stage 4 — Replay and Timeline Semantics</x:v>
      </x:c>
      <x:c r="B1" s="449"/>
      <x:c r="C1" s="449"/>
      <x:c r="D1" s="449"/>
      <x:c r="E1" s="449"/>
      <x:c r="F1" s="449"/>
      <x:c r="G1" s="449"/>
    </x:row>
    <x:row r="2" ht="36" customHeight="1">
      <x:c r="A2" s="453" t="str">
        <x:v>Deterministic rules for ordering, duplicates, late events, gaps, corrections, schema migration and evidence completeness.</x:v>
      </x:c>
      <x:c r="B2" s="453"/>
      <x:c r="C2" s="453"/>
      <x:c r="D2" s="453"/>
      <x:c r="E2" s="453"/>
      <x:c r="F2" s="453"/>
      <x:c r="G2" s="453"/>
    </x:row>
    <x:row r="4" ht="30" customHeight="1">
      <x:c r="A4" s="465" t="str">
        <x:v>ID</x:v>
      </x:c>
      <x:c r="B4" s="466" t="str">
        <x:v>Concern</x:v>
      </x:c>
      <x:c r="C4" s="466" t="str">
        <x:v>Rule</x:v>
      </x:c>
      <x:c r="D4" s="466" t="str">
        <x:v>Rationale</x:v>
      </x:c>
      <x:c r="E4" s="466" t="str">
        <x:v>Failure / guardrail</x:v>
      </x:c>
      <x:c r="F4" s="466" t="str">
        <x:v>Priority</x:v>
      </x:c>
      <x:c r="G4" s="467" t="str">
        <x:v>Status</x:v>
      </x:c>
    </x:row>
    <x:row r="5">
      <x:c r="A5" s="484" t="str">
        <x:v>REPLAY-001</x:v>
      </x:c>
      <x:c r="B5" s="485" t="str">
        <x:v>Primary order</x:v>
      </x:c>
      <x:c r="C5" s="485" t="str">
        <x:v>Device-local monotonic sequence within device/session.</x:v>
      </x:c>
      <x:c r="D5" s="485" t="str">
        <x:v>Provides strongest source ordering for endpoint events.</x:v>
      </x:c>
      <x:c r="E5" s="485" t="str">
        <x:v>If sequence missing or duplicated, create gap/quality marker.</x:v>
      </x:c>
      <x:c r="F5" s="485" t="str">
        <x:v>Critical</x:v>
      </x:c>
      <x:c r="G5" s="486" t="str">
        <x:v>Draft Complete</x:v>
      </x:c>
    </x:row>
    <x:row r="6">
      <x:c r="A6" s="492" t="str">
        <x:v>REPLAY-002</x:v>
      </x:c>
      <x:c r="B6" s="493" t="str">
        <x:v>Secondary order</x:v>
      </x:c>
      <x:c r="C6" s="493" t="str">
        <x:v>Event timestamp adjusted by known device clock offset.</x:v>
      </x:c>
      <x:c r="D6" s="493" t="str">
        <x:v>Supports cross-device/tool correlation.</x:v>
      </x:c>
      <x:c r="E6" s="493" t="str">
        <x:v>Never overrides contradictory local sequence silently.</x:v>
      </x:c>
      <x:c r="F6" s="493" t="str">
        <x:v>High</x:v>
      </x:c>
      <x:c r="G6" s="494" t="str">
        <x:v>Draft Complete</x:v>
      </x:c>
    </x:row>
    <x:row r="7">
      <x:c r="A7" s="487" t="str">
        <x:v>REPLAY-003</x:v>
      </x:c>
      <x:c r="B7" s="114" t="str">
        <x:v>Ingestion time</x:v>
      </x:c>
      <x:c r="C7" s="114" t="str">
        <x:v>Server receive/persist time is retained separately.</x:v>
      </x:c>
      <x:c r="D7" s="114" t="str">
        <x:v>Measures latency and supports incident analysis.</x:v>
      </x:c>
      <x:c r="E7" s="114" t="str">
        <x:v>Not treated as event occurrence time.</x:v>
      </x:c>
      <x:c r="F7" s="114" t="str">
        <x:v>High</x:v>
      </x:c>
      <x:c r="G7" s="488" t="str">
        <x:v>Draft Complete</x:v>
      </x:c>
    </x:row>
    <x:row r="8">
      <x:c r="A8" s="492" t="str">
        <x:v>REPLAY-004</x:v>
      </x:c>
      <x:c r="B8" s="493" t="str">
        <x:v>Kafka ordering</x:v>
      </x:c>
      <x:c r="C8" s="493" t="str">
        <x:v>Order is guaranteed only within a partition; partition by tenant+device or session key for ordered streams.</x:v>
      </x:c>
      <x:c r="D8" s="493" t="str">
        <x:v>Preserves producer order for relevant scope.</x:v>
      </x:c>
      <x:c r="E8" s="493" t="str">
        <x:v>Cross-partition total order is reconstructed later.</x:v>
      </x:c>
      <x:c r="F8" s="493" t="str">
        <x:v>Critical</x:v>
      </x:c>
      <x:c r="G8" s="494" t="str">
        <x:v>Draft Complete</x:v>
      </x:c>
    </x:row>
    <x:row r="9">
      <x:c r="A9" s="487" t="str">
        <x:v>REPLAY-005</x:v>
      </x:c>
      <x:c r="B9" s="114" t="str">
        <x:v>Delivery semantics</x:v>
      </x:c>
      <x:c r="C9" s="114" t="str">
        <x:v>Endpoint and pipeline are at-least-once; idempotency removes duplicates.</x:v>
      </x:c>
      <x:c r="D9" s="114" t="str">
        <x:v>Avoids false exactly-once claims across DB/object/Kafka boundaries.</x:v>
      </x:c>
      <x:c r="E9" s="114" t="str">
        <x:v>Duplicate IDs with differing digests are quarantined.</x:v>
      </x:c>
      <x:c r="F9" s="114" t="str">
        <x:v>Critical</x:v>
      </x:c>
      <x:c r="G9" s="488" t="str">
        <x:v>Draft Complete</x:v>
      </x:c>
    </x:row>
    <x:row r="10">
      <x:c r="A10" s="492" t="str">
        <x:v>REPLAY-006</x:v>
      </x:c>
      <x:c r="B10" s="493" t="str">
        <x:v>Kafka producer</x:v>
      </x:c>
      <x:c r="C10" s="493" t="str">
        <x:v>Enable idempotent producer configuration for internal publication.</x:v>
      </x:c>
      <x:c r="D10" s="493" t="str">
        <x:v>Reduces duplicates/reordering under producer retries.</x:v>
      </x:c>
      <x:c r="E10" s="493" t="str">
        <x:v>Application idempotency remains required.</x:v>
      </x:c>
      <x:c r="F10" s="493" t="str">
        <x:v>High</x:v>
      </x:c>
      <x:c r="G10" s="494" t="str">
        <x:v>Draft Complete</x:v>
      </x:c>
    </x:row>
    <x:row r="11">
      <x:c r="A11" s="487" t="str">
        <x:v>REPLAY-007</x:v>
      </x:c>
      <x:c r="B11" s="114" t="str">
        <x:v>Transactional read-process-write</x:v>
      </x:c>
      <x:c r="C11" s="114" t="str">
        <x:v>Use Kafka/Spring transactions only for bounded Kafka read→process→write flows where justified.</x:v>
      </x:c>
      <x:c r="D11" s="114" t="str">
        <x:v>Can provide exactly-once semantics within Kafka transactional scope.</x:v>
      </x:c>
      <x:c r="E11" s="114" t="str">
        <x:v>Does not cover object storage or external DB without outbox/idempotency.</x:v>
      </x:c>
      <x:c r="F11" s="114" t="str">
        <x:v>Medium</x:v>
      </x:c>
      <x:c r="G11" s="488" t="str">
        <x:v>Draft Complete</x:v>
      </x:c>
    </x:row>
    <x:row r="12">
      <x:c r="A12" s="492" t="str">
        <x:v>REPLAY-008</x:v>
      </x:c>
      <x:c r="B12" s="493" t="str">
        <x:v>Database publication</x:v>
      </x:c>
      <x:c r="C12" s="493" t="str">
        <x:v>Use transactional outbox/CDC or idempotent consumer pattern for database-to-event consistency.</x:v>
      </x:c>
      <x:c r="D12" s="493" t="str">
        <x:v>Avoid dual-write inconsistency.</x:v>
      </x:c>
      <x:c r="E12" s="493" t="str">
        <x:v>Pattern chosen per service/transaction boundary.</x:v>
      </x:c>
      <x:c r="F12" s="493" t="str">
        <x:v>Critical</x:v>
      </x:c>
      <x:c r="G12" s="494" t="str">
        <x:v>Draft Complete</x:v>
      </x:c>
    </x:row>
    <x:row r="13">
      <x:c r="A13" s="487" t="str">
        <x:v>REPLAY-009</x:v>
      </x:c>
      <x:c r="B13" s="114" t="str">
        <x:v>Late events</x:v>
      </x:c>
      <x:c r="C13" s="114" t="str">
        <x:v>Accept within configured lateness window; update read models and mark assessment versions stale.</x:v>
      </x:c>
      <x:c r="D13" s="114" t="str">
        <x:v>Supports offline upload and delayed adapters.</x:v>
      </x:c>
      <x:c r="E13" s="114" t="str">
        <x:v>Never rewrite immutable source event; create correction/read-model version.</x:v>
      </x:c>
      <x:c r="F13" s="114" t="str">
        <x:v>Critical</x:v>
      </x:c>
      <x:c r="G13" s="488" t="str">
        <x:v>Draft Complete</x:v>
      </x:c>
    </x:row>
    <x:row r="14">
      <x:c r="A14" s="492" t="str">
        <x:v>REPLAY-010</x:v>
      </x:c>
      <x:c r="B14" s="493" t="str">
        <x:v>Very late events</x:v>
      </x:c>
      <x:c r="C14" s="493" t="str">
        <x:v>Store as accepted late evidence if policy/retention allows; trigger review rather than automatic assessment change.</x:v>
      </x:c>
      <x:c r="D14" s="493" t="str">
        <x:v>Prevents hidden changes to historical employment conclusions.</x:v>
      </x:c>
      <x:c r="E14" s="493" t="str">
        <x:v>Human review required if material.</x:v>
      </x:c>
      <x:c r="F14" s="493" t="str">
        <x:v>High</x:v>
      </x:c>
      <x:c r="G14" s="494" t="str">
        <x:v>Draft Complete</x:v>
      </x:c>
    </x:row>
    <x:row r="15">
      <x:c r="A15" s="487" t="str">
        <x:v>REPLAY-011</x:v>
      </x:c>
      <x:c r="B15" s="114" t="str">
        <x:v>Sequence gaps</x:v>
      </x:c>
      <x:c r="C15" s="114" t="str">
        <x:v>Create telemetry_gap record and timeline marker when expected sequence absent.</x:v>
      </x:c>
      <x:c r="D15" s="114" t="str">
        <x:v>Makes incompleteness explicit.</x:v>
      </x:c>
      <x:c r="E15" s="114" t="str">
        <x:v>Stage 7 confidence must be reduced.</x:v>
      </x:c>
      <x:c r="F15" s="114" t="str">
        <x:v>Critical</x:v>
      </x:c>
      <x:c r="G15" s="488" t="str">
        <x:v>Draft Complete</x:v>
      </x:c>
    </x:row>
    <x:row r="16">
      <x:c r="A16" s="492" t="str">
        <x:v>REPLAY-012</x:v>
      </x:c>
      <x:c r="B16" s="493" t="str">
        <x:v>Sensor gaps</x:v>
      </x:c>
      <x:c r="C16" s="493" t="str">
        <x:v>Represent permission loss, adapter crash or excluded state separately from network gaps.</x:v>
      </x:c>
      <x:c r="D16" s="493" t="str">
        <x:v>Explains why evidence is absent.</x:v>
      </x:c>
      <x:c r="E16" s="493" t="str">
        <x:v>Do not infer inactivity from missing sensor.</x:v>
      </x:c>
      <x:c r="F16" s="493" t="str">
        <x:v>Critical</x:v>
      </x:c>
      <x:c r="G16" s="494" t="str">
        <x:v>Draft Complete</x:v>
      </x:c>
    </x:row>
    <x:row r="17">
      <x:c r="A17" s="487" t="str">
        <x:v>REPLAY-013</x:v>
      </x:c>
      <x:c r="B17" s="114" t="str">
        <x:v>Duplicate same digest</x:v>
      </x:c>
      <x:c r="C17" s="114" t="str">
        <x:v>Return existing receipt and do not repersist.</x:v>
      </x:c>
      <x:c r="D17" s="114" t="str">
        <x:v>Safe retry.</x:v>
      </x:c>
      <x:c r="E17" s="114" t="str">
        <x:v>Audit duplicate retry count only.</x:v>
      </x:c>
      <x:c r="F17" s="114" t="str">
        <x:v>High</x:v>
      </x:c>
      <x:c r="G17" s="488" t="str">
        <x:v>Draft Complete</x:v>
      </x:c>
    </x:row>
    <x:row r="18">
      <x:c r="A18" s="492" t="str">
        <x:v>REPLAY-014</x:v>
      </x:c>
      <x:c r="B18" s="493" t="str">
        <x:v>Duplicate conflicting digest</x:v>
      </x:c>
      <x:c r="C18" s="493" t="str">
        <x:v>Quarantine and alert security/data operations.</x:v>
      </x:c>
      <x:c r="D18" s="493" t="str">
        <x:v>Potential corruption or spoofing.</x:v>
      </x:c>
      <x:c r="E18" s="493" t="str">
        <x:v>Never choose one silently.</x:v>
      </x:c>
      <x:c r="F18" s="493" t="str">
        <x:v>Critical</x:v>
      </x:c>
      <x:c r="G18" s="494" t="str">
        <x:v>Draft Complete</x:v>
      </x:c>
    </x:row>
    <x:row r="19">
      <x:c r="A19" s="487" t="str">
        <x:v>REPLAY-015</x:v>
      </x:c>
      <x:c r="B19" s="114" t="str">
        <x:v>Corrections</x:v>
      </x:c>
      <x:c r="C19" s="114" t="str">
        <x:v>Employee/reviewer corrections create versioned contextual overlays.</x:v>
      </x:c>
      <x:c r="D19" s="114" t="str">
        <x:v>Preserves original fact and challenge history.</x:v>
      </x:c>
      <x:c r="E19" s="114" t="str">
        <x:v>Reports show current corrected context plus lineage.</x:v>
      </x:c>
      <x:c r="F19" s="114" t="str">
        <x:v>Critical</x:v>
      </x:c>
      <x:c r="G19" s="488" t="str">
        <x:v>Draft Complete</x:v>
      </x:c>
    </x:row>
    <x:row r="20">
      <x:c r="A20" s="492" t="str">
        <x:v>REPLAY-016</x:v>
      </x:c>
      <x:c r="B20" s="493" t="str">
        <x:v>Schema migration</x:v>
      </x:c>
      <x:c r="C20" s="493" t="str">
        <x:v>Replay uses original schema plus deterministic migration functions to canonical version.</x:v>
      </x:c>
      <x:c r="D20" s="493" t="str">
        <x:v>Supports historical rebuild.</x:v>
      </x:c>
      <x:c r="E20" s="493" t="str">
        <x:v>Migration version and checksum recorded.</x:v>
      </x:c>
      <x:c r="F20" s="493" t="str">
        <x:v>High</x:v>
      </x:c>
      <x:c r="G20" s="494" t="str">
        <x:v>Draft Complete</x:v>
      </x:c>
    </x:row>
    <x:row r="21">
      <x:c r="A21" s="487" t="str">
        <x:v>REPLAY-017</x:v>
      </x:c>
      <x:c r="B21" s="114" t="str">
        <x:v>Read-model versioning</x:v>
      </x:c>
      <x:c r="C21" s="114" t="str">
        <x:v>Timeline/provenance/summary read models have explicit build version.</x:v>
      </x:c>
      <x:c r="D21" s="114" t="str">
        <x:v>Allows model/rule changes without altering source evidence.</x:v>
      </x:c>
      <x:c r="E21" s="114" t="str">
        <x:v>Reports cite build/evaluator version.</x:v>
      </x:c>
      <x:c r="F21" s="114" t="str">
        <x:v>High</x:v>
      </x:c>
      <x:c r="G21" s="488" t="str">
        <x:v>Draft Complete</x:v>
      </x:c>
    </x:row>
    <x:row r="22">
      <x:c r="A22" s="492" t="str">
        <x:v>REPLAY-018</x:v>
      </x:c>
      <x:c r="B22" s="493" t="str">
        <x:v>Completeness score</x:v>
      </x:c>
      <x:c r="C22" s="493" t="str">
        <x:v>Derived evidence-quality indicator from known gaps, sensor coverage and rejected records.</x:v>
      </x:c>
      <x:c r="D22" s="493" t="str">
        <x:v>Helps reviewers understand limitations.</x:v>
      </x:c>
      <x:c r="E22" s="493" t="str">
        <x:v>Not a worker productivity score.</x:v>
      </x:c>
      <x:c r="F22" s="493" t="str">
        <x:v>Critical</x:v>
      </x:c>
      <x:c r="G22" s="494" t="str">
        <x:v>Draft Complete</x:v>
      </x:c>
    </x:row>
    <x:row r="23">
      <x:c r="A23" s="487" t="str">
        <x:v>REPLAY-019</x:v>
      </x:c>
      <x:c r="B23" s="114" t="str">
        <x:v>Replay scope</x:v>
      </x:c>
      <x:c r="C23" s="114" t="str">
        <x:v>Rebuild by tenant, device, session, task or time range with rate limits.</x:v>
      </x:c>
      <x:c r="D23" s="114" t="str">
        <x:v>Supports correction and incident recovery.</x:v>
      </x:c>
      <x:c r="E23" s="114" t="str">
        <x:v>Restricted operations and audit required.</x:v>
      </x:c>
      <x:c r="F23" s="114" t="str">
        <x:v>Medium</x:v>
      </x:c>
      <x:c r="G23" s="488" t="str">
        <x:v>Draft Complete</x:v>
      </x:c>
    </x:row>
    <x:row r="24">
      <x:c r="A24" s="495" t="str">
        <x:v>REPLAY-020</x:v>
      </x:c>
      <x:c r="B24" s="496" t="str">
        <x:v>Deletion impact</x:v>
      </x:c>
      <x:c r="C24" s="496" t="str">
        <x:v>Retention deletion removes content/metadata according to policy; replay surfaces tombstone/unavailable state.</x:v>
      </x:c>
      <x:c r="D24" s="496" t="str">
        <x:v>Prevents recreation from derived caches after deletion.</x:v>
      </x:c>
      <x:c r="E24" s="496" t="str">
        <x:v>All read models/search indexes must process deletion event.</x:v>
      </x:c>
      <x:c r="F24" s="496" t="str">
        <x:v>Critical</x:v>
      </x:c>
      <x:c r="G24" s="497" t="str">
        <x:v>Draft Complete</x:v>
      </x:c>
    </x:row>
  </x:sheetData>
  <x:mergeCells>
    <x:mergeCell ref="A1:G1"/>
    <x:mergeCell ref="A2:G2"/>
  </x:mergeCells>
  <x:dataValidations count="2">
    <x:dataValidation type="list" sqref="F5:F24">
      <x:formula1>"Critical,High,Medium,Low"</x:formula1>
    </x:dataValidation>
    <x:dataValidation type="list" sqref="G5:G24">
      <x:formula1>"Draft Complete,Needs Review,Approved,Deferred"</x:formula1>
    </x:dataValidation>
  </x:dataValidations>
  <x:pageMargins left="0.7" right="0.7" top="0.75" bottom="0.75" header="0.3" footer="0.3"/>
</x:worksheet>
</file>

<file path=xl/worksheets/sheet67.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24" hidden="0" customWidth="1"/>
    <x:col min="6" max="6" width="12" hidden="0" customWidth="1"/>
    <x:col min="7" max="7" width="18" hidden="0" customWidth="1"/>
    <x:col min="8" max="8" width="34" hidden="0" customWidth="1"/>
  </x:cols>
  <x:sheetData>
    <x:row r="1" ht="30" customHeight="1">
      <x:c r="A1" s="449" t="str">
        <x:v>Stage 4 — Retention and Access Controls</x:v>
      </x:c>
      <x:c r="B1" s="449"/>
      <x:c r="C1" s="449"/>
      <x:c r="D1" s="449"/>
      <x:c r="E1" s="449"/>
      <x:c r="F1" s="449"/>
      <x:c r="G1" s="449"/>
      <x:c r="H1" s="449"/>
    </x:row>
    <x:row r="2" ht="36" customHeight="1">
      <x:c r="A2" s="453" t="str">
        <x:v>Policy baseline for evidence classification, employee/manager/reviewer access, short raw retention, legal hold, deletion propagation and operational-telemetry separation.</x:v>
      </x:c>
      <x:c r="B2" s="453"/>
      <x:c r="C2" s="453"/>
      <x:c r="D2" s="453"/>
      <x:c r="E2" s="453"/>
      <x:c r="F2" s="453"/>
      <x:c r="G2" s="453"/>
      <x:c r="H2" s="453"/>
    </x:row>
    <x:row r="4" ht="30" customHeight="1">
      <x:c r="A4" s="465" t="str">
        <x:v>ID</x:v>
      </x:c>
      <x:c r="B4" s="466" t="str">
        <x:v>Control area</x:v>
      </x:c>
      <x:c r="C4" s="466" t="str">
        <x:v>Requirement</x:v>
      </x:c>
      <x:c r="D4" s="466" t="str">
        <x:v>Implementation / rationale</x:v>
      </x:c>
      <x:c r="E4" s="466" t="str">
        <x:v>Owner</x:v>
      </x:c>
      <x:c r="F4" s="466" t="str">
        <x:v>Priority</x:v>
      </x:c>
      <x:c r="G4" s="466" t="str">
        <x:v>Status</x:v>
      </x:c>
      <x:c r="H4" s="467" t="str">
        <x:v>Source / note</x:v>
      </x:c>
    </x:row>
    <x:row r="5">
      <x:c r="A5" s="484" t="str">
        <x:v>RA-001</x:v>
      </x:c>
      <x:c r="B5" s="485" t="str">
        <x:v>Data classification</x:v>
      </x:c>
      <x:c r="C5" s="485" t="str">
        <x:v>Every event/object is classified before storage: operational metadata, task metadata, source code, visual evidence, text delta, authentication/secret, personal/sensitive, derived inference.</x:v>
      </x:c>
      <x:c r="D5" s="485" t="str">
        <x:v>Classification determines storage, access, retention and processing.</x:v>
      </x:c>
      <x:c r="E5" s="485" t="str">
        <x:v>DPO/CISO/Data</x:v>
      </x:c>
      <x:c r="F5" s="485" t="str">
        <x:v>Critical</x:v>
      </x:c>
      <x:c r="G5" s="485" t="str">
        <x:v>Draft Complete</x:v>
      </x:c>
      <x:c r="H5" s="486" t="str">
        <x:v>Stage 0 Purpose Policy Matrix</x:v>
      </x:c>
    </x:row>
    <x:row r="6">
      <x:c r="A6" s="492" t="str">
        <x:v>RA-002</x:v>
      </x:c>
      <x:c r="B6" s="493" t="str">
        <x:v>Default deny access</x:v>
      </x:c>
      <x:c r="C6" s="493" t="str">
        <x:v>No user/service can read evidence rows or objects without an explicit role/policy decision.</x:v>
      </x:c>
      <x:c r="D6" s="493" t="str">
        <x:v>PostgreSQL RLS/default-deny plus HumanOS policy.</x:v>
      </x:c>
      <x:c r="E6" s="493" t="str">
        <x:v>Security Architect</x:v>
      </x:c>
      <x:c r="F6" s="493" t="str">
        <x:v>Critical</x:v>
      </x:c>
      <x:c r="G6" s="493" t="str">
        <x:v>Draft Complete</x:v>
      </x:c>
      <x:c r="H6" s="494" t="str">
        <x:v>PostgreSQL RLS</x:v>
      </x:c>
    </x:row>
    <x:row r="7">
      <x:c r="A7" s="487" t="str">
        <x:v>RA-003</x:v>
      </x:c>
      <x:c r="B7" s="114" t="str">
        <x:v>Employee self-access</x:v>
      </x:c>
      <x:c r="C7" s="114" t="str">
        <x:v>Employee can view material evidence and corrections about their own approved work sessions.</x:v>
      </x:c>
      <x:c r="D7" s="114" t="str">
        <x:v>Self-access excludes other people/customer secrets where law/policy requires masking.</x:v>
      </x:c>
      <x:c r="E7" s="114" t="str">
        <x:v>DPO/Product</x:v>
      </x:c>
      <x:c r="F7" s="114" t="str">
        <x:v>Critical</x:v>
      </x:c>
      <x:c r="G7" s="114" t="str">
        <x:v>Draft Complete</x:v>
      </x:c>
      <x:c r="H7" s="488" t="str">
        <x:v>Stage 0 employee rights</x:v>
      </x:c>
    </x:row>
    <x:row r="8">
      <x:c r="A8" s="492" t="str">
        <x:v>RA-004</x:v>
      </x:c>
      <x:c r="B8" s="493" t="str">
        <x:v>Manager summary default</x:v>
      </x:c>
      <x:c r="C8" s="493" t="str">
        <x:v>Managers receive task/quality/blocker summaries, not raw screenshots/keystrokes by default.</x:v>
      </x:c>
      <x:c r="D8" s="493" t="str">
        <x:v>Raw drill-down requires purpose, task scope, reason and audit.</x:v>
      </x:c>
      <x:c r="E8" s="493" t="str">
        <x:v>HR/DPO/Product</x:v>
      </x:c>
      <x:c r="F8" s="493" t="str">
        <x:v>Critical</x:v>
      </x:c>
      <x:c r="G8" s="493" t="str">
        <x:v>Draft Complete</x:v>
      </x:c>
      <x:c r="H8" s="494" t="str">
        <x:v>Stage 0 governance</x:v>
      </x:c>
    </x:row>
    <x:row r="9">
      <x:c r="A9" s="487" t="str">
        <x:v>RA-005</x:v>
      </x:c>
      <x:c r="B9" s="114" t="str">
        <x:v>Reviewer grant</x:v>
      </x:c>
      <x:c r="C9" s="114" t="str">
        <x:v>Technical/domain reviewer can access task-scoped evidence for a defined review case and period.</x:v>
      </x:c>
      <x:c r="D9" s="114" t="str">
        <x:v>Access expires automatically and is logged.</x:v>
      </x:c>
      <x:c r="E9" s="114" t="str">
        <x:v>Governance</x:v>
      </x:c>
      <x:c r="F9" s="114" t="str">
        <x:v>High</x:v>
      </x:c>
      <x:c r="G9" s="114" t="str">
        <x:v>Draft Complete</x:v>
      </x:c>
      <x:c r="H9" s="488" t="str"/>
    </x:row>
    <x:row r="10">
      <x:c r="A10" s="492" t="str">
        <x:v>RA-006</x:v>
      </x:c>
      <x:c r="B10" s="493" t="str">
        <x:v>Security incident access</x:v>
      </x:c>
      <x:c r="C10" s="493" t="str">
        <x:v>Security responders may receive restricted evidence under incident workflow.</x:v>
      </x:c>
      <x:c r="D10" s="493" t="str">
        <x:v>Separate legal/policy purpose; not general performance use.</x:v>
      </x:c>
      <x:c r="E10" s="493" t="str">
        <x:v>CISO/DPO</x:v>
      </x:c>
      <x:c r="F10" s="493" t="str">
        <x:v>High</x:v>
      </x:c>
      <x:c r="G10" s="493" t="str">
        <x:v>Draft Complete</x:v>
      </x:c>
      <x:c r="H10" s="494" t="str"/>
    </x:row>
    <x:row r="11">
      <x:c r="A11" s="487" t="str">
        <x:v>RA-007</x:v>
      </x:c>
      <x:c r="B11" s="114" t="str">
        <x:v>Purpose codes</x:v>
      </x:c>
      <x:c r="C11" s="114" t="str">
        <x:v>All raw evidence access uses enumerated purpose codes such as employee-self, task-review, dispute-review, security-incident, legal-hold.</x:v>
      </x:c>
      <x:c r="D11" s="114" t="str">
        <x:v>Free-text explanation supplements but does not replace code.</x:v>
      </x:c>
      <x:c r="E11" s="114" t="str">
        <x:v>Governance/Audit</x:v>
      </x:c>
      <x:c r="F11" s="114" t="str">
        <x:v>Critical</x:v>
      </x:c>
      <x:c r="G11" s="114" t="str">
        <x:v>Draft Complete</x:v>
      </x:c>
      <x:c r="H11" s="488" t="str"/>
    </x:row>
    <x:row r="12">
      <x:c r="A12" s="492" t="str">
        <x:v>RA-008</x:v>
      </x:c>
      <x:c r="B12" s="493" t="str">
        <x:v>Time-limited grants</x:v>
      </x:c>
      <x:c r="C12" s="493" t="str">
        <x:v>Raw access grants have start/end time and automatic revocation.</x:v>
      </x:c>
      <x:c r="D12" s="493" t="str">
        <x:v>Prevents permanent broad access.</x:v>
      </x:c>
      <x:c r="E12" s="493" t="str">
        <x:v>Security</x:v>
      </x:c>
      <x:c r="F12" s="493" t="str">
        <x:v>Critical</x:v>
      </x:c>
      <x:c r="G12" s="493" t="str">
        <x:v>Draft Complete</x:v>
      </x:c>
      <x:c r="H12" s="494" t="str"/>
    </x:row>
    <x:row r="13">
      <x:c r="A13" s="487" t="str">
        <x:v>RA-009</x:v>
      </x:c>
      <x:c r="B13" s="114" t="str">
        <x:v>Task/project scope</x:v>
      </x:c>
      <x:c r="C13" s="114" t="str">
        <x:v>Manager/reviewer grants specify task/project/person/evidence classes.</x:v>
      </x:c>
      <x:c r="D13" s="114" t="str">
        <x:v>No team-wide raw evidence browsing.</x:v>
      </x:c>
      <x:c r="E13" s="114" t="str">
        <x:v>DPO/HR</x:v>
      </x:c>
      <x:c r="F13" s="114" t="str">
        <x:v>Critical</x:v>
      </x:c>
      <x:c r="G13" s="114" t="str">
        <x:v>Draft Complete</x:v>
      </x:c>
      <x:c r="H13" s="488" t="str"/>
    </x:row>
    <x:row r="14">
      <x:c r="A14" s="492" t="str">
        <x:v>RA-010</x:v>
      </x:c>
      <x:c r="B14" s="493" t="str">
        <x:v>Raw event metadata retention</x:v>
      </x:c>
      <x:c r="C14" s="493" t="str">
        <x:v>Planning default 30–90 days, adjusted by purpose and pilot approval.</x:v>
      </x:c>
      <x:c r="D14" s="493" t="str">
        <x:v>Enough for timeline/debugging with limited concentration.</x:v>
      </x:c>
      <x:c r="E14" s="493" t="str">
        <x:v>DPO/Data</x:v>
      </x:c>
      <x:c r="F14" s="493" t="str">
        <x:v>High</x:v>
      </x:c>
      <x:c r="G14" s="493" t="str">
        <x:v>Owner Input</x:v>
      </x:c>
      <x:c r="H14" s="494" t="str">
        <x:v>Not final legal decision</x:v>
      </x:c>
    </x:row>
    <x:row r="15">
      <x:c r="A15" s="487" t="str">
        <x:v>RA-011</x:v>
      </x:c>
      <x:c r="B15" s="114" t="str">
        <x:v>Visual/text object retention</x:v>
      </x:c>
      <x:c r="C15" s="114" t="str">
        <x:v>Planning default 7–30 days unless dispute/review/legal hold requires extension.</x:v>
      </x:c>
      <x:c r="D15" s="114" t="str">
        <x:v>Most intrusive data has shortest retention.</x:v>
      </x:c>
      <x:c r="E15" s="114" t="str">
        <x:v>DPO/Data</x:v>
      </x:c>
      <x:c r="F15" s="114" t="str">
        <x:v>Critical</x:v>
      </x:c>
      <x:c r="G15" s="114" t="str">
        <x:v>Owner Input</x:v>
      </x:c>
      <x:c r="H15" s="488" t="str">
        <x:v>Not final legal decision</x:v>
      </x:c>
    </x:row>
    <x:row r="16">
      <x:c r="A16" s="492" t="str">
        <x:v>RA-012</x:v>
      </x:c>
      <x:c r="B16" s="493" t="str">
        <x:v>Artefact references</x:v>
      </x:c>
      <x:c r="C16" s="493" t="str">
        <x:v>Retain according to source project/task system while link remains necessary.</x:v>
      </x:c>
      <x:c r="D16" s="493" t="str">
        <x:v>Prefer source-system reference over copied content.</x:v>
      </x:c>
      <x:c r="E16" s="493" t="str">
        <x:v>Product/Data</x:v>
      </x:c>
      <x:c r="F16" s="493" t="str">
        <x:v>High</x:v>
      </x:c>
      <x:c r="G16" s="493" t="str">
        <x:v>Draft Complete</x:v>
      </x:c>
      <x:c r="H16" s="494" t="str"/>
    </x:row>
    <x:row r="17">
      <x:c r="A17" s="487" t="str">
        <x:v>RA-013</x:v>
      </x:c>
      <x:c r="B17" s="114" t="str">
        <x:v>Derived task assessment retention</x:v>
      </x:c>
      <x:c r="C17" s="114" t="str">
        <x:v>Retain under approved project/employment purpose with employee access and correction history.</x:v>
      </x:c>
      <x:c r="D17" s="114" t="str">
        <x:v>Longer retention needs separate justification from raw evidence.</x:v>
      </x:c>
      <x:c r="E17" s="114" t="str">
        <x:v>HR/DPO</x:v>
      </x:c>
      <x:c r="F17" s="114" t="str">
        <x:v>Critical</x:v>
      </x:c>
      <x:c r="G17" s="114" t="str">
        <x:v>Owner Input</x:v>
      </x:c>
      <x:c r="H17" s="488" t="str"/>
    </x:row>
    <x:row r="18">
      <x:c r="A18" s="492" t="str">
        <x:v>RA-014</x:v>
      </x:c>
      <x:c r="B18" s="493" t="str">
        <x:v>Capability evidence retention</x:v>
      </x:c>
      <x:c r="C18" s="493" t="str">
        <x:v>Retain only while relevant to employment/development and subject to review/expiry.</x:v>
      </x:c>
      <x:c r="D18" s="493" t="str">
        <x:v>Old technology evidence may expire or be downweighted.</x:v>
      </x:c>
      <x:c r="E18" s="493" t="str">
        <x:v>HR/DPO/Capability</x:v>
      </x:c>
      <x:c r="F18" s="493" t="str">
        <x:v>Critical</x:v>
      </x:c>
      <x:c r="G18" s="493" t="str">
        <x:v>Owner Input</x:v>
      </x:c>
      <x:c r="H18" s="494" t="str"/>
    </x:row>
    <x:row r="19">
      <x:c r="A19" s="487" t="str">
        <x:v>RA-015</x:v>
      </x:c>
      <x:c r="B19" s="114" t="str">
        <x:v>Legal hold</x:v>
      </x:c>
      <x:c r="C19" s="114" t="str">
        <x:v>Specific object versions/records can be held under approved legal/audit workflow.</x:v>
      </x:c>
      <x:c r="D19" s="114" t="str">
        <x:v>Use S3 Object Lock/legal hold or equivalent only when justified.</x:v>
      </x:c>
      <x:c r="E19" s="114" t="str">
        <x:v>Legal/DPO</x:v>
      </x:c>
      <x:c r="F19" s="114" t="str">
        <x:v>High</x:v>
      </x:c>
      <x:c r="G19" s="114" t="str">
        <x:v>Draft Complete</x:v>
      </x:c>
      <x:c r="H19" s="488" t="str">
        <x:v>S3 Object Lock</x:v>
      </x:c>
    </x:row>
    <x:row r="20">
      <x:c r="A20" s="492" t="str">
        <x:v>RA-016</x:v>
      </x:c>
      <x:c r="B20" s="493" t="str">
        <x:v>Correction hold</x:v>
      </x:c>
      <x:c r="C20" s="493" t="str">
        <x:v>Evidence involved in an active employee dispute is preserved until resolution plus defined period.</x:v>
      </x:c>
      <x:c r="D20" s="493" t="str">
        <x:v>Prevents deletion during challenge.</x:v>
      </x:c>
      <x:c r="E20" s="493" t="str">
        <x:v>Governance/DPO</x:v>
      </x:c>
      <x:c r="F20" s="493" t="str">
        <x:v>Critical</x:v>
      </x:c>
      <x:c r="G20" s="493" t="str">
        <x:v>Draft Complete</x:v>
      </x:c>
      <x:c r="H20" s="494" t="str"/>
    </x:row>
    <x:row r="21">
      <x:c r="A21" s="487" t="str">
        <x:v>RA-017</x:v>
      </x:c>
      <x:c r="B21" s="114" t="str">
        <x:v>Deletion propagation</x:v>
      </x:c>
      <x:c r="C21" s="114" t="str">
        <x:v>Deletion event removes object, metadata where permitted, thumbnails, search indexes, caches, embeddings and read-model content.</x:v>
      </x:c>
      <x:c r="D21" s="114" t="str">
        <x:v>Avoid ghost copies.</x:v>
      </x:c>
      <x:c r="E21" s="114" t="str">
        <x:v>Data Platform</x:v>
      </x:c>
      <x:c r="F21" s="114" t="str">
        <x:v>Critical</x:v>
      </x:c>
      <x:c r="G21" s="114" t="str">
        <x:v>Draft Complete</x:v>
      </x:c>
      <x:c r="H21" s="488" t="str"/>
    </x:row>
    <x:row r="22">
      <x:c r="A22" s="492" t="str">
        <x:v>RA-018</x:v>
      </x:c>
      <x:c r="B22" s="493" t="str">
        <x:v>Crypto erase</x:v>
      </x:c>
      <x:c r="C22" s="493" t="str">
        <x:v>Where physical overwrite cannot be guaranteed, delete encrypted data key and object references after policy checks.</x:v>
      </x:c>
      <x:c r="D22" s="493" t="str">
        <x:v>Supports secure deletion in object/storage systems.</x:v>
      </x:c>
      <x:c r="E22" s="493" t="str">
        <x:v>Security/Data</x:v>
      </x:c>
      <x:c r="F22" s="493" t="str">
        <x:v>High</x:v>
      </x:c>
      <x:c r="G22" s="493" t="str">
        <x:v>Draft Complete</x:v>
      </x:c>
      <x:c r="H22" s="494" t="str"/>
    </x:row>
    <x:row r="23">
      <x:c r="A23" s="487" t="str">
        <x:v>RA-019</x:v>
      </x:c>
      <x:c r="B23" s="114" t="str">
        <x:v>Object immutability</x:v>
      </x:c>
      <x:c r="C23" s="114" t="str">
        <x:v>Governance/compliance lock is not default for all employee evidence because it can conflict with deletion rights; use selectively.</x:v>
      </x:c>
      <x:c r="D23" s="114" t="str">
        <x:v>Legal hold must be purpose-specific.</x:v>
      </x:c>
      <x:c r="E23" s="114" t="str">
        <x:v>DPO/Legal</x:v>
      </x:c>
      <x:c r="F23" s="114" t="str">
        <x:v>High</x:v>
      </x:c>
      <x:c r="G23" s="114" t="str">
        <x:v>Draft Complete</x:v>
      </x:c>
      <x:c r="H23" s="488" t="str">
        <x:v>S3/MinIO Object Lock</x:v>
      </x:c>
    </x:row>
    <x:row r="24">
      <x:c r="A24" s="492" t="str">
        <x:v>RA-020</x:v>
      </x:c>
      <x:c r="B24" s="493" t="str">
        <x:v>Operational telemetry</x:v>
      </x:c>
      <x:c r="C24" s="493" t="str">
        <x:v>Traces/logs contain allowlisted identifiers and metrics only; sensitive evidence remains in Evidence domain.</x:v>
      </x:c>
      <x:c r="D24" s="493" t="str">
        <x:v>Use OTel processors/redaction as secondary protection.</x:v>
      </x:c>
      <x:c r="E24" s="493" t="str">
        <x:v>SRE/DPO</x:v>
      </x:c>
      <x:c r="F24" s="493" t="str">
        <x:v>Critical</x:v>
      </x:c>
      <x:c r="G24" s="493" t="str">
        <x:v>Draft Complete</x:v>
      </x:c>
      <x:c r="H24" s="494" t="str">
        <x:v>OpenTelemetry handling sensitive data</x:v>
      </x:c>
    </x:row>
    <x:row r="25">
      <x:c r="A25" s="487" t="str">
        <x:v>RA-021</x:v>
      </x:c>
      <x:c r="B25" s="114" t="str">
        <x:v>Exports</x:v>
      </x:c>
      <x:c r="C25" s="114" t="str">
        <x:v>Evidence/report exports are watermarked, scoped, time-limited and audited.</x:v>
      </x:c>
      <x:c r="D25" s="114" t="str">
        <x:v>Avoid uncontrolled local copies.</x:v>
      </x:c>
      <x:c r="E25" s="114" t="str">
        <x:v>Governance/Security</x:v>
      </x:c>
      <x:c r="F25" s="114" t="str">
        <x:v>High</x:v>
      </x:c>
      <x:c r="G25" s="114" t="str">
        <x:v>Draft Complete</x:v>
      </x:c>
      <x:c r="H25" s="488" t="str"/>
    </x:row>
    <x:row r="26">
      <x:c r="A26" s="495" t="str">
        <x:v>RA-022</x:v>
      </x:c>
      <x:c r="B26" s="496" t="str">
        <x:v>Break-glass</x:v>
      </x:c>
      <x:c r="C26" s="496" t="str">
        <x:v>Emergency access requires dual approval where feasible, reason, short expiry and post-review.</x:v>
      </x:c>
      <x:c r="D26" s="496" t="str">
        <x:v>Break-glass is visible in audit and subject rights process.</x:v>
      </x:c>
      <x:c r="E26" s="496" t="str">
        <x:v>CISO/DPO</x:v>
      </x:c>
      <x:c r="F26" s="496" t="str">
        <x:v>High</x:v>
      </x:c>
      <x:c r="G26" s="496" t="str">
        <x:v>Draft Complete</x:v>
      </x:c>
      <x:c r="H26" s="497" t="str"/>
    </x:row>
  </x:sheetData>
  <x:mergeCells>
    <x:mergeCell ref="A1:H1"/>
    <x:mergeCell ref="A2:H2"/>
  </x:mergeCells>
  <x:dataValidations count="2">
    <x:dataValidation type="list" sqref="F5:F26">
      <x:formula1>"Critical,High,Medium,Low"</x:formula1>
    </x:dataValidation>
    <x:dataValidation type="list" sqref="G5:G26">
      <x:formula1>"Draft Complete,Needs Review,Owner Input,Approved,Deferred"</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4" hidden="0" customWidth="1"/>
    <x:col min="2" max="2" width="18" hidden="0" customWidth="1"/>
    <x:col min="3" max="3" width="36" hidden="0" customWidth="1"/>
    <x:col min="4" max="4" width="56" hidden="0" customWidth="1"/>
    <x:col min="5" max="5" width="24" hidden="0" customWidth="1"/>
    <x:col min="6" max="6" width="30"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4" hidden="0" customWidth="1"/>
    <x:col min="14" max="14" width="44" hidden="0" customWidth="1"/>
    <x:col min="15" max="15" width="28" hidden="0" customWidth="1"/>
  </x:cols>
  <x:sheetData>
    <x:row r="1" ht="30" customHeight="1">
      <x:c r="A1" s="449" t="str">
        <x:v>Stage 4 — Implementation Backlog</x:v>
      </x:c>
      <x:c r="B1" s="449"/>
      <x:c r="C1" s="449"/>
      <x:c r="D1" s="449"/>
      <x:c r="E1" s="449"/>
      <x:c r="F1" s="449"/>
      <x:c r="G1" s="449"/>
      <x:c r="H1" s="449"/>
      <x:c r="I1" s="449"/>
      <x:c r="J1" s="449"/>
      <x:c r="K1" s="449"/>
      <x:c r="L1" s="449"/>
      <x:c r="M1" s="449"/>
      <x:c r="N1" s="449"/>
      <x:c r="O1" s="449"/>
    </x:row>
    <x:row r="2" ht="36" customHeight="1">
      <x:c r="A2" s="453" t="str">
        <x:v>Implementation-ready backlog for trustworthy telemetry ingestion, evidence metadata/object storage, deterministic replay, retention, access and audit.</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S4-BL-001</x:v>
      </x:c>
      <x:c r="B5" s="485" t="str">
        <x:v>Architecture</x:v>
      </x:c>
      <x:c r="C5" s="485" t="str">
        <x:v>Create Stage 4 service/repository skeleton</x:v>
      </x:c>
      <x:c r="D5" s="485" t="str">
        <x:v>Create Java/Spring modules for ingress, evidence, replay and retention using existing HumanOS repository conventions.</x:v>
      </x:c>
      <x:c r="E5" s="485" t="str">
        <x:v>Backend Lead</x:v>
      </x:c>
      <x:c r="F5" s="485" t="str">
        <x:v>Platform/Architecture</x:v>
      </x:c>
      <x:c r="G5" s="485" t="str">
        <x:v>Stage 1/3 contracts</x:v>
      </x:c>
      <x:c r="H5" s="485" t="str">
        <x:v>Critical</x:v>
      </x:c>
      <x:c r="I5" s="485" t="str">
        <x:v>Not Started</x:v>
      </x:c>
      <x:c r="J5" s="498" t="n">
        <x:f>IF(I5="Approved",1,IF(I5="Draft Complete",0.8,IF(I5="In Review",0.6,IF(I5="In Progress",0.4,IF(I5="Blocked",0,0)))))</x:f>
        <x:v>0</x:v>
      </x:c>
      <x:c r="K5" s="485" t="n">
        <x:v>5</x:v>
      </x:c>
      <x:c r="L5" s="485" t="str">
        <x:v>Service skeleton</x:v>
      </x:c>
      <x:c r="M5" s="485" t="str">
        <x:v>Build, unit tests and dependency checks run.</x:v>
      </x:c>
      <x:c r="N5" s="485" t="str">
        <x:v>No raw evidence in default logging.</x:v>
      </x:c>
      <x:c r="O5" s="486" t="str">
        <x:v>Stage 4 Architecture</x:v>
      </x:c>
    </x:row>
    <x:row r="6">
      <x:c r="A6" s="492" t="str">
        <x:v>S4-BL-002</x:v>
      </x:c>
      <x:c r="B6" s="493" t="str">
        <x:v>Contracts</x:v>
      </x:c>
      <x:c r="C6" s="493" t="str">
        <x:v>Publish SignedBatchEnvelope schema</x:v>
      </x:c>
      <x:c r="D6" s="493" t="str">
        <x:v>Create JSON Schema/OpenAPI examples and Rust/Java fixtures.</x:v>
      </x:c>
      <x:c r="E6" s="493" t="str">
        <x:v>Data Architect</x:v>
      </x:c>
      <x:c r="F6" s="493" t="str">
        <x:v>Agent/Backend/QA</x:v>
      </x:c>
      <x:c r="G6" s="493" t="str">
        <x:v>S4-BL-001</x:v>
      </x:c>
      <x:c r="H6" s="493" t="str">
        <x:v>Critical</x:v>
      </x:c>
      <x:c r="I6" s="493" t="str">
        <x:v>Not Started</x:v>
      </x:c>
      <x:c r="J6" s="499" t="n">
        <x:f>IF(I6="Approved",1,IF(I6="Draft Complete",0.8,IF(I6="In Review",0.6,IF(I6="In Progress",0.4,IF(I6="Blocked",0,0)))))</x:f>
        <x:v>0</x:v>
      </x:c>
      <x:c r="K6" s="493" t="n">
        <x:v>5</x:v>
      </x:c>
      <x:c r="L6" s="493" t="str">
        <x:v>Batch schema package</x:v>
      </x:c>
      <x:c r="M6" s="493" t="str">
        <x:v>Positive/negative fixtures validate identically in agent and server.</x:v>
      </x:c>
      <x:c r="N6" s="493" t="str">
        <x:v>Security metadata strict; content refs only.</x:v>
      </x:c>
      <x:c r="O6" s="494" t="str">
        <x:v>Batch Contract</x:v>
      </x:c>
    </x:row>
    <x:row r="7">
      <x:c r="A7" s="487" t="str">
        <x:v>S4-BL-003</x:v>
      </x:c>
      <x:c r="B7" s="114" t="str">
        <x:v>Security</x:v>
      </x:c>
      <x:c r="C7" s="114" t="str">
        <x:v>Implement device/batch signature verifier</x:v>
      </x:c>
      <x:c r="D7" s="114" t="str">
        <x:v>Validate device certificate, signing key, revocation, signature and digest before accepting content.</x:v>
      </x:c>
      <x:c r="E7" s="114" t="str">
        <x:v>Platform Security</x:v>
      </x:c>
      <x:c r="F7" s="114" t="str">
        <x:v>Backend/KMS/Device Team</x:v>
      </x:c>
      <x:c r="G7" s="114" t="str">
        <x:v>S4-BL-002</x:v>
      </x:c>
      <x:c r="H7" s="114" t="str">
        <x:v>Critical</x:v>
      </x:c>
      <x:c r="I7" s="114" t="str">
        <x:v>Not Started</x:v>
      </x:c>
      <x:c r="J7" s="135" t="n">
        <x:f>IF(I7="Approved",1,IF(I7="Draft Complete",0.8,IF(I7="In Review",0.6,IF(I7="In Progress",0.4,IF(I7="Blocked",0,0)))))</x:f>
        <x:v>0</x:v>
      </x:c>
      <x:c r="K7" s="114" t="n">
        <x:v>8</x:v>
      </x:c>
      <x:c r="L7" s="114" t="str">
        <x:v>Verifier component</x:v>
      </x:c>
      <x:c r="M7" s="114" t="str">
        <x:v>Invalid/revoked/replayed batches rejected with reason code.</x:v>
      </x:c>
      <x:c r="N7" s="114" t="str">
        <x:v>No payload persistence before verification.</x:v>
      </x:c>
      <x:c r="O7" s="488" t="str">
        <x:v>Device Identity/Batch Contract</x:v>
      </x:c>
    </x:row>
    <x:row r="8">
      <x:c r="A8" s="492" t="str">
        <x:v>S4-BL-004</x:v>
      </x:c>
      <x:c r="B8" s="493" t="str">
        <x:v>Schema</x:v>
      </x:c>
      <x:c r="C8" s="493" t="str">
        <x:v>Integrate schema registry and compatibility policy</x:v>
      </x:c>
      <x:c r="D8" s="493" t="str">
        <x:v>Register event schemas, generated clients and compatibility checks.</x:v>
      </x:c>
      <x:c r="E8" s="493" t="str">
        <x:v>Data Platform Lead</x:v>
      </x:c>
      <x:c r="F8" s="493" t="str">
        <x:v>Backend/Agent</x:v>
      </x:c>
      <x:c r="G8" s="493" t="str">
        <x:v>S4-BL-002</x:v>
      </x:c>
      <x:c r="H8" s="493" t="str">
        <x:v>High</x:v>
      </x:c>
      <x:c r="I8" s="493" t="str">
        <x:v>Not Started</x:v>
      </x:c>
      <x:c r="J8" s="499" t="n">
        <x:f>IF(I8="Approved",1,IF(I8="Draft Complete",0.8,IF(I8="In Review",0.6,IF(I8="In Progress",0.4,IF(I8="Blocked",0,0)))))</x:f>
        <x:v>0</x:v>
      </x:c>
      <x:c r="K8" s="493" t="n">
        <x:v>6</x:v>
      </x:c>
      <x:c r="L8" s="493" t="str">
        <x:v>Schema registry integration</x:v>
      </x:c>
      <x:c r="M8" s="493" t="str">
        <x:v>Unsupported major versions quarantine; compatible minor versions accepted.</x:v>
      </x:c>
      <x:c r="N8" s="493" t="str">
        <x:v>Schema content contains no sensitive samples.</x:v>
      </x:c>
      <x:c r="O8" s="494" t="str">
        <x:v>JSON Schema/registry</x:v>
      </x:c>
    </x:row>
    <x:row r="9">
      <x:c r="A9" s="487" t="str">
        <x:v>S4-BL-005</x:v>
      </x:c>
      <x:c r="B9" s="114" t="str">
        <x:v>Ingestion</x:v>
      </x:c>
      <x:c r="C9" s="114" t="str">
        <x:v>Implement idempotent batch endpoint</x:v>
      </x:c>
      <x:c r="D9" s="114" t="str">
        <x:v>Persist batch receipt, enforce unique keys, validate sequence and publish accepted metadata.</x:v>
      </x:c>
      <x:c r="E9" s="114" t="str">
        <x:v>Backend Lead</x:v>
      </x:c>
      <x:c r="F9" s="114" t="str">
        <x:v>Data/QA</x:v>
      </x:c>
      <x:c r="G9" s="114" t="str">
        <x:v>S4-BL-003,S4-BL-004</x:v>
      </x:c>
      <x:c r="H9" s="114" t="str">
        <x:v>Critical</x:v>
      </x:c>
      <x:c r="I9" s="114" t="str">
        <x:v>Not Started</x:v>
      </x:c>
      <x:c r="J9" s="135" t="n">
        <x:f>IF(I9="Approved",1,IF(I9="Draft Complete",0.8,IF(I9="In Review",0.6,IF(I9="In Progress",0.4,IF(I9="Blocked",0,0)))))</x:f>
        <x:v>0</x:v>
      </x:c>
      <x:c r="K9" s="114" t="n">
        <x:v>10</x:v>
      </x:c>
      <x:c r="L9" s="114" t="str">
        <x:v>Batch ingestion API</x:v>
      </x:c>
      <x:c r="M9" s="114" t="str">
        <x:v>Same batch retry returns same receipt; conflicting duplicate quarantines.</x:v>
      </x:c>
      <x:c r="N9" s="114" t="str">
        <x:v>At-least-once and deterministic idempotency.</x:v>
      </x:c>
      <x:c r="O9" s="488" t="str">
        <x:v>Kafka idempotence</x:v>
      </x:c>
    </x:row>
    <x:row r="10">
      <x:c r="A10" s="492" t="str">
        <x:v>S4-BL-006</x:v>
      </x:c>
      <x:c r="B10" s="493" t="str">
        <x:v>Events</x:v>
      </x:c>
      <x:c r="C10" s="493" t="str">
        <x:v>Implement canonical event normaliser</x:v>
      </x:c>
      <x:c r="D10" s="493" t="str">
        <x:v>Map Stage 3 agent events into Stage 4 activity/evidence schema.</x:v>
      </x:c>
      <x:c r="E10" s="493" t="str">
        <x:v>Backend/Data</x:v>
      </x:c>
      <x:c r="F10" s="493" t="str">
        <x:v>Agent/Integrations</x:v>
      </x:c>
      <x:c r="G10" s="493" t="str">
        <x:v>S4-BL-004,S4-BL-005</x:v>
      </x:c>
      <x:c r="H10" s="493" t="str">
        <x:v>Critical</x:v>
      </x:c>
      <x:c r="I10" s="493" t="str">
        <x:v>Not Started</x:v>
      </x:c>
      <x:c r="J10" s="499" t="n">
        <x:f>IF(I10="Approved",1,IF(I10="Draft Complete",0.8,IF(I10="In Review",0.6,IF(I10="In Progress",0.4,IF(I10="Blocked",0,0)))))</x:f>
        <x:v>0</x:v>
      </x:c>
      <x:c r="K10" s="493" t="n">
        <x:v>10</x:v>
      </x:c>
      <x:c r="L10" s="493" t="str">
        <x:v>Normaliser workers</x:v>
      </x:c>
      <x:c r="M10" s="493" t="str">
        <x:v>Source schema/version and signed batch lineage retained.</x:v>
      </x:c>
      <x:c r="N10" s="493" t="str">
        <x:v>Content separated from metadata.</x:v>
      </x:c>
      <x:c r="O10" s="494" t="str">
        <x:v>Event Topics</x:v>
      </x:c>
    </x:row>
    <x:row r="11">
      <x:c r="A11" s="487" t="str">
        <x:v>S4-BL-007</x:v>
      </x:c>
      <x:c r="B11" s="114" t="str">
        <x:v>Kafka</x:v>
      </x:c>
      <x:c r="C11" s="114" t="str">
        <x:v>Create topics, partitioning and retention</x:v>
      </x:c>
      <x:c r="D11" s="114" t="str">
        <x:v>Provision accepted/rejected/activity/visual/object/gap/retention/access topics with ACLs.</x:v>
      </x:c>
      <x:c r="E11" s="114" t="str">
        <x:v>Platform/SRE</x:v>
      </x:c>
      <x:c r="F11" s="114" t="str">
        <x:v>Data/Security</x:v>
      </x:c>
      <x:c r="G11" s="114" t="str">
        <x:v>S4-BL-004</x:v>
      </x:c>
      <x:c r="H11" s="114" t="str">
        <x:v>Critical</x:v>
      </x:c>
      <x:c r="I11" s="114" t="str">
        <x:v>Not Started</x:v>
      </x:c>
      <x:c r="J11" s="135" t="n">
        <x:f>IF(I11="Approved",1,IF(I11="Draft Complete",0.8,IF(I11="In Review",0.6,IF(I11="In Progress",0.4,IF(I11="Blocked",0,0)))))</x:f>
        <x:v>0</x:v>
      </x:c>
      <x:c r="K11" s="114" t="n">
        <x:v>6</x:v>
      </x:c>
      <x:c r="L11" s="114" t="str">
        <x:v>Topic catalogue deployed</x:v>
      </x:c>
      <x:c r="M11" s="114" t="str">
        <x:v>Partition keys preserve required order; ACL tests pass.</x:v>
      </x:c>
      <x:c r="N11" s="114" t="str">
        <x:v>No raw object bytes in Kafka.</x:v>
      </x:c>
      <x:c r="O11" s="488" t="str">
        <x:v>Event Topics</x:v>
      </x:c>
    </x:row>
    <x:row r="12">
      <x:c r="A12" s="492" t="str">
        <x:v>S4-BL-008</x:v>
      </x:c>
      <x:c r="B12" s="493" t="str">
        <x:v>Storage</x:v>
      </x:c>
      <x:c r="C12" s="493" t="str">
        <x:v>Implement PostgreSQL evidence metadata schema</x:v>
      </x:c>
      <x:c r="D12" s="493" t="str">
        <x:v>Create tables, constraints, indexes, RLS and initial partition strategy.</x:v>
      </x:c>
      <x:c r="E12" s="493" t="str">
        <x:v>Data Architect</x:v>
      </x:c>
      <x:c r="F12" s="493" t="str">
        <x:v>Backend/DBA/Security</x:v>
      </x:c>
      <x:c r="G12" s="493" t="str">
        <x:v>S4-BL-006</x:v>
      </x:c>
      <x:c r="H12" s="493" t="str">
        <x:v>Critical</x:v>
      </x:c>
      <x:c r="I12" s="493" t="str">
        <x:v>Not Started</x:v>
      </x:c>
      <x:c r="J12" s="499" t="n">
        <x:f>IF(I12="Approved",1,IF(I12="Draft Complete",0.8,IF(I12="In Review",0.6,IF(I12="In Progress",0.4,IF(I12="Blocked",0,0)))))</x:f>
        <x:v>0</x:v>
      </x:c>
      <x:c r="K12" s="493" t="n">
        <x:v>12</x:v>
      </x:c>
      <x:c r="L12" s="493" t="str">
        <x:v>DDL/migrations</x:v>
      </x:c>
      <x:c r="M12" s="493" t="str">
        <x:v>Unique/idempotency constraints, RLS and query plans validated.</x:v>
      </x:c>
      <x:c r="N12" s="493" t="str">
        <x:v>Tenant isolation/default deny.</x:v>
      </x:c>
      <x:c r="O12" s="494" t="str">
        <x:v>Evidence Storage Model</x:v>
      </x:c>
    </x:row>
    <x:row r="13">
      <x:c r="A13" s="487" t="str">
        <x:v>S4-BL-009</x:v>
      </x:c>
      <x:c r="B13" s="114" t="str">
        <x:v>Objects</x:v>
      </x:c>
      <x:c r="C13" s="114" t="str">
        <x:v>Implement evidence object intake</x:v>
      </x:c>
      <x:c r="D13" s="114" t="str">
        <x:v>Initiate upload, validate manifest/hash/classification/retention, store encrypted object and complete receipt.</x:v>
      </x:c>
      <x:c r="E13" s="114" t="str">
        <x:v>Object/Evidence Lead</x:v>
      </x:c>
      <x:c r="F13" s="114" t="str">
        <x:v>Platform/Security/Agent</x:v>
      </x:c>
      <x:c r="G13" s="114" t="str">
        <x:v>S4-BL-003,S4-BL-008</x:v>
      </x:c>
      <x:c r="H13" s="114" t="str">
        <x:v>Critical</x:v>
      </x:c>
      <x:c r="I13" s="114" t="str">
        <x:v>Not Started</x:v>
      </x:c>
      <x:c r="J13" s="135" t="n">
        <x:f>IF(I13="Approved",1,IF(I13="Draft Complete",0.8,IF(I13="In Review",0.6,IF(I13="In Progress",0.4,IF(I13="Blocked",0,0)))))</x:f>
        <x:v>0</x:v>
      </x:c>
      <x:c r="K13" s="114" t="n">
        <x:v>12</x:v>
      </x:c>
      <x:c r="L13" s="114" t="str">
        <x:v>Object intake gateway</x:v>
      </x:c>
      <x:c r="M13" s="114" t="str">
        <x:v>Mismatched hashes/classes rejected; raw bytes absent from logs.</x:v>
      </x:c>
      <x:c r="N13" s="114" t="str">
        <x:v>Short TTL/classification required.</x:v>
      </x:c>
      <x:c r="O13" s="488" t="str">
        <x:v>S3-compatible storage</x:v>
      </x:c>
    </x:row>
    <x:row r="14">
      <x:c r="A14" s="492" t="str">
        <x:v>S4-BL-010</x:v>
      </x:c>
      <x:c r="B14" s="493" t="str">
        <x:v>Replay</x:v>
      </x:c>
      <x:c r="C14" s="493" t="str">
        <x:v>Implement sequence/gap/late-event engine</x:v>
      </x:c>
      <x:c r="D14" s="493" t="str">
        <x:v>Build read-model logic for local sequence, event time, duplicates, late events and telemetry gaps.</x:v>
      </x:c>
      <x:c r="E14" s="493" t="str">
        <x:v>Replay Lead</x:v>
      </x:c>
      <x:c r="F14" s="493" t="str">
        <x:v>Data/QA/Agent</x:v>
      </x:c>
      <x:c r="G14" s="493" t="str">
        <x:v>S4-BL-006,S4-BL-008</x:v>
      </x:c>
      <x:c r="H14" s="493" t="str">
        <x:v>Critical</x:v>
      </x:c>
      <x:c r="I14" s="493" t="str">
        <x:v>Not Started</x:v>
      </x:c>
      <x:c r="J14" s="499" t="n">
        <x:f>IF(I14="Approved",1,IF(I14="Draft Complete",0.8,IF(I14="In Review",0.6,IF(I14="In Progress",0.4,IF(I14="Blocked",0,0)))))</x:f>
        <x:v>0</x:v>
      </x:c>
      <x:c r="K14" s="493" t="n">
        <x:v>12</x:v>
      </x:c>
      <x:c r="L14" s="493" t="str">
        <x:v>Replay engine</x:v>
      </x:c>
      <x:c r="M14" s="493" t="str">
        <x:v>Deterministic rebuild produces same timeline and gap markers.</x:v>
      </x:c>
      <x:c r="N14" s="493" t="str">
        <x:v>Completeness visible; no silent assumptions.</x:v>
      </x:c>
      <x:c r="O14" s="494" t="str">
        <x:v>Replay Semantics</x:v>
      </x:c>
    </x:row>
    <x:row r="15">
      <x:c r="A15" s="487" t="str">
        <x:v>S4-BL-011</x:v>
      </x:c>
      <x:c r="B15" s="114" t="str">
        <x:v>Timeline</x:v>
      </x:c>
      <x:c r="C15" s="114" t="str">
        <x:v>Implement employee/reviewer timeline APIs</x:v>
      </x:c>
      <x:c r="D15" s="114" t="str">
        <x:v>Return policy-filtered events, gaps, object refs and corrections by session/task.</x:v>
      </x:c>
      <x:c r="E15" s="114" t="str">
        <x:v>Evidence Product Lead</x:v>
      </x:c>
      <x:c r="F15" s="114" t="str">
        <x:v>Backend/Governance/Frontend</x:v>
      </x:c>
      <x:c r="G15" s="114" t="str">
        <x:v>S4-BL-008,S4-BL-010</x:v>
      </x:c>
      <x:c r="H15" s="114" t="str">
        <x:v>High</x:v>
      </x:c>
      <x:c r="I15" s="114" t="str">
        <x:v>Not Started</x:v>
      </x:c>
      <x:c r="J15" s="135" t="n">
        <x:f>IF(I15="Approved",1,IF(I15="Draft Complete",0.8,IF(I15="In Review",0.6,IF(I15="In Progress",0.4,IF(I15="Blocked",0,0)))))</x:f>
        <x:v>0</x:v>
      </x:c>
      <x:c r="K15" s="114" t="n">
        <x:v>8</x:v>
      </x:c>
      <x:c r="L15" s="114" t="str">
        <x:v>Timeline API</x:v>
      </x:c>
      <x:c r="M15" s="114" t="str">
        <x:v>Employee self-access and reviewer grants enforced.</x:v>
      </x:c>
      <x:c r="N15" s="114" t="str">
        <x:v>Raw objects not embedded.</x:v>
      </x:c>
      <x:c r="O15" s="488" t="str">
        <x:v>Ingestion APIs</x:v>
      </x:c>
    </x:row>
    <x:row r="16">
      <x:c r="A16" s="492" t="str">
        <x:v>S4-BL-012</x:v>
      </x:c>
      <x:c r="B16" s="493" t="str">
        <x:v>Access</x:v>
      </x:c>
      <x:c r="C16" s="493" t="str">
        <x:v>Implement evidence access broker</x:v>
      </x:c>
      <x:c r="D16" s="493" t="str">
        <x:v>Create grants, policy decisions, signed URLs/streams, expiry and view audit.</x:v>
      </x:c>
      <x:c r="E16" s="493" t="str">
        <x:v>Governance Backend Lead</x:v>
      </x:c>
      <x:c r="F16" s="493" t="str">
        <x:v>IAM/Policy/Audit/Object</x:v>
      </x:c>
      <x:c r="G16" s="493" t="str">
        <x:v>S4-BL-009,S4-BL-011</x:v>
      </x:c>
      <x:c r="H16" s="493" t="str">
        <x:v>Critical</x:v>
      </x:c>
      <x:c r="I16" s="493" t="str">
        <x:v>Not Started</x:v>
      </x:c>
      <x:c r="J16" s="499" t="n">
        <x:f>IF(I16="Approved",1,IF(I16="Draft Complete",0.8,IF(I16="In Review",0.6,IF(I16="In Progress",0.4,IF(I16="Blocked",0,0)))))</x:f>
        <x:v>0</x:v>
      </x:c>
      <x:c r="K16" s="493" t="n">
        <x:v>10</x:v>
      </x:c>
      <x:c r="L16" s="493" t="str">
        <x:v>Access Broker</x:v>
      </x:c>
      <x:c r="M16" s="493" t="str">
        <x:v>Default deny; every raw view linked to grant/purpose.</x:v>
      </x:c>
      <x:c r="N16" s="493" t="str">
        <x:v>Manager summary-first.</x:v>
      </x:c>
      <x:c r="O16" s="494" t="str">
        <x:v>Retention and Access Controls</x:v>
      </x:c>
    </x:row>
    <x:row r="17">
      <x:c r="A17" s="487" t="str">
        <x:v>S4-BL-013</x:v>
      </x:c>
      <x:c r="B17" s="114" t="str">
        <x:v>Retention</x:v>
      </x:c>
      <x:c r="C17" s="114" t="str">
        <x:v>Implement retention/deletion/legal-hold orchestration</x:v>
      </x:c>
      <x:c r="D17" s="114" t="str">
        <x:v>Apply policy TTL, legal/dispute holds, deletion propagation and verification.</x:v>
      </x:c>
      <x:c r="E17" s="114" t="str">
        <x:v>Data Governance Lead</x:v>
      </x:c>
      <x:c r="F17" s="114" t="str">
        <x:v>Object/Search/Audit/Legal</x:v>
      </x:c>
      <x:c r="G17" s="114" t="str">
        <x:v>S4-BL-008,S4-BL-009</x:v>
      </x:c>
      <x:c r="H17" s="114" t="str">
        <x:v>Critical</x:v>
      </x:c>
      <x:c r="I17" s="114" t="str">
        <x:v>Not Started</x:v>
      </x:c>
      <x:c r="J17" s="135" t="n">
        <x:f>IF(I17="Approved",1,IF(I17="Draft Complete",0.8,IF(I17="In Review",0.6,IF(I17="In Progress",0.4,IF(I17="Blocked",0,0)))))</x:f>
        <x:v>0</x:v>
      </x:c>
      <x:c r="K17" s="114" t="n">
        <x:v>12</x:v>
      </x:c>
      <x:c r="L17" s="114" t="str">
        <x:v>Retention service/workflows</x:v>
      </x:c>
      <x:c r="M17" s="114" t="str">
        <x:v>Deletion reaches metadata, objects, indexes and read models; holds are auditable.</x:v>
      </x:c>
      <x:c r="N17" s="114" t="str">
        <x:v>Legal hold selective, not default.</x:v>
      </x:c>
      <x:c r="O17" s="488" t="str">
        <x:v>S3 Object Lock</x:v>
      </x:c>
    </x:row>
    <x:row r="18">
      <x:c r="A18" s="492" t="str">
        <x:v>S4-BL-014</x:v>
      </x:c>
      <x:c r="B18" s="493" t="str">
        <x:v>Corrections</x:v>
      </x:c>
      <x:c r="C18" s="493" t="str">
        <x:v>Implement contextual correction overlay</x:v>
      </x:c>
      <x:c r="D18" s="493" t="str">
        <x:v>Preserve original events while allowing employee/reviewer task/context corrections.</x:v>
      </x:c>
      <x:c r="E18" s="493" t="str">
        <x:v>Governance Product Owner</x:v>
      </x:c>
      <x:c r="F18" s="493" t="str">
        <x:v>Evidence/Workflow/Audit</x:v>
      </x:c>
      <x:c r="G18" s="493" t="str">
        <x:v>S4-BL-011</x:v>
      </x:c>
      <x:c r="H18" s="493" t="str">
        <x:v>High</x:v>
      </x:c>
      <x:c r="I18" s="493" t="str">
        <x:v>Not Started</x:v>
      </x:c>
      <x:c r="J18" s="499" t="n">
        <x:f>IF(I18="Approved",1,IF(I18="Draft Complete",0.8,IF(I18="In Review",0.6,IF(I18="In Progress",0.4,IF(I18="Blocked",0,0)))))</x:f>
        <x:v>0</x:v>
      </x:c>
      <x:c r="K18" s="493" t="n">
        <x:v>7</x:v>
      </x:c>
      <x:c r="L18" s="493" t="str">
        <x:v>Correction API/model</x:v>
      </x:c>
      <x:c r="M18" s="493" t="str">
        <x:v>Timeline shows current context and immutable lineage.</x:v>
      </x:c>
      <x:c r="N18" s="493" t="str">
        <x:v>Employee challenge rights.</x:v>
      </x:c>
      <x:c r="O18" s="494" t="str">
        <x:v>Stage 0 governance</x:v>
      </x:c>
    </x:row>
    <x:row r="19">
      <x:c r="A19" s="487" t="str">
        <x:v>S4-BL-015</x:v>
      </x:c>
      <x:c r="B19" s="114" t="str">
        <x:v>Operations</x:v>
      </x:c>
      <x:c r="C19" s="114" t="str">
        <x:v>Implement quarantine/DLQ workflow</x:v>
      </x:c>
      <x:c r="D19" s="114" t="str">
        <x:v>Securely isolate and resolve malformed, suspicious or incompatible data.</x:v>
      </x:c>
      <x:c r="E19" s="114" t="str">
        <x:v>Data Operations</x:v>
      </x:c>
      <x:c r="F19" s="114" t="str">
        <x:v>Security/Support</x:v>
      </x:c>
      <x:c r="G19" s="114" t="str">
        <x:v>S4-BL-005,S4-BL-007,S4-BL-009</x:v>
      </x:c>
      <x:c r="H19" s="114" t="str">
        <x:v>High</x:v>
      </x:c>
      <x:c r="I19" s="114" t="str">
        <x:v>Not Started</x:v>
      </x:c>
      <x:c r="J19" s="135" t="n">
        <x:f>IF(I19="Approved",1,IF(I19="Draft Complete",0.8,IF(I19="In Review",0.6,IF(I19="In Progress",0.4,IF(I19="Blocked",0,0)))))</x:f>
        <x:v>0</x:v>
      </x:c>
      <x:c r="K19" s="114" t="n">
        <x:v>6</x:v>
      </x:c>
      <x:c r="L19" s="114" t="str">
        <x:v>Quarantine workflow</x:v>
      </x:c>
      <x:c r="M19" s="114" t="str">
        <x:v>Restricted access, reason codes and resolution audit.</x:v>
      </x:c>
      <x:c r="N19" s="114" t="str">
        <x:v>No raw content in general DLQ.</x:v>
      </x:c>
      <x:c r="O19" s="488" t="str">
        <x:v>Stage 4 Architecture</x:v>
      </x:c>
    </x:row>
    <x:row r="20">
      <x:c r="A20" s="492" t="str">
        <x:v>S4-BL-016</x:v>
      </x:c>
      <x:c r="B20" s="493" t="str">
        <x:v>Observability</x:v>
      </x:c>
      <x:c r="C20" s="493" t="str">
        <x:v>Create content-safe operational telemetry</x:v>
      </x:c>
      <x:c r="D20" s="493" t="str">
        <x:v>Metrics/traces/logs for throughput, latency, errors, queue and storage health with allowlisted attributes.</x:v>
      </x:c>
      <x:c r="E20" s="493" t="str">
        <x:v>SRE Lead</x:v>
      </x:c>
      <x:c r="F20" s="493" t="str">
        <x:v>Security/DPO/Backend</x:v>
      </x:c>
      <x:c r="G20" s="493" t="str">
        <x:v>S4-BL-005:S4-BL-015</x:v>
      </x:c>
      <x:c r="H20" s="493" t="str">
        <x:v>High</x:v>
      </x:c>
      <x:c r="I20" s="493" t="str">
        <x:v>Not Started</x:v>
      </x:c>
      <x:c r="J20" s="499" t="n">
        <x:f>IF(I20="Approved",1,IF(I20="Draft Complete",0.8,IF(I20="In Review",0.6,IF(I20="In Progress",0.4,IF(I20="Blocked",0,0)))))</x:f>
        <x:v>0</x:v>
      </x:c>
      <x:c r="K20" s="493" t="n">
        <x:v>6</x:v>
      </x:c>
      <x:c r="L20" s="493" t="str">
        <x:v>Dashboards/alerts</x:v>
      </x:c>
      <x:c r="M20" s="493" t="str">
        <x:v>Sensitive test corpus absent from logs/traces.</x:v>
      </x:c>
      <x:c r="N20" s="493" t="str">
        <x:v>OTel handling sensitive data.</x:v>
      </x:c>
      <x:c r="O20" s="494" t="str">
        <x:v>OpenTelemetry</x:v>
      </x:c>
    </x:row>
    <x:row r="21">
      <x:c r="A21" s="487" t="str">
        <x:v>S4-BL-017</x:v>
      </x:c>
      <x:c r="B21" s="114" t="str">
        <x:v>Testing</x:v>
      </x:c>
      <x:c r="C21" s="114" t="str">
        <x:v>Execute Stage 4 reliability/security test suite</x:v>
      </x:c>
      <x:c r="D21" s="114" t="str">
        <x:v>Test retries, duplicates, late events, gaps, RLS, signatures, object hashing, retention and replay.</x:v>
      </x:c>
      <x:c r="E21" s="114" t="str">
        <x:v>QA Lead</x:v>
      </x:c>
      <x:c r="F21" s="114" t="str">
        <x:v>All Stage 4 owners</x:v>
      </x:c>
      <x:c r="G21" s="114" t="str">
        <x:v>S4-BL-002:S4-BL-016</x:v>
      </x:c>
      <x:c r="H21" s="114" t="str">
        <x:v>Critical</x:v>
      </x:c>
      <x:c r="I21" s="114" t="str">
        <x:v>Not Started</x:v>
      </x:c>
      <x:c r="J21" s="135" t="n">
        <x:f>IF(I21="Approved",1,IF(I21="Draft Complete",0.8,IF(I21="In Review",0.6,IF(I21="In Progress",0.4,IF(I21="Blocked",0,0)))))</x:f>
        <x:v>0</x:v>
      </x:c>
      <x:c r="K21" s="114" t="n">
        <x:v>12</x:v>
      </x:c>
      <x:c r="L21" s="114" t="str">
        <x:v>Stage 4 test report</x:v>
      </x:c>
      <x:c r="M21" s="114" t="str">
        <x:v>All blocking scenarios pass or gate holds.</x:v>
      </x:c>
      <x:c r="N21" s="114" t="str">
        <x:v>Test data contains synthetic evidence.</x:v>
      </x:c>
      <x:c r="O21" s="488" t="str">
        <x:v>Stage 4 Gate</x:v>
      </x:c>
    </x:row>
    <x:row r="22">
      <x:c r="A22" s="495" t="str">
        <x:v>S4-BL-018</x:v>
      </x:c>
      <x:c r="B22" s="496" t="str">
        <x:v>Documentation</x:v>
      </x:c>
      <x:c r="C22" s="496" t="str">
        <x:v>Complete Stage 4 implementation package</x:v>
      </x:c>
      <x:c r="D22" s="496" t="str">
        <x:v>Consolidate architecture, schemas, DDL, APIs, topics, runbooks, risks, ADRs and gate evidence.</x:v>
      </x:c>
      <x:c r="E22" s="496" t="str">
        <x:v>Programme Lead</x:v>
      </x:c>
      <x:c r="F22" s="496" t="str">
        <x:v>All owners</x:v>
      </x:c>
      <x:c r="G22" s="496" t="str">
        <x:v>S4-BL-001:S4-BL-017</x:v>
      </x:c>
      <x:c r="H22" s="496" t="str">
        <x:v>High</x:v>
      </x:c>
      <x:c r="I22" s="496" t="str">
        <x:v>Not Started</x:v>
      </x:c>
      <x:c r="J22" s="500" t="n">
        <x:f>IF(I22="Approved",1,IF(I22="Draft Complete",0.8,IF(I22="In Review",0.6,IF(I22="In Progress",0.4,IF(I22="Blocked",0,0)))))</x:f>
        <x:v>0</x:v>
      </x:c>
      <x:c r="K22" s="496" t="n">
        <x:v>4</x:v>
      </x:c>
      <x:c r="L22" s="496" t="str">
        <x:v>Stage 4 package</x:v>
      </x:c>
      <x:c r="M22" s="496" t="str">
        <x:v>Ready for Architecture/CISO/DPO/Data review.</x:v>
      </x:c>
      <x:c r="N22" s="496" t="str">
        <x:v>Source traceability complete.</x:v>
      </x:c>
      <x:c r="O22" s="497" t="str">
        <x:v>Stage 4 Gate</x:v>
      </x:c>
    </x:row>
  </x:sheetData>
  <x:mergeCells>
    <x:mergeCell ref="A1:O1"/>
    <x:mergeCell ref="A2:O2"/>
  </x:mergeCells>
  <x:dataValidations count="2">
    <x:dataValidation type="list" sqref="H5:H22">
      <x:formula1>"Critical,High,Medium,Low"</x:formula1>
    </x:dataValidation>
    <x:dataValidation type="list" sqref="I5:I22">
      <x:formula1>"Not Started,In Progress,Draft Complete,In Review,Approved,Blocked,Deferred"</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4" hidden="0" customWidth="1"/>
    <x:col min="2" max="2" width="58" hidden="0" customWidth="1"/>
    <x:col min="3" max="3" width="26" hidden="0" customWidth="1"/>
    <x:col min="4" max="4" width="12" hidden="0" customWidth="1"/>
    <x:col min="5" max="5" width="12" hidden="0" customWidth="1"/>
    <x:col min="6" max="6" width="12" hidden="0" customWidth="1"/>
    <x:col min="7" max="7" width="62" hidden="0" customWidth="1"/>
    <x:col min="8" max="8" width="26" hidden="0" customWidth="1"/>
    <x:col min="9" max="9" width="14" hidden="0" customWidth="1"/>
    <x:col min="10" max="10" width="34" hidden="0" customWidth="1"/>
  </x:cols>
  <x:sheetData>
    <x:row r="1" ht="30" customHeight="1">
      <x:c r="A1" s="449" t="str">
        <x:v>Stage 4 — Risk Register</x:v>
      </x:c>
      <x:c r="B1" s="449"/>
      <x:c r="C1" s="449"/>
      <x:c r="D1" s="449"/>
      <x:c r="E1" s="449"/>
      <x:c r="F1" s="449"/>
      <x:c r="G1" s="449"/>
      <x:c r="H1" s="449"/>
      <x:c r="I1" s="449"/>
      <x:c r="J1" s="449"/>
    </x:row>
    <x:row r="2" ht="36" customHeight="1">
      <x:c r="A2" s="453" t="str">
        <x:v>Risks specific to ingestion, evidence storage, replay, access, retention and distributed delivery semantics.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S4-R-001</x:v>
      </x:c>
      <x:c r="B5" s="485" t="str">
        <x:v>Duplicate or replayed batches create duplicated evidence or false timelines.</x:v>
      </x:c>
      <x:c r="C5" s="485" t="str">
        <x:v>Integrity/Distributed systems</x:v>
      </x:c>
      <x:c r="D5" s="485" t="n">
        <x:v>4</x:v>
      </x:c>
      <x:c r="E5" s="485" t="n">
        <x:v>5</x:v>
      </x:c>
      <x:c r="F5" s="485" t="n">
        <x:f>D5*E5</x:f>
        <x:v>20</x:v>
      </x:c>
      <x:c r="G5" s="485" t="str">
        <x:v>Batch IDs, digests, sequence constraints, Kafka idempotence and deterministic receipts.</x:v>
      </x:c>
      <x:c r="H5" s="485" t="str">
        <x:v>Data Architect</x:v>
      </x:c>
      <x:c r="I5" s="485" t="str">
        <x:v>Open</x:v>
      </x:c>
      <x:c r="J5" s="486" t="str">
        <x:v>Critical gate risk.</x:v>
      </x:c>
    </x:row>
    <x:row r="6">
      <x:c r="A6" s="492" t="str">
        <x:v>S4-R-002</x:v>
      </x:c>
      <x:c r="B6" s="493" t="str">
        <x:v>Out-of-order and late offline events silently change historical assessments.</x:v>
      </x:c>
      <x:c r="C6" s="493" t="str">
        <x:v>Integrity/Employment</x:v>
      </x:c>
      <x:c r="D6" s="493" t="n">
        <x:v>4</x:v>
      </x:c>
      <x:c r="E6" s="493" t="n">
        <x:v>5</x:v>
      </x:c>
      <x:c r="F6" s="493" t="n">
        <x:f>D6*E6</x:f>
        <x:v>20</x:v>
      </x:c>
      <x:c r="G6" s="493" t="str">
        <x:v>Immutable source events, late-event rules, assessment versioning and review triggers.</x:v>
      </x:c>
      <x:c r="H6" s="493" t="str">
        <x:v>Replay/Product</x:v>
      </x:c>
      <x:c r="I6" s="493" t="str">
        <x:v>Open</x:v>
      </x:c>
      <x:c r="J6" s="494" t="str"/>
    </x:row>
    <x:row r="7">
      <x:c r="A7" s="487" t="str">
        <x:v>S4-R-003</x:v>
      </x:c>
      <x:c r="B7" s="114" t="str">
        <x:v>Missing telemetry is interpreted as employee inactivity or misconduct.</x:v>
      </x:c>
      <x:c r="C7" s="114" t="str">
        <x:v>Fairness/AI dependency</x:v>
      </x:c>
      <x:c r="D7" s="114" t="n">
        <x:v>4</x:v>
      </x:c>
      <x:c r="E7" s="114" t="n">
        <x:v>5</x:v>
      </x:c>
      <x:c r="F7" s="114" t="n">
        <x:f>D7*E7</x:f>
        <x:v>20</x:v>
      </x:c>
      <x:c r="G7" s="114" t="str">
        <x:v>Explicit telemetry gaps/completeness and downstream confidence reduction.</x:v>
      </x:c>
      <x:c r="H7" s="114" t="str">
        <x:v>Evidence/AI Governance</x:v>
      </x:c>
      <x:c r="I7" s="114" t="str">
        <x:v>Open</x:v>
      </x:c>
      <x:c r="J7" s="488" t="str">
        <x:v>Blocking for Stage 7.</x:v>
      </x:c>
    </x:row>
    <x:row r="8">
      <x:c r="A8" s="492" t="str">
        <x:v>S4-R-004</x:v>
      </x:c>
      <x:c r="B8" s="493" t="str">
        <x:v>Raw evidence appears in Kafka, logs, traces or DLQs.</x:v>
      </x:c>
      <x:c r="C8" s="493" t="str">
        <x:v>Privacy/Security</x:v>
      </x:c>
      <x:c r="D8" s="493" t="n">
        <x:v>3</x:v>
      </x:c>
      <x:c r="E8" s="493" t="n">
        <x:v>5</x:v>
      </x:c>
      <x:c r="F8" s="493" t="n">
        <x:f>D8*E8</x:f>
        <x:v>15</x:v>
      </x:c>
      <x:c r="G8" s="493" t="str">
        <x:v>Content references only, OTel allowlists/redaction, restricted quarantine and synthetic tests.</x:v>
      </x:c>
      <x:c r="H8" s="493" t="str">
        <x:v>CISO/SRE/Data</x:v>
      </x:c>
      <x:c r="I8" s="493" t="str">
        <x:v>Open</x:v>
      </x:c>
      <x:c r="J8" s="494" t="str">
        <x:v>Blocking.</x:v>
      </x:c>
    </x:row>
    <x:row r="9">
      <x:c r="A9" s="487" t="str">
        <x:v>S4-R-005</x:v>
      </x:c>
      <x:c r="B9" s="114" t="str">
        <x:v>Tenant or employee data leaks through database query/access misconfiguration.</x:v>
      </x:c>
      <x:c r="C9" s="114" t="str">
        <x:v>Security/Privacy</x:v>
      </x:c>
      <x:c r="D9" s="114" t="n">
        <x:v>3</x:v>
      </x:c>
      <x:c r="E9" s="114" t="n">
        <x:v>5</x:v>
      </x:c>
      <x:c r="F9" s="114" t="n">
        <x:f>D9*E9</x:f>
        <x:v>15</x:v>
      </x:c>
      <x:c r="G9" s="114" t="str">
        <x:v>Tenant columns, RLS/default deny, service roles, policy broker and access tests.</x:v>
      </x:c>
      <x:c r="H9" s="114" t="str">
        <x:v>Security/Data</x:v>
      </x:c>
      <x:c r="I9" s="114" t="str">
        <x:v>Open</x:v>
      </x:c>
      <x:c r="J9" s="488" t="str">
        <x:v>Blocking.</x:v>
      </x:c>
    </x:row>
    <x:row r="10">
      <x:c r="A10" s="492" t="str">
        <x:v>S4-R-006</x:v>
      </x:c>
      <x:c r="B10" s="493" t="str">
        <x:v>Object retention or legal hold prevents lawful deletion longer than necessary.</x:v>
      </x:c>
      <x:c r="C10" s="493" t="str">
        <x:v>Privacy/Legal</x:v>
      </x:c>
      <x:c r="D10" s="493" t="n">
        <x:v>3</x:v>
      </x:c>
      <x:c r="E10" s="493" t="n">
        <x:v>5</x:v>
      </x:c>
      <x:c r="F10" s="493" t="n">
        <x:f>D10*E10</x:f>
        <x:v>15</x:v>
      </x:c>
      <x:c r="G10" s="493" t="str">
        <x:v>Selective Object Lock only, separate retention classes, DPO/legal workflow and deletion verification.</x:v>
      </x:c>
      <x:c r="H10" s="493" t="str">
        <x:v>DPO/Data Governance</x:v>
      </x:c>
      <x:c r="I10" s="493" t="str">
        <x:v>Open</x:v>
      </x:c>
      <x:c r="J10" s="494" t="str"/>
    </x:row>
    <x:row r="11">
      <x:c r="A11" s="487" t="str">
        <x:v>S4-R-007</x:v>
      </x:c>
      <x:c r="B11" s="114" t="str">
        <x:v>Deletion leaves copies in indexes, caches, thumbnails, embeddings or read models.</x:v>
      </x:c>
      <x:c r="C11" s="114" t="str">
        <x:v>Privacy/Data</x:v>
      </x:c>
      <x:c r="D11" s="114" t="n">
        <x:v>4</x:v>
      </x:c>
      <x:c r="E11" s="114" t="n">
        <x:v>5</x:v>
      </x:c>
      <x:c r="F11" s="114" t="n">
        <x:f>D11*E11</x:f>
        <x:v>20</x:v>
      </x:c>
      <x:c r="G11" s="114" t="str">
        <x:v>Deletion propagation events, inventory, verification and replay tombstones.</x:v>
      </x:c>
      <x:c r="H11" s="114" t="str">
        <x:v>Data Platform</x:v>
      </x:c>
      <x:c r="I11" s="114" t="str">
        <x:v>Open</x:v>
      </x:c>
      <x:c r="J11" s="488" t="str">
        <x:v>Blocking.</x:v>
      </x:c>
    </x:row>
    <x:row r="12">
      <x:c r="A12" s="492" t="str">
        <x:v>S4-R-008</x:v>
      </x:c>
      <x:c r="B12" s="493" t="str">
        <x:v>Schema evolution breaks agents or corrupts evidence interpretation.</x:v>
      </x:c>
      <x:c r="C12" s="493" t="str">
        <x:v>Architecture/Integrity</x:v>
      </x:c>
      <x:c r="D12" s="493" t="n">
        <x:v>3</x:v>
      </x:c>
      <x:c r="E12" s="493" t="n">
        <x:v>4</x:v>
      </x:c>
      <x:c r="F12" s="493" t="n">
        <x:f>D12*E12</x:f>
        <x:v>12</x:v>
      </x:c>
      <x:c r="G12" s="493" t="str">
        <x:v>Registry compatibility, staged versions, migration functions and agent minimum-version policy.</x:v>
      </x:c>
      <x:c r="H12" s="493" t="str">
        <x:v>Data Architect</x:v>
      </x:c>
      <x:c r="I12" s="493" t="str">
        <x:v>Open</x:v>
      </x:c>
      <x:c r="J12" s="494" t="str"/>
    </x:row>
    <x:row r="13">
      <x:c r="A13" s="487" t="str">
        <x:v>S4-R-009</x:v>
      </x:c>
      <x:c r="B13" s="114" t="str">
        <x:v>Evidence object/storage cost grows beyond acceptable level.</x:v>
      </x:c>
      <x:c r="C13" s="114" t="str">
        <x:v>Cost/Scalability</x:v>
      </x:c>
      <x:c r="D13" s="114" t="n">
        <x:v>4</x:v>
      </x:c>
      <x:c r="E13" s="114" t="n">
        <x:v>4</x:v>
      </x:c>
      <x:c r="F13" s="114" t="n">
        <x:f>D13*E13</x:f>
        <x:v>16</x:v>
      </x:c>
      <x:c r="G13" s="114" t="str">
        <x:v>Event-driven capture, content dedupe, short TTL, regional tiers and per-tenant quotas.</x:v>
      </x:c>
      <x:c r="H13" s="114" t="str">
        <x:v>FinOps/Data</x:v>
      </x:c>
      <x:c r="I13" s="114" t="str">
        <x:v>Open</x:v>
      </x:c>
      <x:c r="J13" s="488" t="str"/>
    </x:row>
    <x:row r="14">
      <x:c r="A14" s="492" t="str">
        <x:v>S4-R-010</x:v>
      </x:c>
      <x:c r="B14" s="493" t="str">
        <x:v>Access grants become broad or permanent and enable manager misuse.</x:v>
      </x:c>
      <x:c r="C14" s="493" t="str">
        <x:v>Governance/Insider</x:v>
      </x:c>
      <x:c r="D14" s="493" t="n">
        <x:v>3</x:v>
      </x:c>
      <x:c r="E14" s="493" t="n">
        <x:v>5</x:v>
      </x:c>
      <x:c r="F14" s="493" t="n">
        <x:f>D14*E14</x:f>
        <x:v>15</x:v>
      </x:c>
      <x:c r="G14" s="493" t="str">
        <x:v>Purpose/task/time-scoped grants, default deny, audit, expiry and summary-first reporting.</x:v>
      </x:c>
      <x:c r="H14" s="493" t="str">
        <x:v>DPO/HR/Security</x:v>
      </x:c>
      <x:c r="I14" s="493" t="str">
        <x:v>Open</x:v>
      </x:c>
      <x:c r="J14" s="494" t="str">
        <x:v>Blocking.</x:v>
      </x:c>
    </x:row>
    <x:row r="15">
      <x:c r="A15" s="487" t="str">
        <x:v>S4-R-011</x:v>
      </x:c>
      <x:c r="B15" s="114" t="str">
        <x:v>Quarantine contains sensitive raw payloads accessible to general operations staff.</x:v>
      </x:c>
      <x:c r="C15" s="114" t="str">
        <x:v>Security/Privacy</x:v>
      </x:c>
      <x:c r="D15" s="114" t="n">
        <x:v>3</x:v>
      </x:c>
      <x:c r="E15" s="114" t="n">
        <x:v>5</x:v>
      </x:c>
      <x:c r="F15" s="114" t="n">
        <x:f>D15*E15</x:f>
        <x:v>15</x:v>
      </x:c>
      <x:c r="G15" s="114" t="str">
        <x:v>Restricted bucket/topic, minimal references, security-only role and short incident TTL.</x:v>
      </x:c>
      <x:c r="H15" s="114" t="str">
        <x:v>CISO/Data Ops</x:v>
      </x:c>
      <x:c r="I15" s="114" t="str">
        <x:v>Open</x:v>
      </x:c>
      <x:c r="J15" s="488" t="str"/>
    </x:row>
    <x:row r="16">
      <x:c r="A16" s="495" t="str">
        <x:v>S4-R-012</x:v>
      </x:c>
      <x:c r="B16" s="496" t="str">
        <x:v>Architecture claims exactly-once semantics where external side effects do not support it.</x:v>
      </x:c>
      <x:c r="C16" s="496" t="str">
        <x:v>Architecture/Reliability</x:v>
      </x:c>
      <x:c r="D16" s="496" t="n">
        <x:v>3</x:v>
      </x:c>
      <x:c r="E16" s="496" t="n">
        <x:v>4</x:v>
      </x:c>
      <x:c r="F16" s="496" t="n">
        <x:f>D16*E16</x:f>
        <x:v>12</x:v>
      </x:c>
      <x:c r="G16" s="496" t="str">
        <x:v>Document at-least-once + idempotency; use Kafka transactions only in bounded read-process-write paths.</x:v>
      </x:c>
      <x:c r="H16" s="496" t="str">
        <x:v>Architecture Board</x:v>
      </x:c>
      <x:c r="I16" s="496" t="str">
        <x:v>Open</x:v>
      </x:c>
      <x:c r="J16" s="497" t="str">
        <x:v>ADR review required.</x:v>
      </x:c>
    </x:row>
  </x:sheetData>
  <x:mergeCells>
    <x:mergeCell ref="A1:J1"/>
    <x:mergeCell ref="A2:J2"/>
  </x:mergeCells>
  <x:conditionalFormatting sqref="F5:F16">
    <x:cfRule type="colorScale" priority="1">
      <x:colorScale>
        <x:cfvo type="min"/>
        <x:cfvo type="percentile" val="50"/>
        <x:cfvo type="max"/>
        <x:color rgb="FFE2F0D9"/>
        <x:color rgb="FFFFF2CC"/>
        <x:color rgb="FFFCE4D6"/>
      </x:colorScale>
    </x:cfRule>
  </x:conditionalFormatting>
  <x:dataValidations count="1">
    <x:dataValidation type="list" sqref="I5:I16">
      <x:formula1>"Open,Mitigating,Accepted,Closed,Blocked"</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58" hidden="0" customWidth="1"/>
    <x:col min="6" max="6" width="38" hidden="0" customWidth="1"/>
    <x:col min="7" max="7" width="42" hidden="0" customWidth="1"/>
    <x:col min="8" max="8" width="42" hidden="0" customWidth="1"/>
    <x:col min="9" max="9" width="34" hidden="0" customWidth="1"/>
    <x:col min="10" max="10" width="24" hidden="0" customWidth="1"/>
    <x:col min="11" max="11" width="30" hidden="0" customWidth="1"/>
  </x:cols>
  <x:sheetData>
    <x:row r="1" ht="30" customHeight="1">
      <x:c r="A1" s="449" t="str">
        <x:v>Stage 4 — Architecture Decision Records</x:v>
      </x:c>
      <x:c r="B1" s="449"/>
      <x:c r="C1" s="449"/>
      <x:c r="D1" s="449"/>
      <x:c r="E1" s="449"/>
      <x:c r="F1" s="449"/>
      <x:c r="G1" s="449"/>
      <x:c r="H1" s="449"/>
      <x:c r="I1" s="449"/>
      <x:c r="J1" s="449"/>
      <x:c r="K1" s="449"/>
    </x:row>
    <x:row r="2" ht="36" customHeight="1">
      <x:c r="A2" s="453" t="str">
        <x:v>Architecture decisions for delivery semantics, storage separation, replay, corrections, retention and access.</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S4-ADR-001</x:v>
      </x:c>
      <x:c r="B5" s="485" t="str">
        <x:v>At-least-once plus idempotency</x:v>
      </x:c>
      <x:c r="C5" s="485" t="str">
        <x:v>Accepted in principle</x:v>
      </x:c>
      <x:c r="D5" s="485" t="str">
        <x:v>Endpoint retries, Kafka, PostgreSQL and object storage do not share one transaction.</x:v>
      </x:c>
      <x:c r="E5" s="485" t="str">
        <x:v>Use at-least-once delivery with batch/event idempotency, unique constraints and deterministic replay; do not claim global exactly-once.</x:v>
      </x:c>
      <x:c r="F5" s="485" t="str">
        <x:v>Attempt distributed exactly-once; best-effort delivery.</x:v>
      </x:c>
      <x:c r="G5" s="485" t="str">
        <x:v>Honest, robust failure semantics.</x:v>
      </x:c>
      <x:c r="H5" s="485" t="str">
        <x:v>More explicit duplicate/gap logic.</x:v>
      </x:c>
      <x:c r="I5" s="485" t="str">
        <x:v>Chaos/replay tests.</x:v>
      </x:c>
      <x:c r="J5" s="485" t="str">
        <x:v>Data/Architecture</x:v>
      </x:c>
      <x:c r="K5" s="486" t="str">
        <x:v>Kafka idempotence docs</x:v>
      </x:c>
    </x:row>
    <x:row r="6">
      <x:c r="A6" s="492" t="str">
        <x:v>S4-ADR-002</x:v>
      </x:c>
      <x:c r="B6" s="493" t="str">
        <x:v>Kafka idempotent producers</x:v>
      </x:c>
      <x:c r="C6" s="493" t="str">
        <x:v>Accepted in principle</x:v>
      </x:c>
      <x:c r="D6" s="493" t="str">
        <x:v>Internal event publication can duplicate/reorder under retries if misconfigured.</x:v>
      </x:c>
      <x:c r="E6" s="493" t="str">
        <x:v>Enable Kafka producer idempotence with durable acknowledgement configuration for internal publishers.</x:v>
      </x:c>
      <x:c r="F6" s="493" t="str">
        <x:v>Default unverified client config.</x:v>
      </x:c>
      <x:c r="G6" s="493" t="str">
        <x:v>Reduced duplicate/reordering risk.</x:v>
      </x:c>
      <x:c r="H6" s="493" t="str">
        <x:v>Still session-scoped and not application idempotency.</x:v>
      </x:c>
      <x:c r="I6" s="493" t="str">
        <x:v>Producer config tests.</x:v>
      </x:c>
      <x:c r="J6" s="493" t="str">
        <x:v>Platform</x:v>
      </x:c>
      <x:c r="K6" s="494" t="str">
        <x:v>Kafka producer configs</x:v>
      </x:c>
    </x:row>
    <x:row r="7">
      <x:c r="A7" s="487" t="str">
        <x:v>S4-ADR-003</x:v>
      </x:c>
      <x:c r="B7" s="114" t="str">
        <x:v>Transactions only for bounded Kafka flows</x:v>
      </x:c>
      <x:c r="C7" s="114" t="str">
        <x:v>Accepted in principle</x:v>
      </x:c>
      <x:c r="D7" s="114" t="str">
        <x:v>Spring Kafka supports transactional read-process-write exactly-once within Kafka scope.</x:v>
      </x:c>
      <x:c r="E7" s="114" t="str">
        <x:v>Use transactions selectively where input/output and offsets are Kafka-bound; use outbox/idempotency for DB/object side effects.</x:v>
      </x:c>
      <x:c r="F7" s="114" t="str">
        <x:v>Transactions everywhere; no transactions.</x:v>
      </x:c>
      <x:c r="G7" s="114" t="str">
        <x:v>Appropriate guarantee without false scope.</x:v>
      </x:c>
      <x:c r="H7" s="114" t="str">
        <x:v>Operational complexity.</x:v>
      </x:c>
      <x:c r="I7" s="114" t="str">
        <x:v>Per-flow ADR and tests.</x:v>
      </x:c>
      <x:c r="J7" s="114" t="str">
        <x:v>Architecture Board</x:v>
      </x:c>
      <x:c r="K7" s="488" t="str">
        <x:v>Spring Kafka EOS</x:v>
      </x:c>
    </x:row>
    <x:row r="8">
      <x:c r="A8" s="492" t="str">
        <x:v>S4-ADR-004</x:v>
      </x:c>
      <x:c r="B8" s="493" t="str">
        <x:v>Metadata/content separation</x:v>
      </x:c>
      <x:c r="C8" s="493" t="str">
        <x:v>Accepted</x:v>
      </x:c>
      <x:c r="D8" s="493" t="str">
        <x:v>Raw screenshots/text are more sensitive and larger than event metadata.</x:v>
      </x:c>
      <x:c r="E8" s="493" t="str">
        <x:v>Store metadata in PostgreSQL/Kafka and content in encrypted object storage referenced by ID/hash.</x:v>
      </x:c>
      <x:c r="F8" s="493" t="str">
        <x:v>Store blobs in DB or Kafka.</x:v>
      </x:c>
      <x:c r="G8" s="493" t="str">
        <x:v>Privacy, scale and access separation.</x:v>
      </x:c>
      <x:c r="H8" s="493" t="str">
        <x:v>Cross-store consistency must be handled.</x:v>
      </x:c>
      <x:c r="I8" s="493" t="str">
        <x:v>Object manifest/receipt tests.</x:v>
      </x:c>
      <x:c r="J8" s="493" t="str">
        <x:v>Data/CISO/DPO</x:v>
      </x:c>
      <x:c r="K8" s="494" t="str">
        <x:v>Stage 4 prompt</x:v>
      </x:c>
    </x:row>
    <x:row r="9">
      <x:c r="A9" s="487" t="str">
        <x:v>S4-ADR-005</x:v>
      </x:c>
      <x:c r="B9" s="114" t="str">
        <x:v>PostgreSQL first</x:v>
      </x:c>
      <x:c r="C9" s="114" t="str">
        <x:v>Accepted in principle</x:v>
      </x:c>
      <x:c r="D9" s="114" t="str">
        <x:v>Evidence metadata and relational provenance need transactions and mature operations.</x:v>
      </x:c>
      <x:c r="E9" s="114" t="str">
        <x:v>Use PostgreSQL with declarative partitioning/RLS when justified; defer specialised graph/event databases.</x:v>
      </x:c>
      <x:c r="F9" s="114" t="str">
        <x:v>Graph DB/event store from day one.</x:v>
      </x:c>
      <x:c r="G9" s="114" t="str">
        <x:v>Lower complexity and HumanOS fit.</x:v>
      </x:c>
      <x:c r="H9" s="114" t="str">
        <x:v>May require later migration for graph scale.</x:v>
      </x:c>
      <x:c r="I9" s="114" t="str">
        <x:v>Stage 7 query benchmarks.</x:v>
      </x:c>
      <x:c r="J9" s="114" t="str">
        <x:v>Data Architect</x:v>
      </x:c>
      <x:c r="K9" s="488" t="str">
        <x:v>PostgreSQL docs</x:v>
      </x:c>
    </x:row>
    <x:row r="10">
      <x:c r="A10" s="492" t="str">
        <x:v>S4-ADR-006</x:v>
      </x:c>
      <x:c r="B10" s="493" t="str">
        <x:v>CloudEvents-style envelope</x:v>
      </x:c>
      <x:c r="C10" s="493" t="str">
        <x:v>Accepted in principle</x:v>
      </x:c>
      <x:c r="D10" s="493" t="str">
        <x:v>Cross-language events need consistent metadata.</x:v>
      </x:c>
      <x:c r="E10" s="493" t="str">
        <x:v>Use CloudEvents-style context plus Nessovo schemas; large/sensitive data via references.</x:v>
      </x:c>
      <x:c r="F10" s="493" t="str">
        <x:v>Proprietary envelopes.</x:v>
      </x:c>
      <x:c r="G10" s="493" t="str">
        <x:v>Interoperability and generated tooling.</x:v>
      </x:c>
      <x:c r="H10" s="493" t="str">
        <x:v>Mapping overhead.</x:v>
      </x:c>
      <x:c r="I10" s="493" t="str">
        <x:v>Schema compatibility test.</x:v>
      </x:c>
      <x:c r="J10" s="493" t="str">
        <x:v>Data Architect</x:v>
      </x:c>
      <x:c r="K10" s="494" t="str">
        <x:v>CloudEvents</x:v>
      </x:c>
    </x:row>
    <x:row r="11">
      <x:c r="A11" s="487" t="str">
        <x:v>S4-ADR-007</x:v>
      </x:c>
      <x:c r="B11" s="114" t="str">
        <x:v>Immutable source, versioned corrections</x:v>
      </x:c>
      <x:c r="C11" s="114" t="str">
        <x:v>Accepted</x:v>
      </x:c>
      <x:c r="D11" s="114" t="str">
        <x:v>Employee evidence may require correction without erasing original lineage.</x:v>
      </x:c>
      <x:c r="E11" s="114" t="str">
        <x:v>Source events remain immutable; corrections and read models are versioned overlays.</x:v>
      </x:c>
      <x:c r="F11" s="114" t="str">
        <x:v>Edit source records in place.</x:v>
      </x:c>
      <x:c r="G11" s="114" t="str">
        <x:v>Auditability and challenge rights.</x:v>
      </x:c>
      <x:c r="H11" s="114" t="str">
        <x:v>More complex queries/UI.</x:v>
      </x:c>
      <x:c r="I11" s="114" t="str">
        <x:v>Correction workflow test.</x:v>
      </x:c>
      <x:c r="J11" s="114" t="str">
        <x:v>Governance/Data</x:v>
      </x:c>
      <x:c r="K11" s="488" t="str">
        <x:v>Stage 0 rights</x:v>
      </x:c>
    </x:row>
    <x:row r="12">
      <x:c r="A12" s="492" t="str">
        <x:v>S4-ADR-008</x:v>
      </x:c>
      <x:c r="B12" s="493" t="str">
        <x:v>Explicit telemetry completeness</x:v>
      </x:c>
      <x:c r="C12" s="493" t="str">
        <x:v>Accepted</x:v>
      </x:c>
      <x:c r="D12" s="493" t="str">
        <x:v>Missing data can create harmful false conclusions.</x:v>
      </x:c>
      <x:c r="E12" s="493" t="str">
        <x:v>Store gap/sensor/clock records and expose completeness indicators to downstream evaluators/reviewers.</x:v>
      </x:c>
      <x:c r="F12" s="493" t="str">
        <x:v>Assume no event means no activity.</x:v>
      </x:c>
      <x:c r="G12" s="493" t="str">
        <x:v>Fairness and evidence honesty.</x:v>
      </x:c>
      <x:c r="H12" s="493" t="str">
        <x:v>More model logic.</x:v>
      </x:c>
      <x:c r="I12" s="493" t="str">
        <x:v>Gap simulation.</x:v>
      </x:c>
      <x:c r="J12" s="493" t="str">
        <x:v>AI Governance/Data</x:v>
      </x:c>
      <x:c r="K12" s="494" t="str">
        <x:v>Stage 4 prompt</x:v>
      </x:c>
    </x:row>
    <x:row r="13">
      <x:c r="A13" s="487" t="str">
        <x:v>S4-ADR-009</x:v>
      </x:c>
      <x:c r="B13" s="114" t="str">
        <x:v>Selective object immutability</x:v>
      </x:c>
      <x:c r="C13" s="114" t="str">
        <x:v>Accepted in principle</x:v>
      </x:c>
      <x:c r="D13" s="114" t="str">
        <x:v>Legal holds may be required, but blanket WORM can conflict with deletion rights.</x:v>
      </x:c>
      <x:c r="E13" s="114" t="str">
        <x:v>Use versioning/legal hold/Object Lock selectively under approved workflow; normal raw evidence follows short TTL.</x:v>
      </x:c>
      <x:c r="F13" s="114" t="str">
        <x:v>Lock all evidence; no object lock.</x:v>
      </x:c>
      <x:c r="G13" s="114" t="str">
        <x:v>Balances audit/legal needs with minimisation.</x:v>
      </x:c>
      <x:c r="H13" s="114" t="str">
        <x:v>Policy complexity.</x:v>
      </x:c>
      <x:c r="I13" s="114" t="str">
        <x:v>DPO/legal retention review.</x:v>
      </x:c>
      <x:c r="J13" s="114" t="str">
        <x:v>DPO/Legal/Data</x:v>
      </x:c>
      <x:c r="K13" s="488" t="str">
        <x:v>S3/MinIO Object Lock</x:v>
      </x:c>
    </x:row>
    <x:row r="14">
      <x:c r="A14" s="492" t="str">
        <x:v>S4-ADR-010</x:v>
      </x:c>
      <x:c r="B14" s="493" t="str">
        <x:v>Operational telemetry allowlist</x:v>
      </x:c>
      <x:c r="C14" s="493" t="str">
        <x:v>Accepted</x:v>
      </x:c>
      <x:c r="D14" s="493" t="str">
        <x:v>OTel can inadvertently collect user behaviour and sensitive evidence.</x:v>
      </x:c>
      <x:c r="E14" s="493" t="str">
        <x:v>Allowlist operational attributes and use redaction/filter processors as defence-in-depth; evidence domain is separate.</x:v>
      </x:c>
      <x:c r="F14" s="493" t="str">
        <x:v>Send all fields to observability.</x:v>
      </x:c>
      <x:c r="G14" s="493" t="str">
        <x:v>Lower breach risk.</x:v>
      </x:c>
      <x:c r="H14" s="493" t="str">
        <x:v>Reduced debugging detail.</x:v>
      </x:c>
      <x:c r="I14" s="493" t="str">
        <x:v>Sensitive-value scan.</x:v>
      </x:c>
      <x:c r="J14" s="493" t="str">
        <x:v>SRE/DPO</x:v>
      </x:c>
      <x:c r="K14" s="494" t="str">
        <x:v>OpenTelemetry handling sensitive data</x:v>
      </x:c>
    </x:row>
    <x:row r="15">
      <x:c r="A15" s="487" t="str">
        <x:v>S4-ADR-011</x:v>
      </x:c>
      <x:c r="B15" s="114" t="str">
        <x:v>Summary-first manager access</x:v>
      </x:c>
      <x:c r="C15" s="114" t="str">
        <x:v>Accepted</x:v>
      </x:c>
      <x:c r="D15" s="114" t="str">
        <x:v>Managers need outcome information but unrestricted raw evidence creates misuse risk.</x:v>
      </x:c>
      <x:c r="E15" s="114" t="str">
        <x:v>Manager APIs default to summaries; raw evidence requires scoped grant and audit.</x:v>
      </x:c>
      <x:c r="F15" s="114" t="str">
        <x:v>Default raw timeline access.</x:v>
      </x:c>
      <x:c r="G15" s="114" t="str">
        <x:v>Trust and purpose limitation.</x:v>
      </x:c>
      <x:c r="H15" s="114" t="str">
        <x:v>Additional workflow.</x:v>
      </x:c>
      <x:c r="I15" s="114" t="str">
        <x:v>Access test/manager UX.</x:v>
      </x:c>
      <x:c r="J15" s="114" t="str">
        <x:v>Product/HR/DPO</x:v>
      </x:c>
      <x:c r="K15" s="488" t="str">
        <x:v>Stage 0 governance</x:v>
      </x:c>
    </x:row>
    <x:row r="16">
      <x:c r="A16" s="495" t="str">
        <x:v>S4-ADR-012</x:v>
      </x:c>
      <x:c r="B16" s="496" t="str">
        <x:v>Region/tenant routing at ingress</x:v>
      </x:c>
      <x:c r="C16" s="496" t="str">
        <x:v>Accepted in principle</x:v>
      </x:c>
      <x:c r="D16" s="496" t="str">
        <x:v>Evidence may have jurisdiction/data-residency constraints.</x:v>
      </x:c>
      <x:c r="E16" s="496" t="str">
        <x:v>Resolve region and tenant before accepting/storing batch/object; reject unsupported route.</x:v>
      </x:c>
      <x:c r="F16" s="496" t="str">
        <x:v>Replicate centrally then classify.</x:v>
      </x:c>
      <x:c r="G16" s="496" t="str">
        <x:v>Prevents unauthorised transfer.</x:v>
      </x:c>
      <x:c r="H16" s="496" t="str">
        <x:v>More regional infrastructure.</x:v>
      </x:c>
      <x:c r="I16" s="496" t="str">
        <x:v>Region-routing tests.</x:v>
      </x:c>
      <x:c r="J16" s="496" t="str">
        <x:v>Platform/DPO</x:v>
      </x:c>
      <x:c r="K16" s="497" t="str">
        <x:v>Jurisdiction policy</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8" hidden="0" customWidth="1"/>
    <x:col min="5" max="5" width="40" hidden="0" customWidth="1"/>
    <x:col min="6" max="6" width="18" hidden="0" customWidth="1"/>
    <x:col min="7" max="7" width="12" hidden="0" customWidth="1"/>
    <x:col min="8" max="8" width="44" hidden="0" customWidth="1"/>
    <x:col min="9" max="9" width="28" hidden="0" customWidth="1"/>
    <x:col min="11" max="11" width="28" hidden="0" customWidth="1"/>
    <x:col min="12" max="12" width="18" hidden="0" customWidth="1"/>
  </x:cols>
  <x:sheetData>
    <x:row r="1" ht="30" customHeight="1">
      <x:c r="A1" s="449" t="str">
        <x:v>Stage 4 — Go / No-Go Gate</x:v>
      </x:c>
      <x:c r="B1" s="449"/>
      <x:c r="C1" s="449"/>
      <x:c r="D1" s="449"/>
      <x:c r="E1" s="449"/>
      <x:c r="F1" s="449"/>
      <x:c r="G1" s="449"/>
      <x:c r="H1" s="449"/>
      <x:c r="I1" s="449"/>
    </x:row>
    <x:row r="2" ht="36" customHeight="1">
      <x:c r="A2" s="453" t="str">
        <x:v>Readiness criteria for Telemetry Ingestion and Evidence Storage. Gate approval authorises implementation of the evidence foundation, not downstream employment conclusions.</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S4-G-001</x:v>
      </x:c>
      <x:c r="B5" s="485" t="str">
        <x:v>Architecture</x:v>
      </x:c>
      <x:c r="C5" s="485" t="str">
        <x:v>Yes</x:v>
      </x:c>
      <x:c r="D5" s="485" t="str">
        <x:v>Ingress, verification, normalisation, storage, replay, retention, access and audit boundaries are defined.</x:v>
      </x:c>
      <x:c r="E5" s="485" t="str">
        <x:v>Stage 4 Architecture</x:v>
      </x:c>
      <x:c r="F5" s="485" t="str">
        <x:v>Draft Ready</x:v>
      </x:c>
      <x:c r="G5" s="498" t="n">
        <x:f>IF(F5="Met",1,IF(F5="Draft Ready",0.8,IF(F5="In Review",0.6,IF(F5="Owner Input",0.3,IF(F5="Blocked",0,0)))))</x:f>
        <x:v>0.8</x:v>
      </x:c>
      <x:c r="H5" s="485" t="str">
        <x:v>Missing trusted ingestion or access boundary.</x:v>
      </x:c>
      <x:c r="I5" s="486" t="str">
        <x:v>CTO/Architecture</x:v>
      </x:c>
      <x:c r="K5" s="484" t="str">
        <x:v>Stage 4 readiness</x:v>
      </x:c>
      <x:c r="L5" s="502" t="n">
        <x:f>AVERAGE(G5:G19)</x:f>
        <x:v>0.7333333333333335</x:v>
      </x:c>
    </x:row>
    <x:row r="6">
      <x:c r="A6" s="492" t="str">
        <x:v>S4-G-002</x:v>
      </x:c>
      <x:c r="B6" s="493" t="str">
        <x:v>Batch contract</x:v>
      </x:c>
      <x:c r="C6" s="493" t="str">
        <x:v>Yes</x:v>
      </x:c>
      <x:c r="D6" s="493" t="str">
        <x:v>Signed batch schema covers identity, policy, sequence, digest, objects, signature and deterministic acknowledgement.</x:v>
      </x:c>
      <x:c r="E6" s="493" t="str">
        <x:v>Batch Contract</x:v>
      </x:c>
      <x:c r="F6" s="493" t="str">
        <x:v>Draft Ready</x:v>
      </x:c>
      <x:c r="G6" s="499" t="n">
        <x:f>IF(F6="Met",1,IF(F6="Draft Ready",0.8,IF(F6="In Review",0.6,IF(F6="Owner Input",0.3,IF(F6="Blocked",0,0)))))</x:f>
        <x:v>0.8</x:v>
      </x:c>
      <x:c r="H6" s="493" t="str">
        <x:v>Cannot verify batch origin/integrity/idempotency.</x:v>
      </x:c>
      <x:c r="I6" s="494" t="str">
        <x:v>Data/Security</x:v>
      </x:c>
      <x:c r="K6" s="487" t="str">
        <x:v>Mandatory not started/blocked</x:v>
      </x:c>
      <x:c r="L6" s="488" t="n">
        <x:f>COUNTIFS(C5:C19,"Yes",F5:F19,"Not Started")+COUNTIFS(C5:C19,"Yes",F5:F19,"Blocked")</x:f>
        <x:v>1</x:v>
      </x:c>
    </x:row>
    <x:row r="7">
      <x:c r="A7" s="487" t="str">
        <x:v>S4-G-003</x:v>
      </x:c>
      <x:c r="B7" s="114" t="str">
        <x:v>Delivery semantics</x:v>
      </x:c>
      <x:c r="C7" s="114" t="str">
        <x:v>Yes</x:v>
      </x:c>
      <x:c r="D7" s="114" t="str">
        <x:v>At-least-once/idempotency/replay semantics are explicit; exactly-once scope is not overstated.</x:v>
      </x:c>
      <x:c r="E7" s="114" t="str">
        <x:v>Replay Semantics + ADRs</x:v>
      </x:c>
      <x:c r="F7" s="114" t="str">
        <x:v>Draft Ready</x:v>
      </x:c>
      <x:c r="G7" s="135" t="n">
        <x:f>IF(F7="Met",1,IF(F7="Draft Ready",0.8,IF(F7="In Review",0.6,IF(F7="Owner Input",0.3,IF(F7="Blocked",0,0)))))</x:f>
        <x:v>0.8</x:v>
      </x:c>
      <x:c r="H7" s="114" t="str">
        <x:v>False delivery guarantee.</x:v>
      </x:c>
      <x:c r="I7" s="488" t="str">
        <x:v>Architecture Board</x:v>
      </x:c>
      <x:c r="K7" s="487" t="str">
        <x:v>Draft-ready/met items</x:v>
      </x:c>
      <x:c r="L7" s="488" t="n">
        <x:f>COUNTIF(F5:F19,"Met")+COUNTIF(F5:F19,"Draft Ready")</x:f>
        <x:v>13</x:v>
      </x:c>
    </x:row>
    <x:row r="8">
      <x:c r="A8" s="492" t="str">
        <x:v>S4-G-004</x:v>
      </x:c>
      <x:c r="B8" s="493" t="str">
        <x:v>Event topics</x:v>
      </x:c>
      <x:c r="C8" s="493" t="str">
        <x:v>Yes</x:v>
      </x:c>
      <x:c r="D8" s="493" t="str">
        <x:v>Topic names, partition keys, retention and sensitive-data rules are defined.</x:v>
      </x:c>
      <x:c r="E8" s="493" t="str">
        <x:v>Event Topics</x:v>
      </x:c>
      <x:c r="F8" s="493" t="str">
        <x:v>Draft Ready</x:v>
      </x:c>
      <x:c r="G8" s="499" t="n">
        <x:f>IF(F8="Met",1,IF(F8="Draft Ready",0.8,IF(F8="In Review",0.6,IF(F8="Owner Input",0.3,IF(F8="Blocked",0,0)))))</x:f>
        <x:v>0.8</x:v>
      </x:c>
      <x:c r="H8" s="493" t="str">
        <x:v>Raw content enters Kafka or order cannot be preserved.</x:v>
      </x:c>
      <x:c r="I8" s="494" t="str">
        <x:v>Data Platform</x:v>
      </x:c>
      <x:c r="K8" s="489" t="str">
        <x:v>Formal decision count</x:v>
      </x:c>
      <x:c r="L8" s="491" t="n">
        <x:v>0</x:v>
      </x:c>
    </x:row>
    <x:row r="9">
      <x:c r="A9" s="487" t="str">
        <x:v>S4-G-005</x:v>
      </x:c>
      <x:c r="B9" s="114" t="str">
        <x:v>Storage model</x:v>
      </x:c>
      <x:c r="C9" s="114" t="str">
        <x:v>Yes</x:v>
      </x:c>
      <x:c r="D9" s="114" t="str">
        <x:v>Metadata/object/artefact/provenance/gap/access/retention models are specified.</x:v>
      </x:c>
      <x:c r="E9" s="114" t="str">
        <x:v>Evidence Storage Model</x:v>
      </x:c>
      <x:c r="F9" s="114" t="str">
        <x:v>Draft Ready</x:v>
      </x:c>
      <x:c r="G9" s="135" t="n">
        <x:f>IF(F9="Met",1,IF(F9="Draft Ready",0.8,IF(F9="In Review",0.6,IF(F9="Owner Input",0.3,IF(F9="Blocked",0,0)))))</x:f>
        <x:v>0.8</x:v>
      </x:c>
      <x:c r="H9" s="114" t="str">
        <x:v>No implementable storage model.</x:v>
      </x:c>
      <x:c r="I9" s="488" t="str">
        <x:v>Data Architect</x:v>
      </x:c>
    </x:row>
    <x:row r="10">
      <x:c r="A10" s="492" t="str">
        <x:v>S4-G-006</x:v>
      </x:c>
      <x:c r="B10" s="493" t="str">
        <x:v>Tenant isolation</x:v>
      </x:c>
      <x:c r="C10" s="493" t="str">
        <x:v>Yes</x:v>
      </x:c>
      <x:c r="D10" s="493" t="str">
        <x:v>RLS/default-deny/service roles and tenant-scoped keys are designed.</x:v>
      </x:c>
      <x:c r="E10" s="493" t="str">
        <x:v>Storage + Retention/Access</x:v>
      </x:c>
      <x:c r="F10" s="493" t="str">
        <x:v>In Review</x:v>
      </x:c>
      <x:c r="G10" s="499" t="n">
        <x:f>IF(F10="Met",1,IF(F10="Draft Ready",0.8,IF(F10="In Review",0.6,IF(F10="Owner Input",0.3,IF(F10="Blocked",0,0)))))</x:f>
        <x:v>0.6</x:v>
      </x:c>
      <x:c r="H10" s="493" t="str">
        <x:v>Cross-tenant data access possible.</x:v>
      </x:c>
      <x:c r="I10" s="494" t="str">
        <x:v>CISO/Data</x:v>
      </x:c>
    </x:row>
    <x:row r="11">
      <x:c r="A11" s="487" t="str">
        <x:v>S4-G-007</x:v>
      </x:c>
      <x:c r="B11" s="114" t="str">
        <x:v>Raw evidence separation</x:v>
      </x:c>
      <x:c r="C11" s="114" t="str">
        <x:v>Yes</x:v>
      </x:c>
      <x:c r="D11" s="114" t="str">
        <x:v>Raw evidence is separate from DB/Kafka/logs/traces and accessed through broker.</x:v>
      </x:c>
      <x:c r="E11" s="114" t="str">
        <x:v>Architecture/Access controls</x:v>
      </x:c>
      <x:c r="F11" s="114" t="str">
        <x:v>Draft Ready</x:v>
      </x:c>
      <x:c r="G11" s="135" t="n">
        <x:f>IF(F11="Met",1,IF(F11="Draft Ready",0.8,IF(F11="In Review",0.6,IF(F11="Owner Input",0.3,IF(F11="Blocked",0,0)))))</x:f>
        <x:v>0.8</x:v>
      </x:c>
      <x:c r="H11" s="114" t="str">
        <x:v>Raw content in general telemetry.</x:v>
      </x:c>
      <x:c r="I11" s="488" t="str">
        <x:v>DPO/CISO</x:v>
      </x:c>
    </x:row>
    <x:row r="12">
      <x:c r="A12" s="492" t="str">
        <x:v>S4-G-008</x:v>
      </x:c>
      <x:c r="B12" s="493" t="str">
        <x:v>Replay/gaps</x:v>
      </x:c>
      <x:c r="C12" s="493" t="str">
        <x:v>Yes</x:v>
      </x:c>
      <x:c r="D12" s="493" t="str">
        <x:v>Late events, duplicates, corrections, schema migration and telemetry gaps are deterministic.</x:v>
      </x:c>
      <x:c r="E12" s="493" t="str">
        <x:v>Replay and Timeline Semantics</x:v>
      </x:c>
      <x:c r="F12" s="493" t="str">
        <x:v>Draft Ready</x:v>
      </x:c>
      <x:c r="G12" s="499" t="n">
        <x:f>IF(F12="Met",1,IF(F12="Draft Ready",0.8,IF(F12="In Review",0.6,IF(F12="Owner Input",0.3,IF(F12="Blocked",0,0)))))</x:f>
        <x:v>0.8</x:v>
      </x:c>
      <x:c r="H12" s="493" t="str">
        <x:v>Incomplete evidence appears complete.</x:v>
      </x:c>
      <x:c r="I12" s="494" t="str">
        <x:v>Replay/Data</x:v>
      </x:c>
    </x:row>
    <x:row r="13">
      <x:c r="A13" s="487" t="str">
        <x:v>S4-G-009</x:v>
      </x:c>
      <x:c r="B13" s="114" t="str">
        <x:v>Retention/deletion</x:v>
      </x:c>
      <x:c r="C13" s="114" t="str">
        <x:v>Yes</x:v>
      </x:c>
      <x:c r="D13" s="114" t="str">
        <x:v>TTL, deletion propagation, legal/dispute holds and audit are defined.</x:v>
      </x:c>
      <x:c r="E13" s="114" t="str">
        <x:v>Retention and Access Controls</x:v>
      </x:c>
      <x:c r="F13" s="114" t="str">
        <x:v>Draft Ready</x:v>
      </x:c>
      <x:c r="G13" s="135" t="n">
        <x:f>IF(F13="Met",1,IF(F13="Draft Ready",0.8,IF(F13="In Review",0.6,IF(F13="Owner Input",0.3,IF(F13="Blocked",0,0)))))</x:f>
        <x:v>0.8</x:v>
      </x:c>
      <x:c r="H13" s="114" t="str">
        <x:v>Deletion cannot be completed or verified.</x:v>
      </x:c>
      <x:c r="I13" s="488" t="str">
        <x:v>DPO/Data Governance</x:v>
      </x:c>
    </x:row>
    <x:row r="14">
      <x:c r="A14" s="492" t="str">
        <x:v>S4-G-010</x:v>
      </x:c>
      <x:c r="B14" s="493" t="str">
        <x:v>Access model</x:v>
      </x:c>
      <x:c r="C14" s="493" t="str">
        <x:v>Yes</x:v>
      </x:c>
      <x:c r="D14" s="493" t="str">
        <x:v>Employee self-access, manager summary, reviewer grants and raw-view audit are defined.</x:v>
      </x:c>
      <x:c r="E14" s="493" t="str">
        <x:v>Retention and Access Controls + APIs</x:v>
      </x:c>
      <x:c r="F14" s="493" t="str">
        <x:v>Draft Ready</x:v>
      </x:c>
      <x:c r="G14" s="499" t="n">
        <x:f>IF(F14="Met",1,IF(F14="Draft Ready",0.8,IF(F14="In Review",0.6,IF(F14="Owner Input",0.3,IF(F14="Blocked",0,0)))))</x:f>
        <x:v>0.8</x:v>
      </x:c>
      <x:c r="H14" s="493" t="str">
        <x:v>Unscoped manager/admin browsing.</x:v>
      </x:c>
      <x:c r="I14" s="494" t="str">
        <x:v>DPO/HR/Security</x:v>
      </x:c>
    </x:row>
    <x:row r="15">
      <x:c r="A15" s="487" t="str">
        <x:v>S4-G-011</x:v>
      </x:c>
      <x:c r="B15" s="114" t="str">
        <x:v>Security controls</x:v>
      </x:c>
      <x:c r="C15" s="114" t="str">
        <x:v>Yes</x:v>
      </x:c>
      <x:c r="D15" s="114" t="str">
        <x:v>mTLS, signature verification, replay protection, quarantine and incident controls are specified.</x:v>
      </x:c>
      <x:c r="E15" s="114" t="str">
        <x:v>Architecture/Backlog/Risks</x:v>
      </x:c>
      <x:c r="F15" s="114" t="str">
        <x:v>Draft Ready</x:v>
      </x:c>
      <x:c r="G15" s="135" t="n">
        <x:f>IF(F15="Met",1,IF(F15="Draft Ready",0.8,IF(F15="In Review",0.6,IF(F15="Owner Input",0.3,IF(F15="Blocked",0,0)))))</x:f>
        <x:v>0.8</x:v>
      </x:c>
      <x:c r="H15" s="114" t="str">
        <x:v>Unverifiable batch/object accepted.</x:v>
      </x:c>
      <x:c r="I15" s="488" t="str">
        <x:v>CISO</x:v>
      </x:c>
    </x:row>
    <x:row r="16">
      <x:c r="A16" s="492" t="str">
        <x:v>S4-G-012</x:v>
      </x:c>
      <x:c r="B16" s="493" t="str">
        <x:v>Operational observability</x:v>
      </x:c>
      <x:c r="C16" s="493" t="str">
        <x:v>Yes</x:v>
      </x:c>
      <x:c r="D16" s="493" t="str">
        <x:v>Content-safe metrics/logs/traces and alerts are defined.</x:v>
      </x:c>
      <x:c r="E16" s="493" t="str">
        <x:v>Architecture/Backlog</x:v>
      </x:c>
      <x:c r="F16" s="493" t="str">
        <x:v>Draft Ready</x:v>
      </x:c>
      <x:c r="G16" s="499" t="n">
        <x:f>IF(F16="Met",1,IF(F16="Draft Ready",0.8,IF(F16="In Review",0.6,IF(F16="Owner Input",0.3,IF(F16="Blocked",0,0)))))</x:f>
        <x:v>0.8</x:v>
      </x:c>
      <x:c r="H16" s="493" t="str">
        <x:v>Sensitive evidence in OTel/logs.</x:v>
      </x:c>
      <x:c r="I16" s="494" t="str">
        <x:v>SRE/DPO</x:v>
      </x:c>
    </x:row>
    <x:row r="17">
      <x:c r="A17" s="487" t="str">
        <x:v>S4-G-013</x:v>
      </x:c>
      <x:c r="B17" s="114" t="str">
        <x:v>Backlog</x:v>
      </x:c>
      <x:c r="C17" s="114" t="str">
        <x:v>Yes</x:v>
      </x:c>
      <x:c r="D17" s="114" t="str">
        <x:v>Implementation backlog has owners, dependencies, effort, deliverables, acceptance and privacy controls.</x:v>
      </x:c>
      <x:c r="E17" s="114" t="str">
        <x:v>Stage 4 Backlog</x:v>
      </x:c>
      <x:c r="F17" s="114" t="str">
        <x:v>Draft Ready</x:v>
      </x:c>
      <x:c r="G17" s="135" t="n">
        <x:f>IF(F17="Met",1,IF(F17="Draft Ready",0.8,IF(F17="In Review",0.6,IF(F17="Owner Input",0.3,IF(F17="Blocked",0,0)))))</x:f>
        <x:v>0.8</x:v>
      </x:c>
      <x:c r="H17" s="114" t="str">
        <x:v>No executable plan.</x:v>
      </x:c>
      <x:c r="I17" s="488" t="str">
        <x:v>Programme</x:v>
      </x:c>
    </x:row>
    <x:row r="18">
      <x:c r="A18" s="492" t="str">
        <x:v>S4-G-014</x:v>
      </x:c>
      <x:c r="B18" s="493" t="str">
        <x:v>Testing</x:v>
      </x:c>
      <x:c r="C18" s="493" t="str">
        <x:v>Yes</x:v>
      </x:c>
      <x:c r="D18" s="493" t="str">
        <x:v>Reliability/security/replay/access/retention tests are defined in backlog acceptance.</x:v>
      </x:c>
      <x:c r="E18" s="493" t="str">
        <x:v>Stage 4 Backlog/Risks</x:v>
      </x:c>
      <x:c r="F18" s="493" t="str">
        <x:v>Draft Ready</x:v>
      </x:c>
      <x:c r="G18" s="499" t="n">
        <x:f>IF(F18="Met",1,IF(F18="Draft Ready",0.8,IF(F18="In Review",0.6,IF(F18="Owner Input",0.3,IF(F18="Blocked",0,0)))))</x:f>
        <x:v>0.8</x:v>
      </x:c>
      <x:c r="H18" s="493" t="str">
        <x:v>No blocking chaos/security tests.</x:v>
      </x:c>
      <x:c r="I18" s="494" t="str">
        <x:v>QA Lead</x:v>
      </x:c>
    </x:row>
    <x:row r="19">
      <x:c r="A19" s="489" t="str">
        <x:v>S4-G-015</x:v>
      </x:c>
      <x:c r="B19" s="490" t="str">
        <x:v>Formal decision</x:v>
      </x:c>
      <x:c r="C19" s="490" t="str">
        <x:v>Yes</x:v>
      </x:c>
      <x:c r="D19" s="490" t="str">
        <x:v>CTO, Architecture, CISO, DPO, Data, SRE and Product record Stage 4 gate decision.</x:v>
      </x:c>
      <x:c r="E19" s="490" t="str">
        <x:v>Review minutes and decision</x:v>
      </x:c>
      <x:c r="F19" s="490" t="str">
        <x:v>Not Started</x:v>
      </x:c>
      <x:c r="G19" s="501" t="n">
        <x:f>IF(F19="Met",1,IF(F19="Draft Ready",0.8,IF(F19="In Review",0.6,IF(F19="Owner Input",0.3,IF(F19="Blocked",0,0)))))</x:f>
        <x:v>0</x:v>
      </x:c>
      <x:c r="H19" s="490" t="str">
        <x:v>No formal gate decision.</x:v>
      </x:c>
      <x:c r="I19" s="491"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6" hidden="0" customWidth="1"/>
    <x:col min="5" max="5" width="66" hidden="0" customWidth="1"/>
    <x:col min="6" max="6" width="12" hidden="0" customWidth="1"/>
    <x:col min="7" max="7" width="48" hidden="0" customWidth="1"/>
  </x:cols>
  <x:sheetData>
    <x:row r="1" ht="30" customHeight="1">
      <x:c r="A1" s="449" t="str">
        <x:v>Stage 4 — Source Register</x:v>
      </x:c>
      <x:c r="B1" s="449"/>
      <x:c r="C1" s="449"/>
      <x:c r="D1" s="449"/>
      <x:c r="E1" s="449"/>
      <x:c r="F1" s="449"/>
      <x:c r="G1" s="449"/>
    </x:row>
    <x:row r="2" ht="36" customHeight="1">
      <x:c r="A2" s="453" t="str">
        <x:v>Primary standards and official documentation used for ingestion semantics, Kafka delivery, PostgreSQL storage/security, object retention, APIs and telemetry privacy.</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S4-SRC-001</x:v>
      </x:c>
      <x:c r="B5" s="485" t="str">
        <x:v>Apache Kafka Producer Configs 4.3</x:v>
      </x:c>
      <x:c r="C5" s="485" t="str">
        <x:v>Official documentation</x:v>
      </x:c>
      <x:c r="D5" s="485" t="str">
        <x:v>Idempotent producer requirements, retries, acks and ordering.</x:v>
      </x:c>
      <x:c r="E5" s="485" t="str">
        <x:v>https://kafka.apache.org/43/generated/producer_config.html</x:v>
      </x:c>
      <x:c r="F5" s="485" t="str">
        <x:v>High</x:v>
      </x:c>
      <x:c r="G5" s="486" t="str">
        <x:v>Use idempotence internally; application idempotency still required.</x:v>
      </x:c>
    </x:row>
    <x:row r="6">
      <x:c r="A6" s="492" t="str">
        <x:v>S4-SRC-002</x:v>
      </x:c>
      <x:c r="B6" s="493" t="str">
        <x:v>Apache Kafka APIs 4.3.1</x:v>
      </x:c>
      <x:c r="C6" s="493" t="str">
        <x:v>Official documentation</x:v>
      </x:c>
      <x:c r="D6" s="493" t="str">
        <x:v>Current Producer/Consumer/Streams APIs.</x:v>
      </x:c>
      <x:c r="E6" s="493" t="str">
        <x:v>https://kafka.apache.org/43/apis/</x:v>
      </x:c>
      <x:c r="F6" s="493" t="str">
        <x:v>High</x:v>
      </x:c>
      <x:c r="G6" s="494" t="str">
        <x:v>Kafka-compatible event backbone.</x:v>
      </x:c>
    </x:row>
    <x:row r="7">
      <x:c r="A7" s="487" t="str">
        <x:v>S4-SRC-003</x:v>
      </x:c>
      <x:c r="B7" s="114" t="str">
        <x:v>Spring for Apache Kafka — Exactly Once Semantics</x:v>
      </x:c>
      <x:c r="C7" s="114" t="str">
        <x:v>Official documentation</x:v>
      </x:c>
      <x:c r="D7" s="114" t="str">
        <x:v>Transactional read-process-write exactly-once semantics within Kafka scope.</x:v>
      </x:c>
      <x:c r="E7" s="114" t="str">
        <x:v>https://docs.spring.io/spring-kafka/reference/kafka/exactly-once.html</x:v>
      </x:c>
      <x:c r="F7" s="114" t="str">
        <x:v>High</x:v>
      </x:c>
      <x:c r="G7" s="488" t="str">
        <x:v>Use only for bounded Kafka transactions.</x:v>
      </x:c>
    </x:row>
    <x:row r="8">
      <x:c r="A8" s="492" t="str">
        <x:v>S4-SRC-004</x:v>
      </x:c>
      <x:c r="B8" s="493" t="str">
        <x:v>CloudEvents Specification</x:v>
      </x:c>
      <x:c r="C8" s="493" t="str">
        <x:v>CNCF standard</x:v>
      </x:c>
      <x:c r="D8" s="493" t="str">
        <x:v>Portable event context/envelope.</x:v>
      </x:c>
      <x:c r="E8" s="493" t="str">
        <x:v>https://github.com/cloudevents/spec</x:v>
      </x:c>
      <x:c r="F8" s="493" t="str">
        <x:v>High</x:v>
      </x:c>
      <x:c r="G8" s="494" t="str">
        <x:v>Use CloudEvents-style envelope.</x:v>
      </x:c>
    </x:row>
    <x:row r="9">
      <x:c r="A9" s="487" t="str">
        <x:v>S4-SRC-005</x:v>
      </x:c>
      <x:c r="B9" s="114" t="str">
        <x:v>JSON Schema 2020-12</x:v>
      </x:c>
      <x:c r="C9" s="114" t="str">
        <x:v>Standard</x:v>
      </x:c>
      <x:c r="D9" s="114" t="str">
        <x:v>Batch/event/schema validation.</x:v>
      </x:c>
      <x:c r="E9" s="114" t="str">
        <x:v>https://json-schema.org/draft/2020-12/json-schema-validation</x:v>
      </x:c>
      <x:c r="F9" s="114" t="str">
        <x:v>High</x:v>
      </x:c>
      <x:c r="G9" s="488" t="str">
        <x:v>Strict security metadata validation.</x:v>
      </x:c>
    </x:row>
    <x:row r="10">
      <x:c r="A10" s="492" t="str">
        <x:v>S4-SRC-006</x:v>
      </x:c>
      <x:c r="B10" s="493" t="str">
        <x:v>OpenAPI 3.1.1</x:v>
      </x:c>
      <x:c r="C10" s="493" t="str">
        <x:v>Standard</x:v>
      </x:c>
      <x:c r="D10" s="493" t="str">
        <x:v>Java/Spring API contracts.</x:v>
      </x:c>
      <x:c r="E10" s="493" t="str">
        <x:v>https://spec.openapis.org/oas/v3.1.1.html</x:v>
      </x:c>
      <x:c r="F10" s="493" t="str">
        <x:v>High</x:v>
      </x:c>
      <x:c r="G10" s="494" t="str">
        <x:v>Ingestion/evidence APIs.</x:v>
      </x:c>
    </x:row>
    <x:row r="11">
      <x:c r="A11" s="487" t="str">
        <x:v>S4-SRC-007</x:v>
      </x:c>
      <x:c r="B11" s="114" t="str">
        <x:v>PostgreSQL 18 Declarative Partitioning</x:v>
      </x:c>
      <x:c r="C11" s="114" t="str">
        <x:v>Official documentation</x:v>
      </x:c>
      <x:c r="D11" s="114" t="str">
        <x:v>Range/list/hash partitioning and partition management.</x:v>
      </x:c>
      <x:c r="E11" s="114" t="str">
        <x:v>https://www.postgresql.org/docs/18/ddl-partitioning.html</x:v>
      </x:c>
      <x:c r="F11" s="114" t="str">
        <x:v>High</x:v>
      </x:c>
      <x:c r="G11" s="488" t="str">
        <x:v>Partition after measured scale; preserve tenant/time dimensions.</x:v>
      </x:c>
    </x:row>
    <x:row r="12">
      <x:c r="A12" s="492" t="str">
        <x:v>S4-SRC-008</x:v>
      </x:c>
      <x:c r="B12" s="493" t="str">
        <x:v>PostgreSQL 18 Row Security Policies</x:v>
      </x:c>
      <x:c r="C12" s="493" t="str">
        <x:v>Official documentation</x:v>
      </x:c>
      <x:c r="D12" s="493" t="str">
        <x:v>Per-role/per-row access control and default-deny when enabled without policies.</x:v>
      </x:c>
      <x:c r="E12" s="493" t="str">
        <x:v>https://www.postgresql.org/docs/18/ddl-rowsecurity.html</x:v>
      </x:c>
      <x:c r="F12" s="493" t="str">
        <x:v>High</x:v>
      </x:c>
      <x:c r="G12" s="494" t="str">
        <x:v>Defence-in-depth tenant/evidence access.</x:v>
      </x:c>
    </x:row>
    <x:row r="13">
      <x:c r="A13" s="487" t="str">
        <x:v>S4-SRC-009</x:v>
      </x:c>
      <x:c r="B13" s="114" t="str">
        <x:v>Amazon S3 Object Lock</x:v>
      </x:c>
      <x:c r="C13" s="114" t="str">
        <x:v>Official documentation</x:v>
      </x:c>
      <x:c r="D13" s="114" t="str">
        <x:v>WORM retention periods, governance/compliance modes and legal holds.</x:v>
      </x:c>
      <x:c r="E13" s="114" t="str">
        <x:v>https://docs.aws.amazon.com/AmazonS3/latest/userguide/object-lock.html</x:v>
      </x:c>
      <x:c r="F13" s="114" t="str">
        <x:v>High</x:v>
      </x:c>
      <x:c r="G13" s="488" t="str">
        <x:v>Use selectively, not blanket raw-evidence retention.</x:v>
      </x:c>
    </x:row>
    <x:row r="14">
      <x:c r="A14" s="492" t="str">
        <x:v>S4-SRC-010</x:v>
      </x:c>
      <x:c r="B14" s="493" t="str">
        <x:v>MinIO Object Locking and Immutability</x:v>
      </x:c>
      <x:c r="C14" s="493" t="str">
        <x:v>Official documentation</x:v>
      </x:c>
      <x:c r="D14" s="493" t="str">
        <x:v>S3-compatible governance/compliance retention and legal hold.</x:v>
      </x:c>
      <x:c r="E14" s="493" t="str">
        <x:v>https://docs.min.io/aistor/administration/object-locking-and-immutability/</x:v>
      </x:c>
      <x:c r="F14" s="493" t="str">
        <x:v>Medium</x:v>
      </x:c>
      <x:c r="G14" s="494" t="str">
        <x:v>Relevant to self-hosted S3-compatible deployment.</x:v>
      </x:c>
    </x:row>
    <x:row r="15">
      <x:c r="A15" s="487" t="str">
        <x:v>S4-SRC-011</x:v>
      </x:c>
      <x:c r="B15" s="114" t="str">
        <x:v>OpenTelemetry Handling Sensitive Data</x:v>
      </x:c>
      <x:c r="C15" s="114" t="str">
        <x:v>Official documentation</x:v>
      </x:c>
      <x:c r="D15" s="114" t="str">
        <x:v>Data minimisation, attribute/filter/redaction/transform processors.</x:v>
      </x:c>
      <x:c r="E15" s="114" t="str">
        <x:v>https://opentelemetry.io/docs/security/handling-sensitive-data/</x:v>
      </x:c>
      <x:c r="F15" s="114" t="str">
        <x:v>Critical</x:v>
      </x:c>
      <x:c r="G15" s="488" t="str">
        <x:v>Operational telemetry allowlist and redaction.</x:v>
      </x:c>
    </x:row>
    <x:row r="16">
      <x:c r="A16" s="492" t="str">
        <x:v>S4-SRC-012</x:v>
      </x:c>
      <x:c r="B16" s="493" t="str">
        <x:v>OpenTelemetry Security</x:v>
      </x:c>
      <x:c r="C16" s="493" t="str">
        <x:v>Official documentation</x:v>
      </x:c>
      <x:c r="D16" s="493" t="str">
        <x:v>Collector security, data tampering and sensitive telemetry risks.</x:v>
      </x:c>
      <x:c r="E16" s="493" t="str">
        <x:v>https://opentelemetry.io/docs/security/</x:v>
      </x:c>
      <x:c r="F16" s="493" t="str">
        <x:v>High</x:v>
      </x:c>
      <x:c r="G16" s="494" t="str">
        <x:v>Operational telemetry security.</x:v>
      </x:c>
    </x:row>
    <x:row r="17">
      <x:c r="A17" s="487" t="str">
        <x:v>S4-SRC-013</x:v>
      </x:c>
      <x:c r="B17" s="114" t="str">
        <x:v>NIST AI RMF</x:v>
      </x:c>
      <x:c r="C17" s="114" t="str">
        <x:v>Standard/guidance</x:v>
      </x:c>
      <x:c r="D17" s="114" t="str">
        <x:v>Evidence quality, governance and downstream AI risk controls.</x:v>
      </x:c>
      <x:c r="E17" s="114" t="str">
        <x:v>https://www.nist.gov/itl/ai-risk-management-framework</x:v>
      </x:c>
      <x:c r="F17" s="114" t="str">
        <x:v>Medium</x:v>
      </x:c>
      <x:c r="G17" s="488" t="str">
        <x:v>Stage 7 consumer design.</x:v>
      </x:c>
    </x:row>
    <x:row r="18">
      <x:c r="A18" s="492" t="str">
        <x:v>S4-SRC-014</x:v>
      </x:c>
      <x:c r="B18" s="493" t="str">
        <x:v>HumanOS Stage 2 Evidence Ontology</x:v>
      </x:c>
      <x:c r="C18" s="493" t="str">
        <x:v>Internal workbook</x:v>
      </x:c>
      <x:c r="D18" s="493" t="str">
        <x:v>Evidence classes, artefacts, provenance, review and capability lineage.</x:v>
      </x:c>
      <x:c r="E18" s="493" t="str">
        <x:v>Internal workbook: Entity Dictionary / Relationship Model</x:v>
      </x:c>
      <x:c r="F18" s="493" t="str">
        <x:v>Critical</x:v>
      </x:c>
      <x:c r="G18" s="494" t="str">
        <x:v>Authoritative internal domain contract.</x:v>
      </x:c>
    </x:row>
    <x:row r="19">
      <x:c r="A19" s="489" t="str">
        <x:v>S4-SRC-015</x:v>
      </x:c>
      <x:c r="B19" s="490" t="str">
        <x:v>HumanOS Stage 3 Event/API Contracts</x:v>
      </x:c>
      <x:c r="C19" s="490" t="str">
        <x:v>Internal workbook</x:v>
      </x:c>
      <x:c r="D19" s="490" t="str">
        <x:v>Agent batch, policy, device/session and upload contracts.</x:v>
      </x:c>
      <x:c r="E19" s="490" t="str">
        <x:v>Internal workbook: Event and API Contracts / Policy Bundle</x:v>
      </x:c>
      <x:c r="F19" s="490" t="str">
        <x:v>Critical</x:v>
      </x:c>
      <x:c r="G19" s="491" t="str">
        <x:v>Stage 4 upstream contract.</x:v>
      </x:c>
    </x:row>
  </x:sheetData>
  <x:mergeCells>
    <x:mergeCell ref="A1:G1"/>
    <x:mergeCell ref="A2:G2"/>
  </x:mergeCells>
  <x:dataValidations count="1">
    <x:dataValidation type="list" sqref="F5:F19">
      <x:formula1>"Critical,High,Medium,Low"</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4" hidden="0" customWidth="1"/>
    <x:col min="2" max="2" width="26" hidden="0" customWidth="1"/>
    <x:col min="3" max="3" width="62" hidden="0" customWidth="1"/>
    <x:col min="4" max="4" width="46" hidden="0" customWidth="1"/>
    <x:col min="5" max="5" width="26" hidden="0" customWidth="1"/>
    <x:col min="6" max="6" width="12" hidden="0" customWidth="1"/>
    <x:col min="7" max="7" width="18" hidden="0" customWidth="1"/>
    <x:col min="8" max="8" width="32" hidden="0" customWidth="1"/>
  </x:cols>
  <x:sheetData>
    <x:row r="1" ht="30" customHeight="1">
      <x:c r="A1" s="449" t="str">
        <x:v>Stage 5 — Universal Capture MVP Scope</x:v>
      </x:c>
      <x:c r="B1" s="449"/>
      <x:c r="C1" s="449"/>
      <x:c r="D1" s="449"/>
      <x:c r="E1" s="449"/>
      <x:c r="F1" s="449"/>
      <x:c r="G1" s="449"/>
      <x:c r="H1" s="449"/>
    </x:row>
    <x:row r="2" ht="36" customHeight="1">
      <x:c r="A2" s="453" t="str">
        <x:v>Approved capture scope and product boundaries. Stage 5 creates task-scoped evidence; it does not create productivity scores or automatic employment conclusions.</x:v>
      </x:c>
      <x:c r="B2" s="453"/>
      <x:c r="C2" s="453"/>
      <x:c r="D2" s="453"/>
      <x:c r="E2" s="453"/>
      <x:c r="F2" s="453"/>
      <x:c r="G2" s="453"/>
      <x:c r="H2" s="453"/>
    </x:row>
    <x:row r="4" ht="30" customHeight="1">
      <x:c r="A4" s="465" t="str">
        <x:v>ID</x:v>
      </x:c>
      <x:c r="B4" s="466" t="str">
        <x:v>Scope area</x:v>
      </x:c>
      <x:c r="C4" s="466" t="str">
        <x:v>MVP decision</x:v>
      </x:c>
      <x:c r="D4" s="466" t="str">
        <x:v>Rationale</x:v>
      </x:c>
      <x:c r="E4" s="466" t="str">
        <x:v>Owner</x:v>
      </x:c>
      <x:c r="F4" s="466" t="str">
        <x:v>Priority</x:v>
      </x:c>
      <x:c r="G4" s="466" t="str">
        <x:v>Status</x:v>
      </x:c>
      <x:c r="H4" s="467" t="str">
        <x:v>Acceptance / dependency</x:v>
      </x:c>
    </x:row>
    <x:row r="5">
      <x:c r="A5" s="484" t="str">
        <x:v>S5-SCOPE-001</x:v>
      </x:c>
      <x:c r="B5" s="485" t="str">
        <x:v>MVP objective</x:v>
      </x:c>
      <x:c r="C5" s="485" t="str">
        <x:v>Capture sufficient task-scoped evidence to reconstruct material work across approved Windows/macOS applications without continuous full-motion recording.</x:v>
      </x:c>
      <x:c r="D5" s="485" t="str">
        <x:v>Universal evidence layer for later Task Assurance.</x:v>
      </x:c>
      <x:c r="E5" s="485" t="str">
        <x:v>Product/Desktop/DPO</x:v>
      </x:c>
      <x:c r="F5" s="485" t="str">
        <x:v>Critical</x:v>
      </x:c>
      <x:c r="G5" s="485" t="str">
        <x:v>Draft Complete</x:v>
      </x:c>
      <x:c r="H5" s="486" t="str">
        <x:v>Stage 5 Gate</x:v>
      </x:c>
    </x:row>
    <x:row r="6">
      <x:c r="A6" s="492" t="str">
        <x:v>S5-SCOPE-002</x:v>
      </x:c>
      <x:c r="B6" s="493" t="str">
        <x:v>Supported devices</x:v>
      </x:c>
      <x:c r="C6" s="493" t="str">
        <x:v>Company-managed Windows 11 and current supported macOS devices that pass Stage 3 permission/signing tests.</x:v>
      </x:c>
      <x:c r="D6" s="493" t="str">
        <x:v>Controlled endpoint environment.</x:v>
      </x:c>
      <x:c r="E6" s="493" t="str">
        <x:v>IT/Desktop</x:v>
      </x:c>
      <x:c r="F6" s="493" t="str">
        <x:v>Critical</x:v>
      </x:c>
      <x:c r="G6" s="493" t="str">
        <x:v>Draft Complete</x:v>
      </x:c>
      <x:c r="H6" s="494" t="str">
        <x:v>Supported Environment Matrix</x:v>
      </x:c>
    </x:row>
    <x:row r="7">
      <x:c r="A7" s="487" t="str">
        <x:v>S5-SCOPE-003</x:v>
      </x:c>
      <x:c r="B7" s="114" t="str">
        <x:v>Capture boundary</x:v>
      </x:c>
      <x:c r="C7" s="114" t="str">
        <x:v>Capture only while signed policy, approved work/task session and allowed sensor state are active.</x:v>
      </x:c>
      <x:c r="D7" s="114" t="str">
        <x:v>Purpose limitation and fairness.</x:v>
      </x:c>
      <x:c r="E7" s="114" t="str">
        <x:v>DPO/Product/Security</x:v>
      </x:c>
      <x:c r="F7" s="114" t="str">
        <x:v>Critical</x:v>
      </x:c>
      <x:c r="G7" s="114" t="str">
        <x:v>Draft Complete</x:v>
      </x:c>
      <x:c r="H7" s="488" t="str">
        <x:v>Policy Bundle/State Machine</x:v>
      </x:c>
    </x:row>
    <x:row r="8">
      <x:c r="A8" s="492" t="str">
        <x:v>S5-SCOPE-004</x:v>
      </x:c>
      <x:c r="B8" s="493" t="str">
        <x:v>Visual strategy</x:v>
      </x:c>
      <x:c r="C8" s="493" t="str">
        <x:v>Event-driven snapshots/changed regions with deduplication; no default continuous video or manager live view.</x:v>
      </x:c>
      <x:c r="D8" s="493" t="str">
        <x:v>Reduce intrusion, CPU and storage while retaining material states.</x:v>
      </x:c>
      <x:c r="E8" s="493" t="str">
        <x:v>Desktop/DPO</x:v>
      </x:c>
      <x:c r="F8" s="493" t="str">
        <x:v>Critical</x:v>
      </x:c>
      <x:c r="G8" s="493" t="str">
        <x:v>Draft Complete</x:v>
      </x:c>
      <x:c r="H8" s="494" t="str">
        <x:v>Visual State Model</x:v>
      </x:c>
    </x:row>
    <x:row r="9">
      <x:c r="A9" s="487" t="str">
        <x:v>S5-SCOPE-005</x:v>
      </x:c>
      <x:c r="B9" s="114" t="str">
        <x:v>Input strategy</x:v>
      </x:c>
      <x:c r="C9" s="114" t="str">
        <x:v>Capture input metadata and approved resulting text deltas; raw key values only in explicitly supported non-secure controls when needed.</x:v>
      </x:c>
      <x:c r="D9" s="114" t="str">
        <x:v>Exact provenance without unrestricted keylogging.</x:v>
      </x:c>
      <x:c r="E9" s="114" t="str">
        <x:v>DPO/Desktop</x:v>
      </x:c>
      <x:c r="F9" s="114" t="str">
        <x:v>Critical</x:v>
      </x:c>
      <x:c r="G9" s="114" t="str">
        <x:v>Draft Complete</x:v>
      </x:c>
      <x:c r="H9" s="488" t="str">
        <x:v>Input and Text Model</x:v>
      </x:c>
    </x:row>
    <x:row r="10">
      <x:c r="A10" s="492" t="str">
        <x:v>S5-SCOPE-006</x:v>
      </x:c>
      <x:c r="B10" s="493" t="str">
        <x:v>Authoritative work evidence</x:v>
      </x:c>
      <x:c r="C10" s="493" t="str">
        <x:v>Prefer file/Git/terminal/build/test/agent artefacts over screen interpretation.</x:v>
      </x:c>
      <x:c r="D10" s="493" t="str">
        <x:v>Higher reliability and lower ambiguity.</x:v>
      </x:c>
      <x:c r="E10" s="493" t="str">
        <x:v>Data/Product</x:v>
      </x:c>
      <x:c r="F10" s="493" t="str">
        <x:v>Critical</x:v>
      </x:c>
      <x:c r="G10" s="493" t="str">
        <x:v>Draft Complete</x:v>
      </x:c>
      <x:c r="H10" s="494" t="str">
        <x:v>Stage 2 evidence hierarchy</x:v>
      </x:c>
    </x:row>
    <x:row r="11">
      <x:c r="A11" s="487" t="str">
        <x:v>S5-SCOPE-007</x:v>
      </x:c>
      <x:c r="B11" s="114" t="str">
        <x:v>Application context</x:v>
      </x:c>
      <x:c r="C11" s="114" t="str">
        <x:v>Capture active application/process/window metadata with policy redaction.</x:v>
      </x:c>
      <x:c r="D11" s="114" t="str">
        <x:v>Task alignment and work context.</x:v>
      </x:c>
      <x:c r="E11" s="114" t="str">
        <x:v>Desktop/Data</x:v>
      </x:c>
      <x:c r="F11" s="114" t="str">
        <x:v>High</x:v>
      </x:c>
      <x:c r="G11" s="114" t="str">
        <x:v>Draft Complete</x:v>
      </x:c>
      <x:c r="H11" s="488" t="str">
        <x:v>Sensor Specifications</x:v>
      </x:c>
    </x:row>
    <x:row r="12">
      <x:c r="A12" s="492" t="str">
        <x:v>S5-SCOPE-008</x:v>
      </x:c>
      <x:c r="B12" s="493" t="str">
        <x:v>Browser context</x:v>
      </x:c>
      <x:c r="C12" s="493" t="str">
        <x:v>Capture active tab title/domain and allowlisted URL components via enterprise extension.</x:v>
      </x:c>
      <x:c r="D12" s="493" t="str">
        <x:v>Web research/testing context.</x:v>
      </x:c>
      <x:c r="E12" s="493" t="str">
        <x:v>Browser/DPO</x:v>
      </x:c>
      <x:c r="F12" s="493" t="str">
        <x:v>High</x:v>
      </x:c>
      <x:c r="G12" s="493" t="str">
        <x:v>Draft Complete</x:v>
      </x:c>
      <x:c r="H12" s="494" t="str">
        <x:v>Chrome Tabs/Native Messaging</x:v>
      </x:c>
    </x:row>
    <x:row r="13">
      <x:c r="A13" s="487" t="str">
        <x:v>S5-SCOPE-009</x:v>
      </x:c>
      <x:c r="B13" s="114" t="str">
        <x:v>File scope</x:v>
      </x:c>
      <x:c r="C13" s="114" t="str">
        <x:v>Capture file-system events only inside approved project roots or source-system adapters.</x:v>
      </x:c>
      <x:c r="D13" s="114" t="str">
        <x:v>Avoid personal-folder surveillance.</x:v>
      </x:c>
      <x:c r="E13" s="114" t="str">
        <x:v>Desktop/Security</x:v>
      </x:c>
      <x:c r="F13" s="114" t="str">
        <x:v>Critical</x:v>
      </x:c>
      <x:c r="G13" s="114" t="str">
        <x:v>Draft Complete</x:v>
      </x:c>
      <x:c r="H13" s="488" t="str">
        <x:v>Supported Environment Matrix</x:v>
      </x:c>
    </x:row>
    <x:row r="14">
      <x:c r="A14" s="492" t="str">
        <x:v>S5-SCOPE-010</x:v>
      </x:c>
      <x:c r="B14" s="493" t="str">
        <x:v>Idle model</x:v>
      </x:c>
      <x:c r="C14" s="493" t="str">
        <x:v>Distinguish human inactivity, automated execution wait, review/reading, meeting/collaboration, break and insufficient evidence.</x:v>
      </x:c>
      <x:c r="D14" s="493" t="str">
        <x:v>Prevent false idle/performance conclusions.</x:v>
      </x:c>
      <x:c r="E14" s="493" t="str">
        <x:v>AI/Product/DPO</x:v>
      </x:c>
      <x:c r="F14" s="493" t="str">
        <x:v>Critical</x:v>
      </x:c>
      <x:c r="G14" s="493" t="str">
        <x:v>Draft Complete</x:v>
      </x:c>
      <x:c r="H14" s="494" t="str">
        <x:v>Idle and Automation Model</x:v>
      </x:c>
    </x:row>
    <x:row r="15">
      <x:c r="A15" s="487" t="str">
        <x:v>S5-SCOPE-011</x:v>
      </x:c>
      <x:c r="B15" s="114" t="str">
        <x:v>Secure content</x:v>
      </x:c>
      <x:c r="C15" s="114" t="str">
        <x:v>Passwords, authentication codes, private apps/domains, excluded displays and detected secrets are suppressed before persistence.</x:v>
      </x:c>
      <x:c r="D15" s="114" t="str">
        <x:v>Pilot-blocking privacy control.</x:v>
      </x:c>
      <x:c r="E15" s="114" t="str">
        <x:v>CISO/DPO/Desktop</x:v>
      </x:c>
      <x:c r="F15" s="114" t="str">
        <x:v>Critical</x:v>
      </x:c>
      <x:c r="G15" s="114" t="str">
        <x:v>Draft Complete</x:v>
      </x:c>
      <x:c r="H15" s="488" t="str">
        <x:v>Privacy Redaction Tests</x:v>
      </x:c>
    </x:row>
    <x:row r="16">
      <x:c r="A16" s="492" t="str">
        <x:v>S5-SCOPE-012</x:v>
      </x:c>
      <x:c r="B16" s="493" t="str">
        <x:v>Employee experience</x:v>
      </x:c>
      <x:c r="C16" s="493" t="str">
        <x:v>Persistent visible status, active task and sensor list; employee can pause, use private/excluded state and report incorrect capture.</x:v>
      </x:c>
      <x:c r="D16" s="493" t="str">
        <x:v>Transparency and correction rights.</x:v>
      </x:c>
      <x:c r="E16" s="493" t="str">
        <x:v>Product/HR</x:v>
      </x:c>
      <x:c r="F16" s="493" t="str">
        <x:v>Critical</x:v>
      </x:c>
      <x:c r="G16" s="493" t="str">
        <x:v>Draft Complete</x:v>
      </x:c>
      <x:c r="H16" s="494" t="str">
        <x:v>Stage 3 UI</x:v>
      </x:c>
    </x:row>
    <x:row r="17">
      <x:c r="A17" s="487" t="str">
        <x:v>S5-SCOPE-013</x:v>
      </x:c>
      <x:c r="B17" s="114" t="str">
        <x:v>Manager experience</x:v>
      </x:c>
      <x:c r="C17" s="114" t="str">
        <x:v>No live raw surveillance dashboard; Stage 5 exposes evidence for employee/reviewer validation and later exception-led reports.</x:v>
      </x:c>
      <x:c r="D17" s="114" t="str">
        <x:v>Avoid premature misuse.</x:v>
      </x:c>
      <x:c r="E17" s="114" t="str">
        <x:v>Product/HR/DPO</x:v>
      </x:c>
      <x:c r="F17" s="114" t="str">
        <x:v>Critical</x:v>
      </x:c>
      <x:c r="G17" s="114" t="str">
        <x:v>Draft Complete</x:v>
      </x:c>
      <x:c r="H17" s="488" t="str">
        <x:v>Stage 0 governance</x:v>
      </x:c>
    </x:row>
    <x:row r="18">
      <x:c r="A18" s="492" t="str">
        <x:v>S5-SCOPE-014</x:v>
      </x:c>
      <x:c r="B18" s="493" t="str">
        <x:v>MVP exclusions</x:v>
      </x:c>
      <x:c r="C18" s="493" t="str">
        <x:v>Audio, webcam, network payloads, personal devices, unrestricted clipboard content and broad Linux capture are excluded.</x:v>
      </x:c>
      <x:c r="D18" s="493" t="str">
        <x:v>Scope and privacy control.</x:v>
      </x:c>
      <x:c r="E18" s="493" t="str">
        <x:v>Product/DPO/CISO</x:v>
      </x:c>
      <x:c r="F18" s="493" t="str">
        <x:v>Critical</x:v>
      </x:c>
      <x:c r="G18" s="493" t="str">
        <x:v>Draft Complete</x:v>
      </x:c>
      <x:c r="H18" s="494" t="str">
        <x:v>Purpose Policy Matrix</x:v>
      </x:c>
    </x:row>
    <x:row r="19">
      <x:c r="A19" s="489" t="str">
        <x:v>S5-SCOPE-015</x:v>
      </x:c>
      <x:c r="B19" s="490" t="str">
        <x:v>Success threshold</x:v>
      </x:c>
      <x:c r="C19" s="490" t="str">
        <x:v>Meet capture accuracy, secure-field leakage, performance, employee comprehension and correction criteria before Stage 6/7 consumption.</x:v>
      </x:c>
      <x:c r="D19" s="490" t="str">
        <x:v>Evidence quality gate.</x:v>
      </x:c>
      <x:c r="E19" s="490" t="str">
        <x:v>QA/Product/DPO</x:v>
      </x:c>
      <x:c r="F19" s="490" t="str">
        <x:v>Critical</x:v>
      </x:c>
      <x:c r="G19" s="490" t="str">
        <x:v>Draft Complete</x:v>
      </x:c>
      <x:c r="H19" s="491" t="str">
        <x:v>Stage 5 Gate</x:v>
      </x:c>
    </x:row>
  </x:sheetData>
  <x:mergeCells>
    <x:mergeCell ref="A1:H1"/>
    <x:mergeCell ref="A2:H2"/>
  </x:mergeCells>
  <x:dataValidations count="2">
    <x:dataValidation type="list" sqref="F5:F19">
      <x:formula1>"Critical,High,Medium,Low"</x:formula1>
    </x:dataValidation>
    <x:dataValidation type="list" sqref="G5:G19">
      <x:formula1>"Draft Complete,Needs Review,Approved,Deferred"</x:formula1>
    </x:dataValidation>
  </x:dataValidations>
  <x:pageMargins left="0.7" right="0.7" top="0.75" bottom="0.75" header="0.3" footer="0.3"/>
</x:worksheet>
</file>

<file path=xl/worksheets/sheet74.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54" hidden="0" customWidth="1"/>
    <x:col min="5" max="5" width="40" hidden="0" customWidth="1"/>
    <x:col min="6" max="6" width="38" hidden="0" customWidth="1"/>
    <x:col min="7" max="7" width="54" hidden="0" customWidth="1"/>
    <x:col min="8" max="8" width="38" hidden="0" customWidth="1"/>
    <x:col min="9" max="9" width="42" hidden="0" customWidth="1"/>
    <x:col min="10" max="10" width="12" hidden="0" customWidth="1"/>
    <x:col min="11" max="11" width="18" hidden="0" customWidth="1"/>
  </x:cols>
  <x:sheetData>
    <x:row r="1" ht="30" customHeight="1">
      <x:c r="A1" s="449" t="str">
        <x:v>Stage 5 — Sensor Specifications</x:v>
      </x:c>
      <x:c r="B1" s="449"/>
      <x:c r="C1" s="449"/>
      <x:c r="D1" s="449"/>
      <x:c r="E1" s="449"/>
      <x:c r="F1" s="449"/>
      <x:c r="G1" s="449"/>
      <x:c r="H1" s="449"/>
      <x:c r="I1" s="449"/>
      <x:c r="J1" s="449"/>
      <x:c r="K1" s="449"/>
    </x:row>
    <x:row r="2" ht="36" customHeight="1">
      <x:c r="A2" s="453" t="str">
        <x:v>Universal capture sensor catalogue, including data fields, platform sources, triggers, minimisation and acceptance targets.</x:v>
      </x:c>
      <x:c r="B2" s="453"/>
      <x:c r="C2" s="453"/>
      <x:c r="D2" s="453"/>
      <x:c r="E2" s="453"/>
      <x:c r="F2" s="453"/>
      <x:c r="G2" s="453"/>
      <x:c r="H2" s="453"/>
      <x:c r="I2" s="453"/>
      <x:c r="J2" s="453"/>
      <x:c r="K2" s="453"/>
    </x:row>
    <x:row r="4" ht="30" customHeight="1">
      <x:c r="A4" s="465" t="str">
        <x:v>ID</x:v>
      </x:c>
      <x:c r="B4" s="466" t="str">
        <x:v>Sensor</x:v>
      </x:c>
      <x:c r="C4" s="466" t="str">
        <x:v>Capture level</x:v>
      </x:c>
      <x:c r="D4" s="466" t="str">
        <x:v>Data captured</x:v>
      </x:c>
      <x:c r="E4" s="466" t="str">
        <x:v>Platform source</x:v>
      </x:c>
      <x:c r="F4" s="466" t="str">
        <x:v>Trigger</x:v>
      </x:c>
      <x:c r="G4" s="466" t="str">
        <x:v>Minimisation / redaction</x:v>
      </x:c>
      <x:c r="H4" s="466" t="str">
        <x:v>Purpose</x:v>
      </x:c>
      <x:c r="I4" s="466" t="str">
        <x:v>Acceptance target</x:v>
      </x:c>
      <x:c r="J4" s="466" t="str">
        <x:v>Priority</x:v>
      </x:c>
      <x:c r="K4" s="467" t="str">
        <x:v>Status</x:v>
      </x:c>
    </x:row>
    <x:row r="5">
      <x:c r="A5" s="484" t="str">
        <x:v>SNS-001</x:v>
      </x:c>
      <x:c r="B5" s="485" t="str">
        <x:v>Application foreground</x:v>
      </x:c>
      <x:c r="C5" s="485" t="str">
        <x:v>Metadata</x:v>
      </x:c>
      <x:c r="D5" s="485" t="str">
        <x:v>App/process identity, signed publisher where available, start/end, focus reason.</x:v>
      </x:c>
      <x:c r="E5" s="485" t="str">
        <x:v>Win32/UIA/ETW; NSWorkspace/AX</x:v>
      </x:c>
      <x:c r="F5" s="485" t="str">
        <x:v>App focus change; session start; return from idle.</x:v>
      </x:c>
      <x:c r="G5" s="485" t="str">
        <x:v>Redact/replace sensitive app name by policy.</x:v>
      </x:c>
      <x:c r="H5" s="485" t="str">
        <x:v>Task context, switching and exclusions.</x:v>
      </x:c>
      <x:c r="I5" s="485" t="str">
        <x:v>≥99% controlled foreground-change recall.</x:v>
      </x:c>
      <x:c r="J5" s="485" t="str">
        <x:v>Critical</x:v>
      </x:c>
      <x:c r="K5" s="486" t="str">
        <x:v>Draft Complete</x:v>
      </x:c>
    </x:row>
    <x:row r="6">
      <x:c r="A6" s="492" t="str">
        <x:v>SNS-002</x:v>
      </x:c>
      <x:c r="B6" s="493" t="str">
        <x:v>Window context</x:v>
      </x:c>
      <x:c r="C6" s="493" t="str">
        <x:v>Metadata</x:v>
      </x:c>
      <x:c r="D6" s="493" t="str">
        <x:v>Window ID, title class/redacted title, bounds, display, active state.</x:v>
      </x:c>
      <x:c r="E6" s="493" t="str">
        <x:v>Win32/UIA; macOS AX/window APIs</x:v>
      </x:c>
      <x:c r="F6" s="493" t="str">
        <x:v>Window change, title material change.</x:v>
      </x:c>
      <x:c r="G6" s="493" t="str">
        <x:v>Titles allowlisted/redacted; excluded windows suppressed.</x:v>
      </x:c>
      <x:c r="H6" s="493" t="str">
        <x:v>Task context and visual state.</x:v>
      </x:c>
      <x:c r="I6" s="493" t="str">
        <x:v>≥98% supported-window match.</x:v>
      </x:c>
      <x:c r="J6" s="493" t="str">
        <x:v>High</x:v>
      </x:c>
      <x:c r="K6" s="494" t="str">
        <x:v>Draft Complete</x:v>
      </x:c>
    </x:row>
    <x:row r="7">
      <x:c r="A7" s="487" t="str">
        <x:v>SNS-003</x:v>
      </x:c>
      <x:c r="B7" s="114" t="str">
        <x:v>Process lifecycle</x:v>
      </x:c>
      <x:c r="C7" s="114" t="str">
        <x:v>Semantic metadata</x:v>
      </x:c>
      <x:c r="D7" s="114" t="str">
        <x:v>PID, parent PID, executable identity, start/exit, exit code where available.</x:v>
      </x:c>
      <x:c r="E7" s="114" t="str">
        <x:v>ETW/Win32; Endpoint Security/process APIs</x:v>
      </x:c>
      <x:c r="F7" s="114" t="str">
        <x:v>Process start/exit.</x:v>
      </x:c>
      <x:c r="G7" s="114" t="str">
        <x:v>Command line/env excluded unless approved/redacted.</x:v>
      </x:c>
      <x:c r="H7" s="114" t="str">
        <x:v>Automation wait, provenance and tool execution.</x:v>
      </x:c>
      <x:c r="I7" s="114" t="str">
        <x:v>≥99% supported process events.</x:v>
      </x:c>
      <x:c r="J7" s="114" t="str">
        <x:v>High</x:v>
      </x:c>
      <x:c r="K7" s="488" t="str">
        <x:v>Draft Complete</x:v>
      </x:c>
    </x:row>
    <x:row r="8">
      <x:c r="A8" s="492" t="str">
        <x:v>SNS-004</x:v>
      </x:c>
      <x:c r="B8" s="493" t="str">
        <x:v>Mouse click</x:v>
      </x:c>
      <x:c r="C8" s="493" t="str">
        <x:v>Input metadata</x:v>
      </x:c>
      <x:c r="D8" s="493" t="str">
        <x:v>Button, coordinates, display, active app/window, UI element ref, injected flag if available.</x:v>
      </x:c>
      <x:c r="E8" s="493" t="str">
        <x:v>Raw Input/hooks/AX/UIA element lookup</x:v>
      </x:c>
      <x:c r="F8" s="493" t="str">
        <x:v>Button down/up consolidated to click.</x:v>
      </x:c>
      <x:c r="G8" s="493" t="str">
        <x:v>No continuous movement path; excluded/secure context suppression.</x:v>
      </x:c>
      <x:c r="H8" s="493" t="str">
        <x:v>Action edge between states.</x:v>
      </x:c>
      <x:c r="I8" s="493" t="str">
        <x:v>≥98% click-to-state correlation.</x:v>
      </x:c>
      <x:c r="J8" s="493" t="str">
        <x:v>Critical</x:v>
      </x:c>
      <x:c r="K8" s="494" t="str">
        <x:v>Draft Complete</x:v>
      </x:c>
    </x:row>
    <x:row r="9">
      <x:c r="A9" s="487" t="str">
        <x:v>SNS-005</x:v>
      </x:c>
      <x:c r="B9" s="114" t="str">
        <x:v>Mouse scroll</x:v>
      </x:c>
      <x:c r="C9" s="114" t="str">
        <x:v>Input metadata</x:v>
      </x:c>
      <x:c r="D9" s="114" t="str">
        <x:v>Delta/direction, target app/window/control.</x:v>
      </x:c>
      <x:c r="E9" s="114" t="str">
        <x:v>Raw Input/event taps</x:v>
      </x:c>
      <x:c r="F9" s="114" t="str">
        <x:v>Meaningful scroll or pause.</x:v>
      </x:c>
      <x:c r="G9" s="114" t="str">
        <x:v>Aggregate repeated small events; no productivity count.</x:v>
      </x:c>
      <x:c r="H9" s="114" t="str">
        <x:v>Page/state change context.</x:v>
      </x:c>
      <x:c r="I9" s="114" t="str">
        <x:v>Low latency/no dropped input.</x:v>
      </x:c>
      <x:c r="J9" s="114" t="str">
        <x:v>Medium</x:v>
      </x:c>
      <x:c r="K9" s="488" t="str">
        <x:v>Draft Complete</x:v>
      </x:c>
    </x:row>
    <x:row r="10">
      <x:c r="A10" s="492" t="str">
        <x:v>SNS-006</x:v>
      </x:c>
      <x:c r="B10" s="493" t="str">
        <x:v>Keyboard metadata</x:v>
      </x:c>
      <x:c r="C10" s="493" t="str">
        <x:v>Input metadata</x:v>
      </x:c>
      <x:c r="D10" s="493" t="str">
        <x:v>Key category, modifiers, shortcut, paste/delete/undo/redo, timing, active control, injected flag.</x:v>
      </x:c>
      <x:c r="E10" s="493" t="str">
        <x:v>Raw Input/keyboard APIs; CGEvent tap spike</x:v>
      </x:c>
      <x:c r="F10" s="493" t="str">
        <x:v>Key event grouped into interaction burst.</x:v>
      </x:c>
      <x:c r="G10" s="493" t="str">
        <x:v>Secure/excluded controls suppress values; categories preferred.</x:v>
      </x:c>
      <x:c r="H10" s="493" t="str">
        <x:v>Human input provenance and idle.</x:v>
      </x:c>
      <x:c r="I10" s="493" t="str">
        <x:v>Zero perceptible latency.</x:v>
      </x:c>
      <x:c r="J10" s="493" t="str">
        <x:v>Critical</x:v>
      </x:c>
      <x:c r="K10" s="494" t="str">
        <x:v>Draft Complete</x:v>
      </x:c>
    </x:row>
    <x:row r="11">
      <x:c r="A11" s="487" t="str">
        <x:v>SNS-007</x:v>
      </x:c>
      <x:c r="B11" s="114" t="str">
        <x:v>Resulting text delta</x:v>
      </x:c>
      <x:c r="C11" s="114" t="str">
        <x:v>Approved content</x:v>
      </x:c>
      <x:c r="D11" s="114" t="str">
        <x:v>Inserted/deleted range, before/after hash, source control/app, attribution candidate.</x:v>
      </x:c>
      <x:c r="E11" s="114" t="str">
        <x:v>UIA/AX notifications; IDE/browser/shell adapters</x:v>
      </x:c>
      <x:c r="F11" s="114" t="str">
        <x:v>Text value/document change in allowlisted surface.</x:v>
      </x:c>
      <x:c r="G11" s="114" t="str">
        <x:v>Secure field suppression; secret scan; separately encrypted object.</x:v>
      </x:c>
      <x:c r="H11" s="114" t="str">
        <x:v>Exact work reconstruction.</x:v>
      </x:c>
      <x:c r="I11" s="114" t="str">
        <x:v>≥95% supported-control reconstruction; zero known secret leakage.</x:v>
      </x:c>
      <x:c r="J11" s="114" t="str">
        <x:v>Critical</x:v>
      </x:c>
      <x:c r="K11" s="488" t="str">
        <x:v>Draft Complete</x:v>
      </x:c>
    </x:row>
    <x:row r="12">
      <x:c r="A12" s="492" t="str">
        <x:v>SNS-008</x:v>
      </x:c>
      <x:c r="B12" s="493" t="str">
        <x:v>Accessibility/UI state</x:v>
      </x:c>
      <x:c r="C12" s="493" t="str">
        <x:v>Semantic state</x:v>
      </x:c>
      <x:c r="D12" s="493" t="str">
        <x:v>Focused element, role/subrole/control type, labels, value hash/ref, bounds, enabled/selected state.</x:v>
      </x:c>
      <x:c r="E12" s="493" t="str">
        <x:v>UI Automation; AXUIElement</x:v>
      </x:c>
      <x:c r="F12" s="493" t="str">
        <x:v>Focus/control/state change and visual snapshot.</x:v>
      </x:c>
      <x:c r="G12" s="493" t="str">
        <x:v>Password/secure subroles suppressed; content minimised.</x:v>
      </x:c>
      <x:c r="H12" s="493" t="str">
        <x:v>Semantic screen interpretation.</x:v>
      </x:c>
      <x:c r="I12" s="493" t="str">
        <x:v>Coverage matrix by supported app.</x:v>
      </x:c>
      <x:c r="J12" s="493" t="str">
        <x:v>High</x:v>
      </x:c>
      <x:c r="K12" s="494" t="str">
        <x:v>Draft Complete</x:v>
      </x:c>
    </x:row>
    <x:row r="13">
      <x:c r="A13" s="487" t="str">
        <x:v>SNS-009</x:v>
      </x:c>
      <x:c r="B13" s="114" t="str">
        <x:v>Visual state</x:v>
      </x:c>
      <x:c r="C13" s="114" t="str">
        <x:v>Visual evidence</x:v>
      </x:c>
      <x:c r="D13" s="114" t="str">
        <x:v>Screenshot object ref, changed regions, perceptual/content hash, redaction state, app/window/display/task.</x:v>
      </x:c>
      <x:c r="E13" s="114" t="str">
        <x:v>Windows Graphics Capture; ScreenCaptureKit</x:v>
      </x:c>
      <x:c r="F13" s="114" t="str">
        <x:v>Policy-defined meaningful change triggers.</x:v>
      </x:c>
      <x:c r="G13" s="114" t="str">
        <x:v>Excluded regions/apps/displays; local redaction; no raw preview in logs.</x:v>
      </x:c>
      <x:c r="H13" s="114" t="str">
        <x:v>Opaque-app evidence and replay.</x:v>
      </x:c>
      <x:c r="I13" s="114" t="str">
        <x:v>≤500 ms p95 capture+hash target; event-driven.</x:v>
      </x:c>
      <x:c r="J13" s="114" t="str">
        <x:v>Critical</x:v>
      </x:c>
      <x:c r="K13" s="488" t="str">
        <x:v>Draft Complete</x:v>
      </x:c>
    </x:row>
    <x:row r="14">
      <x:c r="A14" s="492" t="str">
        <x:v>SNS-010</x:v>
      </x:c>
      <x:c r="B14" s="493" t="str">
        <x:v>File-system event</x:v>
      </x:c>
      <x:c r="C14" s="493" t="str">
        <x:v>Semantic metadata</x:v>
      </x:c>
      <x:c r="D14" s="493" t="str">
        <x:v>Approved-root file create/modify/delete/rename, path token/ref, hash, process/actor link.</x:v>
      </x:c>
      <x:c r="E14" s="493" t="str">
        <x:v>ReadDirectoryChangesW/USN/ETW; FSEvents/kqueue; adapters</x:v>
      </x:c>
      <x:c r="F14" s="493" t="str">
        <x:v>File event in approved roots.</x:v>
      </x:c>
      <x:c r="G14" s="493" t="str">
        <x:v>No personal roots; path redaction/tokenisation.</x:v>
      </x:c>
      <x:c r="H14" s="493" t="str">
        <x:v>Artefact/provenance evidence.</x:v>
      </x:c>
      <x:c r="I14" s="493" t="str">
        <x:v>≥98% controlled event recall.</x:v>
      </x:c>
      <x:c r="J14" s="493" t="str">
        <x:v>High</x:v>
      </x:c>
      <x:c r="K14" s="494" t="str">
        <x:v>Draft Complete</x:v>
      </x:c>
    </x:row>
    <x:row r="15">
      <x:c r="A15" s="487" t="str">
        <x:v>SNS-011</x:v>
      </x:c>
      <x:c r="B15" s="114" t="str">
        <x:v>Git event</x:v>
      </x:c>
      <x:c r="C15" s="114" t="str">
        <x:v>Authoritative/semantic</x:v>
      </x:c>
      <x:c r="D15" s="114" t="str">
        <x:v>Repo, branch, status, diff stats, commit/PR refs, changed file hashes.</x:v>
      </x:c>
      <x:c r="E15" s="114" t="str">
        <x:v>Git adapter/source-system APIs</x:v>
      </x:c>
      <x:c r="F15" s="114" t="str">
        <x:v>Status/diff/commit/checkout/review event.</x:v>
      </x:c>
      <x:c r="G15" s="114" t="str">
        <x:v>Source code content governed separately; no line-count productivity.</x:v>
      </x:c>
      <x:c r="H15" s="114" t="str">
        <x:v>Authoritative developer evidence.</x:v>
      </x:c>
      <x:c r="I15" s="114" t="str">
        <x:v>Contract tests with supported Git workflows.</x:v>
      </x:c>
      <x:c r="J15" s="114" t="str">
        <x:v>High</x:v>
      </x:c>
      <x:c r="K15" s="488" t="str">
        <x:v>Draft Complete</x:v>
      </x:c>
    </x:row>
    <x:row r="16">
      <x:c r="A16" s="492" t="str">
        <x:v>SNS-012</x:v>
      </x:c>
      <x:c r="B16" s="493" t="str">
        <x:v>Terminal/shell event</x:v>
      </x:c>
      <x:c r="C16" s="493" t="str">
        <x:v>Semantic content</x:v>
      </x:c>
      <x:c r="D16" s="493" t="str">
        <x:v>Command, cwd, start/end, exit code, process tree, selected output reference.</x:v>
      </x:c>
      <x:c r="E16" s="493" t="str">
        <x:v>Shell/PTY integration</x:v>
      </x:c>
      <x:c r="F16" s="493" t="str">
        <x:v>Command execution and completion.</x:v>
      </x:c>
      <x:c r="G16" s="493" t="str">
        <x:v>Environment/secret redaction; approved shells only.</x:v>
      </x:c>
      <x:c r="H16" s="493" t="str">
        <x:v>Build/test/debug provenance.</x:v>
      </x:c>
      <x:c r="I16" s="493" t="str">
        <x:v>≥95% supported-shell command capture.</x:v>
      </x:c>
      <x:c r="J16" s="493" t="str">
        <x:v>Critical</x:v>
      </x:c>
      <x:c r="K16" s="494" t="str">
        <x:v>Draft Complete</x:v>
      </x:c>
    </x:row>
    <x:row r="17">
      <x:c r="A17" s="487" t="str">
        <x:v>SNS-013</x:v>
      </x:c>
      <x:c r="B17" s="114" t="str">
        <x:v>Build/test event</x:v>
      </x:c>
      <x:c r="C17" s="114" t="str">
        <x:v>Authoritative/semantic</x:v>
      </x:c>
      <x:c r="D17" s="114" t="str">
        <x:v>Tool, target, start/end, result, counts, artefact refs, logs ref.</x:v>
      </x:c>
      <x:c r="E17" s="114" t="str">
        <x:v>IDE/CI/test adapters and process correlation</x:v>
      </x:c>
      <x:c r="F17" s="114" t="str">
        <x:v>Build/test lifecycle.</x:v>
      </x:c>
      <x:c r="G17" s="114" t="str">
        <x:v>Selected output only; secrets redacted.</x:v>
      </x:c>
      <x:c r="H17" s="114" t="str">
        <x:v>Task quality and automated wait.</x:v>
      </x:c>
      <x:c r="I17" s="114" t="str">
        <x:v>Accurate pass/fail and duration.</x:v>
      </x:c>
      <x:c r="J17" s="114" t="str">
        <x:v>Critical</x:v>
      </x:c>
      <x:c r="K17" s="488" t="str">
        <x:v>Draft Complete</x:v>
      </x:c>
    </x:row>
    <x:row r="18">
      <x:c r="A18" s="492" t="str">
        <x:v>SNS-014</x:v>
      </x:c>
      <x:c r="B18" s="493" t="str">
        <x:v>Browser tab/navigation</x:v>
      </x:c>
      <x:c r="C18" s="493" t="str">
        <x:v>Semantic metadata</x:v>
      </x:c>
      <x:c r="D18" s="493" t="str">
        <x:v>Tab ID, title, domain, allowlisted URL path, navigation type, active state.</x:v>
      </x:c>
      <x:c r="E18" s="493" t="str">
        <x:v>Chrome/Edge extension</x:v>
      </x:c>
      <x:c r="F18" s="493" t="str">
        <x:v>Tab activation/update/navigation.</x:v>
      </x:c>
      <x:c r="G18" s="493" t="str">
        <x:v>Tabs permission; URL/title policy; personal domains excluded.</x:v>
      </x:c>
      <x:c r="H18" s="493" t="str">
        <x:v>Research/web app/test context.</x:v>
      </x:c>
      <x:c r="I18" s="493" t="str">
        <x:v>≥98% active-tab accuracy.</x:v>
      </x:c>
      <x:c r="J18" s="493" t="str">
        <x:v>High</x:v>
      </x:c>
      <x:c r="K18" s="494" t="str">
        <x:v>Draft Complete</x:v>
      </x:c>
    </x:row>
    <x:row r="19">
      <x:c r="A19" s="487" t="str">
        <x:v>SNS-015</x:v>
      </x:c>
      <x:c r="B19" s="114" t="str">
        <x:v>AI-agent event</x:v>
      </x:c>
      <x:c r="C19" s="114" t="str">
        <x:v>Authoritative/semantic</x:v>
      </x:c>
      <x:c r="D19" s="114" t="str">
        <x:v>Provider, session, prompt ref, tool call, permission, generated file/process, stop/result.</x:v>
      </x:c>
      <x:c r="E19" s="114" t="str">
        <x:v>Codex/Claude/IDE hooks via adapter</x:v>
      </x:c>
      <x:c r="F19" s="114" t="str">
        <x:v>Agent lifecycle/tool events.</x:v>
      </x:c>
      <x:c r="G19" s="114" t="str">
        <x:v>Prompt/tool content secret scan and policy.</x:v>
      </x:c>
      <x:c r="H19" s="114" t="str">
        <x:v>Human/AI provenance.</x:v>
      </x:c>
      <x:c r="I19" s="114" t="str">
        <x:v>≥95% instrumented event attribution.</x:v>
      </x:c>
      <x:c r="J19" s="114" t="str">
        <x:v>High</x:v>
      </x:c>
      <x:c r="K19" s="488" t="str">
        <x:v>Draft Complete</x:v>
      </x:c>
    </x:row>
    <x:row r="20">
      <x:c r="A20" s="492" t="str">
        <x:v>SNS-016</x:v>
      </x:c>
      <x:c r="B20" s="493" t="str">
        <x:v>Idle/return</x:v>
      </x:c>
      <x:c r="C20" s="493" t="str">
        <x:v>Derived metadata</x:v>
      </x:c>
      <x:c r="D20" s="493" t="str">
        <x:v>Last human input, active foreground, process/agent/build state, classification and confidence.</x:v>
      </x:c>
      <x:c r="E20" s="493" t="str">
        <x:v>Local correlator</x:v>
      </x:c>
      <x:c r="F20" s="493" t="str">
        <x:v>Threshold reached; input returns; task/session change.</x:v>
      </x:c>
      <x:c r="G20" s="493" t="str">
        <x:v>No negative conclusion from inactivity alone.</x:v>
      </x:c>
      <x:c r="H20" s="493" t="str">
        <x:v>Time allocation and assistance.</x:v>
      </x:c>
      <x:c r="I20" s="493" t="str">
        <x:v>False-idle &lt;5% labelled periods.</x:v>
      </x:c>
      <x:c r="J20" s="493" t="str">
        <x:v>Critical</x:v>
      </x:c>
      <x:c r="K20" s="494" t="str">
        <x:v>Draft Complete</x:v>
      </x:c>
    </x:row>
    <x:row r="21">
      <x:c r="A21" s="487" t="str">
        <x:v>SNS-017</x:v>
      </x:c>
      <x:c r="B21" s="114" t="str">
        <x:v>Telemetry gap</x:v>
      </x:c>
      <x:c r="C21" s="114" t="str">
        <x:v>Evidence-quality event</x:v>
      </x:c>
      <x:c r="D21" s="114" t="str">
        <x:v>Sensor/permission/sequence gap, start/end, reason, affected scope.</x:v>
      </x:c>
      <x:c r="E21" s="114" t="str">
        <x:v>Agent health/journal</x:v>
      </x:c>
      <x:c r="F21" s="114" t="str">
        <x:v>Sensor failure/permission loss/drop/clock drift.</x:v>
      </x:c>
      <x:c r="G21" s="114" t="str">
        <x:v>No hidden gap; employee/reviewer visible.</x:v>
      </x:c>
      <x:c r="H21" s="114" t="str">
        <x:v>Downstream confidence control.</x:v>
      </x:c>
      <x:c r="I21" s="114" t="str">
        <x:v>100% known gaps emitted.</x:v>
      </x:c>
      <x:c r="J21" s="114" t="str">
        <x:v>Critical</x:v>
      </x:c>
      <x:c r="K21" s="488" t="str">
        <x:v>Draft Complete</x:v>
      </x:c>
    </x:row>
    <x:row r="22">
      <x:c r="A22" s="495" t="str">
        <x:v>SNS-018</x:v>
      </x:c>
      <x:c r="B22" s="496" t="str">
        <x:v>Manual evidence bookmark</x:v>
      </x:c>
      <x:c r="C22" s="496" t="str">
        <x:v>Employee action</x:v>
      </x:c>
      <x:c r="D22" s="496" t="str">
        <x:v>Timestamp, task, optional note/category and current state refs.</x:v>
      </x:c>
      <x:c r="E22" s="496" t="str">
        <x:v>Employee UI</x:v>
      </x:c>
      <x:c r="F22" s="496" t="str">
        <x:v>User selects bookmark.</x:v>
      </x:c>
      <x:c r="G22" s="496" t="str">
        <x:v>Employee controls note; redaction policy applies.</x:v>
      </x:c>
      <x:c r="H22" s="496" t="str">
        <x:v>High-signal evidence/context.</x:v>
      </x:c>
      <x:c r="I22" s="496" t="str">
        <x:v>Bookmark appears in timeline.</x:v>
      </x:c>
      <x:c r="J22" s="496" t="str">
        <x:v>Medium</x:v>
      </x:c>
      <x:c r="K22" s="497" t="str">
        <x:v>Draft Complete</x:v>
      </x:c>
    </x:row>
  </x:sheetData>
  <x:mergeCells>
    <x:mergeCell ref="A1:K1"/>
    <x:mergeCell ref="A2:K2"/>
  </x:mergeCells>
  <x:dataValidations count="3">
    <x:dataValidation type="list" sqref="C5:C22">
      <x:formula1>"Metadata,Semantic metadata,Input metadata,Approved content,Semantic state,Visual evidence,Authoritative/semantic,Semantic content,Derived metadata,Evidence-quality event,Employee action"</x:formula1>
    </x:dataValidation>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12" hidden="0" customWidth="1"/>
    <x:col min="2" max="2" width="28" hidden="0" customWidth="1"/>
    <x:col min="3" max="3" width="50" hidden="0" customWidth="1"/>
    <x:col min="4" max="4" width="20" hidden="0" customWidth="1"/>
    <x:col min="5" max="5" width="22" hidden="0" customWidth="1"/>
    <x:col min="6" max="6" width="34" hidden="0" customWidth="1"/>
    <x:col min="7" max="7" width="54" hidden="0" customWidth="1"/>
    <x:col min="8" max="8" width="18" hidden="0" customWidth="1"/>
  </x:cols>
  <x:sheetData>
    <x:row r="1" ht="30" customHeight="1">
      <x:c r="A1" s="449" t="str">
        <x:v>Stage 5 — Visual State Model</x:v>
      </x:c>
      <x:c r="B1" s="449"/>
      <x:c r="C1" s="449"/>
      <x:c r="D1" s="449"/>
      <x:c r="E1" s="449"/>
      <x:c r="F1" s="449"/>
      <x:c r="G1" s="449"/>
      <x:c r="H1" s="449"/>
    </x:row>
    <x:row r="2" ht="36" customHeight="1">
      <x:c r="A2" s="453" t="str">
        <x:v>Schema and event-driven capture model for redacted visual states, changed regions, UI/OCR references, deduplication and evidence completeness.</x:v>
      </x:c>
      <x:c r="B2" s="453"/>
      <x:c r="C2" s="453"/>
      <x:c r="D2" s="453"/>
      <x:c r="E2" s="453"/>
      <x:c r="F2" s="453"/>
      <x:c r="G2" s="453"/>
      <x:c r="H2" s="453"/>
    </x:row>
    <x:row r="4" ht="30" customHeight="1">
      <x:c r="A4" s="465" t="str">
        <x:v>ID</x:v>
      </x:c>
      <x:c r="B4" s="466" t="str">
        <x:v>Field</x:v>
      </x:c>
      <x:c r="C4" s="466" t="str">
        <x:v>Definition</x:v>
      </x:c>
      <x:c r="D4" s="466" t="str">
        <x:v>Type</x:v>
      </x:c>
      <x:c r="E4" s="466" t="str">
        <x:v>Requirement</x:v>
      </x:c>
      <x:c r="F4" s="466" t="str">
        <x:v>Purpose</x:v>
      </x:c>
      <x:c r="G4" s="466" t="str">
        <x:v>Validation / privacy rule</x:v>
      </x:c>
      <x:c r="H4" s="467" t="str">
        <x:v>Status</x:v>
      </x:c>
    </x:row>
    <x:row r="5">
      <x:c r="A5" s="484" t="str">
        <x:v>VS-001</x:v>
      </x:c>
      <x:c r="B5" s="485" t="str">
        <x:v>visual_state_id</x:v>
      </x:c>
      <x:c r="C5" s="485" t="str">
        <x:v>Unique visual state ID.</x:v>
      </x:c>
      <x:c r="D5" s="485" t="str">
        <x:v>UUID/ULID</x:v>
      </x:c>
      <x:c r="E5" s="485" t="str">
        <x:v>Required</x:v>
      </x:c>
      <x:c r="F5" s="485" t="str">
        <x:v>Identity and replay.</x:v>
      </x:c>
      <x:c r="G5" s="485" t="str">
        <x:v>Generated after local policy/redaction.</x:v>
      </x:c>
      <x:c r="H5" s="486" t="str">
        <x:v>Draft Complete</x:v>
      </x:c>
    </x:row>
    <x:row r="6">
      <x:c r="A6" s="492" t="str">
        <x:v>VS-002</x:v>
      </x:c>
      <x:c r="B6" s="493" t="str">
        <x:v>event_id</x:v>
      </x:c>
      <x:c r="C6" s="493" t="str">
        <x:v>Triggering activity event reference.</x:v>
      </x:c>
      <x:c r="D6" s="493" t="str">
        <x:v>string/ref</x:v>
      </x:c>
      <x:c r="E6" s="493" t="str">
        <x:v>Required</x:v>
      </x:c>
      <x:c r="F6" s="493" t="str">
        <x:v>Causal link.</x:v>
      </x:c>
      <x:c r="G6" s="493" t="str">
        <x:v>May reference app/window/click/navigation/build event.</x:v>
      </x:c>
      <x:c r="H6" s="494" t="str">
        <x:v>Draft Complete</x:v>
      </x:c>
    </x:row>
    <x:row r="7">
      <x:c r="A7" s="487" t="str">
        <x:v>VS-003</x:v>
      </x:c>
      <x:c r="B7" s="114" t="str">
        <x:v>previous_state_id</x:v>
      </x:c>
      <x:c r="C7" s="114" t="str">
        <x:v>Previous state in same display/window context.</x:v>
      </x:c>
      <x:c r="D7" s="114" t="str">
        <x:v>string/ref</x:v>
      </x:c>
      <x:c r="E7" s="114" t="str">
        <x:v>Optional</x:v>
      </x:c>
      <x:c r="F7" s="114" t="str">
        <x:v>State graph.</x:v>
      </x:c>
      <x:c r="G7" s="114" t="str">
        <x:v>Null at session/context start.</x:v>
      </x:c>
      <x:c r="H7" s="488" t="str">
        <x:v>Draft Complete</x:v>
      </x:c>
    </x:row>
    <x:row r="8">
      <x:c r="A8" s="492" t="str">
        <x:v>VS-004</x:v>
      </x:c>
      <x:c r="B8" s="493" t="str">
        <x:v>session/task refs</x:v>
      </x:c>
      <x:c r="C8" s="493" t="str">
        <x:v>Work session, task session and task contract version.</x:v>
      </x:c>
      <x:c r="D8" s="493" t="str">
        <x:v>object</x:v>
      </x:c>
      <x:c r="E8" s="493" t="str">
        <x:v>Required for task capture</x:v>
      </x:c>
      <x:c r="F8" s="493" t="str">
        <x:v>Task scope.</x:v>
      </x:c>
      <x:c r="G8" s="493" t="str">
        <x:v>Health/general visual evidence not permitted without policy.</x:v>
      </x:c>
      <x:c r="H8" s="494" t="str">
        <x:v>Draft Complete</x:v>
      </x:c>
    </x:row>
    <x:row r="9">
      <x:c r="A9" s="487" t="str">
        <x:v>VS-005</x:v>
      </x:c>
      <x:c r="B9" s="114" t="str">
        <x:v>application/window</x:v>
      </x:c>
      <x:c r="C9" s="114" t="str">
        <x:v>App/process/window identifiers and redacted title.</x:v>
      </x:c>
      <x:c r="D9" s="114" t="str">
        <x:v>object</x:v>
      </x:c>
      <x:c r="E9" s="114" t="str">
        <x:v>Required</x:v>
      </x:c>
      <x:c r="F9" s="114" t="str">
        <x:v>Context.</x:v>
      </x:c>
      <x:c r="G9" s="114" t="str">
        <x:v>No personal title content if policy redacts.</x:v>
      </x:c>
      <x:c r="H9" s="488" t="str">
        <x:v>Draft Complete</x:v>
      </x:c>
    </x:row>
    <x:row r="10">
      <x:c r="A10" s="492" t="str">
        <x:v>VS-006</x:v>
      </x:c>
      <x:c r="B10" s="493" t="str">
        <x:v>display/window region</x:v>
      </x:c>
      <x:c r="C10" s="493" t="str">
        <x:v>Display ID, logical/physical bounds and captured region.</x:v>
      </x:c>
      <x:c r="D10" s="493" t="str">
        <x:v>object</x:v>
      </x:c>
      <x:c r="E10" s="493" t="str">
        <x:v>Required</x:v>
      </x:c>
      <x:c r="F10" s="493" t="str">
        <x:v>Multi-monitor and exclusion.</x:v>
      </x:c>
      <x:c r="G10" s="493" t="str">
        <x:v>Excluded display/region omitted.</x:v>
      </x:c>
      <x:c r="H10" s="494" t="str">
        <x:v>Draft Complete</x:v>
      </x:c>
    </x:row>
    <x:row r="11">
      <x:c r="A11" s="487" t="str">
        <x:v>VS-007</x:v>
      </x:c>
      <x:c r="B11" s="114" t="str">
        <x:v>capture_trigger</x:v>
      </x:c>
      <x:c r="C11" s="114" t="str">
        <x:v>Reason: app change, window change, click change, navigation, dialog/error, build/test completion, idle, return, bookmark, periodic.</x:v>
      </x:c>
      <x:c r="D11" s="114" t="str">
        <x:v>enum</x:v>
      </x:c>
      <x:c r="E11" s="114" t="str">
        <x:v>Required</x:v>
      </x:c>
      <x:c r="F11" s="114" t="str">
        <x:v>Explain why image exists.</x:v>
      </x:c>
      <x:c r="G11" s="114" t="str">
        <x:v>Only approved triggers.</x:v>
      </x:c>
      <x:c r="H11" s="488" t="str">
        <x:v>Draft Complete</x:v>
      </x:c>
    </x:row>
    <x:row r="12">
      <x:c r="A12" s="492" t="str">
        <x:v>VS-008</x:v>
      </x:c>
      <x:c r="B12" s="493" t="str">
        <x:v>capture_time</x:v>
      </x:c>
      <x:c r="C12" s="493" t="str">
        <x:v>Device event time and ingestion time references.</x:v>
      </x:c>
      <x:c r="D12" s="493" t="str">
        <x:v>date-time refs</x:v>
      </x:c>
      <x:c r="E12" s="493" t="str">
        <x:v>Required</x:v>
      </x:c>
      <x:c r="F12" s="493" t="str">
        <x:v>Ordering.</x:v>
      </x:c>
      <x:c r="G12" s="493" t="str">
        <x:v>Clock-offset metadata retained.</x:v>
      </x:c>
      <x:c r="H12" s="494" t="str">
        <x:v>Draft Complete</x:v>
      </x:c>
    </x:row>
    <x:row r="13">
      <x:c r="A13" s="487" t="str">
        <x:v>VS-009</x:v>
      </x:c>
      <x:c r="B13" s="114" t="str">
        <x:v>content_hash</x:v>
      </x:c>
      <x:c r="C13" s="114" t="str">
        <x:v>Cryptographic hash of redacted final image.</x:v>
      </x:c>
      <x:c r="D13" s="114" t="str">
        <x:v>hash</x:v>
      </x:c>
      <x:c r="E13" s="114" t="str">
        <x:v>Required</x:v>
      </x:c>
      <x:c r="F13" s="114" t="str">
        <x:v>Integrity/dedup.</x:v>
      </x:c>
      <x:c r="G13" s="114" t="str">
        <x:v>Raw candidate hash not uploaded if suppressed.</x:v>
      </x:c>
      <x:c r="H13" s="488" t="str">
        <x:v>Draft Complete</x:v>
      </x:c>
    </x:row>
    <x:row r="14">
      <x:c r="A14" s="492" t="str">
        <x:v>VS-010</x:v>
      </x:c>
      <x:c r="B14" s="493" t="str">
        <x:v>perceptual_hash</x:v>
      </x:c>
      <x:c r="C14" s="493" t="str">
        <x:v>Perceptual similarity hash.</x:v>
      </x:c>
      <x:c r="D14" s="493" t="str">
        <x:v>hash</x:v>
      </x:c>
      <x:c r="E14" s="493" t="str">
        <x:v>Recommended</x:v>
      </x:c>
      <x:c r="F14" s="493" t="str">
        <x:v>Duplicate/near-duplicate suppression.</x:v>
      </x:c>
      <x:c r="G14" s="493" t="str">
        <x:v>Threshold calibrated by app/state type.</x:v>
      </x:c>
      <x:c r="H14" s="494" t="str">
        <x:v>Draft Complete</x:v>
      </x:c>
    </x:row>
    <x:row r="15">
      <x:c r="A15" s="487" t="str">
        <x:v>VS-011</x:v>
      </x:c>
      <x:c r="B15" s="114" t="str">
        <x:v>changed_regions</x:v>
      </x:c>
      <x:c r="C15" s="114" t="str">
        <x:v>List of rectangles/polygons and change scores.</x:v>
      </x:c>
      <x:c r="D15" s="114" t="str">
        <x:v>array</x:v>
      </x:c>
      <x:c r="E15" s="114" t="str">
        <x:v>Recommended</x:v>
      </x:c>
      <x:c r="F15" s="114" t="str">
        <x:v>Changed-region storage and interpretation.</x:v>
      </x:c>
      <x:c r="G15" s="114" t="str">
        <x:v>May omit regions removed by redaction.</x:v>
      </x:c>
      <x:c r="H15" s="488" t="str">
        <x:v>Draft Complete</x:v>
      </x:c>
    </x:row>
    <x:row r="16">
      <x:c r="A16" s="492" t="str">
        <x:v>VS-012</x:v>
      </x:c>
      <x:c r="B16" s="493" t="str">
        <x:v>image_object_ref</x:v>
      </x:c>
      <x:c r="C16" s="493" t="str">
        <x:v>Encrypted evidence-object reference.</x:v>
      </x:c>
      <x:c r="D16" s="493" t="str">
        <x:v>string/ref</x:v>
      </x:c>
      <x:c r="E16" s="493" t="str">
        <x:v>Conditional</x:v>
      </x:c>
      <x:c r="F16" s="493" t="str">
        <x:v>Retrieve screenshot.</x:v>
      </x:c>
      <x:c r="G16" s="493" t="str">
        <x:v>Absent when fully suppressed or metadata-only policy.</x:v>
      </x:c>
      <x:c r="H16" s="494" t="str">
        <x:v>Draft Complete</x:v>
      </x:c>
    </x:row>
    <x:row r="17">
      <x:c r="A17" s="487" t="str">
        <x:v>VS-013</x:v>
      </x:c>
      <x:c r="B17" s="114" t="str">
        <x:v>thumbnail_ref</x:v>
      </x:c>
      <x:c r="C17" s="114" t="str">
        <x:v>Low-resolution redacted derivative.</x:v>
      </x:c>
      <x:c r="D17" s="114" t="str">
        <x:v>string/ref</x:v>
      </x:c>
      <x:c r="E17" s="114" t="str">
        <x:v>Optional</x:v>
      </x:c>
      <x:c r="F17" s="114" t="str">
        <x:v>Employee/reviewer timeline performance.</x:v>
      </x:c>
      <x:c r="G17" s="114" t="str">
        <x:v>Separate version/retention and same access policy.</x:v>
      </x:c>
      <x:c r="H17" s="488" t="str">
        <x:v>Draft Complete</x:v>
      </x:c>
    </x:row>
    <x:row r="18">
      <x:c r="A18" s="492" t="str">
        <x:v>VS-014</x:v>
      </x:c>
      <x:c r="B18" s="493" t="str">
        <x:v>ui_tree_ref</x:v>
      </x:c>
      <x:c r="C18" s="493" t="str">
        <x:v>Accessibility/UI snapshot or diff reference.</x:v>
      </x:c>
      <x:c r="D18" s="493" t="str">
        <x:v>string/ref</x:v>
      </x:c>
      <x:c r="E18" s="493" t="str">
        <x:v>Optional</x:v>
      </x:c>
      <x:c r="F18" s="493" t="str">
        <x:v>Semantic interpretation.</x:v>
      </x:c>
      <x:c r="G18" s="493" t="str">
        <x:v>Secure controls/values suppressed.</x:v>
      </x:c>
      <x:c r="H18" s="494" t="str">
        <x:v>Draft Complete</x:v>
      </x:c>
    </x:row>
    <x:row r="19">
      <x:c r="A19" s="487" t="str">
        <x:v>VS-015</x:v>
      </x:c>
      <x:c r="B19" s="114" t="str">
        <x:v>ocr_ref</x:v>
      </x:c>
      <x:c r="C19" s="114" t="str">
        <x:v>Approved OCR text reference.</x:v>
      </x:c>
      <x:c r="D19" s="114" t="str">
        <x:v>string/ref</x:v>
      </x:c>
      <x:c r="E19" s="114" t="str">
        <x:v>Optional</x:v>
      </x:c>
      <x:c r="F19" s="114" t="str">
        <x:v>Fallback when accessibility unavailable.</x:v>
      </x:c>
      <x:c r="G19" s="114" t="str">
        <x:v>Off by default; local redaction; no general embedding.</x:v>
      </x:c>
      <x:c r="H19" s="488" t="str">
        <x:v>Draft Complete</x:v>
      </x:c>
    </x:row>
    <x:row r="20">
      <x:c r="A20" s="492" t="str">
        <x:v>VS-016</x:v>
      </x:c>
      <x:c r="B20" s="493" t="str">
        <x:v>redaction_lineage</x:v>
      </x:c>
      <x:c r="C20" s="493" t="str">
        <x:v>Rules/models, removed regions and transformation version.</x:v>
      </x:c>
      <x:c r="D20" s="493" t="str">
        <x:v>object</x:v>
      </x:c>
      <x:c r="E20" s="493" t="str">
        <x:v>Required</x:v>
      </x:c>
      <x:c r="F20" s="493" t="str">
        <x:v>Audit/reproducibility.</x:v>
      </x:c>
      <x:c r="G20" s="493" t="str">
        <x:v>No removed plaintext stored.</x:v>
      </x:c>
      <x:c r="H20" s="494" t="str">
        <x:v>Draft Complete</x:v>
      </x:c>
    </x:row>
    <x:row r="21">
      <x:c r="A21" s="487" t="str">
        <x:v>VS-017</x:v>
      </x:c>
      <x:c r="B21" s="114" t="str">
        <x:v>privacy_class</x:v>
      </x:c>
      <x:c r="C21" s="114" t="str">
        <x:v>Evidence classification.</x:v>
      </x:c>
      <x:c r="D21" s="114" t="str">
        <x:v>enum</x:v>
      </x:c>
      <x:c r="E21" s="114" t="str">
        <x:v>Required</x:v>
      </x:c>
      <x:c r="F21" s="114" t="str">
        <x:v>Access/retention.</x:v>
      </x:c>
      <x:c r="G21" s="114" t="str">
        <x:v>Policy-derived.</x:v>
      </x:c>
      <x:c r="H21" s="488" t="str">
        <x:v>Draft Complete</x:v>
      </x:c>
    </x:row>
    <x:row r="22">
      <x:c r="A22" s="492" t="str">
        <x:v>VS-018</x:v>
      </x:c>
      <x:c r="B22" s="493" t="str">
        <x:v>retention_class</x:v>
      </x:c>
      <x:c r="C22" s="493" t="str">
        <x:v>Raw visual retention policy reference.</x:v>
      </x:c>
      <x:c r="D22" s="493" t="str">
        <x:v>string</x:v>
      </x:c>
      <x:c r="E22" s="493" t="str">
        <x:v>Required</x:v>
      </x:c>
      <x:c r="F22" s="493" t="str">
        <x:v>Lifecycle.</x:v>
      </x:c>
      <x:c r="G22" s="493" t="str">
        <x:v>Usually shortest evidence TTL.</x:v>
      </x:c>
      <x:c r="H22" s="494" t="str">
        <x:v>Draft Complete</x:v>
      </x:c>
    </x:row>
    <x:row r="23">
      <x:c r="A23" s="487" t="str">
        <x:v>VS-019</x:v>
      </x:c>
      <x:c r="B23" s="114" t="str">
        <x:v>state_change_score</x:v>
      </x:c>
      <x:c r="C23" s="114" t="str">
        <x:v>Computed visual/UI difference score.</x:v>
      </x:c>
      <x:c r="D23" s="114" t="str">
        <x:v>number</x:v>
      </x:c>
      <x:c r="E23" s="114" t="str">
        <x:v>Required</x:v>
      </x:c>
      <x:c r="F23" s="114" t="str">
        <x:v>Trigger/dedup audit.</x:v>
      </x:c>
      <x:c r="G23" s="114" t="str">
        <x:v>Not used as productivity score.</x:v>
      </x:c>
      <x:c r="H23" s="488" t="str">
        <x:v>Draft Complete</x:v>
      </x:c>
    </x:row>
    <x:row r="24">
      <x:c r="A24" s="492" t="str">
        <x:v>VS-020</x:v>
      </x:c>
      <x:c r="B24" s="493" t="str">
        <x:v>capture_result</x:v>
      </x:c>
      <x:c r="C24" s="493" t="str">
        <x:v>stored, deduplicated, metadata-only, redacted, suppressed, failed.</x:v>
      </x:c>
      <x:c r="D24" s="493" t="str">
        <x:v>enum</x:v>
      </x:c>
      <x:c r="E24" s="493" t="str">
        <x:v>Required</x:v>
      </x:c>
      <x:c r="F24" s="493" t="str">
        <x:v>Evidence completeness.</x:v>
      </x:c>
      <x:c r="G24" s="493" t="str">
        <x:v>Failure creates telemetry gap if material.</x:v>
      </x:c>
      <x:c r="H24" s="494" t="str">
        <x:v>Draft Complete</x:v>
      </x:c>
    </x:row>
    <x:row r="25">
      <x:c r="A25" s="487" t="str">
        <x:v>VS-021</x:v>
      </x:c>
      <x:c r="B25" s="114" t="str">
        <x:v>completeness/confidence</x:v>
      </x:c>
      <x:c r="C25" s="114" t="str">
        <x:v>Sensor availability and evidence quality.</x:v>
      </x:c>
      <x:c r="D25" s="114" t="str">
        <x:v>object</x:v>
      </x:c>
      <x:c r="E25" s="114" t="str">
        <x:v>Required</x:v>
      </x:c>
      <x:c r="F25" s="114" t="str">
        <x:v>Downstream caution.</x:v>
      </x:c>
      <x:c r="G25" s="114" t="str">
        <x:v>Never infer absent screen from failed capture.</x:v>
      </x:c>
      <x:c r="H25" s="488" t="str">
        <x:v>Draft Complete</x:v>
      </x:c>
    </x:row>
    <x:row r="26">
      <x:c r="A26" s="495" t="str">
        <x:v>VS-022</x:v>
      </x:c>
      <x:c r="B26" s="496" t="str">
        <x:v>accessibility note</x:v>
      </x:c>
      <x:c r="C26" s="496" t="str">
        <x:v>Whether UI/accessibility data was available and supported.</x:v>
      </x:c>
      <x:c r="D26" s="496" t="str">
        <x:v>enum/note</x:v>
      </x:c>
      <x:c r="E26" s="496" t="str">
        <x:v>Optional</x:v>
      </x:c>
      <x:c r="F26" s="496" t="str">
        <x:v>Interpretation limitations.</x:v>
      </x:c>
      <x:c r="G26" s="496" t="str">
        <x:v>No disability/employee inference.</x:v>
      </x:c>
      <x:c r="H26" s="497" t="str">
        <x:v>Draft Complete</x:v>
      </x:c>
    </x:row>
  </x:sheetData>
  <x:mergeCells>
    <x:mergeCell ref="A1:H1"/>
    <x:mergeCell ref="A2:H2"/>
  </x:mergeCells>
  <x:dataValidations count="1">
    <x:dataValidation type="list" sqref="H5:H26">
      <x:formula1>"Draft Complete,Needs Review,Approved,Deferred"</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0" hidden="0" customWidth="1"/>
    <x:col min="5" max="5" width="38" hidden="0" customWidth="1"/>
    <x:col min="6" max="6" width="54" hidden="0" customWidth="1"/>
    <x:col min="7" max="7" width="28" hidden="0" customWidth="1"/>
    <x:col min="8" max="8" width="18" hidden="0" customWidth="1"/>
  </x:cols>
  <x:sheetData>
    <x:row r="1" ht="30" customHeight="1">
      <x:c r="A1" s="449" t="str">
        <x:v>Stage 5 — Input, Text and Attribution Model</x:v>
      </x:c>
      <x:c r="B1" s="449"/>
      <x:c r="C1" s="449"/>
      <x:c r="D1" s="449"/>
      <x:c r="E1" s="449"/>
      <x:c r="F1" s="449"/>
      <x:c r="G1" s="449"/>
      <x:c r="H1" s="449"/>
    </x:row>
    <x:row r="2" ht="36" customHeight="1">
      <x:c r="A2" s="453" t="str">
        <x:v>Three-stream model: physical input metadata, resulting text-state changes and authoritative artefact changes. This prevents raw key counts from being mistaken for actual work.</x:v>
      </x:c>
      <x:c r="B2" s="453"/>
      <x:c r="C2" s="453"/>
      <x:c r="D2" s="453"/>
      <x:c r="E2" s="453"/>
      <x:c r="F2" s="453"/>
      <x:c r="G2" s="453"/>
      <x:c r="H2" s="453"/>
    </x:row>
    <x:row r="4" ht="30" customHeight="1">
      <x:c r="A4" s="465" t="str">
        <x:v>ID</x:v>
      </x:c>
      <x:c r="B4" s="466" t="str">
        <x:v>Element</x:v>
      </x:c>
      <x:c r="C4" s="466" t="str">
        <x:v>Definition</x:v>
      </x:c>
      <x:c r="D4" s="466" t="str">
        <x:v>Source / method</x:v>
      </x:c>
      <x:c r="E4" s="466" t="str">
        <x:v>Purpose</x:v>
      </x:c>
      <x:c r="F4" s="466" t="str">
        <x:v>Privacy / accuracy rule</x:v>
      </x:c>
      <x:c r="G4" s="466" t="str">
        <x:v>Output</x:v>
      </x:c>
      <x:c r="H4" s="467" t="str">
        <x:v>Status</x:v>
      </x:c>
    </x:row>
    <x:row r="5">
      <x:c r="A5" s="484" t="str">
        <x:v>TXT-001</x:v>
      </x:c>
      <x:c r="B5" s="485" t="str">
        <x:v>Physical input metadata</x:v>
      </x:c>
      <x:c r="C5" s="485" t="str">
        <x:v>Key/button category, modifiers, timestamp, active app/window/control, injected flag.</x:v>
      </x:c>
      <x:c r="D5" s="485" t="str">
        <x:v>Windows Raw Input/hooks; macOS CGEvent tap spike</x:v>
      </x:c>
      <x:c r="E5" s="485" t="str">
        <x:v>Human input provenance and idle detection.</x:v>
      </x:c>
      <x:c r="F5" s="485" t="str">
        <x:v>Values suppressed in secure/excluded controls.</x:v>
      </x:c>
      <x:c r="G5" s="485" t="str">
        <x:v>Metadata event.</x:v>
      </x:c>
      <x:c r="H5" s="486" t="str">
        <x:v>Draft Complete</x:v>
      </x:c>
    </x:row>
    <x:row r="6">
      <x:c r="A6" s="492" t="str">
        <x:v>TXT-002</x:v>
      </x:c>
      <x:c r="B6" s="493" t="str">
        <x:v>Key burst</x:v>
      </x:c>
      <x:c r="C6" s="493" t="str">
        <x:v>Group adjacent key events into interaction burst with start/end and categories.</x:v>
      </x:c>
      <x:c r="D6" s="493" t="str">
        <x:v>Local correlator</x:v>
      </x:c>
      <x:c r="E6" s="493" t="str">
        <x:v>Reduce event volume and support text-delta matching.</x:v>
      </x:c>
      <x:c r="F6" s="493" t="str">
        <x:v>No reconstruction from burst alone.</x:v>
      </x:c>
      <x:c r="G6" s="493" t="str">
        <x:v>Derived event.</x:v>
      </x:c>
      <x:c r="H6" s="494" t="str">
        <x:v>Draft Complete</x:v>
      </x:c>
    </x:row>
    <x:row r="7">
      <x:c r="A7" s="487" t="str">
        <x:v>TXT-003</x:v>
      </x:c>
      <x:c r="B7" s="114" t="str">
        <x:v>Shortcut classification</x:v>
      </x:c>
      <x:c r="C7" s="114" t="str">
        <x:v>Recognise paste, cut, copy metadata, undo, redo, save, run/test/debug and navigation shortcuts.</x:v>
      </x:c>
      <x:c r="D7" s="114" t="str">
        <x:v>Input + app context</x:v>
      </x:c>
      <x:c r="E7" s="114" t="str">
        <x:v>Explain user action without storing every key value.</x:v>
      </x:c>
      <x:c r="F7" s="114" t="str">
        <x:v>Clipboard content off by default.</x:v>
      </x:c>
      <x:c r="G7" s="114" t="str">
        <x:v>Semantic event.</x:v>
      </x:c>
      <x:c r="H7" s="488" t="str">
        <x:v>Draft Complete</x:v>
      </x:c>
    </x:row>
    <x:row r="8">
      <x:c r="A8" s="492" t="str">
        <x:v>TXT-004</x:v>
      </x:c>
      <x:c r="B8" s="493" t="str">
        <x:v>Resulting text delta</x:v>
      </x:c>
      <x:c r="C8" s="493" t="str">
        <x:v>Inserted/deleted/replaced range, before/after hash, document/control ref.</x:v>
      </x:c>
      <x:c r="D8" s="493" t="str">
        <x:v>UIA/AX/IDE/browser/shell adapter</x:v>
      </x:c>
      <x:c r="E8" s="493" t="str">
        <x:v>What actually appeared.</x:v>
      </x:c>
      <x:c r="F8" s="493" t="str">
        <x:v>Only allowlisted non-secure surfaces; encrypt separately.</x:v>
      </x:c>
      <x:c r="G8" s="493" t="str">
        <x:v>Content reference.</x:v>
      </x:c>
      <x:c r="H8" s="494" t="str">
        <x:v>Draft Complete</x:v>
      </x:c>
    </x:row>
    <x:row r="9">
      <x:c r="A9" s="487" t="str">
        <x:v>TXT-005</x:v>
      </x:c>
      <x:c r="B9" s="114" t="str">
        <x:v>Typed-character attribution</x:v>
      </x:c>
      <x:c r="C9" s="114" t="str">
        <x:v>Portion of text delta attributable to physical keys.</x:v>
      </x:c>
      <x:c r="D9" s="114" t="str">
        <x:v>Temporal correlation of input burst and text change</x:v>
      </x:c>
      <x:c r="E9" s="114" t="str">
        <x:v>Human contribution/provenance.</x:v>
      </x:c>
      <x:c r="F9" s="114" t="str">
        <x:v>Confidence required; do not overclaim.</x:v>
      </x:c>
      <x:c r="G9" s="114" t="str">
        <x:v>Derived provenance edge.</x:v>
      </x:c>
      <x:c r="H9" s="488" t="str">
        <x:v>Draft Complete</x:v>
      </x:c>
    </x:row>
    <x:row r="10">
      <x:c r="A10" s="492" t="str">
        <x:v>TXT-006</x:v>
      </x:c>
      <x:c r="B10" s="493" t="str">
        <x:v>Paste attribution</x:v>
      </x:c>
      <x:c r="C10" s="493" t="str">
        <x:v>Text delta created by paste action.</x:v>
      </x:c>
      <x:c r="D10" s="493" t="str">
        <x:v>Shortcut/clipboard event + text delta</x:v>
      </x:c>
      <x:c r="E10" s="493" t="str">
        <x:v>Distinguish paste from typing.</x:v>
      </x:c>
      <x:c r="F10" s="493" t="str">
        <x:v>Paste content not collected separately unless same approved delta.</x:v>
      </x:c>
      <x:c r="G10" s="493" t="str">
        <x:v>Derived provenance edge.</x:v>
      </x:c>
      <x:c r="H10" s="494" t="str">
        <x:v>Draft Complete</x:v>
      </x:c>
    </x:row>
    <x:row r="11">
      <x:c r="A11" s="487" t="str">
        <x:v>TXT-007</x:v>
      </x:c>
      <x:c r="B11" s="114" t="str">
        <x:v>Autocomplete attribution</x:v>
      </x:c>
      <x:c r="C11" s="114" t="str">
        <x:v>Text inserted after completion acceptance or app semantic event.</x:v>
      </x:c>
      <x:c r="D11" s="114" t="str">
        <x:v>IDE/app adapter + text delta</x:v>
      </x:c>
      <x:c r="E11" s="114" t="str">
        <x:v>Separate human trigger from generated content.</x:v>
      </x:c>
      <x:c r="F11" s="114" t="str">
        <x:v>Unknown when no semantic adapter; mark Mixed/Unknown.</x:v>
      </x:c>
      <x:c r="G11" s="114" t="str">
        <x:v>Derived provenance edge.</x:v>
      </x:c>
      <x:c r="H11" s="488" t="str">
        <x:v>Draft Complete</x:v>
      </x:c>
    </x:row>
    <x:row r="12">
      <x:c r="A12" s="492" t="str">
        <x:v>TXT-008</x:v>
      </x:c>
      <x:c r="B12" s="493" t="str">
        <x:v>AI completion attribution</x:v>
      </x:c>
      <x:c r="C12" s="493" t="str">
        <x:v>Text/file changes linked to AI-agent session/tool call.</x:v>
      </x:c>
      <x:c r="D12" s="493" t="str">
        <x:v>Agent hook + file/document changes</x:v>
      </x:c>
      <x:c r="E12" s="493" t="str">
        <x:v>Human/AI provenance.</x:v>
      </x:c>
      <x:c r="F12" s="493" t="str">
        <x:v>Model/provider/session/skill version recorded.</x:v>
      </x:c>
      <x:c r="G12" s="493" t="str">
        <x:v>Authoritative/derived edge.</x:v>
      </x:c>
      <x:c r="H12" s="494" t="str">
        <x:v>Draft Complete</x:v>
      </x:c>
    </x:row>
    <x:row r="13">
      <x:c r="A13" s="487" t="str">
        <x:v>TXT-009</x:v>
      </x:c>
      <x:c r="B13" s="114" t="str">
        <x:v>Formatter attribution</x:v>
      </x:c>
      <x:c r="C13" s="114" t="str">
        <x:v>Changes caused by formatter/linter/refactor tool.</x:v>
      </x:c>
      <x:c r="D13" s="114" t="str">
        <x:v>Process/IDE event + file delta</x:v>
      </x:c>
      <x:c r="E13" s="114" t="str">
        <x:v>Automation provenance.</x:v>
      </x:c>
      <x:c r="F13" s="114" t="str">
        <x:v>Do not credit all characters to employee.</x:v>
      </x:c>
      <x:c r="G13" s="114" t="str">
        <x:v>Automation edge.</x:v>
      </x:c>
      <x:c r="H13" s="488" t="str">
        <x:v>Draft Complete</x:v>
      </x:c>
    </x:row>
    <x:row r="14">
      <x:c r="A14" s="492" t="str">
        <x:v>TXT-010</x:v>
      </x:c>
      <x:c r="B14" s="493" t="str">
        <x:v>File-generation attribution</x:v>
      </x:c>
      <x:c r="C14" s="493" t="str">
        <x:v>Generated file/content linked to process, build or agent.</x:v>
      </x:c>
      <x:c r="D14" s="493" t="str">
        <x:v>Process tree + file event</x:v>
      </x:c>
      <x:c r="E14" s="493" t="str">
        <x:v>Automation/system provenance.</x:v>
      </x:c>
      <x:c r="F14" s="493" t="str">
        <x:v>Require causal confidence/source.</x:v>
      </x:c>
      <x:c r="G14" s="493" t="str">
        <x:v>Provenance edge.</x:v>
      </x:c>
      <x:c r="H14" s="494" t="str">
        <x:v>Draft Complete</x:v>
      </x:c>
    </x:row>
    <x:row r="15">
      <x:c r="A15" s="487" t="str">
        <x:v>TXT-011</x:v>
      </x:c>
      <x:c r="B15" s="114" t="str">
        <x:v>Undo/redo</x:v>
      </x:c>
      <x:c r="C15" s="114" t="str">
        <x:v>Text changes linked to undo/redo action.</x:v>
      </x:c>
      <x:c r="D15" s="114" t="str">
        <x:v>Shortcut/app semantic event</x:v>
      </x:c>
      <x:c r="E15" s="114" t="str">
        <x:v>Preserve accurate work story.</x:v>
      </x:c>
      <x:c r="F15" s="114" t="str">
        <x:v>Final artefact and review matter more than raw attempts.</x:v>
      </x:c>
      <x:c r="G15" s="114" t="str">
        <x:v>Semantic event.</x:v>
      </x:c>
      <x:c r="H15" s="488" t="str">
        <x:v>Draft Complete</x:v>
      </x:c>
    </x:row>
    <x:row r="16">
      <x:c r="A16" s="492" t="str">
        <x:v>TXT-012</x:v>
      </x:c>
      <x:c r="B16" s="493" t="str">
        <x:v>Delete/backspace</x:v>
      </x:c>
      <x:c r="C16" s="493" t="str">
        <x:v>Deletion range and resulting state.</x:v>
      </x:c>
      <x:c r="D16" s="493" t="str">
        <x:v>Text delta adapter</x:v>
      </x:c>
      <x:c r="E16" s="493" t="str">
        <x:v>Understand corrections.</x:v>
      </x:c>
      <x:c r="F16" s="493" t="str">
        <x:v>No key-count productivity metric.</x:v>
      </x:c>
      <x:c r="G16" s="493" t="str">
        <x:v>Content ref/metadata.</x:v>
      </x:c>
      <x:c r="H16" s="494" t="str">
        <x:v>Draft Complete</x:v>
      </x:c>
    </x:row>
    <x:row r="17">
      <x:c r="A17" s="487" t="str">
        <x:v>TXT-013</x:v>
      </x:c>
      <x:c r="B17" s="114" t="str">
        <x:v>Selection/focus</x:v>
      </x:c>
      <x:c r="C17" s="114" t="str">
        <x:v>Focused control/document and selected range metadata.</x:v>
      </x:c>
      <x:c r="D17" s="114" t="str">
        <x:v>UIA/AX/IDE/browser adapter</x:v>
      </x:c>
      <x:c r="E17" s="114" t="str">
        <x:v>Match input to correct surface.</x:v>
      </x:c>
      <x:c r="F17" s="114" t="str">
        <x:v>Selected text content excluded unless required and approved.</x:v>
      </x:c>
      <x:c r="G17" s="114" t="str">
        <x:v>Metadata.</x:v>
      </x:c>
      <x:c r="H17" s="488" t="str">
        <x:v>Draft Complete</x:v>
      </x:c>
    </x:row>
    <x:row r="18">
      <x:c r="A18" s="492" t="str">
        <x:v>TXT-014</x:v>
      </x:c>
      <x:c r="B18" s="493" t="str">
        <x:v>Secure-field suppression</x:v>
      </x:c>
      <x:c r="C18" s="493" t="str">
        <x:v>Detect Windows IsPassword property, macOS secure text field subrole and browser password fields.</x:v>
      </x:c>
      <x:c r="D18" s="493" t="str">
        <x:v>UIA/AX/browser adapter</x:v>
      </x:c>
      <x:c r="E18" s="493" t="str">
        <x:v>Prevent password/auth content capture.</x:v>
      </x:c>
      <x:c r="F18" s="493" t="str">
        <x:v>Default suppress on uncertain sensitive controls.</x:v>
      </x:c>
      <x:c r="G18" s="493" t="str">
        <x:v>Suppression event only.</x:v>
      </x:c>
      <x:c r="H18" s="494" t="str">
        <x:v>Draft Complete</x:v>
      </x:c>
    </x:row>
    <x:row r="19">
      <x:c r="A19" s="487" t="str">
        <x:v>TXT-015</x:v>
      </x:c>
      <x:c r="B19" s="114" t="str">
        <x:v>Secret scanning</x:v>
      </x:c>
      <x:c r="C19" s="114" t="str">
        <x:v>Detect tokens, credentials, private keys and policy patterns in approved text/terminal/output.</x:v>
      </x:c>
      <x:c r="D19" s="114" t="str">
        <x:v>Local scanner/rules/model</x:v>
      </x:c>
      <x:c r="E19" s="114" t="str">
        <x:v>Defence in depth.</x:v>
      </x:c>
      <x:c r="F19" s="114" t="str">
        <x:v>Detected content redacted/suppressed before storage/upload.</x:v>
      </x:c>
      <x:c r="G19" s="114" t="str">
        <x:v>Redaction lineage.</x:v>
      </x:c>
      <x:c r="H19" s="488" t="str">
        <x:v>Draft Complete</x:v>
      </x:c>
    </x:row>
    <x:row r="20">
      <x:c r="A20" s="492" t="str">
        <x:v>TXT-016</x:v>
      </x:c>
      <x:c r="B20" s="493" t="str">
        <x:v>Terminal command</x:v>
      </x:c>
      <x:c r="C20" s="493" t="str">
        <x:v>Command text, cwd, start/end and exit code through shell adapter.</x:v>
      </x:c>
      <x:c r="D20" s="493" t="str">
        <x:v>PTY/shell integration</x:v>
      </x:c>
      <x:c r="E20" s="493" t="str">
        <x:v>High-value semantic evidence.</x:v>
      </x:c>
      <x:c r="F20" s="493" t="str">
        <x:v>Environment variables and secrets redacted.</x:v>
      </x:c>
      <x:c r="G20" s="493" t="str">
        <x:v>Semantic event/content ref.</x:v>
      </x:c>
      <x:c r="H20" s="494" t="str">
        <x:v>Draft Complete</x:v>
      </x:c>
    </x:row>
    <x:row r="21">
      <x:c r="A21" s="487" t="str">
        <x:v>TXT-017</x:v>
      </x:c>
      <x:c r="B21" s="114" t="str">
        <x:v>Terminal output</x:v>
      </x:c>
      <x:c r="C21" s="114" t="str">
        <x:v>Selected output/error ranges linked to command/process.</x:v>
      </x:c>
      <x:c r="D21" s="114" t="str">
        <x:v>PTY/shell integration</x:v>
      </x:c>
      <x:c r="E21" s="114" t="str">
        <x:v>Diagnose result and automated waits.</x:v>
      </x:c>
      <x:c r="F21" s="114" t="str">
        <x:v>Sampling, secret redaction and bounded size.</x:v>
      </x:c>
      <x:c r="G21" s="114" t="str">
        <x:v>Content ref.</x:v>
      </x:c>
      <x:c r="H21" s="488" t="str">
        <x:v>Draft Complete</x:v>
      </x:c>
    </x:row>
    <x:row r="22">
      <x:c r="A22" s="492" t="str">
        <x:v>TXT-018</x:v>
      </x:c>
      <x:c r="B22" s="493" t="str">
        <x:v>Unsupported app fallback</x:v>
      </x:c>
      <x:c r="C22" s="493" t="str">
        <x:v>If no semantic text adapter, capture input metadata plus visual/UI evidence, not inferred exact text.</x:v>
      </x:c>
      <x:c r="D22" s="493" t="str">
        <x:v>Local correlator</x:v>
      </x:c>
      <x:c r="E22" s="493" t="str">
        <x:v>Avoid false text reconstruction.</x:v>
      </x:c>
      <x:c r="F22" s="493" t="str">
        <x:v>Classification = insufficient semantic evidence.</x:v>
      </x:c>
      <x:c r="G22" s="493" t="str">
        <x:v>Gap/limitation event.</x:v>
      </x:c>
      <x:c r="H22" s="494" t="str">
        <x:v>Draft Complete</x:v>
      </x:c>
    </x:row>
    <x:row r="23">
      <x:c r="A23" s="487" t="str">
        <x:v>TXT-019</x:v>
      </x:c>
      <x:c r="B23" s="114" t="str">
        <x:v>Correction and challenge</x:v>
      </x:c>
      <x:c r="C23" s="114" t="str">
        <x:v>Employee can flag text/provenance attribution as incorrect and add explanation.</x:v>
      </x:c>
      <x:c r="D23" s="114" t="str">
        <x:v>Employee portal/governance workflow</x:v>
      </x:c>
      <x:c r="E23" s="114" t="str">
        <x:v>Improve fairness and training data.</x:v>
      </x:c>
      <x:c r="F23" s="114" t="str">
        <x:v>Preserve original and correction lineage.</x:v>
      </x:c>
      <x:c r="G23" s="114" t="str">
        <x:v>Correction event.</x:v>
      </x:c>
      <x:c r="H23" s="488" t="str">
        <x:v>Draft Complete</x:v>
      </x:c>
    </x:row>
    <x:row r="24">
      <x:c r="A24" s="495" t="str">
        <x:v>TXT-020</x:v>
      </x:c>
      <x:c r="B24" s="496" t="str">
        <x:v>Content retention</x:v>
      </x:c>
      <x:c r="C24" s="496" t="str">
        <x:v>Text deltas and terminal output use shortest approved TTL and separate encryption/access.</x:v>
      </x:c>
      <x:c r="D24" s="496" t="str">
        <x:v>Stage 4 retention/access</x:v>
      </x:c>
      <x:c r="E24" s="496" t="str">
        <x:v>Limit concentration risk.</x:v>
      </x:c>
      <x:c r="F24" s="496" t="str">
        <x:v>Derived artefact references may outlive raw content.</x:v>
      </x:c>
      <x:c r="G24" s="496" t="str">
        <x:v>Retention record.</x:v>
      </x:c>
      <x:c r="H24" s="497" t="str">
        <x:v>Draft Complete</x:v>
      </x:c>
    </x:row>
  </x:sheetData>
  <x:mergeCells>
    <x:mergeCell ref="A1:H1"/>
    <x:mergeCell ref="A2:H2"/>
  </x:mergeCells>
  <x:dataValidations count="1">
    <x:dataValidation type="list" sqref="H5:H24">
      <x:formula1>"Draft Complete,Needs Review,Approved,Deferred"</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44" hidden="0" customWidth="1"/>
    <x:col min="5" max="5" width="48" hidden="0" customWidth="1"/>
    <x:col min="6" max="6" width="34" hidden="0" customWidth="1"/>
    <x:col min="7" max="7" width="50" hidden="0" customWidth="1"/>
    <x:col min="8" max="8" width="18" hidden="0" customWidth="1"/>
  </x:cols>
  <x:sheetData>
    <x:row r="1" ht="30" customHeight="1">
      <x:c r="A1" s="449" t="str">
        <x:v>Stage 5 — Idle, Review and Automation-Wait Model</x:v>
      </x:c>
      <x:c r="B1" s="449"/>
      <x:c r="C1" s="449"/>
      <x:c r="D1" s="449"/>
      <x:c r="E1" s="449"/>
      <x:c r="F1" s="449"/>
      <x:c r="G1" s="449"/>
      <x:c r="H1" s="449"/>
    </x:row>
    <x:row r="2" ht="36" customHeight="1">
      <x:c r="A2" s="453" t="str">
        <x:v>Context-aware states that prevent builds, tests, AI-agent execution, reading, meetings and blockers from being incorrectly labelled as idle.</x:v>
      </x:c>
      <x:c r="B2" s="453"/>
      <x:c r="C2" s="453"/>
      <x:c r="D2" s="453"/>
      <x:c r="E2" s="453"/>
      <x:c r="F2" s="453"/>
      <x:c r="G2" s="453"/>
      <x:c r="H2" s="453"/>
    </x:row>
    <x:row r="4" ht="30" customHeight="1">
      <x:c r="A4" s="465" t="str">
        <x:v>ID</x:v>
      </x:c>
      <x:c r="B4" s="466" t="str">
        <x:v>State</x:v>
      </x:c>
      <x:c r="C4" s="466" t="str">
        <x:v>Definition</x:v>
      </x:c>
      <x:c r="D4" s="466" t="str">
        <x:v>Evidence sources</x:v>
      </x:c>
      <x:c r="E4" s="466" t="str">
        <x:v>Entry rule</x:v>
      </x:c>
      <x:c r="F4" s="466" t="str">
        <x:v>Reporting meaning</x:v>
      </x:c>
      <x:c r="G4" s="466" t="str">
        <x:v>Guardrail</x:v>
      </x:c>
      <x:c r="H4" s="467" t="str">
        <x:v>Status</x:v>
      </x:c>
    </x:row>
    <x:row r="5">
      <x:c r="A5" s="484" t="str">
        <x:v>IDLE-001</x:v>
      </x:c>
      <x:c r="B5" s="485" t="str">
        <x:v>ACTIVE_HUMAN_INPUT</x:v>
      </x:c>
      <x:c r="C5" s="485" t="str">
        <x:v>Recent physical input with active approved task context.</x:v>
      </x:c>
      <x:c r="D5" s="485" t="str">
        <x:v>Human input + foreground app/task</x:v>
      </x:c>
      <x:c r="E5" s="485" t="str">
        <x:v>Input within threshold and no exclusion.</x:v>
      </x:c>
      <x:c r="F5" s="485" t="str">
        <x:v>On-task/supporting/unknown determined separately.</x:v>
      </x:c>
      <x:c r="G5" s="485" t="str">
        <x:v>No productivity score.</x:v>
      </x:c>
      <x:c r="H5" s="486" t="str">
        <x:v>Draft Complete</x:v>
      </x:c>
    </x:row>
    <x:row r="6">
      <x:c r="A6" s="492" t="str">
        <x:v>IDLE-002</x:v>
      </x:c>
      <x:c r="B6" s="493" t="str">
        <x:v>ACTIVE_REVIEW_READING</x:v>
      </x:c>
      <x:c r="C6" s="493" t="str">
        <x:v>Low input but evidence of document/code review, reading or analysis.</x:v>
      </x:c>
      <x:c r="D6" s="493" t="str">
        <x:v>Foreground context, scroll/navigation, visual/UI changes, reviewer tools</x:v>
      </x:c>
      <x:c r="E6" s="493" t="str">
        <x:v>No input threshold alone is insufficient.</x:v>
      </x:c>
      <x:c r="F6" s="493" t="str">
        <x:v>Supporting or on-task review.</x:v>
      </x:c>
      <x:c r="G6" s="493" t="str">
        <x:v>Employee correction available.</x:v>
      </x:c>
      <x:c r="H6" s="494" t="str">
        <x:v>Draft Complete</x:v>
      </x:c>
    </x:row>
    <x:row r="7">
      <x:c r="A7" s="487" t="str">
        <x:v>IDLE-003</x:v>
      </x:c>
      <x:c r="B7" s="114" t="str">
        <x:v>AUTOMATED_EXECUTION</x:v>
      </x:c>
      <x:c r="C7" s="114" t="str">
        <x:v>Build/test/script/AI agent or other user-initiated process is actively running.</x:v>
      </x:c>
      <x:c r="D7" s="114" t="str">
        <x:v>Process tree, terminal/agent/build adapter</x:v>
      </x:c>
      <x:c r="E7" s="114" t="str">
        <x:v>Process linked to task and still active.</x:v>
      </x:c>
      <x:c r="F7" s="114" t="str">
        <x:v>On-task automated execution.</x:v>
      </x:c>
      <x:c r="G7" s="114" t="str">
        <x:v>Never idle.</x:v>
      </x:c>
      <x:c r="H7" s="488" t="str">
        <x:v>Draft Complete</x:v>
      </x:c>
    </x:row>
    <x:row r="8">
      <x:c r="A8" s="492" t="str">
        <x:v>IDLE-004</x:v>
      </x:c>
      <x:c r="B8" s="493" t="str">
        <x:v>AUTOMATED_EXECUTION_WAIT</x:v>
      </x:c>
      <x:c r="C8" s="493" t="str">
        <x:v>Human is waiting for valid automated process and may monitor output intermittently.</x:v>
      </x:c>
      <x:c r="D8" s="493" t="str">
        <x:v>Initiating human action + active process + task context</x:v>
      </x:c>
      <x:c r="E8" s="493" t="str">
        <x:v>No unrelated activity and process remains material.</x:v>
      </x:c>
      <x:c r="F8" s="493" t="str">
        <x:v>Valid task time.</x:v>
      </x:c>
      <x:c r="G8" s="493" t="str">
        <x:v>Do not require mouse movement.</x:v>
      </x:c>
      <x:c r="H8" s="494" t="str">
        <x:v>Draft Complete</x:v>
      </x:c>
    </x:row>
    <x:row r="9">
      <x:c r="A9" s="487" t="str">
        <x:v>IDLE-005</x:v>
      </x:c>
      <x:c r="B9" s="114" t="str">
        <x:v>COLLABORATION_MEETING</x:v>
      </x:c>
      <x:c r="C9" s="114" t="str">
        <x:v>Employee is in approved work meeting/collaboration context.</x:v>
      </x:c>
      <x:c r="D9" s="114" t="str">
        <x:v>Calendar/app metadata or manual state; audio not captured.</x:v>
      </x:c>
      <x:c r="E9" s="114" t="str">
        <x:v>Policy-approved meeting indicator.</x:v>
      </x:c>
      <x:c r="F9" s="114" t="str">
        <x:v>Supporting task/collaboration.</x:v>
      </x:c>
      <x:c r="G9" s="114" t="str">
        <x:v>No content inference without separate policy.</x:v>
      </x:c>
      <x:c r="H9" s="488" t="str">
        <x:v>Draft Complete</x:v>
      </x:c>
    </x:row>
    <x:row r="10">
      <x:c r="A10" s="492" t="str">
        <x:v>IDLE-006</x:v>
      </x:c>
      <x:c r="B10" s="493" t="str">
        <x:v>BLOCKED_WAIT</x:v>
      </x:c>
      <x:c r="C10" s="493" t="str">
        <x:v>Employee is waiting on access, dependency, response or environment.</x:v>
      </x:c>
      <x:c r="D10" s="493" t="str">
        <x:v>Task blocker, access request, communication/task update</x:v>
      </x:c>
      <x:c r="E10" s="493" t="str">
        <x:v>Blocker evidence exists.</x:v>
      </x:c>
      <x:c r="F10" s="493" t="str">
        <x:v>Blocked task time.</x:v>
      </x:c>
      <x:c r="G10" s="493" t="str">
        <x:v>May trigger help/escalation.</x:v>
      </x:c>
      <x:c r="H10" s="494" t="str">
        <x:v>Draft Complete</x:v>
      </x:c>
    </x:row>
    <x:row r="11">
      <x:c r="A11" s="487" t="str">
        <x:v>IDLE-007</x:v>
      </x:c>
      <x:c r="B11" s="114" t="str">
        <x:v>BREAK_PAUSED</x:v>
      </x:c>
      <x:c r="C11" s="114" t="str">
        <x:v>Employee intentionally paused or is on scheduled break.</x:v>
      </x:c>
      <x:c r="D11" s="114" t="str">
        <x:v>Session state/policy</x:v>
      </x:c>
      <x:c r="E11" s="114" t="str">
        <x:v>Paused/private state.</x:v>
      </x:c>
      <x:c r="F11" s="114" t="str">
        <x:v>Excluded from active work.</x:v>
      </x:c>
      <x:c r="G11" s="114" t="str">
        <x:v>No capture beyond audit/health.</x:v>
      </x:c>
      <x:c r="H11" s="488" t="str">
        <x:v>Draft Complete</x:v>
      </x:c>
    </x:row>
    <x:row r="12">
      <x:c r="A12" s="492" t="str">
        <x:v>IDLE-008</x:v>
      </x:c>
      <x:c r="B12" s="493" t="str">
        <x:v>IDLE_UNEXPLAINED</x:v>
      </x:c>
      <x:c r="C12" s="493" t="str">
        <x:v>No human input or material work signal beyond threshold and no approved explanation.</x:v>
      </x:c>
      <x:c r="D12" s="493" t="str">
        <x:v>Local correlator</x:v>
      </x:c>
      <x:c r="E12" s="493" t="str">
        <x:v>All automation/reading/meeting/blocker checks negative.</x:v>
      </x:c>
      <x:c r="F12" s="493" t="str">
        <x:v>Potential idle with confidence.</x:v>
      </x:c>
      <x:c r="G12" s="493" t="str">
        <x:v>Never misconduct conclusion automatically.</x:v>
      </x:c>
      <x:c r="H12" s="494" t="str">
        <x:v>Draft Complete</x:v>
      </x:c>
    </x:row>
    <x:row r="13">
      <x:c r="A13" s="487" t="str">
        <x:v>IDLE-009</x:v>
      </x:c>
      <x:c r="B13" s="114" t="str">
        <x:v>POSSIBLY_UNRELATED</x:v>
      </x:c>
      <x:c r="C13" s="114" t="str">
        <x:v>Activity appears outside active task but may be other assigned work.</x:v>
      </x:c>
      <x:c r="D13" s="114" t="str">
        <x:v>App/domain/task context</x:v>
      </x:c>
      <x:c r="E13" s="114" t="str">
        <x:v>Task alignment uncertain.</x:v>
      </x:c>
      <x:c r="F13" s="114" t="str">
        <x:v>Route to Stage 7; not an idle class.</x:v>
      </x:c>
      <x:c r="G13" s="114" t="str">
        <x:v>Employee/task switch correction.</x:v>
      </x:c>
      <x:c r="H13" s="488" t="str">
        <x:v>Draft Complete</x:v>
      </x:c>
    </x:row>
    <x:row r="14">
      <x:c r="A14" s="492" t="str">
        <x:v>IDLE-010</x:v>
      </x:c>
      <x:c r="B14" s="493" t="str">
        <x:v>INSUFFICIENT_EVIDENCE</x:v>
      </x:c>
      <x:c r="C14" s="493" t="str">
        <x:v>Sensor gaps, excluded state or unsupported app prevents reliable classification.</x:v>
      </x:c>
      <x:c r="D14" s="493" t="str">
        <x:v>Telemetry gaps/sensor coverage</x:v>
      </x:c>
      <x:c r="E14" s="493" t="str">
        <x:v>Completeness below threshold.</x:v>
      </x:c>
      <x:c r="F14" s="493" t="str">
        <x:v>No negative inference.</x:v>
      </x:c>
      <x:c r="G14" s="493" t="str">
        <x:v>Prominently shown.</x:v>
      </x:c>
      <x:c r="H14" s="494" t="str">
        <x:v>Draft Complete</x:v>
      </x:c>
    </x:row>
    <x:row r="15">
      <x:c r="A15" s="487" t="str">
        <x:v>IDLE-011</x:v>
      </x:c>
      <x:c r="B15" s="114" t="str">
        <x:v>RETURN_FROM_IDLE</x:v>
      </x:c>
      <x:c r="C15" s="114" t="str">
        <x:v>Human input resumes after idle/pause/wait.</x:v>
      </x:c>
      <x:c r="D15" s="114" t="str">
        <x:v>Input/session event</x:v>
      </x:c>
      <x:c r="E15" s="114" t="str">
        <x:v>Record prior state duration and current task.</x:v>
      </x:c>
      <x:c r="F15" s="114" t="str">
        <x:v>Timeline transition.</x:v>
      </x:c>
      <x:c r="G15" s="114" t="str">
        <x:v>No judgement.</x:v>
      </x:c>
      <x:c r="H15" s="488" t="str">
        <x:v>Draft Complete</x:v>
      </x:c>
    </x:row>
    <x:row r="16">
      <x:c r="A16" s="492" t="str">
        <x:v>IDLE-012</x:v>
      </x:c>
      <x:c r="B16" s="493" t="str">
        <x:v>Threshold policy</x:v>
      </x:c>
      <x:c r="C16" s="493" t="str">
        <x:v>Idle thresholds are configurable by role/context and not a universal productivity benchmark.</x:v>
      </x:c>
      <x:c r="D16" s="493" t="str">
        <x:v>Signed policy</x:v>
      </x:c>
      <x:c r="E16" s="493" t="str">
        <x:v>Default range determined in pilot.</x:v>
      </x:c>
      <x:c r="F16" s="493" t="str">
        <x:v>State detection only.</x:v>
      </x:c>
      <x:c r="G16" s="493" t="str">
        <x:v>Accessibility/accommodation reviewed.</x:v>
      </x:c>
      <x:c r="H16" s="494" t="str">
        <x:v>Draft Complete</x:v>
      </x:c>
    </x:row>
    <x:row r="17">
      <x:c r="A17" s="487" t="str">
        <x:v>IDLE-013</x:v>
      </x:c>
      <x:c r="B17" s="114" t="str">
        <x:v>Confidence model</x:v>
      </x:c>
      <x:c r="C17" s="114" t="str">
        <x:v>State includes evidence, confidence, missing signals and alternative classification.</x:v>
      </x:c>
      <x:c r="D17" s="114" t="str">
        <x:v>Local/Stage 7 evaluator</x:v>
      </x:c>
      <x:c r="E17" s="114" t="str">
        <x:v>Required for ambiguous periods.</x:v>
      </x:c>
      <x:c r="F17" s="114" t="str">
        <x:v>Explainable classification.</x:v>
      </x:c>
      <x:c r="G17" s="114" t="str">
        <x:v>Employee can challenge.</x:v>
      </x:c>
      <x:c r="H17" s="488" t="str">
        <x:v>Draft Complete</x:v>
      </x:c>
    </x:row>
    <x:row r="18">
      <x:c r="A18" s="495" t="str">
        <x:v>IDLE-014</x:v>
      </x:c>
      <x:c r="B18" s="496" t="str">
        <x:v>Duration accounting</x:v>
      </x:c>
      <x:c r="C18" s="496" t="str">
        <x:v>Time allocation preserves overlapping automation/human review semantics rather than double-counting.</x:v>
      </x:c>
      <x:c r="D18" s="496" t="str">
        <x:v>Timeline aggregator</x:v>
      </x:c>
      <x:c r="E18" s="496" t="str">
        <x:v>Use mutually exclusive primary state with secondary tags.</x:v>
      </x:c>
      <x:c r="F18" s="496" t="str">
        <x:v>Accurate reports.</x:v>
      </x:c>
      <x:c r="G18" s="496" t="str">
        <x:v>No mouse/keyboard activity percentage as quality metric.</x:v>
      </x:c>
      <x:c r="H18" s="497" t="str">
        <x:v>Draft Complete</x:v>
      </x:c>
    </x:row>
  </x:sheetData>
  <x:mergeCells>
    <x:mergeCell ref="A1:H1"/>
    <x:mergeCell ref="A2:H2"/>
  </x:mergeCells>
  <x:dataValidations count="1">
    <x:dataValidation type="list" sqref="H5:H18">
      <x:formula1>"Draft Complete,Needs Review,Approved,Deferred"</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50" hidden="0" customWidth="1"/>
    <x:col min="4" max="4" width="46" hidden="0" customWidth="1"/>
    <x:col min="5" max="5" width="58" hidden="0" customWidth="1"/>
    <x:col min="6" max="6" width="26" hidden="0" customWidth="1"/>
    <x:col min="7" max="7" width="12" hidden="0" customWidth="1"/>
    <x:col min="8" max="8" width="18" hidden="0" customWidth="1"/>
    <x:col min="9" max="9" width="32" hidden="0" customWidth="1"/>
  </x:cols>
  <x:sheetData>
    <x:row r="1" ht="30" customHeight="1">
      <x:c r="A1" s="449" t="str">
        <x:v>Stage 5 — Privacy, Secure-Field and Redaction Test Matrix</x:v>
      </x:c>
      <x:c r="B1" s="449"/>
      <x:c r="C1" s="449"/>
      <x:c r="D1" s="449"/>
      <x:c r="E1" s="449"/>
      <x:c r="F1" s="449"/>
      <x:c r="G1" s="449"/>
      <x:c r="H1" s="449"/>
      <x:c r="I1" s="449"/>
    </x:row>
    <x:row r="2" ht="36" customHeight="1">
      <x:c r="A2" s="453" t="str">
        <x:v>Pilot-blocking test corpus for passwords, authentication, secrets, exclusions, policy expiry/tampering, observability leakage and accessibility accommodations.</x:v>
      </x:c>
      <x:c r="B2" s="453"/>
      <x:c r="C2" s="453"/>
      <x:c r="D2" s="453"/>
      <x:c r="E2" s="453"/>
      <x:c r="F2" s="453"/>
      <x:c r="G2" s="453"/>
      <x:c r="H2" s="453"/>
      <x:c r="I2" s="453"/>
    </x:row>
    <x:row r="4" ht="30" customHeight="1">
      <x:c r="A4" s="465" t="str">
        <x:v>ID</x:v>
      </x:c>
      <x:c r="B4" s="466" t="str">
        <x:v>Test area</x:v>
      </x:c>
      <x:c r="C4" s="466" t="str">
        <x:v>Scenario</x:v>
      </x:c>
      <x:c r="D4" s="466" t="str">
        <x:v>Method</x:v>
      </x:c>
      <x:c r="E4" s="466" t="str">
        <x:v>Acceptance criterion</x:v>
      </x:c>
      <x:c r="F4" s="466" t="str">
        <x:v>Owner</x:v>
      </x:c>
      <x:c r="G4" s="466" t="str">
        <x:v>Priority</x:v>
      </x:c>
      <x:c r="H4" s="466" t="str">
        <x:v>Status</x:v>
      </x:c>
      <x:c r="I4" s="467" t="str">
        <x:v>Source / basis</x:v>
      </x:c>
    </x:row>
    <x:row r="5">
      <x:c r="A5" s="484" t="str">
        <x:v>PRIV-001</x:v>
      </x:c>
      <x:c r="B5" s="485" t="str">
        <x:v>Windows password UIA property</x:v>
      </x:c>
      <x:c r="C5" s="485" t="str">
        <x:v>Test password controls with IsPassword=true across native test apps.</x:v>
      </x:c>
      <x:c r="D5" s="485" t="str">
        <x:v>Type known synthetic passwords and attempt all sensors.</x:v>
      </x:c>
      <x:c r="E5" s="485" t="str">
        <x:v>No key value/text delta/screenshot plaintext retained; suppression event present.</x:v>
      </x:c>
      <x:c r="F5" s="485" t="str">
        <x:v>Windows QA/CISO</x:v>
      </x:c>
      <x:c r="G5" s="485" t="str">
        <x:v>Critical</x:v>
      </x:c>
      <x:c r="H5" s="485" t="str">
        <x:v>Not Started</x:v>
      </x:c>
      <x:c r="I5" s="486" t="str">
        <x:v>Microsoft IsPassword property</x:v>
      </x:c>
    </x:row>
    <x:row r="6">
      <x:c r="A6" s="492" t="str">
        <x:v>PRIV-002</x:v>
      </x:c>
      <x:c r="B6" s="493" t="str">
        <x:v>macOS secure text field</x:v>
      </x:c>
      <x:c r="C6" s="493" t="str">
        <x:v>Test kAXSecureTextFieldSubrole/SecureField controls.</x:v>
      </x:c>
      <x:c r="D6" s="493" t="str">
        <x:v>Type synthetic credentials and capture UI/input states.</x:v>
      </x:c>
      <x:c r="E6" s="493" t="str">
        <x:v>No plaintext retained/uploaded.</x:v>
      </x:c>
      <x:c r="F6" s="493" t="str">
        <x:v>macOS QA/CISO</x:v>
      </x:c>
      <x:c r="G6" s="493" t="str">
        <x:v>Critical</x:v>
      </x:c>
      <x:c r="H6" s="493" t="str">
        <x:v>Not Started</x:v>
      </x:c>
      <x:c r="I6" s="494" t="str">
        <x:v>Apple secure text field subrole</x:v>
      </x:c>
    </x:row>
    <x:row r="7">
      <x:c r="A7" s="487" t="str">
        <x:v>PRIV-003</x:v>
      </x:c>
      <x:c r="B7" s="114" t="str">
        <x:v>Browser password field</x:v>
      </x:c>
      <x:c r="C7" s="114" t="str">
        <x:v>HTML input type=password and authentication-code forms.</x:v>
      </x:c>
      <x:c r="D7" s="114" t="str">
        <x:v>Chrome/Edge extension + native agent.</x:v>
      </x:c>
      <x:c r="E7" s="114" t="str">
        <x:v>No DOM value/text delta/screenshot readable content retained.</x:v>
      </x:c>
      <x:c r="F7" s="114" t="str">
        <x:v>Browser QA/CISO</x:v>
      </x:c>
      <x:c r="G7" s="114" t="str">
        <x:v>Critical</x:v>
      </x:c>
      <x:c r="H7" s="114" t="str">
        <x:v>Not Started</x:v>
      </x:c>
      <x:c r="I7" s="488" t="str">
        <x:v>Browser field rules</x:v>
      </x:c>
    </x:row>
    <x:row r="8">
      <x:c r="A8" s="492" t="str">
        <x:v>PRIV-004</x:v>
      </x:c>
      <x:c r="B8" s="493" t="str">
        <x:v>Terminal secret</x:v>
      </x:c>
      <x:c r="C8" s="493" t="str">
        <x:v>Synthetic API tokens/private-key patterns in command/output.</x:v>
      </x:c>
      <x:c r="D8" s="493" t="str">
        <x:v>Run commands in supported shells.</x:v>
      </x:c>
      <x:c r="E8" s="493" t="str">
        <x:v>Secret redacted/suppressed before journal/object upload.</x:v>
      </x:c>
      <x:c r="F8" s="493" t="str">
        <x:v>Shell QA/Security</x:v>
      </x:c>
      <x:c r="G8" s="493" t="str">
        <x:v>Critical</x:v>
      </x:c>
      <x:c r="H8" s="493" t="str">
        <x:v>Not Started</x:v>
      </x:c>
      <x:c r="I8" s="494" t="str">
        <x:v>Secret scanner</x:v>
      </x:c>
    </x:row>
    <x:row r="9">
      <x:c r="A9" s="487" t="str">
        <x:v>PRIV-005</x:v>
      </x:c>
      <x:c r="B9" s="114" t="str">
        <x:v>Environment-variable secret</x:v>
      </x:c>
      <x:c r="C9" s="114" t="str">
        <x:v>Command uses secret env var.</x:v>
      </x:c>
      <x:c r="D9" s="114" t="str">
        <x:v>Run shell process and inspect events/logs.</x:v>
      </x:c>
      <x:c r="E9" s="114" t="str">
        <x:v>Environment value never captured.</x:v>
      </x:c>
      <x:c r="F9" s="114" t="str">
        <x:v>Shell QA/Security</x:v>
      </x:c>
      <x:c r="G9" s="114" t="str">
        <x:v>Critical</x:v>
      </x:c>
      <x:c r="H9" s="114" t="str">
        <x:v>Not Started</x:v>
      </x:c>
      <x:c r="I9" s="488" t="str"/>
    </x:row>
    <x:row r="10">
      <x:c r="A10" s="492" t="str">
        <x:v>PRIV-006</x:v>
      </x:c>
      <x:c r="B10" s="493" t="str">
        <x:v>Personal email/domain exclusion</x:v>
      </x:c>
      <x:c r="C10" s="493" t="str">
        <x:v>Open excluded personal mail domain/app during active session.</x:v>
      </x:c>
      <x:c r="D10" s="493" t="str">
        <x:v>Navigate and interact.</x:v>
      </x:c>
      <x:c r="E10" s="493" t="str">
        <x:v>Private/excluded state; no title/URL/screenshot/text stored.</x:v>
      </x:c>
      <x:c r="F10" s="493" t="str">
        <x:v>DPO/Browser QA</x:v>
      </x:c>
      <x:c r="G10" s="493" t="str">
        <x:v>Critical</x:v>
      </x:c>
      <x:c r="H10" s="493" t="str">
        <x:v>Not Started</x:v>
      </x:c>
      <x:c r="I10" s="494" t="str">
        <x:v>Purpose policy</x:v>
      </x:c>
    </x:row>
    <x:row r="11">
      <x:c r="A11" s="487" t="str">
        <x:v>PRIV-007</x:v>
      </x:c>
      <x:c r="B11" s="114" t="str">
        <x:v>Banking/health exclusion</x:v>
      </x:c>
      <x:c r="C11" s="114" t="str">
        <x:v>Open synthetic or allowlisted excluded financial/health domains.</x:v>
      </x:c>
      <x:c r="D11" s="114" t="str">
        <x:v>Navigate/interact.</x:v>
      </x:c>
      <x:c r="E11" s="114" t="str">
        <x:v>No content captured; only policy suppression audit if allowed.</x:v>
      </x:c>
      <x:c r="F11" s="114" t="str">
        <x:v>DPO/Browser QA</x:v>
      </x:c>
      <x:c r="G11" s="114" t="str">
        <x:v>Critical</x:v>
      </x:c>
      <x:c r="H11" s="114" t="str">
        <x:v>Not Started</x:v>
      </x:c>
      <x:c r="I11" s="488" t="str"/>
    </x:row>
    <x:row r="12">
      <x:c r="A12" s="492" t="str">
        <x:v>PRIV-008</x:v>
      </x:c>
      <x:c r="B12" s="493" t="str">
        <x:v>Excluded application</x:v>
      </x:c>
      <x:c r="C12" s="493" t="str">
        <x:v>Open configured private messaging/password manager app.</x:v>
      </x:c>
      <x:c r="D12" s="493" t="str">
        <x:v>Switch to app and type synthetic data.</x:v>
      </x:c>
      <x:c r="E12" s="493" t="str">
        <x:v>No window title/content/input captured.</x:v>
      </x:c>
      <x:c r="F12" s="493" t="str">
        <x:v>Desktop QA</x:v>
      </x:c>
      <x:c r="G12" s="493" t="str">
        <x:v>Critical</x:v>
      </x:c>
      <x:c r="H12" s="493" t="str">
        <x:v>Not Started</x:v>
      </x:c>
      <x:c r="I12" s="494" t="str"/>
    </x:row>
    <x:row r="13">
      <x:c r="A13" s="487" t="str">
        <x:v>PRIV-009</x:v>
      </x:c>
      <x:c r="B13" s="114" t="str">
        <x:v>Excluded display</x:v>
      </x:c>
      <x:c r="C13" s="114" t="str">
        <x:v>Move approved app to excluded monitor.</x:v>
      </x:c>
      <x:c r="D13" s="114" t="str">
        <x:v>Switch/move/click/type.</x:v>
      </x:c>
      <x:c r="E13" s="114" t="str">
        <x:v>No visual/text evidence from excluded display.</x:v>
      </x:c>
      <x:c r="F13" s="114" t="str">
        <x:v>Desktop QA/DPO</x:v>
      </x:c>
      <x:c r="G13" s="114" t="str">
        <x:v>Critical</x:v>
      </x:c>
      <x:c r="H13" s="114" t="str">
        <x:v>Not Started</x:v>
      </x:c>
      <x:c r="I13" s="488" t="str"/>
    </x:row>
    <x:row r="14">
      <x:c r="A14" s="492" t="str">
        <x:v>PRIV-010</x:v>
      </x:c>
      <x:c r="B14" s="493" t="str">
        <x:v>Paused/private state</x:v>
      </x:c>
      <x:c r="C14" s="493" t="str">
        <x:v>Pause session then use approved app.</x:v>
      </x:c>
      <x:c r="D14" s="493" t="str">
        <x:v>Generate normal activity.</x:v>
      </x:c>
      <x:c r="E14" s="493" t="str">
        <x:v>No activity content captured; pause audit/health only.</x:v>
      </x:c>
      <x:c r="F14" s="493" t="str">
        <x:v>Desktop QA/Product</x:v>
      </x:c>
      <x:c r="G14" s="493" t="str">
        <x:v>Critical</x:v>
      </x:c>
      <x:c r="H14" s="493" t="str">
        <x:v>Not Started</x:v>
      </x:c>
      <x:c r="I14" s="494" t="str"/>
    </x:row>
    <x:row r="15">
      <x:c r="A15" s="487" t="str">
        <x:v>PRIV-011</x:v>
      </x:c>
      <x:c r="B15" s="114" t="str">
        <x:v>Policy expiry</x:v>
      </x:c>
      <x:c r="C15" s="114" t="str">
        <x:v>Let cached policy expire during active task.</x:v>
      </x:c>
      <x:c r="D15" s="114" t="str">
        <x:v>Continue generating activity.</x:v>
      </x:c>
      <x:c r="E15" s="114" t="str">
        <x:v>Sensitive capture stops immediately; state visible; gap emitted.</x:v>
      </x:c>
      <x:c r="F15" s="114" t="str">
        <x:v>Security QA</x:v>
      </x:c>
      <x:c r="G15" s="114" t="str">
        <x:v>Critical</x:v>
      </x:c>
      <x:c r="H15" s="114" t="str">
        <x:v>Not Started</x:v>
      </x:c>
      <x:c r="I15" s="488" t="str"/>
    </x:row>
    <x:row r="16">
      <x:c r="A16" s="492" t="str">
        <x:v>PRIV-012</x:v>
      </x:c>
      <x:c r="B16" s="493" t="str">
        <x:v>Policy tamper</x:v>
      </x:c>
      <x:c r="C16" s="493" t="str">
        <x:v>Modify local policy bundle/signature.</x:v>
      </x:c>
      <x:c r="D16" s="493" t="str">
        <x:v>Restart/reload agent.</x:v>
      </x:c>
      <x:c r="E16" s="493" t="str">
        <x:v>Policy rejected; fail-safe state; audit event.</x:v>
      </x:c>
      <x:c r="F16" s="493" t="str">
        <x:v>Security QA</x:v>
      </x:c>
      <x:c r="G16" s="493" t="str">
        <x:v>Critical</x:v>
      </x:c>
      <x:c r="H16" s="493" t="str">
        <x:v>Not Started</x:v>
      </x:c>
      <x:c r="I16" s="494" t="str"/>
    </x:row>
    <x:row r="17">
      <x:c r="A17" s="487" t="str">
        <x:v>PRIV-013</x:v>
      </x:c>
      <x:c r="B17" s="114" t="str">
        <x:v>Redaction false negative corpus</x:v>
      </x:c>
      <x:c r="C17" s="114" t="str">
        <x:v>Known credential/PII patterns in supported text/terminal/screens.</x:v>
      </x:c>
      <x:c r="D17" s="114" t="str">
        <x:v>Run corpus through local guard.</x:v>
      </x:c>
      <x:c r="E17" s="114" t="str">
        <x:v>Zero known high-severity secret leakage; documented residual limitations.</x:v>
      </x:c>
      <x:c r="F17" s="114" t="str">
        <x:v>Security/AI QA</x:v>
      </x:c>
      <x:c r="G17" s="114" t="str">
        <x:v>Critical</x:v>
      </x:c>
      <x:c r="H17" s="114" t="str">
        <x:v>Not Started</x:v>
      </x:c>
      <x:c r="I17" s="488" t="str"/>
    </x:row>
    <x:row r="18">
      <x:c r="A18" s="492" t="str">
        <x:v>PRIV-014</x:v>
      </x:c>
      <x:c r="B18" s="493" t="str">
        <x:v>Redaction false positive</x:v>
      </x:c>
      <x:c r="C18" s="493" t="str">
        <x:v>Benign code/text resembling tokens.</x:v>
      </x:c>
      <x:c r="D18" s="493" t="str">
        <x:v>Run representative code corpus.</x:v>
      </x:c>
      <x:c r="E18" s="493" t="str">
        <x:v>False-positive rate within agreed threshold; employee can report issue.</x:v>
      </x:c>
      <x:c r="F18" s="493" t="str">
        <x:v>Security/Product QA</x:v>
      </x:c>
      <x:c r="G18" s="493" t="str">
        <x:v>High</x:v>
      </x:c>
      <x:c r="H18" s="493" t="str">
        <x:v>Not Started</x:v>
      </x:c>
      <x:c r="I18" s="494" t="str"/>
    </x:row>
    <x:row r="19">
      <x:c r="A19" s="487" t="str">
        <x:v>PRIV-015</x:v>
      </x:c>
      <x:c r="B19" s="114" t="str">
        <x:v>Observability leak</x:v>
      </x:c>
      <x:c r="C19" s="114" t="str">
        <x:v>Insert synthetic secret into candidate evidence then inspect logs/traces/crash reports.</x:v>
      </x:c>
      <x:c r="D19" s="114" t="str">
        <x:v>Trigger success and failure paths.</x:v>
      </x:c>
      <x:c r="E19" s="114" t="str">
        <x:v>No secret found in operational telemetry.</x:v>
      </x:c>
      <x:c r="F19" s="114" t="str">
        <x:v>SRE/Security</x:v>
      </x:c>
      <x:c r="G19" s="114" t="str">
        <x:v>Critical</x:v>
      </x:c>
      <x:c r="H19" s="114" t="str">
        <x:v>Not Started</x:v>
      </x:c>
      <x:c r="I19" s="488" t="str">
        <x:v>OTel sensitive-data guidance</x:v>
      </x:c>
    </x:row>
    <x:row r="20">
      <x:c r="A20" s="492" t="str">
        <x:v>PRIV-016</x:v>
      </x:c>
      <x:c r="B20" s="493" t="str">
        <x:v>Object metadata leak</x:v>
      </x:c>
      <x:c r="C20" s="493" t="str">
        <x:v>Use sensitive window/task title and verify object keys/metadata.</x:v>
      </x:c>
      <x:c r="D20" s="493" t="str">
        <x:v>Capture state.</x:v>
      </x:c>
      <x:c r="E20" s="493" t="str">
        <x:v>Object key contains IDs only; sensitive text redacted/tokenised.</x:v>
      </x:c>
      <x:c r="F20" s="493" t="str">
        <x:v>Data/Security QA</x:v>
      </x:c>
      <x:c r="G20" s="493" t="str">
        <x:v>High</x:v>
      </x:c>
      <x:c r="H20" s="493" t="str">
        <x:v>Not Started</x:v>
      </x:c>
      <x:c r="I20" s="494" t="str"/>
    </x:row>
    <x:row r="21">
      <x:c r="A21" s="487" t="str">
        <x:v>PRIV-017</x:v>
      </x:c>
      <x:c r="B21" s="114" t="str">
        <x:v>Clipboard content</x:v>
      </x:c>
      <x:c r="C21" s="114" t="str">
        <x:v>Copy secret then paste into excluded and approved controls.</x:v>
      </x:c>
      <x:c r="D21" s="114" t="str">
        <x:v>Observe clipboard/text events.</x:v>
      </x:c>
      <x:c r="E21" s="114" t="str">
        <x:v>No standalone clipboard content retained; approved delta still redacted if secret.</x:v>
      </x:c>
      <x:c r="F21" s="114" t="str">
        <x:v>Desktop/Security QA</x:v>
      </x:c>
      <x:c r="G21" s="114" t="str">
        <x:v>High</x:v>
      </x:c>
      <x:c r="H21" s="114" t="str">
        <x:v>Not Started</x:v>
      </x:c>
      <x:c r="I21" s="488" t="str"/>
    </x:row>
    <x:row r="22">
      <x:c r="A22" s="492" t="str">
        <x:v>PRIV-018</x:v>
      </x:c>
      <x:c r="B22" s="493" t="str">
        <x:v>Employee correction</x:v>
      </x:c>
      <x:c r="C22" s="493" t="str">
        <x:v>Employee flags incorrect capture/classification.</x:v>
      </x:c>
      <x:c r="D22" s="493" t="str">
        <x:v>Submit correction through portal.</x:v>
      </x:c>
      <x:c r="E22" s="493" t="str">
        <x:v>Original retained; correction visible and audit linked.</x:v>
      </x:c>
      <x:c r="F22" s="493" t="str">
        <x:v>Governance QA</x:v>
      </x:c>
      <x:c r="G22" s="493" t="str">
        <x:v>High</x:v>
      </x:c>
      <x:c r="H22" s="493" t="str">
        <x:v>Not Started</x:v>
      </x:c>
      <x:c r="I22" s="494" t="str">
        <x:v>Employee rights</x:v>
      </x:c>
    </x:row>
    <x:row r="23">
      <x:c r="A23" s="487" t="str">
        <x:v>PRIV-019</x:v>
      </x:c>
      <x:c r="B23" s="114" t="str">
        <x:v>Accessibility accommodation</x:v>
      </x:c>
      <x:c r="C23" s="114" t="str">
        <x:v>Use voice input/assistive technology in supported task.</x:v>
      </x:c>
      <x:c r="D23" s="114" t="str">
        <x:v>Perform task with low physical key activity.</x:v>
      </x:c>
      <x:c r="E23" s="114" t="str">
        <x:v>No lower activity/capability inference; resulting artefact/evidence captured appropriately.</x:v>
      </x:c>
      <x:c r="F23" s="114" t="str">
        <x:v>Accessibility/HR QA</x:v>
      </x:c>
      <x:c r="G23" s="114" t="str">
        <x:v>Critical</x:v>
      </x:c>
      <x:c r="H23" s="114" t="str">
        <x:v>Not Started</x:v>
      </x:c>
      <x:c r="I23" s="488" t="str">
        <x:v>Fairness guardrail</x:v>
      </x:c>
    </x:row>
    <x:row r="24">
      <x:c r="A24" s="495" t="str">
        <x:v>PRIV-020</x:v>
      </x:c>
      <x:c r="B24" s="496" t="str">
        <x:v>Unknown secure control</x:v>
      </x:c>
      <x:c r="C24" s="496" t="str">
        <x:v>Custom app hides semantic role but visually resembles login field.</x:v>
      </x:c>
      <x:c r="D24" s="496" t="str">
        <x:v>Interact in test app.</x:v>
      </x:c>
      <x:c r="E24" s="496" t="str">
        <x:v>Policy defaults to suppress or metadata-only when confidence is low.</x:v>
      </x:c>
      <x:c r="F24" s="496" t="str">
        <x:v>Security/Desktop QA</x:v>
      </x:c>
      <x:c r="G24" s="496" t="str">
        <x:v>Critical</x:v>
      </x:c>
      <x:c r="H24" s="496" t="str">
        <x:v>Not Started</x:v>
      </x:c>
      <x:c r="I24" s="497" t="str">
        <x:v>Fail-safe secure-field policy</x:v>
      </x:c>
    </x:row>
  </x:sheetData>
  <x:mergeCells>
    <x:mergeCell ref="A1:I1"/>
    <x:mergeCell ref="A2:I2"/>
  </x:mergeCells>
  <x:dataValidations count="2">
    <x:dataValidation type="list" sqref="G5:G24">
      <x:formula1>"Critical,High,Medium,Low"</x:formula1>
    </x:dataValidation>
    <x:dataValidation type="list" sqref="H5:H24">
      <x:formula1>"Not Started,In Progress,Passed,Failed,Blocked,Deferred"</x:formula1>
    </x:dataValidation>
  </x:dataValidations>
  <x:pageMargins left="0.7" right="0.7" top="0.75" bottom="0.75" header="0.3" footer="0.3"/>
</x:worksheet>
</file>

<file path=xl/worksheets/sheet79.xml><?xml version="1.0" encoding="utf-8"?>
<x:worksheet xmlns:x="http://schemas.openxmlformats.org/spreadsheetml/2006/main">
  <x:sheetFormatPr defaultRowHeight="15"/>
  <x:cols>
    <x:col min="1" max="1" width="12" hidden="0" customWidth="1"/>
    <x:col min="2" max="2" width="30" hidden="0" customWidth="1"/>
    <x:col min="3" max="3" width="24" hidden="0" customWidth="1"/>
    <x:col min="4" max="4" width="46" hidden="0" customWidth="1"/>
    <x:col min="5" max="5" width="48" hidden="0" customWidth="1"/>
    <x:col min="6" max="6" width="44" hidden="0" customWidth="1"/>
    <x:col min="7" max="7" width="12" hidden="0" customWidth="1"/>
    <x:col min="8" max="8" width="18" hidden="0" customWidth="1"/>
  </x:cols>
  <x:sheetData>
    <x:row r="1" ht="30" customHeight="1">
      <x:c r="A1" s="449" t="str">
        <x:v>Stage 5 — Supported Environment Matrix</x:v>
      </x:c>
      <x:c r="B1" s="449"/>
      <x:c r="C1" s="449"/>
      <x:c r="D1" s="449"/>
      <x:c r="E1" s="449"/>
      <x:c r="F1" s="449"/>
      <x:c r="G1" s="449"/>
      <x:c r="H1" s="449"/>
    </x:row>
    <x:row r="2" ht="36" customHeight="1">
      <x:c r="A2" s="453" t="str">
        <x:v>Initial endpoint, browser, shell, Git and development-tool support position. Universal capture provides fallback; semantic adapters deepen evidence in Stage 6.</x:v>
      </x:c>
      <x:c r="B2" s="453"/>
      <x:c r="C2" s="453"/>
      <x:c r="D2" s="453"/>
      <x:c r="E2" s="453"/>
      <x:c r="F2" s="453"/>
      <x:c r="G2" s="453"/>
      <x:c r="H2" s="453"/>
    </x:row>
    <x:row r="4" ht="30" customHeight="1">
      <x:c r="A4" s="465" t="str">
        <x:v>ID</x:v>
      </x:c>
      <x:c r="B4" s="466" t="str">
        <x:v>Environment</x:v>
      </x:c>
      <x:c r="C4" s="466" t="str">
        <x:v>MVP position</x:v>
      </x:c>
      <x:c r="D4" s="466" t="str">
        <x:v>Scope / version strategy</x:v>
      </x:c>
      <x:c r="E4" s="466" t="str">
        <x:v>Capture/adapter position</x:v>
      </x:c>
      <x:c r="F4" s="466" t="str">
        <x:v>Policy/technical note</x:v>
      </x:c>
      <x:c r="G4" s="466" t="str">
        <x:v>Priority</x:v>
      </x:c>
      <x:c r="H4" s="467" t="str">
        <x:v>Status</x:v>
      </x:c>
    </x:row>
    <x:row r="5">
      <x:c r="A5" s="484" t="str">
        <x:v>ENV-001</x:v>
      </x:c>
      <x:c r="B5" s="485" t="str">
        <x:v>Windows 11 managed devices</x:v>
      </x:c>
      <x:c r="C5" s="485" t="str">
        <x:v>Supported MVP target</x:v>
      </x:c>
      <x:c r="D5" s="485" t="str">
        <x:v>Current supported enterprise builds; x64 and arm64 where Nessovo needs them.</x:v>
      </x:c>
      <x:c r="E5" s="485" t="str">
        <x:v>App/window/process/input/file/screen capabilities subject to spike.</x:v>
      </x:c>
      <x:c r="F5" s="485" t="str">
        <x:v>Signed installer/MDM; UIA/Graphics Capture/Raw Input.</x:v>
      </x:c>
      <x:c r="G5" s="485" t="str">
        <x:v>Critical</x:v>
      </x:c>
      <x:c r="H5" s="486" t="str">
        <x:v>Draft Complete</x:v>
      </x:c>
    </x:row>
    <x:row r="6">
      <x:c r="A6" s="492" t="str">
        <x:v>ENV-002</x:v>
      </x:c>
      <x:c r="B6" s="493" t="str">
        <x:v>macOS managed devices</x:v>
      </x:c>
      <x:c r="C6" s="493" t="str">
        <x:v>Supported MVP target</x:v>
      </x:c>
      <x:c r="D6" s="493" t="str">
        <x:v>Current supported macOS versions; Apple Silicon first, Intel only if Nessovo fleet requires.</x:v>
      </x:c>
      <x:c r="E6" s="493" t="str">
        <x:v>TCC permissions; AX/ScreenCaptureKit/FSEvents; signing/notarisation.</x:v>
      </x:c>
      <x:c r="F6" s="493" t="str">
        <x:v>Developer ID/MDM where possible.</x:v>
      </x:c>
      <x:c r="G6" s="493" t="str">
        <x:v>Critical</x:v>
      </x:c>
      <x:c r="H6" s="494" t="str">
        <x:v>Draft Complete</x:v>
      </x:c>
    </x:row>
    <x:row r="7">
      <x:c r="A7" s="487" t="str">
        <x:v>ENV-003</x:v>
      </x:c>
      <x:c r="B7" s="114" t="str">
        <x:v>Linux</x:v>
      </x:c>
      <x:c r="C7" s="114" t="str">
        <x:v>Deferred</x:v>
      </x:c>
      <x:c r="D7" s="114" t="str">
        <x:v>No initial universal capture due to Wayland/compositor variability.</x:v>
      </x:c>
      <x:c r="E7" s="114" t="str">
        <x:v>Specific managed distro/compositor may be evaluated later.</x:v>
      </x:c>
      <x:c r="F7" s="114" t="str">
        <x:v>XDG portals/AT-SPI/inotify.</x:v>
      </x:c>
      <x:c r="G7" s="114" t="str">
        <x:v>Medium</x:v>
      </x:c>
      <x:c r="H7" s="488" t="str">
        <x:v>Draft Complete</x:v>
      </x:c>
    </x:row>
    <x:row r="8">
      <x:c r="A8" s="492" t="str">
        <x:v>ENV-004</x:v>
      </x:c>
      <x:c r="B8" s="493" t="str">
        <x:v>Chrome</x:v>
      </x:c>
      <x:c r="C8" s="493" t="str">
        <x:v>Supported browser</x:v>
      </x:c>
      <x:c r="D8" s="493" t="str">
        <x:v>Enterprise-managed current stable version.</x:v>
      </x:c>
      <x:c r="E8" s="493" t="str">
        <x:v>Tabs/native messaging; title/domain/allowlisted URL; extension deployment.</x:v>
      </x:c>
      <x:c r="F8" s="493" t="str">
        <x:v>Tabs permission and native host allowlist.</x:v>
      </x:c>
      <x:c r="G8" s="493" t="str">
        <x:v>High</x:v>
      </x:c>
      <x:c r="H8" s="494" t="str">
        <x:v>Draft Complete</x:v>
      </x:c>
    </x:row>
    <x:row r="9">
      <x:c r="A9" s="487" t="str">
        <x:v>ENV-005</x:v>
      </x:c>
      <x:c r="B9" s="114" t="str">
        <x:v>Microsoft Edge</x:v>
      </x:c>
      <x:c r="C9" s="114" t="str">
        <x:v>Supported browser</x:v>
      </x:c>
      <x:c r="D9" s="114" t="str">
        <x:v>Enterprise-managed Chromium Edge.</x:v>
      </x:c>
      <x:c r="E9" s="114" t="str">
        <x:v>Same extension/native messaging pattern with enterprise policies.</x:v>
      </x:c>
      <x:c r="F9" s="114" t="str">
        <x:v>Extension deployment and URL policy.</x:v>
      </x:c>
      <x:c r="G9" s="114" t="str">
        <x:v>High</x:v>
      </x:c>
      <x:c r="H9" s="488" t="str">
        <x:v>Draft Complete</x:v>
      </x:c>
    </x:row>
    <x:row r="10">
      <x:c r="A10" s="492" t="str">
        <x:v>ENV-006</x:v>
      </x:c>
      <x:c r="B10" s="493" t="str">
        <x:v>Safari</x:v>
      </x:c>
      <x:c r="C10" s="493" t="str">
        <x:v>Deferred unless pilot requires</x:v>
      </x:c>
      <x:c r="D10" s="493" t="str">
        <x:v>Different extension/native integration path.</x:v>
      </x:c>
      <x:c r="E10" s="493" t="str">
        <x:v>May support later with separate privacy/permissions spike.</x:v>
      </x:c>
      <x:c r="F10" s="493" t="str">
        <x:v>No MVP dependency.</x:v>
      </x:c>
      <x:c r="G10" s="493" t="str">
        <x:v>Low</x:v>
      </x:c>
      <x:c r="H10" s="494" t="str">
        <x:v>Draft Complete</x:v>
      </x:c>
    </x:row>
    <x:row r="11">
      <x:c r="A11" s="487" t="str">
        <x:v>ENV-007</x:v>
      </x:c>
      <x:c r="B11" s="114" t="str">
        <x:v>PowerShell 7</x:v>
      </x:c>
      <x:c r="C11" s="114" t="str">
        <x:v>Supported shell target</x:v>
      </x:c>
      <x:c r="D11" s="114" t="str">
        <x:v>Windows developer/operations shell.</x:v>
      </x:c>
      <x:c r="E11" s="114" t="str">
        <x:v>PTY/shell integration, command/result and secret redaction.</x:v>
      </x:c>
      <x:c r="F11" s="114" t="str">
        <x:v>Approved profiles only.</x:v>
      </x:c>
      <x:c r="G11" s="114" t="str">
        <x:v>High</x:v>
      </x:c>
      <x:c r="H11" s="488" t="str">
        <x:v>Draft Complete</x:v>
      </x:c>
    </x:row>
    <x:row r="12">
      <x:c r="A12" s="492" t="str">
        <x:v>ENV-008</x:v>
      </x:c>
      <x:c r="B12" s="493" t="str">
        <x:v>Windows cmd.exe</x:v>
      </x:c>
      <x:c r="C12" s="493" t="str">
        <x:v>Limited support</x:v>
      </x:c>
      <x:c r="D12" s="493" t="str">
        <x:v>Process/command line may be captured through wrapper or process telemetry.</x:v>
      </x:c>
      <x:c r="E12" s="493" t="str">
        <x:v>Lower semantic fidelity than PowerShell.</x:v>
      </x:c>
      <x:c r="F12" s="493" t="str">
        <x:v>Metadata-only fallback.</x:v>
      </x:c>
      <x:c r="G12" s="493" t="str">
        <x:v>Medium</x:v>
      </x:c>
      <x:c r="H12" s="494" t="str">
        <x:v>Draft Complete</x:v>
      </x:c>
    </x:row>
    <x:row r="13">
      <x:c r="A13" s="487" t="str">
        <x:v>ENV-009</x:v>
      </x:c>
      <x:c r="B13" s="114" t="str">
        <x:v>bash/zsh</x:v>
      </x:c>
      <x:c r="C13" s="114" t="str">
        <x:v>Supported shell target</x:v>
      </x:c>
      <x:c r="D13" s="114" t="str">
        <x:v>macOS and future Linux shells.</x:v>
      </x:c>
      <x:c r="E13" s="114" t="str">
        <x:v>Shell integration/PTY; command/result; redaction.</x:v>
      </x:c>
      <x:c r="F13" s="114" t="str">
        <x:v>Approved rc/profile integration.</x:v>
      </x:c>
      <x:c r="G13" s="114" t="str">
        <x:v>High</x:v>
      </x:c>
      <x:c r="H13" s="488" t="str">
        <x:v>Draft Complete</x:v>
      </x:c>
    </x:row>
    <x:row r="14">
      <x:c r="A14" s="492" t="str">
        <x:v>ENV-010</x:v>
      </x:c>
      <x:c r="B14" s="493" t="str">
        <x:v>Git CLI</x:v>
      </x:c>
      <x:c r="C14" s="493" t="str">
        <x:v>Supported</x:v>
      </x:c>
      <x:c r="D14" s="493" t="str">
        <x:v>Git repositories in approved project roots.</x:v>
      </x:c>
      <x:c r="E14" s="493" t="str">
        <x:v>Status/diff/commit/branch events and source refs.</x:v>
      </x:c>
      <x:c r="F14" s="493" t="str">
        <x:v>No line-count productivity.</x:v>
      </x:c>
      <x:c r="G14" s="493" t="str">
        <x:v>High</x:v>
      </x:c>
      <x:c r="H14" s="494" t="str">
        <x:v>Draft Complete</x:v>
      </x:c>
    </x:row>
    <x:row r="15">
      <x:c r="A15" s="487" t="str">
        <x:v>ENV-011</x:v>
      </x:c>
      <x:c r="B15" s="114" t="str">
        <x:v>GitHub</x:v>
      </x:c>
      <x:c r="C15" s="114" t="str">
        <x:v>Supported connector</x:v>
      </x:c>
      <x:c r="D15" s="114" t="str">
        <x:v>Repos/PR/checks through existing integration or APIs.</x:v>
      </x:c>
      <x:c r="E15" s="114" t="str">
        <x:v>Authoritative PR/review/check evidence.</x:v>
      </x:c>
      <x:c r="F15" s="114" t="str">
        <x:v>Source-system permissions.</x:v>
      </x:c>
      <x:c r="G15" s="114" t="str">
        <x:v>High</x:v>
      </x:c>
      <x:c r="H15" s="488" t="str">
        <x:v>Draft Complete</x:v>
      </x:c>
    </x:row>
    <x:row r="16">
      <x:c r="A16" s="492" t="str">
        <x:v>ENV-012</x:v>
      </x:c>
      <x:c r="B16" s="493" t="str">
        <x:v>VS Code family</x:v>
      </x:c>
      <x:c r="C16" s="493" t="str">
        <x:v>Semantic adapter later Stage 6; universal fallback Stage 5</x:v>
      </x:c>
      <x:c r="D16" s="493" t="str">
        <x:v>Capture app/window/UI/file/process now; editor semantics later.</x:v>
      </x:c>
      <x:c r="E16" s="493" t="str">
        <x:v>No dependency on VS Code for universal capture.</x:v>
      </x:c>
      <x:c r="F16" s="493" t="str">
        <x:v>Adapter SDK.</x:v>
      </x:c>
      <x:c r="G16" s="493" t="str">
        <x:v>High</x:v>
      </x:c>
      <x:c r="H16" s="494" t="str">
        <x:v>Draft Complete</x:v>
      </x:c>
    </x:row>
    <x:row r="17">
      <x:c r="A17" s="487" t="str">
        <x:v>ENV-013</x:v>
      </x:c>
      <x:c r="B17" s="114" t="str">
        <x:v>JetBrains IDEs</x:v>
      </x:c>
      <x:c r="C17" s="114" t="str">
        <x:v>Semantic adapter later Stage 6; universal fallback Stage 5</x:v>
      </x:c>
      <x:c r="D17" s="114" t="str">
        <x:v>Capture app/window/UI/file/process now.</x:v>
      </x:c>
      <x:c r="E17" s="114" t="str">
        <x:v>Adapter-specific APIs later.</x:v>
      </x:c>
      <x:c r="F17" s="114" t="str">
        <x:v>High</x:v>
      </x:c>
      <x:c r="G17" s="114" t="str">
        <x:v>Draft Complete</x:v>
      </x:c>
      <x:c r="H17" s="488"/>
    </x:row>
    <x:row r="18">
      <x:c r="A18" s="492" t="str">
        <x:v>ENV-014</x:v>
      </x:c>
      <x:c r="B18" s="493" t="str">
        <x:v>Xcode</x:v>
      </x:c>
      <x:c r="C18" s="493" t="str">
        <x:v>Universal capture plus toolchain events</x:v>
      </x:c>
      <x:c r="D18" s="493" t="str">
        <x:v>macOS development use.</x:v>
      </x:c>
      <x:c r="E18" s="493" t="str">
        <x:v>AX/window/process/build/test/simulator; semantic adapter as feasible.</x:v>
      </x:c>
      <x:c r="F18" s="493" t="str">
        <x:v>TCC and secure fields.</x:v>
      </x:c>
      <x:c r="G18" s="493" t="str">
        <x:v>High</x:v>
      </x:c>
      <x:c r="H18" s="494" t="str">
        <x:v>Draft Complete</x:v>
      </x:c>
    </x:row>
    <x:row r="19">
      <x:c r="A19" s="487" t="str">
        <x:v>ENV-015</x:v>
      </x:c>
      <x:c r="B19" s="114" t="str">
        <x:v>Android Studio / Flutter</x:v>
      </x:c>
      <x:c r="C19" s="114" t="str">
        <x:v>Universal capture plus toolchain events</x:v>
      </x:c>
      <x:c r="D19" s="114" t="str">
        <x:v>Mobile development use.</x:v>
      </x:c>
      <x:c r="E19" s="114" t="str">
        <x:v>IDE/process/file/build/emulator events.</x:v>
      </x:c>
      <x:c r="F19" s="114" t="str">
        <x:v>Semantic adapter later.</x:v>
      </x:c>
      <x:c r="G19" s="114" t="str">
        <x:v>High</x:v>
      </x:c>
      <x:c r="H19" s="488" t="str">
        <x:v>Draft Complete</x:v>
      </x:c>
    </x:row>
    <x:row r="20">
      <x:c r="A20" s="492" t="str">
        <x:v>ENV-016</x:v>
      </x:c>
      <x:c r="B20" s="493" t="str">
        <x:v>Docker Desktop</x:v>
      </x:c>
      <x:c r="C20" s="493" t="str">
        <x:v>Metadata/process integration</x:v>
      </x:c>
      <x:c r="D20" s="493" t="str">
        <x:v>Container/build context.</x:v>
      </x:c>
      <x:c r="E20" s="493" t="str">
        <x:v>Process/API events where approved.</x:v>
      </x:c>
      <x:c r="F20" s="493" t="str">
        <x:v>No container content capture by default.</x:v>
      </x:c>
      <x:c r="G20" s="493" t="str">
        <x:v>Medium</x:v>
      </x:c>
      <x:c r="H20" s="494" t="str">
        <x:v>Draft Complete</x:v>
      </x:c>
    </x:row>
    <x:row r="21">
      <x:c r="A21" s="487" t="str">
        <x:v>ENV-017</x:v>
      </x:c>
      <x:c r="B21" s="114" t="str">
        <x:v>Remote desktop/VM</x:v>
      </x:c>
      <x:c r="C21" s="114" t="str">
        <x:v>Limited/conditional</x:v>
      </x:c>
      <x:c r="D21" s="114" t="str">
        <x:v>Accessibility and screenshot semantics may be reduced or duplicate nested desktops.</x:v>
      </x:c>
      <x:c r="E21" s="114" t="str">
        <x:v>Mark evidence limitations and avoid false completeness.</x:v>
      </x:c>
      <x:c r="F21" s="114" t="str">
        <x:v>Separate spike/policy.</x:v>
      </x:c>
      <x:c r="G21" s="114" t="str">
        <x:v>Medium</x:v>
      </x:c>
      <x:c r="H21" s="488" t="str">
        <x:v>Draft Complete</x:v>
      </x:c>
    </x:row>
    <x:row r="22">
      <x:c r="A22" s="495" t="str">
        <x:v>ENV-018</x:v>
      </x:c>
      <x:c r="B22" s="496" t="str">
        <x:v>Password managers/authenticator apps</x:v>
      </x:c>
      <x:c r="C22" s="496" t="str">
        <x:v>Explicitly excluded</x:v>
      </x:c>
      <x:c r="D22" s="496" t="str">
        <x:v>Sensitive security tools.</x:v>
      </x:c>
      <x:c r="E22" s="496" t="str">
        <x:v>No capture of titles/content/input.</x:v>
      </x:c>
      <x:c r="F22" s="496" t="str">
        <x:v>Exclusion policy and tests.</x:v>
      </x:c>
      <x:c r="G22" s="496" t="str">
        <x:v>Critical</x:v>
      </x:c>
      <x:c r="H22" s="497" t="str">
        <x:v>Draft Complete</x:v>
      </x:c>
    </x:row>
  </x:sheetData>
  <x:mergeCells>
    <x:mergeCell ref="A1:H1"/>
    <x:mergeCell ref="A2:H2"/>
  </x:mergeCells>
  <x:dataValidations count="2">
    <x:dataValidation type="list" sqref="G5:G22">
      <x:formula1>"Critical,High,Medium,Low"</x:formula1>
    </x:dataValidation>
    <x:dataValidation type="list" sqref="H5:H22">
      <x:formula1>"Draft Complete,Needs Review,Approved,Deferred"</x:formula1>
    </x:dataValidation>
  </x:dataValidations>
  <x:pageMargins left="0.7" right="0.7" top="0.75" bottom="0.75" header="0.3" footer="0.3"/>
</x:worksheet>
</file>

<file path=xl/worksheets/sheet80.xml><?xml version="1.0" encoding="utf-8"?>
<x:worksheet xmlns:x="http://schemas.openxmlformats.org/spreadsheetml/2006/main">
  <x:sheetFormatPr defaultRowHeight="15"/>
  <x:cols>
    <x:col min="1" max="1" width="14" hidden="0" customWidth="1"/>
    <x:col min="2" max="2" width="40" hidden="0" customWidth="1"/>
    <x:col min="3" max="3" width="44" hidden="0" customWidth="1"/>
    <x:col min="4" max="4" width="56" hidden="0" customWidth="1"/>
    <x:col min="5" max="5" width="24" hidden="0" customWidth="1"/>
    <x:col min="6" max="6" width="28" hidden="0" customWidth="1"/>
    <x:col min="7" max="7" width="34" hidden="0" customWidth="1"/>
    <x:col min="8" max="8" width="52" hidden="0" customWidth="1"/>
    <x:col min="9" max="9" width="18" hidden="0" customWidth="1"/>
  </x:cols>
  <x:sheetData>
    <x:row r="1" ht="30" customHeight="1">
      <x:c r="A1" s="449" t="str">
        <x:v>Stage 5 — Capture Event Contracts</x:v>
      </x:c>
      <x:c r="B1" s="449"/>
      <x:c r="C1" s="449"/>
      <x:c r="D1" s="449"/>
      <x:c r="E1" s="449"/>
      <x:c r="F1" s="449"/>
      <x:c r="G1" s="449"/>
      <x:c r="H1" s="449"/>
      <x:c r="I1" s="449"/>
    </x:row>
    <x:row r="2" ht="36" customHeight="1">
      <x:c r="A2" s="453" t="str">
        <x:v>Canonical Stage 5 events published through the Stage 4 batch/ingestion contracts. Sensitive content is referenced, encrypted and policy-controlled.</x:v>
      </x:c>
      <x:c r="B2" s="453"/>
      <x:c r="C2" s="453"/>
      <x:c r="D2" s="453"/>
      <x:c r="E2" s="453"/>
      <x:c r="F2" s="453"/>
      <x:c r="G2" s="453"/>
      <x:c r="H2" s="453"/>
      <x:c r="I2" s="453"/>
    </x:row>
    <x:row r="4" ht="30" customHeight="1">
      <x:c r="A4" s="465" t="str">
        <x:v>ID</x:v>
      </x:c>
      <x:c r="B4" s="466" t="str">
        <x:v>Event type</x:v>
      </x:c>
      <x:c r="C4" s="466" t="str">
        <x:v>Purpose</x:v>
      </x:c>
      <x:c r="D4" s="466" t="str">
        <x:v>Key payload</x:v>
      </x:c>
      <x:c r="E4" s="466" t="str">
        <x:v>Data class</x:v>
      </x:c>
      <x:c r="F4" s="466" t="str">
        <x:v>Producer</x:v>
      </x:c>
      <x:c r="G4" s="466" t="str">
        <x:v>Stage 4 destination</x:v>
      </x:c>
      <x:c r="H4" s="466" t="str">
        <x:v>Privacy/accuracy rule</x:v>
      </x:c>
      <x:c r="I4" s="467" t="str">
        <x:v>Status</x:v>
      </x:c>
    </x:row>
    <x:row r="5">
      <x:c r="A5" s="484" t="str">
        <x:v>S5-EVT-001</x:v>
      </x:c>
      <x:c r="B5" s="485" t="str">
        <x:v>activity.application.changed.v1</x:v>
      </x:c>
      <x:c r="C5" s="485" t="str">
        <x:v>Foreground application/process changed.</x:v>
      </x:c>
      <x:c r="D5" s="485" t="str">
        <x:v>app/process IDs, redacted title class, previous/new context, task/session refs</x:v>
      </x:c>
      <x:c r="E5" s="485" t="str">
        <x:v>Metadata</x:v>
      </x:c>
      <x:c r="F5" s="485" t="str">
        <x:v>Application sensor</x:v>
      </x:c>
      <x:c r="G5" s="485" t="str">
        <x:v>Stage 4 activity.normalized</x:v>
      </x:c>
      <x:c r="H5" s="485" t="str">
        <x:v>Policy/exclusion applied locally.</x:v>
      </x:c>
      <x:c r="I5" s="486" t="str">
        <x:v>Draft Complete</x:v>
      </x:c>
    </x:row>
    <x:row r="6">
      <x:c r="A6" s="492" t="str">
        <x:v>S5-EVT-002</x:v>
      </x:c>
      <x:c r="B6" s="493" t="str">
        <x:v>activity.window.changed.v1</x:v>
      </x:c>
      <x:c r="C6" s="493" t="str">
        <x:v>Window/focus/title context changed.</x:v>
      </x:c>
      <x:c r="D6" s="493" t="str">
        <x:v>window ID, bounds, redacted title, display, app/process refs</x:v>
      </x:c>
      <x:c r="E6" s="493" t="str">
        <x:v>Metadata</x:v>
      </x:c>
      <x:c r="F6" s="493" t="str">
        <x:v>Window sensor</x:v>
      </x:c>
      <x:c r="G6" s="493" t="str">
        <x:v>Stage 4 activity.normalized</x:v>
      </x:c>
      <x:c r="H6" s="493" t="str">
        <x:v>Sensitive titles redacted.</x:v>
      </x:c>
      <x:c r="I6" s="494" t="str">
        <x:v>Draft Complete</x:v>
      </x:c>
    </x:row>
    <x:row r="7">
      <x:c r="A7" s="487" t="str">
        <x:v>S5-EVT-003</x:v>
      </x:c>
      <x:c r="B7" s="114" t="str">
        <x:v>activity.input.burst.v1</x:v>
      </x:c>
      <x:c r="C7" s="114" t="str">
        <x:v>Grouped keyboard/mouse input metadata.</x:v>
      </x:c>
      <x:c r="D7" s="114" t="str">
        <x:v>burst start/end, categories, modifiers, app/control refs, injected flag</x:v>
      </x:c>
      <x:c r="E7" s="114" t="str">
        <x:v>Input metadata</x:v>
      </x:c>
      <x:c r="F7" s="114" t="str">
        <x:v>Input sensor</x:v>
      </x:c>
      <x:c r="G7" s="114" t="str">
        <x:v>Stage 4 activity.normalized</x:v>
      </x:c>
      <x:c r="H7" s="114" t="str">
        <x:v>No secure/excluded values.</x:v>
      </x:c>
      <x:c r="I7" s="488" t="str">
        <x:v>Draft Complete</x:v>
      </x:c>
    </x:row>
    <x:row r="8">
      <x:c r="A8" s="492" t="str">
        <x:v>S5-EVT-004</x:v>
      </x:c>
      <x:c r="B8" s="493" t="str">
        <x:v>activity.mouse.click.v1</x:v>
      </x:c>
      <x:c r="C8" s="493" t="str">
        <x:v>Policy-approved click linked to visual/UI context.</x:v>
      </x:c>
      <x:c r="D8" s="493" t="str">
        <x:v>button, coordinates, UI element ref, before/after state refs</x:v>
      </x:c>
      <x:c r="E8" s="493" t="str">
        <x:v>Input metadata</x:v>
      </x:c>
      <x:c r="F8" s="493" t="str">
        <x:v>Mouse sensor</x:v>
      </x:c>
      <x:c r="G8" s="493" t="str">
        <x:v>Stage 4 activity.normalized</x:v>
      </x:c>
      <x:c r="H8" s="493" t="str">
        <x:v>No productivity use.</x:v>
      </x:c>
      <x:c r="I8" s="494" t="str">
        <x:v>Draft Complete</x:v>
      </x:c>
    </x:row>
    <x:row r="9">
      <x:c r="A9" s="487" t="str">
        <x:v>S5-EVT-005</x:v>
      </x:c>
      <x:c r="B9" s="114" t="str">
        <x:v>content.text.delta.v1</x:v>
      </x:c>
      <x:c r="C9" s="114" t="str">
        <x:v>Approved resulting text change.</x:v>
      </x:c>
      <x:c r="D9" s="114" t="str">
        <x:v>document/control ref, inserted/deleted encrypted object ref, hashes, attribution candidates</x:v>
      </x:c>
      <x:c r="E9" s="114" t="str">
        <x:v>Sensitive content ref</x:v>
      </x:c>
      <x:c r="F9" s="114" t="str">
        <x:v>Text adapter</x:v>
      </x:c>
      <x:c r="G9" s="114" t="str">
        <x:v>Stage 4 metadata + object intake</x:v>
      </x:c>
      <x:c r="H9" s="114" t="str">
        <x:v>Secure field/secret guard before storage.</x:v>
      </x:c>
      <x:c r="I9" s="488" t="str">
        <x:v>Draft Complete</x:v>
      </x:c>
    </x:row>
    <x:row r="10">
      <x:c r="A10" s="492" t="str">
        <x:v>S5-EVT-006</x:v>
      </x:c>
      <x:c r="B10" s="493" t="str">
        <x:v>visual.state.created.v1</x:v>
      </x:c>
      <x:c r="C10" s="493" t="str">
        <x:v>Meaningful redacted visual state created.</x:v>
      </x:c>
      <x:c r="D10" s="493" t="str">
        <x:v>visual state fields/object refs/change score/trigger</x:v>
      </x:c>
      <x:c r="E10" s="493" t="str">
        <x:v>Visual metadata/content ref</x:v>
      </x:c>
      <x:c r="F10" s="493" t="str">
        <x:v>Visual pipeline</x:v>
      </x:c>
      <x:c r="G10" s="493" t="str">
        <x:v>Stage 4 visual topic/object store</x:v>
      </x:c>
      <x:c r="H10" s="493" t="str">
        <x:v>Event-driven and deduplicated.</x:v>
      </x:c>
      <x:c r="I10" s="494" t="str">
        <x:v>Draft Complete</x:v>
      </x:c>
    </x:row>
    <x:row r="11">
      <x:c r="A11" s="487" t="str">
        <x:v>S5-EVT-007</x:v>
      </x:c>
      <x:c r="B11" s="114" t="str">
        <x:v>visual.state.deduplicated.v1</x:v>
      </x:c>
      <x:c r="C11" s="114" t="str">
        <x:v>Candidate state matched existing/near-identical state.</x:v>
      </x:c>
      <x:c r="D11" s="114" t="str">
        <x:v>prior state ref, similarity score, trigger</x:v>
      </x:c>
      <x:c r="E11" s="114" t="str">
        <x:v>Metadata</x:v>
      </x:c>
      <x:c r="F11" s="114" t="str">
        <x:v>Visual pipeline</x:v>
      </x:c>
      <x:c r="G11" s="114" t="str">
        <x:v>Stage 4 activity topic</x:v>
      </x:c>
      <x:c r="H11" s="114" t="str">
        <x:v>No duplicate object uploaded.</x:v>
      </x:c>
      <x:c r="I11" s="488" t="str">
        <x:v>Draft Complete</x:v>
      </x:c>
    </x:row>
    <x:row r="12">
      <x:c r="A12" s="492" t="str">
        <x:v>S5-EVT-008</x:v>
      </x:c>
      <x:c r="B12" s="493" t="str">
        <x:v>capture.suppressed.v1</x:v>
      </x:c>
      <x:c r="C12" s="493" t="str">
        <x:v>Candidate capture suppressed by policy/secure/exclusion rule.</x:v>
      </x:c>
      <x:c r="D12" s="493" t="str">
        <x:v>reason code, sensor, app/category, policy version</x:v>
      </x:c>
      <x:c r="E12" s="493" t="str">
        <x:v>Audit metadata</x:v>
      </x:c>
      <x:c r="F12" s="493" t="str">
        <x:v>Policy/secret guard</x:v>
      </x:c>
      <x:c r="G12" s="493" t="str">
        <x:v>Stage 4 audit/evidence metadata</x:v>
      </x:c>
      <x:c r="H12" s="493" t="str">
        <x:v>No suppressed content included.</x:v>
      </x:c>
      <x:c r="I12" s="494" t="str">
        <x:v>Draft Complete</x:v>
      </x:c>
    </x:row>
    <x:row r="13">
      <x:c r="A13" s="487" t="str">
        <x:v>S5-EVT-009</x:v>
      </x:c>
      <x:c r="B13" s="114" t="str">
        <x:v>process.lifecycle.v1</x:v>
      </x:c>
      <x:c r="C13" s="114" t="str">
        <x:v>Process started/exited.</x:v>
      </x:c>
      <x:c r="D13" s="114" t="str">
        <x:v>PID/parent/executable identity/start/end/exit code</x:v>
      </x:c>
      <x:c r="E13" s="114" t="str">
        <x:v>Metadata</x:v>
      </x:c>
      <x:c r="F13" s="114" t="str">
        <x:v>Process sensor</x:v>
      </x:c>
      <x:c r="G13" s="114" t="str">
        <x:v>Stage 4 activity topic</x:v>
      </x:c>
      <x:c r="H13" s="114" t="str">
        <x:v>Command line excluded/redacted.</x:v>
      </x:c>
      <x:c r="I13" s="488" t="str">
        <x:v>Draft Complete</x:v>
      </x:c>
    </x:row>
    <x:row r="14">
      <x:c r="A14" s="492" t="str">
        <x:v>S5-EVT-010</x:v>
      </x:c>
      <x:c r="B14" s="493" t="str">
        <x:v>file.activity.v1</x:v>
      </x:c>
      <x:c r="C14" s="493" t="str">
        <x:v>Approved-root file create/modify/delete/rename.</x:v>
      </x:c>
      <x:c r="D14" s="493" t="str">
        <x:v>path token/ref, event type, hash, process/actor refs</x:v>
      </x:c>
      <x:c r="E14" s="493" t="str">
        <x:v>Metadata</x:v>
      </x:c>
      <x:c r="F14" s="493" t="str">
        <x:v>File watcher</x:v>
      </x:c>
      <x:c r="G14" s="493" t="str">
        <x:v>Stage 4 activity/artefact</x:v>
      </x:c>
      <x:c r="H14" s="493" t="str">
        <x:v>Approved roots only.</x:v>
      </x:c>
      <x:c r="I14" s="494" t="str">
        <x:v>Draft Complete</x:v>
      </x:c>
    </x:row>
    <x:row r="15">
      <x:c r="A15" s="487" t="str">
        <x:v>S5-EVT-011</x:v>
      </x:c>
      <x:c r="B15" s="114" t="str">
        <x:v>shell.command.started.v1</x:v>
      </x:c>
      <x:c r="C15" s="114" t="str">
        <x:v>Supported shell command started.</x:v>
      </x:c>
      <x:c r="D15" s="114" t="str">
        <x:v>command encrypted ref, cwd ref, process ID, actor/task refs</x:v>
      </x:c>
      <x:c r="E15" s="114" t="str">
        <x:v>Sensitive content ref</x:v>
      </x:c>
      <x:c r="F15" s="114" t="str">
        <x:v>Shell adapter</x:v>
      </x:c>
      <x:c r="G15" s="114" t="str">
        <x:v>Stage 4 metadata/object</x:v>
      </x:c>
      <x:c r="H15" s="114" t="str">
        <x:v>Secret/env redaction.</x:v>
      </x:c>
      <x:c r="I15" s="488" t="str">
        <x:v>Draft Complete</x:v>
      </x:c>
    </x:row>
    <x:row r="16">
      <x:c r="A16" s="492" t="str">
        <x:v>S5-EVT-012</x:v>
      </x:c>
      <x:c r="B16" s="493" t="str">
        <x:v>shell.command.completed.v1</x:v>
      </x:c>
      <x:c r="C16" s="493" t="str">
        <x:v>Command completed.</x:v>
      </x:c>
      <x:c r="D16" s="493" t="str">
        <x:v>process ID, exit code, duration, selected output ref</x:v>
      </x:c>
      <x:c r="E16" s="493" t="str">
        <x:v>Metadata/content ref</x:v>
      </x:c>
      <x:c r="F16" s="493" t="str">
        <x:v>Shell adapter</x:v>
      </x:c>
      <x:c r="G16" s="493" t="str">
        <x:v>Stage 4 metadata/object</x:v>
      </x:c>
      <x:c r="H16" s="493" t="str">
        <x:v>Bounded output and redaction.</x:v>
      </x:c>
      <x:c r="I16" s="494" t="str">
        <x:v>Draft Complete</x:v>
      </x:c>
    </x:row>
    <x:row r="17">
      <x:c r="A17" s="487" t="str">
        <x:v>S5-EVT-013</x:v>
      </x:c>
      <x:c r="B17" s="114" t="str">
        <x:v>build.test.lifecycle.v1</x:v>
      </x:c>
      <x:c r="C17" s="114" t="str">
        <x:v>Build/test started, progressed or completed.</x:v>
      </x:c>
      <x:c r="D17" s="114" t="str">
        <x:v>tool, target, result, counts, duration, artefact/log refs</x:v>
      </x:c>
      <x:c r="E17" s="114" t="str">
        <x:v>Authoritative/semantic</x:v>
      </x:c>
      <x:c r="F17" s="114" t="str">
        <x:v>Tool adapters/process correlator</x:v>
      </x:c>
      <x:c r="G17" s="114" t="str">
        <x:v>Stage 4 artefact/activity</x:v>
      </x:c>
      <x:c r="H17" s="114" t="str">
        <x:v>Pass/fail not inferred from pixels if semantic result exists.</x:v>
      </x:c>
      <x:c r="I17" s="488" t="str">
        <x:v>Draft Complete</x:v>
      </x:c>
    </x:row>
    <x:row r="18">
      <x:c r="A18" s="492" t="str">
        <x:v>S5-EVT-014</x:v>
      </x:c>
      <x:c r="B18" s="493" t="str">
        <x:v>browser.tab.changed.v1</x:v>
      </x:c>
      <x:c r="C18" s="493" t="str">
        <x:v>Active browser tab or navigation changed.</x:v>
      </x:c>
      <x:c r="D18" s="493" t="str">
        <x:v>tab ID, redacted title, domain, allowlisted URL ref, navigation type</x:v>
      </x:c>
      <x:c r="E18" s="493" t="str">
        <x:v>Metadata</x:v>
      </x:c>
      <x:c r="F18" s="493" t="str">
        <x:v>Browser extension</x:v>
      </x:c>
      <x:c r="G18" s="493" t="str">
        <x:v>Stage 4 activity topic</x:v>
      </x:c>
      <x:c r="H18" s="493" t="str">
        <x:v>Tabs permission and exclusions.</x:v>
      </x:c>
      <x:c r="I18" s="494" t="str">
        <x:v>Draft Complete</x:v>
      </x:c>
    </x:row>
    <x:row r="19">
      <x:c r="A19" s="487" t="str">
        <x:v>S5-EVT-015</x:v>
      </x:c>
      <x:c r="B19" s="114" t="str">
        <x:v>automation.execution.state.v1</x:v>
      </x:c>
      <x:c r="C19" s="114" t="str">
        <x:v>Task-linked build/test/agent/process execution state.</x:v>
      </x:c>
      <x:c r="D19" s="114" t="str">
        <x:v>process/agent refs, state, start/end, task, initiated_by</x:v>
      </x:c>
      <x:c r="E19" s="114" t="str">
        <x:v>Derived semantic</x:v>
      </x:c>
      <x:c r="F19" s="114" t="str">
        <x:v>Local correlator/adapters</x:v>
      </x:c>
      <x:c r="G19" s="114" t="str">
        <x:v>Stage 4 activity topic</x:v>
      </x:c>
      <x:c r="H19" s="114" t="str">
        <x:v>Used to avoid false idle.</x:v>
      </x:c>
      <x:c r="I19" s="488" t="str">
        <x:v>Draft Complete</x:v>
      </x:c>
    </x:row>
    <x:row r="20">
      <x:c r="A20" s="492" t="str">
        <x:v>S5-EVT-016</x:v>
      </x:c>
      <x:c r="B20" s="493" t="str">
        <x:v>activity.idle.state.v1</x:v>
      </x:c>
      <x:c r="C20" s="493" t="str">
        <x:v>Context-aware human activity state changed.</x:v>
      </x:c>
      <x:c r="D20" s="493" t="str">
        <x:v>old/new state, evidence refs, confidence, missing signals</x:v>
      </x:c>
      <x:c r="E20" s="493" t="str">
        <x:v>Derived metadata</x:v>
      </x:c>
      <x:c r="F20" s="493" t="str">
        <x:v>Idle correlator</x:v>
      </x:c>
      <x:c r="G20" s="493" t="str">
        <x:v>Stage 4 activity topic</x:v>
      </x:c>
      <x:c r="H20" s="493" t="str">
        <x:v>No misconduct conclusion.</x:v>
      </x:c>
      <x:c r="I20" s="494" t="str">
        <x:v>Draft Complete</x:v>
      </x:c>
    </x:row>
    <x:row r="21">
      <x:c r="A21" s="487" t="str">
        <x:v>S5-EVT-017</x:v>
      </x:c>
      <x:c r="B21" s="114" t="str">
        <x:v>telemetry.gap.detected.v1</x:v>
      </x:c>
      <x:c r="C21" s="114" t="str">
        <x:v>Sensor, permission or sequence gap.</x:v>
      </x:c>
      <x:c r="D21" s="114" t="str">
        <x:v>gap type, sensors, start/end, cause</x:v>
      </x:c>
      <x:c r="E21" s="114" t="str">
        <x:v>Evidence-quality metadata</x:v>
      </x:c>
      <x:c r="F21" s="114" t="str">
        <x:v>Agent health</x:v>
      </x:c>
      <x:c r="G21" s="114" t="str">
        <x:v>Stage 4 gap topic</x:v>
      </x:c>
      <x:c r="H21" s="114" t="str">
        <x:v>Downstream confidence reduced.</x:v>
      </x:c>
      <x:c r="I21" s="488" t="str">
        <x:v>Draft Complete</x:v>
      </x:c>
    </x:row>
    <x:row r="22">
      <x:c r="A22" s="492" t="str">
        <x:v>S5-EVT-018</x:v>
      </x:c>
      <x:c r="B22" s="493" t="str">
        <x:v>evidence.bookmark.created.v1</x:v>
      </x:c>
      <x:c r="C22" s="493" t="str">
        <x:v>Employee manually marks evidence/context.</x:v>
      </x:c>
      <x:c r="D22" s="493" t="str">
        <x:v>task/session, note/category, state/event refs</x:v>
      </x:c>
      <x:c r="E22" s="493" t="str">
        <x:v>Employee content/metadata</x:v>
      </x:c>
      <x:c r="F22" s="493" t="str">
        <x:v>Employee UI</x:v>
      </x:c>
      <x:c r="G22" s="493" t="str">
        <x:v>Stage 4 evidence topic</x:v>
      </x:c>
      <x:c r="H22" s="493" t="str">
        <x:v>Employee controls content; policy/redaction applies.</x:v>
      </x:c>
      <x:c r="I22" s="494" t="str">
        <x:v>Draft Complete</x:v>
      </x:c>
    </x:row>
    <x:row r="23">
      <x:c r="A23" s="487" t="str">
        <x:v>S5-EVT-019</x:v>
      </x:c>
      <x:c r="B23" s="114" t="str">
        <x:v>provenance.attribution.candidate.v1</x:v>
      </x:c>
      <x:c r="C23" s="114" t="str">
        <x:v>Candidate attribution of text/file/process change to human, AI, automation or system.</x:v>
      </x:c>
      <x:c r="D23" s="114" t="str">
        <x:v>source/target refs, actor type, confidence, rules/model version</x:v>
      </x:c>
      <x:c r="E23" s="114" t="str">
        <x:v>Derived metadata</x:v>
      </x:c>
      <x:c r="F23" s="114" t="str">
        <x:v>Local correlator/adapters</x:v>
      </x:c>
      <x:c r="G23" s="114" t="str">
        <x:v>Stage 4 provenance edge</x:v>
      </x:c>
      <x:c r="H23" s="114" t="str">
        <x:v>Candidate until Stage 7 evaluates/reviews.</x:v>
      </x:c>
      <x:c r="I23" s="488" t="str">
        <x:v>Draft Complete</x:v>
      </x:c>
    </x:row>
    <x:row r="24">
      <x:c r="A24" s="495" t="str">
        <x:v>S5-EVT-020</x:v>
      </x:c>
      <x:c r="B24" s="496" t="str">
        <x:v>capture.policy.violation.blocked.v1</x:v>
      </x:c>
      <x:c r="C24" s="496" t="str">
        <x:v>Module/adapter attempted unauthorised capture.</x:v>
      </x:c>
      <x:c r="D24" s="496" t="str">
        <x:v>sensor/adapter, requested capability, policy version, action blocked</x:v>
      </x:c>
      <x:c r="E24" s="496" t="str">
        <x:v>Security audit</x:v>
      </x:c>
      <x:c r="F24" s="496" t="str">
        <x:v>Agent core</x:v>
      </x:c>
      <x:c r="G24" s="496" t="str">
        <x:v>Stage 4 audit/security</x:v>
      </x:c>
      <x:c r="H24" s="496" t="str">
        <x:v>No candidate content retained.</x:v>
      </x:c>
      <x:c r="I24" s="49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81.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6" hidden="0" customWidth="1"/>
    <x:col min="14" max="14" width="46" hidden="0" customWidth="1"/>
    <x:col min="15" max="15" width="28" hidden="0" customWidth="1"/>
  </x:cols>
  <x:sheetData>
    <x:row r="1" ht="30" customHeight="1">
      <x:c r="A1" s="449" t="str">
        <x:v>Stage 5 — Universal Capture MVP Backlog</x:v>
      </x:c>
      <x:c r="B1" s="449"/>
      <x:c r="C1" s="449"/>
      <x:c r="D1" s="449"/>
      <x:c r="E1" s="449"/>
      <x:c r="F1" s="449"/>
      <x:c r="G1" s="449"/>
      <x:c r="H1" s="449"/>
      <x:c r="I1" s="449"/>
      <x:c r="J1" s="449"/>
      <x:c r="K1" s="449"/>
      <x:c r="L1" s="449"/>
      <x:c r="M1" s="449"/>
      <x:c r="N1" s="449"/>
      <x:c r="O1" s="449"/>
    </x:row>
    <x:row r="2" ht="36" customHeight="1">
      <x:c r="A2" s="453" t="str">
        <x:v>Implementation-ready backlog for policy-controlled universal capture, secure text/visual evidence, browser/shell/Git semantics, idle context, provenance candidates and employee-visible controls.</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S5-BL-001</x:v>
      </x:c>
      <x:c r="B5" s="485" t="str">
        <x:v>Architecture</x:v>
      </x:c>
      <x:c r="C5" s="485" t="str">
        <x:v>Create capture pipeline interfaces</x:v>
      </x:c>
      <x:c r="D5" s="485" t="str">
        <x:v>Define Rust traits/modules for sensors, policy checks, redaction, normalisation, journal and Stage 4 upload.</x:v>
      </x:c>
      <x:c r="E5" s="485" t="str">
        <x:v>Desktop Architect</x:v>
      </x:c>
      <x:c r="F5" s="485" t="str">
        <x:v>Windows/macOS/Data</x:v>
      </x:c>
      <x:c r="G5" s="485" t="str">
        <x:v>Stage 3 agent foundation</x:v>
      </x:c>
      <x:c r="H5" s="485" t="str">
        <x:v>Critical</x:v>
      </x:c>
      <x:c r="I5" s="485" t="str">
        <x:v>Not Started</x:v>
      </x:c>
      <x:c r="J5" s="498" t="n">
        <x:f>IF(I5="Approved",1,IF(I5="Draft Complete",0.8,IF(I5="In Review",0.6,IF(I5="In Progress",0.4,IF(I5="Blocked",0,0)))))</x:f>
        <x:v>0</x:v>
      </x:c>
      <x:c r="K5" s="485" t="n">
        <x:v>6</x:v>
      </x:c>
      <x:c r="L5" s="485" t="str">
        <x:v>Capture pipeline skeleton</x:v>
      </x:c>
      <x:c r="M5" s="485" t="str">
        <x:v>No sensor can emit/persist without policy and redaction interfaces.</x:v>
      </x:c>
      <x:c r="N5" s="485" t="str">
        <x:v>Core guardrail.</x:v>
      </x:c>
      <x:c r="O5" s="486" t="str">
        <x:v>Agent Architecture</x:v>
      </x:c>
    </x:row>
    <x:row r="6">
      <x:c r="A6" s="492" t="str">
        <x:v>S5-BL-002</x:v>
      </x:c>
      <x:c r="B6" s="493" t="str">
        <x:v>App/window</x:v>
      </x:c>
      <x:c r="C6" s="493" t="str">
        <x:v>Implement Windows foreground app/window sensor</x:v>
      </x:c>
      <x:c r="D6" s="493" t="str">
        <x:v>Capture app/process/window metadata with title policy/redaction.</x:v>
      </x:c>
      <x:c r="E6" s="493" t="str">
        <x:v>Windows Lead</x:v>
      </x:c>
      <x:c r="F6" s="493" t="str">
        <x:v>QA/Security</x:v>
      </x:c>
      <x:c r="G6" s="493" t="str">
        <x:v>S5-BL-001</x:v>
      </x:c>
      <x:c r="H6" s="493" t="str">
        <x:v>Critical</x:v>
      </x:c>
      <x:c r="I6" s="493" t="str">
        <x:v>Not Started</x:v>
      </x:c>
      <x:c r="J6" s="499" t="n">
        <x:f>IF(I6="Approved",1,IF(I6="Draft Complete",0.8,IF(I6="In Review",0.6,IF(I6="In Progress",0.4,IF(I6="Blocked",0,0)))))</x:f>
        <x:v>0</x:v>
      </x:c>
      <x:c r="K6" s="493" t="n">
        <x:v>8</x:v>
      </x:c>
      <x:c r="L6" s="493" t="str">
        <x:v>Windows sensor</x:v>
      </x:c>
      <x:c r="M6" s="493" t="str">
        <x:v>≥99% foreground-change recall in supported app matrix.</x:v>
      </x:c>
      <x:c r="N6" s="493" t="str">
        <x:v>Titles minimised.</x:v>
      </x:c>
      <x:c r="O6" s="494" t="str">
        <x:v>Microsoft UIA/Win32</x:v>
      </x:c>
    </x:row>
    <x:row r="7">
      <x:c r="A7" s="487" t="str">
        <x:v>S5-BL-003</x:v>
      </x:c>
      <x:c r="B7" s="114" t="str">
        <x:v>App/window</x:v>
      </x:c>
      <x:c r="C7" s="114" t="str">
        <x:v>Implement macOS foreground app/window sensor</x:v>
      </x:c>
      <x:c r="D7" s="114" t="str">
        <x:v>Capture app/window metadata with AX/TCC handling.</x:v>
      </x:c>
      <x:c r="E7" s="114" t="str">
        <x:v>macOS Lead</x:v>
      </x:c>
      <x:c r="F7" s="114" t="str">
        <x:v>QA/Security</x:v>
      </x:c>
      <x:c r="G7" s="114" t="str">
        <x:v>S5-BL-001</x:v>
      </x:c>
      <x:c r="H7" s="114" t="str">
        <x:v>Critical</x:v>
      </x:c>
      <x:c r="I7" s="114" t="str">
        <x:v>Not Started</x:v>
      </x:c>
      <x:c r="J7" s="135" t="n">
        <x:f>IF(I7="Approved",1,IF(I7="Draft Complete",0.8,IF(I7="In Review",0.6,IF(I7="In Progress",0.4,IF(I7="Blocked",0,0)))))</x:f>
        <x:v>0</x:v>
      </x:c>
      <x:c r="K7" s="114" t="n">
        <x:v>8</x:v>
      </x:c>
      <x:c r="L7" s="114" t="str">
        <x:v>macOS sensor</x:v>
      </x:c>
      <x:c r="M7" s="114" t="str">
        <x:v>Supported app matrix passes and denial state is safe.</x:v>
      </x:c>
      <x:c r="N7" s="114" t="str">
        <x:v>TCC/AX privacy.</x:v>
      </x:c>
      <x:c r="O7" s="488" t="str">
        <x:v>Apple Accessibility</x:v>
      </x:c>
    </x:row>
    <x:row r="8">
      <x:c r="A8" s="492" t="str">
        <x:v>S5-BL-004</x:v>
      </x:c>
      <x:c r="B8" s="493" t="str">
        <x:v>Process/file</x:v>
      </x:c>
      <x:c r="C8" s="493" t="str">
        <x:v>Implement process lifecycle and approved-root file sensors</x:v>
      </x:c>
      <x:c r="D8" s="493" t="str">
        <x:v>Capture process start/exit and project-root file create/modify/delete/rename.</x:v>
      </x:c>
      <x:c r="E8" s="493" t="str">
        <x:v>Desktop/Data Lead</x:v>
      </x:c>
      <x:c r="F8" s="493" t="str">
        <x:v>Windows/macOS/QA</x:v>
      </x:c>
      <x:c r="G8" s="493" t="str">
        <x:v>S5-BL-001</x:v>
      </x:c>
      <x:c r="H8" s="493" t="str">
        <x:v>High</x:v>
      </x:c>
      <x:c r="I8" s="493" t="str">
        <x:v>Not Started</x:v>
      </x:c>
      <x:c r="J8" s="499" t="n">
        <x:f>IF(I8="Approved",1,IF(I8="Draft Complete",0.8,IF(I8="In Review",0.6,IF(I8="In Progress",0.4,IF(I8="Blocked",0,0)))))</x:f>
        <x:v>0</x:v>
      </x:c>
      <x:c r="K8" s="493" t="n">
        <x:v>10</x:v>
      </x:c>
      <x:c r="L8" s="493" t="str">
        <x:v>Process/file sensors</x:v>
      </x:c>
      <x:c r="M8" s="493" t="str">
        <x:v>Approved roots only; command line and paths redacted/tokenised.</x:v>
      </x:c>
      <x:c r="N8" s="493" t="str">
        <x:v>No personal-folder scanning.</x:v>
      </x:c>
      <x:c r="O8" s="494" t="str">
        <x:v>OS APIs</x:v>
      </x:c>
    </x:row>
    <x:row r="9">
      <x:c r="A9" s="487" t="str">
        <x:v>S5-BL-005</x:v>
      </x:c>
      <x:c r="B9" s="114" t="str">
        <x:v>Input</x:v>
      </x:c>
      <x:c r="C9" s="114" t="str">
        <x:v>Implement mouse click/scroll metadata</x:v>
      </x:c>
      <x:c r="D9" s="114" t="str">
        <x:v>Capture low-latency input metadata and UI element context.</x:v>
      </x:c>
      <x:c r="E9" s="114" t="str">
        <x:v>Desktop Input Lead</x:v>
      </x:c>
      <x:c r="F9" s="114" t="str">
        <x:v>Windows/macOS/QA</x:v>
      </x:c>
      <x:c r="G9" s="114" t="str">
        <x:v>S5-BL-001</x:v>
      </x:c>
      <x:c r="H9" s="114" t="str">
        <x:v>Critical</x:v>
      </x:c>
      <x:c r="I9" s="114" t="str">
        <x:v>Not Started</x:v>
      </x:c>
      <x:c r="J9" s="135" t="n">
        <x:f>IF(I9="Approved",1,IF(I9="Draft Complete",0.8,IF(I9="In Review",0.6,IF(I9="In Progress",0.4,IF(I9="Blocked",0,0)))))</x:f>
        <x:v>0</x:v>
      </x:c>
      <x:c r="K9" s="114" t="n">
        <x:v>10</x:v>
      </x:c>
      <x:c r="L9" s="114" t="str">
        <x:v>Mouse sensor</x:v>
      </x:c>
      <x:c r="M9" s="114" t="str">
        <x:v>≥98% click-to-context correlation and no perceptible latency.</x:v>
      </x:c>
      <x:c r="N9" s="114" t="str">
        <x:v>No movement path/productivity counts.</x:v>
      </x:c>
      <x:c r="O9" s="488" t="str">
        <x:v>Raw Input/event taps</x:v>
      </x:c>
    </x:row>
    <x:row r="10">
      <x:c r="A10" s="492" t="str">
        <x:v>S5-BL-006</x:v>
      </x:c>
      <x:c r="B10" s="493" t="str">
        <x:v>Input</x:v>
      </x:c>
      <x:c r="C10" s="493" t="str">
        <x:v>Implement keyboard metadata and shortcut classifier</x:v>
      </x:c>
      <x:c r="D10" s="493" t="str">
        <x:v>Capture key categories/modifiers, injected flag, paste/delete/undo/redo/save/run/test shortcuts.</x:v>
      </x:c>
      <x:c r="E10" s="493" t="str">
        <x:v>Desktop Input Lead</x:v>
      </x:c>
      <x:c r="F10" s="493" t="str">
        <x:v>Security/QA</x:v>
      </x:c>
      <x:c r="G10" s="493" t="str">
        <x:v>S5-BL-001</x:v>
      </x:c>
      <x:c r="H10" s="493" t="str">
        <x:v>Critical</x:v>
      </x:c>
      <x:c r="I10" s="493" t="str">
        <x:v>Not Started</x:v>
      </x:c>
      <x:c r="J10" s="499" t="n">
        <x:f>IF(I10="Approved",1,IF(I10="Draft Complete",0.8,IF(I10="In Review",0.6,IF(I10="In Progress",0.4,IF(I10="Blocked",0,0)))))</x:f>
        <x:v>0</x:v>
      </x:c>
      <x:c r="K10" s="493" t="n">
        <x:v>12</x:v>
      </x:c>
      <x:c r="L10" s="493" t="str">
        <x:v>Keyboard metadata sensor</x:v>
      </x:c>
      <x:c r="M10" s="493" t="str">
        <x:v>Secure/excluded controls suppress values; input latency budget passes.</x:v>
      </x:c>
      <x:c r="N10" s="493" t="str">
        <x:v>No unrestricted keylogging.</x:v>
      </x:c>
      <x:c r="O10" s="494" t="str">
        <x:v>Raw Input/hooks</x:v>
      </x:c>
    </x:row>
    <x:row r="11">
      <x:c r="A11" s="487" t="str">
        <x:v>S5-BL-007</x:v>
      </x:c>
      <x:c r="B11" s="114" t="str">
        <x:v>Text</x:v>
      </x:c>
      <x:c r="C11" s="114" t="str">
        <x:v>Implement approved text-delta adapter framework</x:v>
      </x:c>
      <x:c r="D11" s="114" t="str">
        <x:v>Common API for UIA/AX/IDE/browser/shell adapters to report resulting text changes.</x:v>
      </x:c>
      <x:c r="E11" s="114" t="str">
        <x:v>Text/Adapter Lead</x:v>
      </x:c>
      <x:c r="F11" s="114" t="str">
        <x:v>Windows/macOS/Integrations</x:v>
      </x:c>
      <x:c r="G11" s="114" t="str">
        <x:v>S5-BL-001,S5-BL-006</x:v>
      </x:c>
      <x:c r="H11" s="114" t="str">
        <x:v>Critical</x:v>
      </x:c>
      <x:c r="I11" s="114" t="str">
        <x:v>Not Started</x:v>
      </x:c>
      <x:c r="J11" s="135" t="n">
        <x:f>IF(I11="Approved",1,IF(I11="Draft Complete",0.8,IF(I11="In Review",0.6,IF(I11="In Progress",0.4,IF(I11="Blocked",0,0)))))</x:f>
        <x:v>0</x:v>
      </x:c>
      <x:c r="K11" s="114" t="n">
        <x:v>14</x:v>
      </x:c>
      <x:c r="L11" s="114" t="str">
        <x:v>Text-delta framework</x:v>
      </x:c>
      <x:c r="M11" s="114" t="str">
        <x:v>Supported controls reach ≥95% reconstruction; unsupported apps mark insufficient evidence.</x:v>
      </x:c>
      <x:c r="N11" s="114" t="str">
        <x:v>Separate encrypted content refs.</x:v>
      </x:c>
      <x:c r="O11" s="488" t="str">
        <x:v>Input and Text Model</x:v>
      </x:c>
    </x:row>
    <x:row r="12">
      <x:c r="A12" s="492" t="str">
        <x:v>S5-BL-008</x:v>
      </x:c>
      <x:c r="B12" s="493" t="str">
        <x:v>Privacy</x:v>
      </x:c>
      <x:c r="C12" s="493" t="str">
        <x:v>Implement secure-field and secret guard</x:v>
      </x:c>
      <x:c r="D12" s="493" t="str">
        <x:v>Windows IsPassword, macOS secure subrole, browser password, policy exclusions and local secret scanning.</x:v>
      </x:c>
      <x:c r="E12" s="493" t="str">
        <x:v>CISO/Desktop</x:v>
      </x:c>
      <x:c r="F12" s="493" t="str">
        <x:v>DPO/QA/Browser</x:v>
      </x:c>
      <x:c r="G12" s="493" t="str">
        <x:v>S5-BL-006,S5-BL-007</x:v>
      </x:c>
      <x:c r="H12" s="493" t="str">
        <x:v>Critical</x:v>
      </x:c>
      <x:c r="I12" s="493" t="str">
        <x:v>Not Started</x:v>
      </x:c>
      <x:c r="J12" s="499" t="n">
        <x:f>IF(I12="Approved",1,IF(I12="Draft Complete",0.8,IF(I12="In Review",0.6,IF(I12="In Progress",0.4,IF(I12="Blocked",0,0)))))</x:f>
        <x:v>0</x:v>
      </x:c>
      <x:c r="K12" s="493" t="n">
        <x:v>15</x:v>
      </x:c>
      <x:c r="L12" s="493" t="str">
        <x:v>Secure-field guard</x:v>
      </x:c>
      <x:c r="M12" s="493" t="str">
        <x:v>Zero known high-severity secret retention in test corpus.</x:v>
      </x:c>
      <x:c r="N12" s="493" t="str">
        <x:v>Pilot blocking.</x:v>
      </x:c>
      <x:c r="O12" s="494" t="str">
        <x:v>Privacy Redaction Tests</x:v>
      </x:c>
    </x:row>
    <x:row r="13">
      <x:c r="A13" s="487" t="str">
        <x:v>S5-BL-009</x:v>
      </x:c>
      <x:c r="B13" s="114" t="str">
        <x:v>Visual</x:v>
      </x:c>
      <x:c r="C13" s="114" t="str">
        <x:v>Implement Windows event-driven visual-state capture</x:v>
      </x:c>
      <x:c r="D13" s="114" t="str">
        <x:v>Capture approved window/display snapshots, hash/diff/dedup and changed regions.</x:v>
      </x:c>
      <x:c r="E13" s="114" t="str">
        <x:v>Windows Lead</x:v>
      </x:c>
      <x:c r="F13" s="114" t="str">
        <x:v>GPU/QA/Security</x:v>
      </x:c>
      <x:c r="G13" s="114" t="str">
        <x:v>S5-BL-001,S5-BL-008</x:v>
      </x:c>
      <x:c r="H13" s="114" t="str">
        <x:v>Critical</x:v>
      </x:c>
      <x:c r="I13" s="114" t="str">
        <x:v>Not Started</x:v>
      </x:c>
      <x:c r="J13" s="135" t="n">
        <x:f>IF(I13="Approved",1,IF(I13="Draft Complete",0.8,IF(I13="In Review",0.6,IF(I13="In Progress",0.4,IF(I13="Blocked",0,0)))))</x:f>
        <x:v>0</x:v>
      </x:c>
      <x:c r="K13" s="114" t="n">
        <x:v>15</x:v>
      </x:c>
      <x:c r="L13" s="114" t="str">
        <x:v>Windows visual pipeline</x:v>
      </x:c>
      <x:c r="M13" s="114" t="str">
        <x:v>Triggers, dedup, redaction and p95 performance meet budget.</x:v>
      </x:c>
      <x:c r="N13" s="114" t="str">
        <x:v>No continuous video.</x:v>
      </x:c>
      <x:c r="O13" s="488" t="str">
        <x:v>Windows Graphics Capture</x:v>
      </x:c>
    </x:row>
    <x:row r="14">
      <x:c r="A14" s="492" t="str">
        <x:v>S5-BL-010</x:v>
      </x:c>
      <x:c r="B14" s="493" t="str">
        <x:v>Visual</x:v>
      </x:c>
      <x:c r="C14" s="493" t="str">
        <x:v>Implement macOS event-driven visual-state capture</x:v>
      </x:c>
      <x:c r="D14" s="493" t="str">
        <x:v>Use ScreenCaptureKit with permission/exclusion/redaction and changed-state logic.</x:v>
      </x:c>
      <x:c r="E14" s="493" t="str">
        <x:v>macOS Lead</x:v>
      </x:c>
      <x:c r="F14" s="493" t="str">
        <x:v>QA/Security</x:v>
      </x:c>
      <x:c r="G14" s="493" t="str">
        <x:v>S5-BL-001,S5-BL-008</x:v>
      </x:c>
      <x:c r="H14" s="493" t="str">
        <x:v>Critical</x:v>
      </x:c>
      <x:c r="I14" s="493" t="str">
        <x:v>Not Started</x:v>
      </x:c>
      <x:c r="J14" s="499" t="n">
        <x:f>IF(I14="Approved",1,IF(I14="Draft Complete",0.8,IF(I14="In Review",0.6,IF(I14="In Progress",0.4,IF(I14="Blocked",0,0)))))</x:f>
        <x:v>0</x:v>
      </x:c>
      <x:c r="K14" s="493" t="n">
        <x:v>15</x:v>
      </x:c>
      <x:c r="L14" s="493" t="str">
        <x:v>macOS visual pipeline</x:v>
      </x:c>
      <x:c r="M14" s="493" t="str">
        <x:v>Permission, trigger, dedup, redaction and performance tests pass.</x:v>
      </x:c>
      <x:c r="N14" s="493" t="str">
        <x:v>No audio capture.</x:v>
      </x:c>
      <x:c r="O14" s="494" t="str">
        <x:v>ScreenCaptureKit</x:v>
      </x:c>
    </x:row>
    <x:row r="15">
      <x:c r="A15" s="487" t="str">
        <x:v>S5-BL-011</x:v>
      </x:c>
      <x:c r="B15" s="114" t="str">
        <x:v>Visual/UI</x:v>
      </x:c>
      <x:c r="C15" s="114" t="str">
        <x:v>Implement accessibility-state snapshots</x:v>
      </x:c>
      <x:c r="D15" s="114" t="str">
        <x:v>Collect approved UI role/state/diff and secure-field detection metadata.</x:v>
      </x:c>
      <x:c r="E15" s="114" t="str">
        <x:v>Accessibility Lead</x:v>
      </x:c>
      <x:c r="F15" s="114" t="str">
        <x:v>Windows/macOS/QA</x:v>
      </x:c>
      <x:c r="G15" s="114" t="str">
        <x:v>S5-BL-008</x:v>
      </x:c>
      <x:c r="H15" s="114" t="str">
        <x:v>High</x:v>
      </x:c>
      <x:c r="I15" s="114" t="str">
        <x:v>Not Started</x:v>
      </x:c>
      <x:c r="J15" s="135" t="n">
        <x:f>IF(I15="Approved",1,IF(I15="Draft Complete",0.8,IF(I15="In Review",0.6,IF(I15="In Progress",0.4,IF(I15="Blocked",0,0)))))</x:f>
        <x:v>0</x:v>
      </x:c>
      <x:c r="K15" s="114" t="n">
        <x:v>12</x:v>
      </x:c>
      <x:c r="L15" s="114" t="str">
        <x:v>UI-state sensor</x:v>
      </x:c>
      <x:c r="M15" s="114" t="str">
        <x:v>Coverage and privacy matrix documented per app.</x:v>
      </x:c>
      <x:c r="N15" s="114" t="str">
        <x:v>Secure values suppressed.</x:v>
      </x:c>
      <x:c r="O15" s="488" t="str">
        <x:v>UIA/AX</x:v>
      </x:c>
    </x:row>
    <x:row r="16">
      <x:c r="A16" s="492" t="str">
        <x:v>S5-BL-012</x:v>
      </x:c>
      <x:c r="B16" s="493" t="str">
        <x:v>Browser</x:v>
      </x:c>
      <x:c r="C16" s="493" t="str">
        <x:v>Implement Chrome/Edge extension and native messaging</x:v>
      </x:c>
      <x:c r="D16" s="493" t="str">
        <x:v>Capture active tab/domain/title/allowlisted URL and navigation.</x:v>
      </x:c>
      <x:c r="E16" s="493" t="str">
        <x:v>Browser Lead</x:v>
      </x:c>
      <x:c r="F16" s="493" t="str">
        <x:v>Desktop/Security/IT</x:v>
      </x:c>
      <x:c r="G16" s="493" t="str">
        <x:v>Stage 3 native host,S5-BL-001</x:v>
      </x:c>
      <x:c r="H16" s="493" t="str">
        <x:v>High</x:v>
      </x:c>
      <x:c r="I16" s="493" t="str">
        <x:v>Not Started</x:v>
      </x:c>
      <x:c r="J16" s="499" t="n">
        <x:f>IF(I16="Approved",1,IF(I16="Draft Complete",0.8,IF(I16="In Review",0.6,IF(I16="In Progress",0.4,IF(I16="Blocked",0,0)))))</x:f>
        <x:v>0</x:v>
      </x:c>
      <x:c r="K16" s="493" t="n">
        <x:v>10</x:v>
      </x:c>
      <x:c r="L16" s="493" t="str">
        <x:v>Enterprise browser adapter</x:v>
      </x:c>
      <x:c r="M16" s="493" t="str">
        <x:v>≥98% active-tab accuracy and exclusion tests pass.</x:v>
      </x:c>
      <x:c r="N16" s="493" t="str">
        <x:v>Tabs permission and domain policy.</x:v>
      </x:c>
      <x:c r="O16" s="494" t="str">
        <x:v>Chrome docs</x:v>
      </x:c>
    </x:row>
    <x:row r="17">
      <x:c r="A17" s="487" t="str">
        <x:v>S5-BL-013</x:v>
      </x:c>
      <x:c r="B17" s="114" t="str">
        <x:v>Shell</x:v>
      </x:c>
      <x:c r="C17" s="114" t="str">
        <x:v>Implement shell/PTY adapter</x:v>
      </x:c>
      <x:c r="D17" s="114" t="str">
        <x:v>PowerShell 7 and bash/zsh command/result lifecycle with secret redaction.</x:v>
      </x:c>
      <x:c r="E17" s="114" t="str">
        <x:v>Shell Integrations Lead</x:v>
      </x:c>
      <x:c r="F17" s="114" t="str">
        <x:v>Desktop/Security/QA</x:v>
      </x:c>
      <x:c r="G17" s="114" t="str">
        <x:v>S5-BL-007,S5-BL-008</x:v>
      </x:c>
      <x:c r="H17" s="114" t="str">
        <x:v>Critical</x:v>
      </x:c>
      <x:c r="I17" s="114" t="str">
        <x:v>Not Started</x:v>
      </x:c>
      <x:c r="J17" s="135" t="n">
        <x:f>IF(I17="Approved",1,IF(I17="Draft Complete",0.8,IF(I17="In Review",0.6,IF(I17="In Progress",0.4,IF(I17="Blocked",0,0)))))</x:f>
        <x:v>0</x:v>
      </x:c>
      <x:c r="K17" s="114" t="n">
        <x:v>14</x:v>
      </x:c>
      <x:c r="L17" s="114" t="str">
        <x:v>Shell adapter</x:v>
      </x:c>
      <x:c r="M17" s="114" t="str">
        <x:v>≥95% supported command capture; env/secret tests pass.</x:v>
      </x:c>
      <x:c r="N17" s="114" t="str">
        <x:v>Bounded output.</x:v>
      </x:c>
      <x:c r="O17" s="488" t="str">
        <x:v>Shell integration</x:v>
      </x:c>
    </x:row>
    <x:row r="18">
      <x:c r="A18" s="492" t="str">
        <x:v>S5-BL-014</x:v>
      </x:c>
      <x:c r="B18" s="493" t="str">
        <x:v>Git/build/test</x:v>
      </x:c>
      <x:c r="C18" s="493" t="str">
        <x:v>Implement Git and build/test semantic events</x:v>
      </x:c>
      <x:c r="D18" s="493" t="str">
        <x:v>Approved repo status/diff/commit and tool/process test/build results.</x:v>
      </x:c>
      <x:c r="E18" s="493" t="str">
        <x:v>Developer Integrations Lead</x:v>
      </x:c>
      <x:c r="F18" s="493" t="str">
        <x:v>Git/CI/QA</x:v>
      </x:c>
      <x:c r="G18" s="493" t="str">
        <x:v>S5-BL-004,S5-BL-013</x:v>
      </x:c>
      <x:c r="H18" s="493" t="str">
        <x:v>High</x:v>
      </x:c>
      <x:c r="I18" s="493" t="str">
        <x:v>Not Started</x:v>
      </x:c>
      <x:c r="J18" s="499" t="n">
        <x:f>IF(I18="Approved",1,IF(I18="Draft Complete",0.8,IF(I18="In Review",0.6,IF(I18="In Progress",0.4,IF(I18="Blocked",0,0)))))</x:f>
        <x:v>0</x:v>
      </x:c>
      <x:c r="K18" s="493" t="n">
        <x:v>12</x:v>
      </x:c>
      <x:c r="L18" s="493" t="str">
        <x:v>Git/build/test adapters</x:v>
      </x:c>
      <x:c r="M18" s="493" t="str">
        <x:v>Authoritative results override visual inference.</x:v>
      </x:c>
      <x:c r="N18" s="493" t="str">
        <x:v>No line-count productivity.</x:v>
      </x:c>
      <x:c r="O18" s="494" t="str">
        <x:v>Stage 2 evidence model</x:v>
      </x:c>
    </x:row>
    <x:row r="19">
      <x:c r="A19" s="487" t="str">
        <x:v>S5-BL-015</x:v>
      </x:c>
      <x:c r="B19" s="114" t="str">
        <x:v>Idle</x:v>
      </x:c>
      <x:c r="C19" s="114" t="str">
        <x:v>Implement context-aware idle/automation correlator</x:v>
      </x:c>
      <x:c r="D19" s="114" t="str">
        <x:v>Classify active input, review/reading, automation, wait, break, blocked, unexplained and insufficient evidence.</x:v>
      </x:c>
      <x:c r="E19" s="114" t="str">
        <x:v>AI/Product Lead</x:v>
      </x:c>
      <x:c r="F19" s="114" t="str">
        <x:v>Desktop/Data/DPO</x:v>
      </x:c>
      <x:c r="G19" s="114" t="str">
        <x:v>S5-BL-002:S5-BL-014</x:v>
      </x:c>
      <x:c r="H19" s="114" t="str">
        <x:v>Critical</x:v>
      </x:c>
      <x:c r="I19" s="114" t="str">
        <x:v>Not Started</x:v>
      </x:c>
      <x:c r="J19" s="135" t="n">
        <x:f>IF(I19="Approved",1,IF(I19="Draft Complete",0.8,IF(I19="In Review",0.6,IF(I19="In Progress",0.4,IF(I19="Blocked",0,0)))))</x:f>
        <x:v>0</x:v>
      </x:c>
      <x:c r="K19" s="114" t="n">
        <x:v>12</x:v>
      </x:c>
      <x:c r="L19" s="114" t="str">
        <x:v>Idle-state engine</x:v>
      </x:c>
      <x:c r="M19" s="114" t="str">
        <x:v>False-idle &lt;5% on labelled periods and gaps reduce confidence.</x:v>
      </x:c>
      <x:c r="N19" s="114" t="str">
        <x:v>No misconduct conclusion.</x:v>
      </x:c>
      <x:c r="O19" s="488" t="str">
        <x:v>Idle and Automation Model</x:v>
      </x:c>
    </x:row>
    <x:row r="20">
      <x:c r="A20" s="492" t="str">
        <x:v>S5-BL-016</x:v>
      </x:c>
      <x:c r="B20" s="493" t="str">
        <x:v>Provenance</x:v>
      </x:c>
      <x:c r="C20" s="493" t="str">
        <x:v>Implement local attribution candidate builder</x:v>
      </x:c>
      <x:c r="D20" s="493" t="str">
        <x:v>Link input bursts, text deltas, agent/tool/process/file events to human/AI/automation/system candidates.</x:v>
      </x:c>
      <x:c r="E20" s="493" t="str">
        <x:v>Data/AI Lead</x:v>
      </x:c>
      <x:c r="F20" s="493" t="str">
        <x:v>Adapters/Desktop</x:v>
      </x:c>
      <x:c r="G20" s="493" t="str">
        <x:v>S5-BL-004:S5-BL-015</x:v>
      </x:c>
      <x:c r="H20" s="493" t="str">
        <x:v>High</x:v>
      </x:c>
      <x:c r="I20" s="493" t="str">
        <x:v>Not Started</x:v>
      </x:c>
      <x:c r="J20" s="499" t="n">
        <x:f>IF(I20="Approved",1,IF(I20="Draft Complete",0.8,IF(I20="In Review",0.6,IF(I20="In Progress",0.4,IF(I20="Blocked",0,0)))))</x:f>
        <x:v>0</x:v>
      </x:c>
      <x:c r="K20" s="493" t="n">
        <x:v>12</x:v>
      </x:c>
      <x:c r="L20" s="493" t="str">
        <x:v>Attribution candidates</x:v>
      </x:c>
      <x:c r="M20" s="493" t="str">
        <x:v>Every edge has source, confidence and version; Stage 7 makes final interpretation.</x:v>
      </x:c>
      <x:c r="N20" s="493" t="str">
        <x:v>No overclaiming.</x:v>
      </x:c>
      <x:c r="O20" s="494" t="str">
        <x:v>Input and Text Model</x:v>
      </x:c>
    </x:row>
    <x:row r="21">
      <x:c r="A21" s="487" t="str">
        <x:v>S5-BL-017</x:v>
      </x:c>
      <x:c r="B21" s="114" t="str">
        <x:v>Stage 4 integration</x:v>
      </x:c>
      <x:c r="C21" s="114" t="str">
        <x:v>Publish Stage 5 events through signed batches</x:v>
      </x:c>
      <x:c r="D21" s="114" t="str">
        <x:v>Map all sensor events/objects to Stage 4 schemas, topics and object manifests.</x:v>
      </x:c>
      <x:c r="E21" s="114" t="str">
        <x:v>Data Platform Lead</x:v>
      </x:c>
      <x:c r="F21" s="114" t="str">
        <x:v>Agent/Stage 4 team</x:v>
      </x:c>
      <x:c r="G21" s="114" t="str">
        <x:v>S5-BL-002:S5-BL-016</x:v>
      </x:c>
      <x:c r="H21" s="114" t="str">
        <x:v>Critical</x:v>
      </x:c>
      <x:c r="I21" s="114" t="str">
        <x:v>Not Started</x:v>
      </x:c>
      <x:c r="J21" s="135" t="n">
        <x:f>IF(I21="Approved",1,IF(I21="Draft Complete",0.8,IF(I21="In Review",0.6,IF(I21="In Progress",0.4,IF(I21="Blocked",0,0)))))</x:f>
        <x:v>0</x:v>
      </x:c>
      <x:c r="K21" s="114" t="n">
        <x:v>10</x:v>
      </x:c>
      <x:c r="L21" s="114" t="str">
        <x:v>End-to-end capture pipeline</x:v>
      </x:c>
      <x:c r="M21" s="114" t="str">
        <x:v>Valid events replay through Stage 4 with gaps/dedup intact.</x:v>
      </x:c>
      <x:c r="N21" s="114" t="str">
        <x:v>Content refs only.</x:v>
      </x:c>
      <x:c r="O21" s="488" t="str">
        <x:v>Capture Event Contracts</x:v>
      </x:c>
    </x:row>
    <x:row r="22">
      <x:c r="A22" s="492" t="str">
        <x:v>S5-BL-018</x:v>
      </x:c>
      <x:c r="B22" s="493" t="str">
        <x:v>Employee UX</x:v>
      </x:c>
      <x:c r="C22" s="493" t="str">
        <x:v>Implement capture status, active sensors, bookmark and report-incorrect-capture flows</x:v>
      </x:c>
      <x:c r="D22" s="493" t="str">
        <x:v>Extend tray/menu and employee portal hooks.</x:v>
      </x:c>
      <x:c r="E22" s="493" t="str">
        <x:v>Product/UX Lead</x:v>
      </x:c>
      <x:c r="F22" s="493" t="str">
        <x:v>Desktop/Governance/Accessibility</x:v>
      </x:c>
      <x:c r="G22" s="493" t="str">
        <x:v>S5-BL-001,S5-BL-017</x:v>
      </x:c>
      <x:c r="H22" s="493" t="str">
        <x:v>Critical</x:v>
      </x:c>
      <x:c r="I22" s="493" t="str">
        <x:v>Not Started</x:v>
      </x:c>
      <x:c r="J22" s="499" t="n">
        <x:f>IF(I22="Approved",1,IF(I22="Draft Complete",0.8,IF(I22="In Review",0.6,IF(I22="In Progress",0.4,IF(I22="Blocked",0,0)))))</x:f>
        <x:v>0</x:v>
      </x:c>
      <x:c r="K22" s="493" t="n">
        <x:v>10</x:v>
      </x:c>
      <x:c r="L22" s="493" t="str">
        <x:v>Employee capture UX</x:v>
      </x:c>
      <x:c r="M22" s="493" t="str">
        <x:v>Users understand active capture and can report/correct.</x:v>
      </x:c>
      <x:c r="N22" s="493" t="str">
        <x:v>No dark patterns.</x:v>
      </x:c>
      <x:c r="O22" s="494" t="str">
        <x:v>Capture MVP Scope</x:v>
      </x:c>
    </x:row>
    <x:row r="23">
      <x:c r="A23" s="487" t="str">
        <x:v>S5-BL-019</x:v>
      </x:c>
      <x:c r="B23" s="114" t="str">
        <x:v>Testing</x:v>
      </x:c>
      <x:c r="C23" s="114" t="str">
        <x:v>Execute privacy, accuracy, performance and environment test matrix</x:v>
      </x:c>
      <x:c r="D23" s="114" t="str">
        <x:v>Run secure-field, app/browser/shell, visual, input, idle, telemetry and accessibility tests.</x:v>
      </x:c>
      <x:c r="E23" s="114" t="str">
        <x:v>QA Lead</x:v>
      </x:c>
      <x:c r="F23" s="114" t="str">
        <x:v>All Stage 5 owners</x:v>
      </x:c>
      <x:c r="G23" s="114" t="str">
        <x:v>S5-BL-002:S5-BL-018</x:v>
      </x:c>
      <x:c r="H23" s="114" t="str">
        <x:v>Critical</x:v>
      </x:c>
      <x:c r="I23" s="114" t="str">
        <x:v>Not Started</x:v>
      </x:c>
      <x:c r="J23" s="135" t="n">
        <x:f>IF(I23="Approved",1,IF(I23="Draft Complete",0.8,IF(I23="In Review",0.6,IF(I23="In Progress",0.4,IF(I23="Blocked",0,0)))))</x:f>
        <x:v>0</x:v>
      </x:c>
      <x:c r="K23" s="114" t="n">
        <x:v>18</x:v>
      </x:c>
      <x:c r="L23" s="114" t="str">
        <x:v>Stage 5 validation report</x:v>
      </x:c>
      <x:c r="M23" s="114" t="str">
        <x:v>All blocking thresholds pass or gate holds.</x:v>
      </x:c>
      <x:c r="N23" s="114" t="str">
        <x:v>Synthetic/consented test data only.</x:v>
      </x:c>
      <x:c r="O23" s="488" t="str">
        <x:v>Stage 5 Gate</x:v>
      </x:c>
    </x:row>
    <x:row r="24">
      <x:c r="A24" s="495" t="str">
        <x:v>S5-BL-020</x:v>
      </x:c>
      <x:c r="B24" s="496" t="str">
        <x:v>Documentation</x:v>
      </x:c>
      <x:c r="C24" s="496" t="str">
        <x:v>Complete Stage 5 implementation package</x:v>
      </x:c>
      <x:c r="D24" s="496" t="str">
        <x:v>Consolidate sensors, schemas, supported matrix, privacy tests, performance results, risks, ADRs and gate evidence.</x:v>
      </x:c>
      <x:c r="E24" s="496" t="str">
        <x:v>Programme Lead</x:v>
      </x:c>
      <x:c r="F24" s="496" t="str">
        <x:v>All owners</x:v>
      </x:c>
      <x:c r="G24" s="496" t="str">
        <x:v>S5-BL-001:S5-BL-019</x:v>
      </x:c>
      <x:c r="H24" s="496" t="str">
        <x:v>High</x:v>
      </x:c>
      <x:c r="I24" s="496" t="str">
        <x:v>Not Started</x:v>
      </x:c>
      <x:c r="J24" s="500" t="n">
        <x:f>IF(I24="Approved",1,IF(I24="Draft Complete",0.8,IF(I24="In Review",0.6,IF(I24="In Progress",0.4,IF(I24="Blocked",0,0)))))</x:f>
        <x:v>0</x:v>
      </x:c>
      <x:c r="K24" s="496" t="n">
        <x:v>5</x:v>
      </x:c>
      <x:c r="L24" s="496" t="str">
        <x:v>Stage 5 package</x:v>
      </x:c>
      <x:c r="M24" s="496" t="str">
        <x:v>Ready for Stage 6/7 handoff and controlled pilot decision.</x:v>
      </x:c>
      <x:c r="N24" s="496" t="str">
        <x:v>Source traceability complete.</x:v>
      </x:c>
      <x:c r="O24" s="497" t="str">
        <x:v>Stage 5 Gate</x:v>
      </x:c>
    </x:row>
  </x:sheetData>
  <x:mergeCells>
    <x:mergeCell ref="A1:O1"/>
    <x:mergeCell ref="A2:O2"/>
  </x:mergeCells>
  <x:dataValidations count="2">
    <x:dataValidation type="list" sqref="H5:H24">
      <x:formula1>"Critical,High,Medium,Low"</x:formula1>
    </x:dataValidation>
    <x:dataValidation type="list" sqref="I5:I24">
      <x:formula1>"Not Started,In Progress,Draft Complete,In Review,Approved,Blocked,Deferred"</x:formula1>
    </x:dataValidation>
  </x:dataValidations>
  <x:pageMargins left="0.7" right="0.7" top="0.75" bottom="0.75" header="0.3" footer="0.3"/>
</x:worksheet>
</file>

<file path=xl/worksheets/sheet82.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449" t="str">
        <x:v>Stage 5 — Risk Register</x:v>
      </x:c>
      <x:c r="B1" s="449"/>
      <x:c r="C1" s="449"/>
      <x:c r="D1" s="449"/>
      <x:c r="E1" s="449"/>
      <x:c r="F1" s="449"/>
      <x:c r="G1" s="449"/>
      <x:c r="H1" s="449"/>
      <x:c r="I1" s="449"/>
      <x:c r="J1" s="449"/>
    </x:row>
    <x:row r="2" ht="36" customHeight="1">
      <x:c r="A2" s="453" t="str">
        <x:v>Capture-specific privacy, endpoint, accuracy, fairness, performance and trust risks.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S5-R-001</x:v>
      </x:c>
      <x:c r="B5" s="485" t="str">
        <x:v>Password, authentication code or secret is retained in input, text, terminal or screenshot evidence.</x:v>
      </x:c>
      <x:c r="C5" s="485" t="str">
        <x:v>Privacy/Security</x:v>
      </x:c>
      <x:c r="D5" s="485" t="n">
        <x:v>4</x:v>
      </x:c>
      <x:c r="E5" s="485" t="n">
        <x:v>5</x:v>
      </x:c>
      <x:c r="F5" s="485" t="n">
        <x:f>D5*E5</x:f>
        <x:v>20</x:v>
      </x:c>
      <x:c r="G5" s="485" t="str">
        <x:v>Secure-field APIs, browser rules, local secret scanner, suppression, zero-known-secret test corpus.</x:v>
      </x:c>
      <x:c r="H5" s="485" t="str">
        <x:v>CISO/DPO/Desktop</x:v>
      </x:c>
      <x:c r="I5" s="485" t="str">
        <x:v>Open</x:v>
      </x:c>
      <x:c r="J5" s="486" t="str">
        <x:v>Blocking.</x:v>
      </x:c>
    </x:row>
    <x:row r="6">
      <x:c r="A6" s="492" t="str">
        <x:v>S5-R-002</x:v>
      </x:c>
      <x:c r="B6" s="493" t="str">
        <x:v>Input hooks introduce latency, dropped events or application instability.</x:v>
      </x:c>
      <x:c r="C6" s="493" t="str">
        <x:v>Endpoint/Performance</x:v>
      </x:c>
      <x:c r="D6" s="493" t="n">
        <x:v>4</x:v>
      </x:c>
      <x:c r="E6" s="493" t="n">
        <x:v>4</x:v>
      </x:c>
      <x:c r="F6" s="493" t="n">
        <x:f>D6*E6</x:f>
        <x:v>16</x:v>
      </x:c>
      <x:c r="G6" s="493" t="str">
        <x:v>Prefer Raw Input/async APIs, dedicated thread, immediate return, benchmark and kill switch.</x:v>
      </x:c>
      <x:c r="H6" s="493" t="str">
        <x:v>Desktop/SRE</x:v>
      </x:c>
      <x:c r="I6" s="493" t="str">
        <x:v>Open</x:v>
      </x:c>
      <x:c r="J6" s="494" t="str"/>
    </x:row>
    <x:row r="7">
      <x:c r="A7" s="487" t="str">
        <x:v>S5-R-003</x:v>
      </x:c>
      <x:c r="B7" s="114" t="str">
        <x:v>Visual capture creates excessive CPU, battery, bandwidth or storage.</x:v>
      </x:c>
      <x:c r="C7" s="114" t="str">
        <x:v>Performance/Cost</x:v>
      </x:c>
      <x:c r="D7" s="114" t="n">
        <x:v>4</x:v>
      </x:c>
      <x:c r="E7" s="114" t="n">
        <x:v>4</x:v>
      </x:c>
      <x:c r="F7" s="114" t="n">
        <x:f>D7*E7</x:f>
        <x:v>16</x:v>
      </x:c>
      <x:c r="G7" s="114" t="str">
        <x:v>Event triggers, perceptual hash, changed regions, dedup, adaptive throttling and short TTL.</x:v>
      </x:c>
      <x:c r="H7" s="114" t="str">
        <x:v>Desktop/FinOps</x:v>
      </x:c>
      <x:c r="I7" s="114" t="str">
        <x:v>Open</x:v>
      </x:c>
      <x:c r="J7" s="488" t="str"/>
    </x:row>
    <x:row r="8">
      <x:c r="A8" s="492" t="str">
        <x:v>S5-R-004</x:v>
      </x:c>
      <x:c r="B8" s="493" t="str">
        <x:v>Unsupported app is treated as if exact text/activity were known.</x:v>
      </x:c>
      <x:c r="C8" s="493" t="str">
        <x:v>Accuracy/Fairness</x:v>
      </x:c>
      <x:c r="D8" s="493" t="n">
        <x:v>4</x:v>
      </x:c>
      <x:c r="E8" s="493" t="n">
        <x:v>5</x:v>
      </x:c>
      <x:c r="F8" s="493" t="n">
        <x:f>D8*E8</x:f>
        <x:v>20</x:v>
      </x:c>
      <x:c r="G8" s="493" t="str">
        <x:v>Unsupported-app fallback and insufficient-evidence state; no OCR/text certainty without support.</x:v>
      </x:c>
      <x:c r="H8" s="493" t="str">
        <x:v>Product/AI Governance</x:v>
      </x:c>
      <x:c r="I8" s="493" t="str">
        <x:v>Open</x:v>
      </x:c>
      <x:c r="J8" s="494" t="str">
        <x:v>Blocking for Stage 7.</x:v>
      </x:c>
    </x:row>
    <x:row r="9">
      <x:c r="A9" s="487" t="str">
        <x:v>S5-R-005</x:v>
      </x:c>
      <x:c r="B9" s="114" t="str">
        <x:v>Employee reading/thinking/build wait is classified as idle.</x:v>
      </x:c>
      <x:c r="C9" s="114" t="str">
        <x:v>Fairness/Employment</x:v>
      </x:c>
      <x:c r="D9" s="114" t="n">
        <x:v>4</x:v>
      </x:c>
      <x:c r="E9" s="114" t="n">
        <x:v>5</x:v>
      </x:c>
      <x:c r="F9" s="114" t="n">
        <x:f>D9*E9</x:f>
        <x:v>20</x:v>
      </x:c>
      <x:c r="G9" s="114" t="str">
        <x:v>Context-aware idle states, process/agent/build evidence, employee correction and confidence.</x:v>
      </x:c>
      <x:c r="H9" s="114" t="str">
        <x:v>AI/Product/DPO</x:v>
      </x:c>
      <x:c r="I9" s="114" t="str">
        <x:v>Open</x:v>
      </x:c>
      <x:c r="J9" s="488" t="str">
        <x:v>Blocking.</x:v>
      </x:c>
    </x:row>
    <x:row r="10">
      <x:c r="A10" s="492" t="str">
        <x:v>S5-R-006</x:v>
      </x:c>
      <x:c r="B10" s="493" t="str">
        <x:v>Excluded/private app/domain/display still leaks titles or screenshots.</x:v>
      </x:c>
      <x:c r="C10" s="493" t="str">
        <x:v>Privacy</x:v>
      </x:c>
      <x:c r="D10" s="493" t="n">
        <x:v>3</x:v>
      </x:c>
      <x:c r="E10" s="493" t="n">
        <x:v>5</x:v>
      </x:c>
      <x:c r="F10" s="493" t="n">
        <x:f>D10*E10</x:f>
        <x:v>15</x:v>
      </x:c>
      <x:c r="G10" s="493" t="str">
        <x:v>Policy before sensor output, secure-state tests, suppression ledger and fail-safe unknown controls.</x:v>
      </x:c>
      <x:c r="H10" s="493" t="str">
        <x:v>DPO/Desktop</x:v>
      </x:c>
      <x:c r="I10" s="493" t="str">
        <x:v>Open</x:v>
      </x:c>
      <x:c r="J10" s="494" t="str">
        <x:v>Blocking.</x:v>
      </x:c>
    </x:row>
    <x:row r="11">
      <x:c r="A11" s="487" t="str">
        <x:v>S5-R-007</x:v>
      </x:c>
      <x:c r="B11" s="114" t="str">
        <x:v>Text attribution credits AI/autocomplete/formatter output entirely to the employee.</x:v>
      </x:c>
      <x:c r="C11" s="114" t="str">
        <x:v>Accuracy/Capability</x:v>
      </x:c>
      <x:c r="D11" s="114" t="n">
        <x:v>4</x:v>
      </x:c>
      <x:c r="E11" s="114" t="n">
        <x:v>4</x:v>
      </x:c>
      <x:c r="F11" s="114" t="n">
        <x:f>D11*E11</x:f>
        <x:v>16</x:v>
      </x:c>
      <x:c r="G11" s="114" t="str">
        <x:v>Three-stream reconciliation and provenance candidates with confidence.</x:v>
      </x:c>
      <x:c r="H11" s="114" t="str">
        <x:v>Data/AI</x:v>
      </x:c>
      <x:c r="I11" s="114" t="str">
        <x:v>Open</x:v>
      </x:c>
      <x:c r="J11" s="488" t="str"/>
    </x:row>
    <x:row r="12">
      <x:c r="A12" s="492" t="str">
        <x:v>S5-R-008</x:v>
      </x:c>
      <x:c r="B12" s="493" t="str">
        <x:v>AI-agent or process output is incorrectly treated as employee inactivity or personal work.</x:v>
      </x:c>
      <x:c r="C12" s="493" t="str">
        <x:v>Accuracy/Fairness</x:v>
      </x:c>
      <x:c r="D12" s="493" t="n">
        <x:v>3</x:v>
      </x:c>
      <x:c r="E12" s="493" t="n">
        <x:v>4</x:v>
      </x:c>
      <x:c r="F12" s="493" t="n">
        <x:f>D12*E12</x:f>
        <x:v>12</x:v>
      </x:c>
      <x:c r="G12" s="493" t="str">
        <x:v>Agent/process adapters and automated-execution state.</x:v>
      </x:c>
      <x:c r="H12" s="493" t="str">
        <x:v>AI Integrations/Product</x:v>
      </x:c>
      <x:c r="I12" s="493" t="str">
        <x:v>Open</x:v>
      </x:c>
      <x:c r="J12" s="494" t="str"/>
    </x:row>
    <x:row r="13">
      <x:c r="A13" s="487" t="str">
        <x:v>S5-R-009</x:v>
      </x:c>
      <x:c r="B13" s="114" t="str">
        <x:v>Browser extension collects personal URL/title data beyond approved need.</x:v>
      </x:c>
      <x:c r="C13" s="114" t="str">
        <x:v>Privacy/Browser</x:v>
      </x:c>
      <x:c r="D13" s="114" t="n">
        <x:v>3</x:v>
      </x:c>
      <x:c r="E13" s="114" t="n">
        <x:v>5</x:v>
      </x:c>
      <x:c r="F13" s="114" t="n">
        <x:f>D13*E13</x:f>
        <x:v>15</x:v>
      </x:c>
      <x:c r="G13" s="114" t="str">
        <x:v>Enterprise profile, domain/title defaults, allowlists/exclusions, URL path off by default.</x:v>
      </x:c>
      <x:c r="H13" s="114" t="str">
        <x:v>Browser/DPO</x:v>
      </x:c>
      <x:c r="I13" s="114" t="str">
        <x:v>Open</x:v>
      </x:c>
      <x:c r="J13" s="488" t="str"/>
    </x:row>
    <x:row r="14">
      <x:c r="A14" s="492" t="str">
        <x:v>S5-R-010</x:v>
      </x:c>
      <x:c r="B14" s="493" t="str">
        <x:v>Project-root file watcher expands into personal or unrelated folders.</x:v>
      </x:c>
      <x:c r="C14" s="493" t="str">
        <x:v>Privacy/Endpoint</x:v>
      </x:c>
      <x:c r="D14" s="493" t="n">
        <x:v>3</x:v>
      </x:c>
      <x:c r="E14" s="493" t="n">
        <x:v>5</x:v>
      </x:c>
      <x:c r="F14" s="493" t="n">
        <x:f>D14*E14</x:f>
        <x:v>15</x:v>
      </x:c>
      <x:c r="G14" s="493" t="str">
        <x:v>Signed allowlist, canonical path checks, symlink/junction tests and policy denial.</x:v>
      </x:c>
      <x:c r="H14" s="493" t="str">
        <x:v>Desktop/Security</x:v>
      </x:c>
      <x:c r="I14" s="493" t="str">
        <x:v>Open</x:v>
      </x:c>
      <x:c r="J14" s="494" t="str"/>
    </x:row>
    <x:row r="15">
      <x:c r="A15" s="487" t="str">
        <x:v>S5-R-011</x:v>
      </x:c>
      <x:c r="B15" s="114" t="str">
        <x:v>Accessibility data exposes secure values or creates excessive collection.</x:v>
      </x:c>
      <x:c r="C15" s="114" t="str">
        <x:v>Privacy/Accessibility</x:v>
      </x:c>
      <x:c r="D15" s="114" t="n">
        <x:v>3</x:v>
      </x:c>
      <x:c r="E15" s="114" t="n">
        <x:v>5</x:v>
      </x:c>
      <x:c r="F15" s="114" t="n">
        <x:f>D15*E15</x:f>
        <x:v>15</x:v>
      </x:c>
      <x:c r="G15" s="114" t="str">
        <x:v>Secure subroles/properties, value minimisation, diff snapshots and app coverage matrix.</x:v>
      </x:c>
      <x:c r="H15" s="114" t="str">
        <x:v>Accessibility/CISO</x:v>
      </x:c>
      <x:c r="I15" s="114" t="str">
        <x:v>Open</x:v>
      </x:c>
      <x:c r="J15" s="488" t="str"/>
    </x:row>
    <x:row r="16">
      <x:c r="A16" s="492" t="str">
        <x:v>S5-R-012</x:v>
      </x:c>
      <x:c r="B16" s="493" t="str">
        <x:v>Manager gains de facto live surveillance from raw Stage 5 feeds.</x:v>
      </x:c>
      <x:c r="C16" s="493" t="str">
        <x:v>Governance/Trust</x:v>
      </x:c>
      <x:c r="D16" s="493" t="n">
        <x:v>3</x:v>
      </x:c>
      <x:c r="E16" s="493" t="n">
        <x:v>5</x:v>
      </x:c>
      <x:c r="F16" s="493" t="n">
        <x:f>D16*E16</x:f>
        <x:v>15</x:v>
      </x:c>
      <x:c r="G16" s="493" t="str">
        <x:v>No manager live view; employee/reviewer validation first; Stage 4 access broker and summary-first reporting.</x:v>
      </x:c>
      <x:c r="H16" s="493" t="str">
        <x:v>Product/HR/DPO</x:v>
      </x:c>
      <x:c r="I16" s="493" t="str">
        <x:v>Open</x:v>
      </x:c>
      <x:c r="J16" s="494" t="str">
        <x:v>Blocking.</x:v>
      </x:c>
    </x:row>
    <x:row r="17">
      <x:c r="A17" s="487" t="str">
        <x:v>S5-R-013</x:v>
      </x:c>
      <x:c r="B17" s="114" t="str">
        <x:v>Capture coverage differs by OS/tool and creates unfair comparisons.</x:v>
      </x:c>
      <x:c r="C17" s="114" t="str">
        <x:v>Fairness/Product</x:v>
      </x:c>
      <x:c r="D17" s="114" t="n">
        <x:v>4</x:v>
      </x:c>
      <x:c r="E17" s="114" t="n">
        <x:v>4</x:v>
      </x:c>
      <x:c r="F17" s="114" t="n">
        <x:f>D17*E17</x:f>
        <x:v>16</x:v>
      </x:c>
      <x:c r="G17" s="114" t="str">
        <x:v>Coverage/completeness metadata, supported-environment matrix, no cross-user comparison without equivalent evidence.</x:v>
      </x:c>
      <x:c r="H17" s="114" t="str">
        <x:v>Product/AI Governance</x:v>
      </x:c>
      <x:c r="I17" s="114" t="str">
        <x:v>Open</x:v>
      </x:c>
      <x:c r="J17" s="488" t="str"/>
    </x:row>
    <x:row r="18">
      <x:c r="A18" s="495" t="str">
        <x:v>S5-R-014</x:v>
      </x:c>
      <x:c r="B18" s="496" t="str">
        <x:v>Voice input or assistive technology is misread as low capability/activity.</x:v>
      </x:c>
      <x:c r="C18" s="496" t="str">
        <x:v>Accessibility/Fairness</x:v>
      </x:c>
      <x:c r="D18" s="496" t="n">
        <x:v>3</x:v>
      </x:c>
      <x:c r="E18" s="496" t="n">
        <x:v>5</x:v>
      </x:c>
      <x:c r="F18" s="496" t="n">
        <x:f>D18*E18</x:f>
        <x:v>15</x:v>
      </x:c>
      <x:c r="G18" s="496" t="str">
        <x:v>Resulting artefact/text evidence, accommodation-aware interpretation and no key-volume metrics.</x:v>
      </x:c>
      <x:c r="H18" s="496" t="str">
        <x:v>HR/Accessibility/Product</x:v>
      </x:c>
      <x:c r="I18" s="496" t="str">
        <x:v>Open</x:v>
      </x:c>
      <x:c r="J18" s="497" t="str">
        <x:v>Blocking.</x:v>
      </x:c>
    </x:row>
  </x:sheetData>
  <x:mergeCells>
    <x:mergeCell ref="A1:J1"/>
    <x:mergeCell ref="A2:J2"/>
  </x:mergeCells>
  <x:conditionalFormatting sqref="F5:F18">
    <x:cfRule type="colorScale" priority="1">
      <x:colorScale>
        <x:cfvo type="min"/>
        <x:cfvo type="percentile" val="50"/>
        <x:cfvo type="max"/>
        <x:color rgb="FFE2F0D9"/>
        <x:color rgb="FFFFF2CC"/>
        <x:color rgb="FFFCE4D6"/>
      </x:colorScale>
    </x:cfRule>
  </x:conditionalFormatting>
  <x:dataValidations count="1">
    <x:dataValidation type="list" sqref="I5:I18">
      <x:formula1>"Open,Mitigating,Accepted,Closed,Blocked"</x:formula1>
    </x:dataValidation>
  </x:dataValidations>
  <x:pageMargins left="0.7" right="0.7" top="0.75" bottom="0.75" header="0.3" footer="0.3"/>
</x:worksheet>
</file>

<file path=xl/worksheets/sheet83.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60" hidden="0" customWidth="1"/>
    <x:col min="6" max="6" width="38" hidden="0" customWidth="1"/>
    <x:col min="7" max="7" width="44" hidden="0" customWidth="1"/>
    <x:col min="8" max="8" width="42" hidden="0" customWidth="1"/>
    <x:col min="9" max="9" width="34" hidden="0" customWidth="1"/>
    <x:col min="10" max="10" width="26" hidden="0" customWidth="1"/>
    <x:col min="11" max="11" width="32" hidden="0" customWidth="1"/>
  </x:cols>
  <x:sheetData>
    <x:row r="1" ht="30" customHeight="1">
      <x:c r="A1" s="449" t="str">
        <x:v>Stage 5 — Architecture and Product Decisions</x:v>
      </x:c>
      <x:c r="B1" s="449"/>
      <x:c r="C1" s="449"/>
      <x:c r="D1" s="449"/>
      <x:c r="E1" s="449"/>
      <x:c r="F1" s="449"/>
      <x:c r="G1" s="449"/>
      <x:c r="H1" s="449"/>
      <x:c r="I1" s="449"/>
      <x:c r="J1" s="449"/>
      <x:c r="K1" s="449"/>
    </x:row>
    <x:row r="2" ht="36" customHeight="1">
      <x:c r="A2" s="453" t="str">
        <x:v>Decisions governing event-driven visuals, narrow input capture, text provenance, idle semantics, browser/file scope and downstream attribution.</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S5-ADR-001</x:v>
      </x:c>
      <x:c r="B5" s="485" t="str">
        <x:v>Event-driven visual states</x:v>
      </x:c>
      <x:c r="C5" s="485" t="str">
        <x:v>Accepted</x:v>
      </x:c>
      <x:c r="D5" s="485" t="str">
        <x:v>Continuous video is intrusive and expensive.</x:v>
      </x:c>
      <x:c r="E5" s="485" t="str">
        <x:v>Capture on meaningful triggers with hash/diff/dedup and periodic policy checkpoint only.</x:v>
      </x:c>
      <x:c r="F5" s="485" t="str">
        <x:v>Continuous video; periodic screenshots only.</x:v>
      </x:c>
      <x:c r="G5" s="485" t="str">
        <x:v>Better context with lower volume.</x:v>
      </x:c>
      <x:c r="H5" s="485" t="str">
        <x:v>May miss subtle changes if triggers are weak.</x:v>
      </x:c>
      <x:c r="I5" s="485" t="str">
        <x:v>Trigger recall/employee review tests.</x:v>
      </x:c>
      <x:c r="J5" s="485" t="str">
        <x:v>Desktop/Product/DPO</x:v>
      </x:c>
      <x:c r="K5" s="486" t="str">
        <x:v>Windows Graphics Capture/ScreenCaptureKit</x:v>
      </x:c>
    </x:row>
    <x:row r="6">
      <x:c r="A6" s="492" t="str">
        <x:v>S5-ADR-002</x:v>
      </x:c>
      <x:c r="B6" s="493" t="str">
        <x:v>Three-stream text model</x:v>
      </x:c>
      <x:c r="C6" s="493" t="str">
        <x:v>Accepted</x:v>
      </x:c>
      <x:c r="D6" s="493" t="str">
        <x:v>Raw keys do not equal resulting text or final artefacts.</x:v>
      </x:c>
      <x:c r="E6" s="493" t="str">
        <x:v>Reconcile physical input metadata, resulting text deltas and authoritative artefact changes.</x:v>
      </x:c>
      <x:c r="F6" s="493" t="str">
        <x:v>Traditional keylogger; file diffs only.</x:v>
      </x:c>
      <x:c r="G6" s="493" t="str">
        <x:v>Accurate human/AI/automation attribution.</x:v>
      </x:c>
      <x:c r="H6" s="493" t="str">
        <x:v>Adapter complexity.</x:v>
      </x:c>
      <x:c r="I6" s="493" t="str">
        <x:v>Text reconstruction benchmark.</x:v>
      </x:c>
      <x:c r="J6" s="493" t="str">
        <x:v>Data/Desktop/AI</x:v>
      </x:c>
      <x:c r="K6" s="494" t="str">
        <x:v>Stage 5 prompt</x:v>
      </x:c>
    </x:row>
    <x:row r="7">
      <x:c r="A7" s="487" t="str">
        <x:v>S5-ADR-003</x:v>
      </x:c>
      <x:c r="B7" s="114" t="str">
        <x:v>Raw key values narrow by default</x:v>
      </x:c>
      <x:c r="C7" s="114" t="str">
        <x:v>Accepted</x:v>
      </x:c>
      <x:c r="D7" s="114" t="str">
        <x:v>Unrestricted keylogging creates high privacy risk.</x:v>
      </x:c>
      <x:c r="E7" s="114" t="str">
        <x:v>Capture categories/shortcuts by default; exact values only in approved non-secure semantic surfaces when necessary.</x:v>
      </x:c>
      <x:c r="F7" s="114" t="str">
        <x:v>Capture every key; never capture input.</x:v>
      </x:c>
      <x:c r="G7" s="114" t="str">
        <x:v>Balances exactness and minimisation.</x:v>
      </x:c>
      <x:c r="H7" s="114" t="str">
        <x:v>Some unsupported apps lack exact typing evidence.</x:v>
      </x:c>
      <x:c r="I7" s="114" t="str">
        <x:v>Supported-control matrix.</x:v>
      </x:c>
      <x:c r="J7" s="114" t="str">
        <x:v>DPO/Product</x:v>
      </x:c>
      <x:c r="K7" s="488" t="str">
        <x:v>ICO high-risk monitoring context</x:v>
      </x:c>
    </x:row>
    <x:row r="8">
      <x:c r="A8" s="492" t="str">
        <x:v>S5-ADR-004</x:v>
      </x:c>
      <x:c r="B8" s="493" t="str">
        <x:v>Secure unknown defaults to suppress</x:v>
      </x:c>
      <x:c r="C8" s="493" t="str">
        <x:v>Accepted</x:v>
      </x:c>
      <x:c r="D8" s="493" t="str">
        <x:v>Secure-field metadata can be incomplete or app-specific.</x:v>
      </x:c>
      <x:c r="E8" s="493" t="str">
        <x:v>When control sensitivity is uncertain above threshold, suppress content or use metadata-only mode.</x:v>
      </x:c>
      <x:c r="F8" s="493" t="str">
        <x:v>Capture until proven secure.</x:v>
      </x:c>
      <x:c r="G8" s="493" t="str">
        <x:v>Fail-safe privacy.</x:v>
      </x:c>
      <x:c r="H8" s="493" t="str">
        <x:v>False positives reduce evidence.</x:v>
      </x:c>
      <x:c r="I8" s="493" t="str">
        <x:v>False-positive/negative corpus.</x:v>
      </x:c>
      <x:c r="J8" s="493" t="str">
        <x:v>CISO/DPO</x:v>
      </x:c>
      <x:c r="K8" s="494" t="str">
        <x:v>Windows/Apple secure field APIs</x:v>
      </x:c>
    </x:row>
    <x:row r="9">
      <x:c r="A9" s="487" t="str">
        <x:v>S5-ADR-005</x:v>
      </x:c>
      <x:c r="B9" s="114" t="str">
        <x:v>No manager live raw view</x:v>
      </x:c>
      <x:c r="C9" s="114" t="str">
        <x:v>Accepted</x:v>
      </x:c>
      <x:c r="D9" s="114" t="str">
        <x:v>Live screens invite surveillance misuse and are not needed for MVP validation.</x:v>
      </x:c>
      <x:c r="E9" s="114" t="str">
        <x:v>Stage 5 evidence is employee/reviewer accessible through Stage 4 policy; manager summaries arrive later.</x:v>
      </x:c>
      <x:c r="F9" s="114" t="str">
        <x:v>Live dashboard.</x:v>
      </x:c>
      <x:c r="G9" s="114" t="str">
        <x:v>Trust and purpose limitation.</x:v>
      </x:c>
      <x:c r="H9" s="114" t="str">
        <x:v>Less immediate management visibility.</x:v>
      </x:c>
      <x:c r="I9" s="114" t="str">
        <x:v>Pilot UX/manager study.</x:v>
      </x:c>
      <x:c r="J9" s="114" t="str">
        <x:v>Product/HR/DPO</x:v>
      </x:c>
      <x:c r="K9" s="488" t="str">
        <x:v>Stage 0 governance</x:v>
      </x:c>
    </x:row>
    <x:row r="10">
      <x:c r="A10" s="492" t="str">
        <x:v>S5-ADR-006</x:v>
      </x:c>
      <x:c r="B10" s="493" t="str">
        <x:v>Semantic adapters outrank visual inference</x:v>
      </x:c>
      <x:c r="C10" s="493" t="str">
        <x:v>Accepted</x:v>
      </x:c>
      <x:c r="D10" s="493" t="str">
        <x:v>Git/test/shell/agent events are more reliable than pixels/OCR.</x:v>
      </x:c>
      <x:c r="E10" s="493" t="str">
        <x:v>Use authoritative/semantic evidence when available; visual is fallback/context.</x:v>
      </x:c>
      <x:c r="F10" s="493" t="str">
        <x:v>Visual AI interprets everything.</x:v>
      </x:c>
      <x:c r="G10" s="493" t="str">
        <x:v>Accuracy and explainability.</x:v>
      </x:c>
      <x:c r="H10" s="493" t="str">
        <x:v>Requires adapter investment.</x:v>
      </x:c>
      <x:c r="I10" s="493" t="str">
        <x:v>Evidence hierarchy tests.</x:v>
      </x:c>
      <x:c r="J10" s="493" t="str">
        <x:v>Data/Product</x:v>
      </x:c>
      <x:c r="K10" s="494" t="str">
        <x:v>Stage 2 ontology</x:v>
      </x:c>
    </x:row>
    <x:row r="11">
      <x:c r="A11" s="487" t="str">
        <x:v>S5-ADR-007</x:v>
      </x:c>
      <x:c r="B11" s="114" t="str">
        <x:v>Idle is contextual state, not productivity metric</x:v>
      </x:c>
      <x:c r="C11" s="114" t="str">
        <x:v>Accepted</x:v>
      </x:c>
      <x:c r="D11" s="114" t="str">
        <x:v>Low input may represent reading, waiting, meeting or deep thinking.</x:v>
      </x:c>
      <x:c r="E11" s="114" t="str">
        <x:v>Use contextual states and confidence; never infer misconduct automatically.</x:v>
      </x:c>
      <x:c r="F11" s="114" t="str">
        <x:v>Simple inactivity timer.</x:v>
      </x:c>
      <x:c r="G11" s="114" t="str">
        <x:v>Fairness.</x:v>
      </x:c>
      <x:c r="H11" s="114" t="str">
        <x:v>More complex classification.</x:v>
      </x:c>
      <x:c r="I11" s="114" t="str">
        <x:v>Labelled false-idle evaluation.</x:v>
      </x:c>
      <x:c r="J11" s="114" t="str">
        <x:v>AI Governance/HR</x:v>
      </x:c>
      <x:c r="K11" s="488" t="str">
        <x:v>Idle model</x:v>
      </x:c>
    </x:row>
    <x:row r="12">
      <x:c r="A12" s="492" t="str">
        <x:v>S5-ADR-008</x:v>
      </x:c>
      <x:c r="B12" s="493" t="str">
        <x:v>Browser domain/title default</x:v>
      </x:c>
      <x:c r="C12" s="493" t="str">
        <x:v>Accepted in principle</x:v>
      </x:c>
      <x:c r="D12" s="493" t="str">
        <x:v>Full URL and DOM content are often unnecessary and sensitive.</x:v>
      </x:c>
      <x:c r="E12" s="493" t="str">
        <x:v>Capture active domain/title; URL path/query/DOM only allowlisted for approved work systems.</x:v>
      </x:c>
      <x:c r="F12" s="493" t="str">
        <x:v>Full browsing history/content.</x:v>
      </x:c>
      <x:c r="G12" s="493" t="str">
        <x:v>Minimisation and simpler policy.</x:v>
      </x:c>
      <x:c r="H12" s="493" t="str">
        <x:v>Less detailed context on generic web apps.</x:v>
      </x:c>
      <x:c r="I12" s="493" t="str">
        <x:v>Browser coverage test.</x:v>
      </x:c>
      <x:c r="J12" s="493" t="str">
        <x:v>Browser/DPO</x:v>
      </x:c>
      <x:c r="K12" s="494" t="str">
        <x:v>Chrome Tabs permissions</x:v>
      </x:c>
    </x:row>
    <x:row r="13">
      <x:c r="A13" s="487" t="str">
        <x:v>S5-ADR-009</x:v>
      </x:c>
      <x:c r="B13" s="114" t="str">
        <x:v>Approved-root file events</x:v>
      </x:c>
      <x:c r="C13" s="114" t="str">
        <x:v>Accepted</x:v>
      </x:c>
      <x:c r="D13" s="114" t="str">
        <x:v>Whole-disk file surveillance is unnecessary.</x:v>
      </x:c>
      <x:c r="E13" s="114" t="str">
        <x:v>Watch only signed-policy project roots/source-system adapters.</x:v>
      </x:c>
      <x:c r="F13" s="114" t="str">
        <x:v>Whole-disk watcher.</x:v>
      </x:c>
      <x:c r="G13" s="114" t="str">
        <x:v>Privacy and lower event volume.</x:v>
      </x:c>
      <x:c r="H13" s="114" t="str">
        <x:v>Files outside roots need other adapters/manual evidence.</x:v>
      </x:c>
      <x:c r="I13" s="114" t="str">
        <x:v>Path/symlink tests.</x:v>
      </x:c>
      <x:c r="J13" s="114" t="str">
        <x:v>Desktop/Security</x:v>
      </x:c>
      <x:c r="K13" s="488" t="str">
        <x:v>Purpose limitation</x:v>
      </x:c>
    </x:row>
    <x:row r="14">
      <x:c r="A14" s="492" t="str">
        <x:v>S5-ADR-010</x:v>
      </x:c>
      <x:c r="B14" s="493" t="str">
        <x:v>Stage 5 produces attribution candidates</x:v>
      </x:c>
      <x:c r="C14" s="493" t="str">
        <x:v>Accepted</x:v>
      </x:c>
      <x:c r="D14" s="493" t="str">
        <x:v>Local evidence may support but not settle human/AI/automation causality.</x:v>
      </x:c>
      <x:c r="E14" s="493" t="str">
        <x:v>Agent emits versioned candidates; Stage 7 provenance engine resolves with broader evidence.</x:v>
      </x:c>
      <x:c r="F14" s="493" t="str">
        <x:v>Agent decides final provenance.</x:v>
      </x:c>
      <x:c r="G14" s="493" t="str">
        <x:v>Separates edge facts from cloud inference.</x:v>
      </x:c>
      <x:c r="H14" s="493" t="str">
        <x:v>Additional processing later.</x:v>
      </x:c>
      <x:c r="I14" s="493" t="str">
        <x:v>Stage 7 tests.</x:v>
      </x:c>
      <x:c r="J14" s="493" t="str">
        <x:v>Data/AI</x:v>
      </x:c>
      <x:c r="K14" s="494" t="str">
        <x:v>Stage boundary</x:v>
      </x:c>
    </x:row>
    <x:row r="15">
      <x:c r="A15" s="487" t="str">
        <x:v>S5-ADR-011</x:v>
      </x:c>
      <x:c r="B15" s="114" t="str">
        <x:v>Audio excluded</x:v>
      </x:c>
      <x:c r="C15" s="114" t="str">
        <x:v>Accepted</x:v>
      </x:c>
      <x:c r="D15" s="114" t="str">
        <x:v>Initial vertical does not require audio and privacy risk is substantial.</x:v>
      </x:c>
      <x:c r="E15" s="114" t="str">
        <x:v>No microphone/system audio capture in Stage 5.</x:v>
      </x:c>
      <x:c r="F15" s="114" t="str">
        <x:v>Audio/transcription capture.</x:v>
      </x:c>
      <x:c r="G15" s="114" t="str">
        <x:v>Reduced scope and risk.</x:v>
      </x:c>
      <x:c r="H15" s="114" t="str">
        <x:v>Some meeting context unavailable.</x:v>
      </x:c>
      <x:c r="I15" s="114" t="str">
        <x:v>Future new purpose/DPIA.</x:v>
      </x:c>
      <x:c r="J15" s="114" t="str">
        <x:v>DPO/Product</x:v>
      </x:c>
      <x:c r="K15" s="488" t="str">
        <x:v>Stage 0 policy</x:v>
      </x:c>
    </x:row>
    <x:row r="16">
      <x:c r="A16" s="495" t="str">
        <x:v>S5-ADR-012</x:v>
      </x:c>
      <x:c r="B16" s="496" t="str">
        <x:v>Coverage-aware fairness</x:v>
      </x:c>
      <x:c r="C16" s="496" t="str">
        <x:v>Accepted in principle</x:v>
      </x:c>
      <x:c r="D16" s="496" t="str">
        <x:v>Different OS/apps expose different semantic evidence.</x:v>
      </x:c>
      <x:c r="E16" s="496" t="str">
        <x:v>Every period records sensor coverage/completeness; downstream comparisons require equivalent coverage.</x:v>
      </x:c>
      <x:c r="F16" s="496" t="str">
        <x:v>Ignore coverage differences.</x:v>
      </x:c>
      <x:c r="G16" s="496" t="str">
        <x:v>Prevents unfair cross-user conclusions.</x:v>
      </x:c>
      <x:c r="H16" s="496" t="str">
        <x:v>More report complexity.</x:v>
      </x:c>
      <x:c r="I16" s="496" t="str">
        <x:v>Coverage matrix/pilot analysis.</x:v>
      </x:c>
      <x:c r="J16" s="496" t="str">
        <x:v>AI Governance/Product</x:v>
      </x:c>
      <x:c r="K16" s="497" t="str">
        <x:v>Supported Environment Matrix</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60" hidden="0" customWidth="1"/>
    <x:col min="5" max="5" width="42" hidden="0" customWidth="1"/>
    <x:col min="6" max="6" width="18" hidden="0" customWidth="1"/>
    <x:col min="7" max="7" width="12" hidden="0" customWidth="1"/>
    <x:col min="8" max="8" width="46" hidden="0" customWidth="1"/>
    <x:col min="9" max="9" width="28" hidden="0" customWidth="1"/>
    <x:col min="11" max="11" width="28" hidden="0" customWidth="1"/>
    <x:col min="12" max="12" width="18" hidden="0" customWidth="1"/>
  </x:cols>
  <x:sheetData>
    <x:row r="1" ht="30" customHeight="1">
      <x:c r="A1" s="449" t="str">
        <x:v>Stage 5 — Go / No-Go Gate</x:v>
      </x:c>
      <x:c r="B1" s="449"/>
      <x:c r="C1" s="449"/>
      <x:c r="D1" s="449"/>
      <x:c r="E1" s="449"/>
      <x:c r="F1" s="449"/>
      <x:c r="G1" s="449"/>
      <x:c r="H1" s="449"/>
      <x:c r="I1" s="449"/>
    </x:row>
    <x:row r="2" ht="36" customHeight="1">
      <x:c r="A2" s="453" t="str">
        <x:v>Readiness criteria for the Universal Capture MVP. Approval requires secure-field controls, employee visibility, measurable accuracy and Stage 4 evidence integration.</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S5-G-001</x:v>
      </x:c>
      <x:c r="B5" s="485" t="str">
        <x:v>Scope</x:v>
      </x:c>
      <x:c r="C5" s="485" t="str">
        <x:v>Yes</x:v>
      </x:c>
      <x:c r="D5" s="485" t="str">
        <x:v>MVP capture scope, supported devices and exclusions are explicit.</x:v>
      </x:c>
      <x:c r="E5" s="485" t="str">
        <x:v>Capture MVP Scope</x:v>
      </x:c>
      <x:c r="F5" s="485" t="str">
        <x:v>Draft Ready</x:v>
      </x:c>
      <x:c r="G5" s="498" t="n">
        <x:f>IF(F5="Met",1,IF(F5="Draft Ready",0.8,IF(F5="In Review",0.6,IF(F5="Owner Input",0.3,IF(F5="Blocked",0,0)))))</x:f>
        <x:v>0.8</x:v>
      </x:c>
      <x:c r="H5" s="485" t="str">
        <x:v>Unbounded or covert capture.</x:v>
      </x:c>
      <x:c r="I5" s="486" t="str">
        <x:v>Product/DPO</x:v>
      </x:c>
      <x:c r="K5" s="484" t="str">
        <x:v>Stage 5 readiness</x:v>
      </x:c>
      <x:c r="L5" s="502" t="n">
        <x:f>AVERAGE(G5:G20)</x:f>
        <x:v>0.7375000000000002</x:v>
      </x:c>
    </x:row>
    <x:row r="6">
      <x:c r="A6" s="492" t="str">
        <x:v>S5-G-002</x:v>
      </x:c>
      <x:c r="B6" s="493" t="str">
        <x:v>Sensors</x:v>
      </x:c>
      <x:c r="C6" s="493" t="str">
        <x:v>Yes</x:v>
      </x:c>
      <x:c r="D6" s="493" t="str">
        <x:v>Sensor fields, triggers, minimisation and targets are defined.</x:v>
      </x:c>
      <x:c r="E6" s="493" t="str">
        <x:v>Sensor Specifications</x:v>
      </x:c>
      <x:c r="F6" s="493" t="str">
        <x:v>Draft Ready</x:v>
      </x:c>
      <x:c r="G6" s="499" t="n">
        <x:f>IF(F6="Met",1,IF(F6="Draft Ready",0.8,IF(F6="In Review",0.6,IF(F6="Owner Input",0.3,IF(F6="Blocked",0,0)))))</x:f>
        <x:v>0.8</x:v>
      </x:c>
      <x:c r="H6" s="493" t="str">
        <x:v>Sensor lacks privacy/acceptance rule.</x:v>
      </x:c>
      <x:c r="I6" s="494" t="str">
        <x:v>Desktop/QA</x:v>
      </x:c>
      <x:c r="K6" s="487" t="str">
        <x:v>Mandatory not started/blocked</x:v>
      </x:c>
      <x:c r="L6" s="488" t="n">
        <x:f>COUNTIFS(C5:C20,"Yes",F5:F20,"Not Started")+COUNTIFS(C5:C20,"Yes",F5:F20,"Blocked")</x:f>
        <x:v>1</x:v>
      </x:c>
    </x:row>
    <x:row r="7">
      <x:c r="A7" s="487" t="str">
        <x:v>S5-G-003</x:v>
      </x:c>
      <x:c r="B7" s="114" t="str">
        <x:v>Visual model</x:v>
      </x:c>
      <x:c r="C7" s="114" t="str">
        <x:v>Yes</x:v>
      </x:c>
      <x:c r="D7" s="114" t="str">
        <x:v>Event-driven visual-state schema, dedup, changed regions, redaction and completeness are defined.</x:v>
      </x:c>
      <x:c r="E7" s="114" t="str">
        <x:v>Visual State Model</x:v>
      </x:c>
      <x:c r="F7" s="114" t="str">
        <x:v>Draft Ready</x:v>
      </x:c>
      <x:c r="G7" s="135" t="n">
        <x:f>IF(F7="Met",1,IF(F7="Draft Ready",0.8,IF(F7="In Review",0.6,IF(F7="Owner Input",0.3,IF(F7="Blocked",0,0)))))</x:f>
        <x:v>0.8</x:v>
      </x:c>
      <x:c r="H7" s="114" t="str">
        <x:v>Continuous/uncontrolled recording or no redaction.</x:v>
      </x:c>
      <x:c r="I7" s="488" t="str">
        <x:v>Desktop/DPO</x:v>
      </x:c>
      <x:c r="K7" s="487" t="str">
        <x:v>Draft-ready/met items</x:v>
      </x:c>
      <x:c r="L7" s="488" t="n">
        <x:f>COUNTIF(F5:F20,"Met")+COUNTIF(F5:F20,"Draft Ready")</x:f>
        <x:v>14</x:v>
      </x:c>
    </x:row>
    <x:row r="8">
      <x:c r="A8" s="492" t="str">
        <x:v>S5-G-004</x:v>
      </x:c>
      <x:c r="B8" s="493" t="str">
        <x:v>Input/text model</x:v>
      </x:c>
      <x:c r="C8" s="493" t="str">
        <x:v>Yes</x:v>
      </x:c>
      <x:c r="D8" s="493" t="str">
        <x:v>Physical input, resulting text and artefact reconciliation are specified.</x:v>
      </x:c>
      <x:c r="E8" s="493" t="str">
        <x:v>Input and Text Model</x:v>
      </x:c>
      <x:c r="F8" s="493" t="str">
        <x:v>Draft Ready</x:v>
      </x:c>
      <x:c r="G8" s="499" t="n">
        <x:f>IF(F8="Met",1,IF(F8="Draft Ready",0.8,IF(F8="In Review",0.6,IF(F8="Owner Input",0.3,IF(F8="Blocked",0,0)))))</x:f>
        <x:v>0.8</x:v>
      </x:c>
      <x:c r="H8" s="493" t="str">
        <x:v>Raw key count treated as actual text/work.</x:v>
      </x:c>
      <x:c r="I8" s="494" t="str">
        <x:v>Data/Desktop/AI</x:v>
      </x:c>
      <x:c r="K8" s="489" t="str">
        <x:v>Formal decision count</x:v>
      </x:c>
      <x:c r="L8" s="491" t="n">
        <x:v>0</x:v>
      </x:c>
    </x:row>
    <x:row r="9">
      <x:c r="A9" s="487" t="str">
        <x:v>S5-G-005</x:v>
      </x:c>
      <x:c r="B9" s="114" t="str">
        <x:v>Secure fields</x:v>
      </x:c>
      <x:c r="C9" s="114" t="str">
        <x:v>Yes</x:v>
      </x:c>
      <x:c r="D9" s="114" t="str">
        <x:v>Windows/macOS/browser secure-field and secret suppression tests are blocking.</x:v>
      </x:c>
      <x:c r="E9" s="114" t="str">
        <x:v>Privacy Redaction Tests</x:v>
      </x:c>
      <x:c r="F9" s="114" t="str">
        <x:v>Draft Ready</x:v>
      </x:c>
      <x:c r="G9" s="135" t="n">
        <x:f>IF(F9="Met",1,IF(F9="Draft Ready",0.8,IF(F9="In Review",0.6,IF(F9="Owner Input",0.3,IF(F9="Blocked",0,0)))))</x:f>
        <x:v>0.8</x:v>
      </x:c>
      <x:c r="H9" s="114" t="str">
        <x:v>Known secret can be retained.</x:v>
      </x:c>
      <x:c r="I9" s="488" t="str">
        <x:v>CISO/DPO</x:v>
      </x:c>
    </x:row>
    <x:row r="10">
      <x:c r="A10" s="492" t="str">
        <x:v>S5-G-006</x:v>
      </x:c>
      <x:c r="B10" s="493" t="str">
        <x:v>Idle model</x:v>
      </x:c>
      <x:c r="C10" s="493" t="str">
        <x:v>Yes</x:v>
      </x:c>
      <x:c r="D10" s="493" t="str">
        <x:v>Reading, automation, waits, meetings, blockers, breaks and insufficient evidence are represented.</x:v>
      </x:c>
      <x:c r="E10" s="493" t="str">
        <x:v>Idle and Automation Model</x:v>
      </x:c>
      <x:c r="F10" s="493" t="str">
        <x:v>Draft Ready</x:v>
      </x:c>
      <x:c r="G10" s="499" t="n">
        <x:f>IF(F10="Met",1,IF(F10="Draft Ready",0.8,IF(F10="In Review",0.6,IF(F10="Owner Input",0.3,IF(F10="Blocked",0,0)))))</x:f>
        <x:v>0.8</x:v>
      </x:c>
      <x:c r="H10" s="493" t="str">
        <x:v>Simple inactivity equals poor performance.</x:v>
      </x:c>
      <x:c r="I10" s="494" t="str">
        <x:v>AI Governance/HR</x:v>
      </x:c>
    </x:row>
    <x:row r="11">
      <x:c r="A11" s="487" t="str">
        <x:v>S5-G-007</x:v>
      </x:c>
      <x:c r="B11" s="114" t="str">
        <x:v>Supported environments</x:v>
      </x:c>
      <x:c r="C11" s="114" t="str">
        <x:v>Yes</x:v>
      </x:c>
      <x:c r="D11" s="114" t="str">
        <x:v>Windows/macOS/browser/shell/Git/tool support and limitations are documented.</x:v>
      </x:c>
      <x:c r="E11" s="114" t="str">
        <x:v>Supported Environment Matrix</x:v>
      </x:c>
      <x:c r="F11" s="114" t="str">
        <x:v>Draft Ready</x:v>
      </x:c>
      <x:c r="G11" s="135" t="n">
        <x:f>IF(F11="Met",1,IF(F11="Draft Ready",0.8,IF(F11="In Review",0.6,IF(F11="Owner Input",0.3,IF(F11="Blocked",0,0)))))</x:f>
        <x:v>0.8</x:v>
      </x:c>
      <x:c r="H11" s="114" t="str">
        <x:v>Unsupported environment appears fully observed.</x:v>
      </x:c>
      <x:c r="I11" s="488" t="str">
        <x:v>Desktop/Product</x:v>
      </x:c>
    </x:row>
    <x:row r="12">
      <x:c r="A12" s="492" t="str">
        <x:v>S5-G-008</x:v>
      </x:c>
      <x:c r="B12" s="493" t="str">
        <x:v>Stage 4 integration</x:v>
      </x:c>
      <x:c r="C12" s="493" t="str">
        <x:v>Yes</x:v>
      </x:c>
      <x:c r="D12" s="493" t="str">
        <x:v>Capture events and objects map to Stage 4 contracts and evidence storage.</x:v>
      </x:c>
      <x:c r="E12" s="493" t="str">
        <x:v>Capture Event Contracts</x:v>
      </x:c>
      <x:c r="F12" s="493" t="str">
        <x:v>Draft Ready</x:v>
      </x:c>
      <x:c r="G12" s="499" t="n">
        <x:f>IF(F12="Met",1,IF(F12="Draft Ready",0.8,IF(F12="In Review",0.6,IF(F12="Owner Input",0.3,IF(F12="Blocked",0,0)))))</x:f>
        <x:v>0.8</x:v>
      </x:c>
      <x:c r="H12" s="493" t="str">
        <x:v>Events cannot be stored/replayed safely.</x:v>
      </x:c>
      <x:c r="I12" s="494" t="str">
        <x:v>Data Platform</x:v>
      </x:c>
    </x:row>
    <x:row r="13">
      <x:c r="A13" s="487" t="str">
        <x:v>S5-G-009</x:v>
      </x:c>
      <x:c r="B13" s="114" t="str">
        <x:v>Employee visibility</x:v>
      </x:c>
      <x:c r="C13" s="114" t="str">
        <x:v>Yes</x:v>
      </x:c>
      <x:c r="D13" s="114" t="str">
        <x:v>Active task/sensors, pause/private, bookmark and incorrect-capture reporting are included.</x:v>
      </x:c>
      <x:c r="E13" s="114" t="str">
        <x:v>Scope/Backlog/Stage 3 UI</x:v>
      </x:c>
      <x:c r="F13" s="114" t="str">
        <x:v>Draft Ready</x:v>
      </x:c>
      <x:c r="G13" s="135" t="n">
        <x:f>IF(F13="Met",1,IF(F13="Draft Ready",0.8,IF(F13="In Review",0.6,IF(F13="Owner Input",0.3,IF(F13="Blocked",0,0)))))</x:f>
        <x:v>0.8</x:v>
      </x:c>
      <x:c r="H13" s="114" t="str">
        <x:v>Employee cannot understand/control capture.</x:v>
      </x:c>
      <x:c r="I13" s="488" t="str">
        <x:v>Product/HR/DPO</x:v>
      </x:c>
    </x:row>
    <x:row r="14">
      <x:c r="A14" s="492" t="str">
        <x:v>S5-G-010</x:v>
      </x:c>
      <x:c r="B14" s="493" t="str">
        <x:v>Performance targets</x:v>
      </x:c>
      <x:c r="C14" s="493" t="str">
        <x:v>Yes</x:v>
      </x:c>
      <x:c r="D14" s="493" t="str">
        <x:v>Input latency, CPU, memory, screenshot and storage budgets have acceptance tests.</x:v>
      </x:c>
      <x:c r="E14" s="493" t="str">
        <x:v>Stage 3 Performance Budgets + Stage 5 backlog</x:v>
      </x:c>
      <x:c r="F14" s="493" t="str">
        <x:v>In Review</x:v>
      </x:c>
      <x:c r="G14" s="499" t="n">
        <x:f>IF(F14="Met",1,IF(F14="Draft Ready",0.8,IF(F14="In Review",0.6,IF(F14="Owner Input",0.3,IF(F14="Blocked",0,0)))))</x:f>
        <x:v>0.6</x:v>
      </x:c>
      <x:c r="H14" s="493" t="str">
        <x:v>Agent harms work or exceeds approved budgets.</x:v>
      </x:c>
      <x:c r="I14" s="494" t="str">
        <x:v>SRE/Desktop</x:v>
      </x:c>
    </x:row>
    <x:row r="15">
      <x:c r="A15" s="487" t="str">
        <x:v>S5-G-011</x:v>
      </x:c>
      <x:c r="B15" s="114" t="str">
        <x:v>Accuracy targets</x:v>
      </x:c>
      <x:c r="C15" s="114" t="str">
        <x:v>Yes</x:v>
      </x:c>
      <x:c r="D15" s="114" t="str">
        <x:v>Foreground, click-state, text, tab, command and false-idle targets are explicit.</x:v>
      </x:c>
      <x:c r="E15" s="114" t="str">
        <x:v>Sensor Specifications/Privacy Tests</x:v>
      </x:c>
      <x:c r="F15" s="114" t="str">
        <x:v>Draft Ready</x:v>
      </x:c>
      <x:c r="G15" s="135" t="n">
        <x:f>IF(F15="Met",1,IF(F15="Draft Ready",0.8,IF(F15="In Review",0.6,IF(F15="Owner Input",0.3,IF(F15="Blocked",0,0)))))</x:f>
        <x:v>0.8</x:v>
      </x:c>
      <x:c r="H15" s="114" t="str">
        <x:v>No measurable evidence quality.</x:v>
      </x:c>
      <x:c r="I15" s="488" t="str">
        <x:v>QA/Product</x:v>
      </x:c>
    </x:row>
    <x:row r="16">
      <x:c r="A16" s="492" t="str">
        <x:v>S5-G-012</x:v>
      </x:c>
      <x:c r="B16" s="493" t="str">
        <x:v>Coverage/completeness</x:v>
      </x:c>
      <x:c r="C16" s="493" t="str">
        <x:v>Yes</x:v>
      </x:c>
      <x:c r="D16" s="493" t="str">
        <x:v>Sensor gaps and unsupported apps create explicit insufficient-evidence states.</x:v>
      </x:c>
      <x:c r="E16" s="493" t="str">
        <x:v>Sensors/Idle/Event Contracts</x:v>
      </x:c>
      <x:c r="F16" s="493" t="str">
        <x:v>Draft Ready</x:v>
      </x:c>
      <x:c r="G16" s="499" t="n">
        <x:f>IF(F16="Met",1,IF(F16="Draft Ready",0.8,IF(F16="In Review",0.6,IF(F16="Owner Input",0.3,IF(F16="Blocked",0,0)))))</x:f>
        <x:v>0.8</x:v>
      </x:c>
      <x:c r="H16" s="493" t="str">
        <x:v>Missing data creates confident conclusion.</x:v>
      </x:c>
      <x:c r="I16" s="494" t="str">
        <x:v>AI Governance/Data</x:v>
      </x:c>
    </x:row>
    <x:row r="17">
      <x:c r="A17" s="487" t="str">
        <x:v>S5-G-013</x:v>
      </x:c>
      <x:c r="B17" s="114" t="str">
        <x:v>No live surveillance</x:v>
      </x:c>
      <x:c r="C17" s="114" t="str">
        <x:v>Yes</x:v>
      </x:c>
      <x:c r="D17" s="114" t="str">
        <x:v>No default manager live screen/raw stream exists.</x:v>
      </x:c>
      <x:c r="E17" s="114" t="str">
        <x:v>Scope/ADRs/Stage 4 access controls</x:v>
      </x:c>
      <x:c r="F17" s="114" t="str">
        <x:v>Draft Ready</x:v>
      </x:c>
      <x:c r="G17" s="135" t="n">
        <x:f>IF(F17="Met",1,IF(F17="Draft Ready",0.8,IF(F17="In Review",0.6,IF(F17="Owner Input",0.3,IF(F17="Blocked",0,0)))))</x:f>
        <x:v>0.8</x:v>
      </x:c>
      <x:c r="H17" s="114" t="str">
        <x:v>Stage 5 becomes bossware dashboard.</x:v>
      </x:c>
      <x:c r="I17" s="488" t="str">
        <x:v>Product/HR/DPO</x:v>
      </x:c>
    </x:row>
    <x:row r="18">
      <x:c r="A18" s="492" t="str">
        <x:v>S5-G-014</x:v>
      </x:c>
      <x:c r="B18" s="493" t="str">
        <x:v>Backlog</x:v>
      </x:c>
      <x:c r="C18" s="493" t="str">
        <x:v>Yes</x:v>
      </x:c>
      <x:c r="D18" s="493" t="str">
        <x:v>Implementation backlog includes owners, dependencies, effort, acceptance and privacy impact.</x:v>
      </x:c>
      <x:c r="E18" s="493" t="str">
        <x:v>Stage 5 Backlog</x:v>
      </x:c>
      <x:c r="F18" s="493" t="str">
        <x:v>Draft Ready</x:v>
      </x:c>
      <x:c r="G18" s="499" t="n">
        <x:f>IF(F18="Met",1,IF(F18="Draft Ready",0.8,IF(F18="In Review",0.6,IF(F18="Owner Input",0.3,IF(F18="Blocked",0,0)))))</x:f>
        <x:v>0.8</x:v>
      </x:c>
      <x:c r="H18" s="493" t="str">
        <x:v>No executable capture plan.</x:v>
      </x:c>
      <x:c r="I18" s="494" t="str">
        <x:v>Programme</x:v>
      </x:c>
    </x:row>
    <x:row r="19">
      <x:c r="A19" s="487" t="str">
        <x:v>S5-G-015</x:v>
      </x:c>
      <x:c r="B19" s="114" t="str">
        <x:v>Testing</x:v>
      </x:c>
      <x:c r="C19" s="114" t="str">
        <x:v>Yes</x:v>
      </x:c>
      <x:c r="D19" s="114" t="str">
        <x:v>Privacy/redaction, accuracy, performance, accessibility and environment tests are defined.</x:v>
      </x:c>
      <x:c r="E19" s="114" t="str">
        <x:v>Privacy Redaction Tests/Backlog</x:v>
      </x:c>
      <x:c r="F19" s="114" t="str">
        <x:v>Draft Ready</x:v>
      </x:c>
      <x:c r="G19" s="135" t="n">
        <x:f>IF(F19="Met",1,IF(F19="Draft Ready",0.8,IF(F19="In Review",0.6,IF(F19="Owner Input",0.3,IF(F19="Blocked",0,0)))))</x:f>
        <x:v>0.8</x:v>
      </x:c>
      <x:c r="H19" s="114" t="str">
        <x:v>No blocking secret/fairness tests.</x:v>
      </x:c>
      <x:c r="I19" s="488" t="str">
        <x:v>QA/CISO/DPO</x:v>
      </x:c>
    </x:row>
    <x:row r="20">
      <x:c r="A20" s="495" t="str">
        <x:v>S5-G-016</x:v>
      </x:c>
      <x:c r="B20" s="496" t="str">
        <x:v>Formal decision</x:v>
      </x:c>
      <x:c r="C20" s="496" t="str">
        <x:v>Yes</x:v>
      </x:c>
      <x:c r="D20" s="496" t="str">
        <x:v>CTO, CISO, DPO, Product, HR, IT and Architecture record Stage 5 gate decision.</x:v>
      </x:c>
      <x:c r="E20" s="496" t="str">
        <x:v>Review minutes and decision</x:v>
      </x:c>
      <x:c r="F20" s="496" t="str">
        <x:v>Not Started</x:v>
      </x:c>
      <x:c r="G20" s="500" t="n">
        <x:f>IF(F20="Met",1,IF(F20="Draft Ready",0.8,IF(F20="In Review",0.6,IF(F20="Owner Input",0.3,IF(F20="Blocked",0,0)))))</x:f>
        <x:v>0</x:v>
      </x:c>
      <x:c r="H20" s="496" t="str">
        <x:v>No formal gate decision.</x:v>
      </x:c>
      <x:c r="I20" s="497" t="str">
        <x:v>Executive Sponsor/CTO</x:v>
      </x:c>
    </x:row>
  </x:sheetData>
  <x:mergeCells>
    <x:mergeCell ref="A1:I1"/>
    <x:mergeCell ref="A2:I2"/>
  </x:mergeCells>
  <x:dataValidations count="1">
    <x:dataValidation type="list" sqref="F5:F20">
      <x:formula1>"Met,Draft Ready,In Review,Owner Input,Not Started,Blocked"</x:formula1>
    </x:dataValidation>
  </x:dataValidations>
  <x:pageMargins left="0.7" right="0.7" top="0.75" bottom="0.75" header="0.3" footer="0.3"/>
</x:worksheet>
</file>

<file path=xl/worksheets/sheet85.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449" t="str">
        <x:v>Stage 5 — Source Register</x:v>
      </x:c>
      <x:c r="B1" s="449"/>
      <x:c r="C1" s="449"/>
      <x:c r="D1" s="449"/>
      <x:c r="E1" s="449"/>
      <x:c r="F1" s="449"/>
      <x:c r="G1" s="449"/>
    </x:row>
    <x:row r="2" ht="36" customHeight="1">
      <x:c r="A2" s="453" t="str">
        <x:v>Primary OS/browser documentation and reference projects used for visual, input, secure-field, file, browser, privacy and evidence-contract design.</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S5-SRC-001</x:v>
      </x:c>
      <x:c r="B5" s="485" t="str">
        <x:v>Windows Graphics Capture</x:v>
      </x:c>
      <x:c r="C5" s="485" t="str">
        <x:v>Official documentation</x:v>
      </x:c>
      <x:c r="D5" s="485" t="str">
        <x:v>Capture frames from a display or application window; secure system UI and capture indicator behaviour.</x:v>
      </x:c>
      <x:c r="E5" s="485" t="str">
        <x:v>https://learn.microsoft.com/en-us/windows/apps/develop/media-authoring-processing/screen-capture</x:v>
      </x:c>
      <x:c r="F5" s="485" t="str">
        <x:v>High</x:v>
      </x:c>
      <x:c r="G5" s="486" t="str">
        <x:v>Stage 5 event-driven screenshot implementation.</x:v>
      </x:c>
    </x:row>
    <x:row r="6">
      <x:c r="A6" s="492" t="str">
        <x:v>S5-SRC-002</x:v>
      </x:c>
      <x:c r="B6" s="493" t="str">
        <x:v>Microsoft UI Automation Overview</x:v>
      </x:c>
      <x:c r="C6" s="493" t="str">
        <x:v>Official documentation</x:v>
      </x:c>
      <x:c r="D6" s="493" t="str">
        <x:v>Windows UI element tree, properties, events and control patterns.</x:v>
      </x:c>
      <x:c r="E6" s="493" t="str">
        <x:v>https://learn.microsoft.com/en-us/dotnet/framework/ui-automation/ui-automation-overview</x:v>
      </x:c>
      <x:c r="F6" s="493" t="str">
        <x:v>High</x:v>
      </x:c>
      <x:c r="G6" s="494" t="str">
        <x:v>Semantic UI state and focused control.</x:v>
      </x:c>
    </x:row>
    <x:row r="7">
      <x:c r="A7" s="487" t="str">
        <x:v>S5-SRC-003</x:v>
      </x:c>
      <x:c r="B7" s="114" t="str">
        <x:v>Windows UIA IsPasswordProperty</x:v>
      </x:c>
      <x:c r="C7" s="114" t="str">
        <x:v>Official documentation</x:v>
      </x:c>
      <x:c r="D7" s="114" t="str">
        <x:v>Password determination automation property.</x:v>
      </x:c>
      <x:c r="E7" s="114" t="str">
        <x:v>https://learn.microsoft.com/en-us/windows/windows-app-sdk/api/winrt/microsoft.ui.xaml.automation.automationelementidentifiers.ispasswordproperty</x:v>
      </x:c>
      <x:c r="F7" s="114" t="str">
        <x:v>Critical</x:v>
      </x:c>
      <x:c r="G7" s="488" t="str">
        <x:v>Secure-field suppression.</x:v>
      </x:c>
    </x:row>
    <x:row r="8">
      <x:c r="A8" s="492" t="str">
        <x:v>S5-SRC-004</x:v>
      </x:c>
      <x:c r="B8" s="493" t="str">
        <x:v>Microsoft Raw Input</x:v>
      </x:c>
      <x:c r="C8" s="493" t="str">
        <x:v>Official documentation</x:v>
      </x:c>
      <x:c r="D8" s="493" t="str">
        <x:v>Asynchronous low-level input data model.</x:v>
      </x:c>
      <x:c r="E8" s="493" t="str">
        <x:v>https://learn.microsoft.com/en-us/windows/win32/inputdev/about-raw-input</x:v>
      </x:c>
      <x:c r="F8" s="493" t="str">
        <x:v>High</x:v>
      </x:c>
      <x:c r="G8" s="494" t="str">
        <x:v>Input-provenance spike.</x:v>
      </x:c>
    </x:row>
    <x:row r="9">
      <x:c r="A9" s="487" t="str">
        <x:v>S5-SRC-005</x:v>
      </x:c>
      <x:c r="B9" s="114" t="str">
        <x:v>Microsoft LowLevelMouseProc</x:v>
      </x:c>
      <x:c r="C9" s="114" t="str">
        <x:v>Official documentation</x:v>
      </x:c>
      <x:c r="D9" s="114" t="str">
        <x:v>Hook timeout/performance constraints and Raw Input recommendation.</x:v>
      </x:c>
      <x:c r="E9" s="114" t="str">
        <x:v>https://learn.microsoft.com/en-us/windows/win32/winmsg/lowlevelmouseproc</x:v>
      </x:c>
      <x:c r="F9" s="114" t="str">
        <x:v>High</x:v>
      </x:c>
      <x:c r="G9" s="488" t="str">
        <x:v>Avoid blocking input hooks.</x:v>
      </x:c>
    </x:row>
    <x:row r="10">
      <x:c r="A10" s="492" t="str">
        <x:v>S5-SRC-006</x:v>
      </x:c>
      <x:c r="B10" s="493" t="str">
        <x:v>Apple ScreenCaptureKit</x:v>
      </x:c>
      <x:c r="C10" s="493" t="str">
        <x:v>Official documentation</x:v>
      </x:c>
      <x:c r="D10" s="493" t="str">
        <x:v>High-performance screen/window/application capture on macOS.</x:v>
      </x:c>
      <x:c r="E10" s="493" t="str">
        <x:v>https://developer.apple.com/documentation/screencapturekit</x:v>
      </x:c>
      <x:c r="F10" s="493" t="str">
        <x:v>High</x:v>
      </x:c>
      <x:c r="G10" s="494" t="str">
        <x:v>Visual-state capture; audio excluded.</x:v>
      </x:c>
    </x:row>
    <x:row r="11">
      <x:c r="A11" s="487" t="str">
        <x:v>S5-SRC-007</x:v>
      </x:c>
      <x:c r="B11" s="114" t="str">
        <x:v>Apple kAXSecureTextFieldSubrole</x:v>
      </x:c>
      <x:c r="C11" s="114" t="str">
        <x:v>Official documentation</x:v>
      </x:c>
      <x:c r="D11" s="114" t="str">
        <x:v>Accessibility subrole for sensitive secure text fields.</x:v>
      </x:c>
      <x:c r="E11" s="114" t="str">
        <x:v>https://developer.apple.com/documentation/applicationservices/kaxsecuretextfieldsubrole</x:v>
      </x:c>
      <x:c r="F11" s="114" t="str">
        <x:v>Critical</x:v>
      </x:c>
      <x:c r="G11" s="488" t="str">
        <x:v>macOS secure-field suppression.</x:v>
      </x:c>
    </x:row>
    <x:row r="12">
      <x:c r="A12" s="492" t="str">
        <x:v>S5-SRC-008</x:v>
      </x:c>
      <x:c r="B12" s="493" t="str">
        <x:v>Apple AXUIElement APIs</x:v>
      </x:c>
      <x:c r="C12" s="493" t="str">
        <x:v>Official documentation</x:v>
      </x:c>
      <x:c r="D12" s="493" t="str">
        <x:v>Accessibility element attributes, values and position lookup.</x:v>
      </x:c>
      <x:c r="E12" s="493" t="str">
        <x:v>https://developer.apple.com/documentation/applicationservices/axuielement</x:v>
      </x:c>
      <x:c r="F12" s="493" t="str">
        <x:v>High</x:v>
      </x:c>
      <x:c r="G12" s="494" t="str">
        <x:v>Semantic UI state.</x:v>
      </x:c>
    </x:row>
    <x:row r="13">
      <x:c r="A13" s="487" t="str">
        <x:v>S5-SRC-009</x:v>
      </x:c>
      <x:c r="B13" s="114" t="str">
        <x:v>Apple FSEvents</x:v>
      </x:c>
      <x:c r="C13" s="114" t="str">
        <x:v>Official documentation</x:v>
      </x:c>
      <x:c r="D13" s="114" t="str">
        <x:v>File-system change notification and exclusion paths.</x:v>
      </x:c>
      <x:c r="E13" s="114" t="str">
        <x:v>https://developer.apple.com/documentation/coreservices/file_system_events</x:v>
      </x:c>
      <x:c r="F13" s="114" t="str">
        <x:v>Medium</x:v>
      </x:c>
      <x:c r="G13" s="488" t="str">
        <x:v>Approved-root file event design.</x:v>
      </x:c>
    </x:row>
    <x:row r="14">
      <x:c r="A14" s="492" t="str">
        <x:v>S5-SRC-010</x:v>
      </x:c>
      <x:c r="B14" s="493" t="str">
        <x:v>Chrome Native Messaging</x:v>
      </x:c>
      <x:c r="C14" s="493" t="str">
        <x:v>Official documentation</x:v>
      </x:c>
      <x:c r="D14" s="493" t="str">
        <x:v>Extension-native app communication and host allowlists.</x:v>
      </x:c>
      <x:c r="E14" s="493" t="str">
        <x:v>https://developer.chrome.com/docs/extensions/develop/concepts/native-messaging</x:v>
      </x:c>
      <x:c r="F14" s="493" t="str">
        <x:v>High</x:v>
      </x:c>
      <x:c r="G14" s="494" t="str">
        <x:v>Browser adapter.</x:v>
      </x:c>
    </x:row>
    <x:row r="15">
      <x:c r="A15" s="487" t="str">
        <x:v>S5-SRC-011</x:v>
      </x:c>
      <x:c r="B15" s="114" t="str">
        <x:v>Chrome Tabs API</x:v>
      </x:c>
      <x:c r="C15" s="114" t="str">
        <x:v>Official documentation</x:v>
      </x:c>
      <x:c r="D15" s="114" t="str">
        <x:v>Tab URL/title access and permissions.</x:v>
      </x:c>
      <x:c r="E15" s="114" t="str">
        <x:v>https://developer.chrome.com/docs/extensions/reference/api/tabs</x:v>
      </x:c>
      <x:c r="F15" s="114" t="str">
        <x:v>High</x:v>
      </x:c>
      <x:c r="G15" s="488" t="str">
        <x:v>Domain/title/allowlisted URL design.</x:v>
      </x:c>
    </x:row>
    <x:row r="16">
      <x:c r="A16" s="492" t="str">
        <x:v>S5-SRC-012</x:v>
      </x:c>
      <x:c r="B16" s="493" t="str">
        <x:v>ActivityWatch</x:v>
      </x:c>
      <x:c r="C16" s="493" t="str">
        <x:v>Open-source reference</x:v>
      </x:c>
      <x:c r="D16" s="493" t="str">
        <x:v>Foreground app/window/browser/AFK watcher architecture.</x:v>
      </x:c>
      <x:c r="E16" s="493" t="str">
        <x:v>https://github.com/ActivityWatch/activitywatch</x:v>
      </x:c>
      <x:c r="F16" s="493" t="str">
        <x:v>Medium</x:v>
      </x:c>
      <x:c r="G16" s="494" t="str">
        <x:v>Reference/benchmark, not task assurance core.</x:v>
      </x:c>
    </x:row>
    <x:row r="17">
      <x:c r="A17" s="487" t="str">
        <x:v>S5-SRC-013</x:v>
      </x:c>
      <x:c r="B17" s="114" t="str">
        <x:v>Screenpipe</x:v>
      </x:c>
      <x:c r="C17" s="114" t="str">
        <x:v>Source-available reference</x:v>
      </x:c>
      <x:c r="D17" s="114" t="str">
        <x:v>Event-driven capture, accessibility-first text and OCR fallback patterns.</x:v>
      </x:c>
      <x:c r="E17" s="114" t="str">
        <x:v>https://github.com/screenpipe/screenpipe</x:v>
      </x:c>
      <x:c r="F17" s="114" t="str">
        <x:v>High</x:v>
      </x:c>
      <x:c r="G17" s="488" t="str">
        <x:v>Benchmark only; commercial-use licence applies.</x:v>
      </x:c>
    </x:row>
    <x:row r="18">
      <x:c r="A18" s="492" t="str">
        <x:v>S5-SRC-014</x:v>
      </x:c>
      <x:c r="B18" s="493" t="str">
        <x:v>OpenAdapt Desktop</x:v>
      </x:c>
      <x:c r="C18" s="493" t="str">
        <x:v>Open-source reference</x:v>
      </x:c>
      <x:c r="D18" s="493" t="str">
        <x:v>GUI capture/review and human-teaching patterns.</x:v>
      </x:c>
      <x:c r="E18" s="493" t="str">
        <x:v>https://github.com/OpenAdaptAI/openadapt-desktop</x:v>
      </x:c>
      <x:c r="F18" s="493" t="str">
        <x:v>Medium</x:v>
      </x:c>
      <x:c r="G18" s="494" t="str">
        <x:v>Experimental architecture reference.</x:v>
      </x:c>
    </x:row>
    <x:row r="19">
      <x:c r="A19" s="487" t="str">
        <x:v>S5-SRC-015</x:v>
      </x:c>
      <x:c r="B19" s="114" t="str">
        <x:v>OpenTelemetry Handling Sensitive Data</x:v>
      </x:c>
      <x:c r="C19" s="114" t="str">
        <x:v>Official documentation</x:v>
      </x:c>
      <x:c r="D19" s="114" t="str">
        <x:v>Minimisation and redaction/filter/transform processors.</x:v>
      </x:c>
      <x:c r="E19" s="114" t="str">
        <x:v>https://opentelemetry.io/docs/security/handling-sensitive-data/</x:v>
      </x:c>
      <x:c r="F19" s="114" t="str">
        <x:v>Critical</x:v>
      </x:c>
      <x:c r="G19" s="488" t="str">
        <x:v>No evidence in general telemetry.</x:v>
      </x:c>
    </x:row>
    <x:row r="20">
      <x:c r="A20" s="492" t="str">
        <x:v>S5-SRC-016</x:v>
      </x:c>
      <x:c r="B20" s="493" t="str">
        <x:v>XDG InputCapture Portal</x:v>
      </x:c>
      <x:c r="C20" s="493" t="str">
        <x:v>Official documentation</x:v>
      </x:c>
      <x:c r="D20" s="493" t="str">
        <x:v>Wayland input-capture constraints and compositor control.</x:v>
      </x:c>
      <x:c r="E20" s="493" t="str">
        <x:v>https://flatpak.github.io/xdg-desktop-portal/docs/doc-org.freedesktop.portal.InputCapture.html</x:v>
      </x:c>
      <x:c r="F20" s="493" t="str">
        <x:v>Medium</x:v>
      </x:c>
      <x:c r="G20" s="494" t="str">
        <x:v>Linux deferral.</x:v>
      </x:c>
    </x:row>
    <x:row r="21">
      <x:c r="A21" s="487" t="str">
        <x:v>S5-SRC-017</x:v>
      </x:c>
      <x:c r="B21" s="114" t="str">
        <x:v>HumanOS Stage 2 Evidence Scoring</x:v>
      </x:c>
      <x:c r="C21" s="114" t="str">
        <x:v>Internal workbook</x:v>
      </x:c>
      <x:c r="D21" s="114" t="str">
        <x:v>Evidence hierarchy, capability and fairness rules.</x:v>
      </x:c>
      <x:c r="E21" s="114" t="str">
        <x:v>Internal workbook: Evidence Scoring / Worked Examples</x:v>
      </x:c>
      <x:c r="F21" s="114" t="str">
        <x:v>Critical</x:v>
      </x:c>
      <x:c r="G21" s="488" t="str">
        <x:v>Downstream interpretation guardrails.</x:v>
      </x:c>
    </x:row>
    <x:row r="22">
      <x:c r="A22" s="492" t="str">
        <x:v>S5-SRC-018</x:v>
      </x:c>
      <x:c r="B22" s="493" t="str">
        <x:v>HumanOS Stage 3 Agent Foundation</x:v>
      </x:c>
      <x:c r="C22" s="493" t="str">
        <x:v>Internal workbook</x:v>
      </x:c>
      <x:c r="D22" s="493" t="str">
        <x:v>Policy, session state, local journal, identity, update and event contracts.</x:v>
      </x:c>
      <x:c r="E22" s="493" t="str">
        <x:v>Internal workbook: Stage 3 sheets</x:v>
      </x:c>
      <x:c r="F22" s="493" t="str">
        <x:v>Critical</x:v>
      </x:c>
      <x:c r="G22" s="494" t="str">
        <x:v>Stage 5 foundation.</x:v>
      </x:c>
    </x:row>
    <x:row r="23">
      <x:c r="A23" s="489" t="str">
        <x:v>S5-SRC-019</x:v>
      </x:c>
      <x:c r="B23" s="490" t="str">
        <x:v>HumanOS Stage 4 Evidence Foundation</x:v>
      </x:c>
      <x:c r="C23" s="490" t="str">
        <x:v>Internal workbook</x:v>
      </x:c>
      <x:c r="D23" s="490" t="str">
        <x:v>Batch ingestion, object storage, replay, retention and access.</x:v>
      </x:c>
      <x:c r="E23" s="490" t="str">
        <x:v>Internal workbook: Stage 4 sheets</x:v>
      </x:c>
      <x:c r="F23" s="490" t="str">
        <x:v>Critical</x:v>
      </x:c>
      <x:c r="G23" s="491" t="str">
        <x:v>Stage 5 cloud contract.</x:v>
      </x:c>
    </x:row>
  </x:sheetData>
  <x:mergeCells>
    <x:mergeCell ref="A1:G1"/>
    <x:mergeCell ref="A2:G2"/>
  </x:mergeCells>
  <x:dataValidations count="1">
    <x:dataValidation type="list" sqref="F5:F23">
      <x:formula1>"Critical,High,Medium,Low"</x:formula1>
    </x:dataValidation>
  </x:dataValidations>
  <x:pageMargins left="0.7" right="0.7" top="0.75" bottom="0.75" header="0.3" footer="0.3"/>
</x:worksheet>
</file>

<file path=xl/worksheets/sheet86.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569" t="str">
        <x:v>Stage 6–7 Dashboard — Semantic Adapters, Provenance and Task Assurance</x:v>
      </x:c>
      <x:c r="B1" s="569"/>
      <x:c r="C1" s="569"/>
      <x:c r="D1" s="569"/>
      <x:c r="E1" s="569"/>
      <x:c r="F1" s="569"/>
      <x:c r="G1" s="569"/>
      <x:c r="H1" s="569"/>
      <x:c r="I1" s="569"/>
      <x:c r="J1" s="569"/>
    </x:row>
    <x:row r="2" ht="36" customHeight="1">
      <x:c r="A2" s="573" t="str">
        <x:v>Specification status for Stage 6 semantic adapters and Stage 7 Provenance &amp; Task Assurance. Implementation backlogs remain unstarted until separate Stage 6 and Stage 7 gates are approved.</x:v>
      </x:c>
      <x:c r="B2" s="573"/>
      <x:c r="C2" s="573"/>
      <x:c r="D2" s="573"/>
      <x:c r="E2" s="573"/>
      <x:c r="F2" s="573"/>
      <x:c r="G2" s="573"/>
      <x:c r="H2" s="573"/>
      <x:c r="I2" s="573"/>
      <x:c r="J2" s="573"/>
    </x:row>
    <x:row r="4" ht="30" customHeight="1">
      <x:c r="A4" s="585" t="str">
        <x:v>Metric</x:v>
      </x:c>
      <x:c r="B4" s="587" t="str">
        <x:v>Value</x:v>
      </x:c>
      <x:c r="D4" s="585" t="str">
        <x:v>Workstream</x:v>
      </x:c>
      <x:c r="E4" s="587" t="str">
        <x:v>Readiness %</x:v>
      </x:c>
    </x:row>
    <x:row r="5">
      <x:c r="A5" s="604" t="str">
        <x:v>Stage 6 gate readiness</x:v>
      </x:c>
      <x:c r="B5" s="621" t="n">
        <x:f>'Stage 6 Gate'!L5</x:f>
        <x:v>0.72</x:v>
      </x:c>
      <x:c r="D5" s="604" t="str">
        <x:v>Stage 6 gate</x:v>
      </x:c>
      <x:c r="E5" s="629" t="n">
        <x:f>B5*100</x:f>
        <x:v>72</x:v>
      </x:c>
    </x:row>
    <x:row r="6">
      <x:c r="A6" s="607" t="str">
        <x:v>Stage 7 gate readiness</x:v>
      </x:c>
      <x:c r="B6" s="622" t="n">
        <x:f>'Stage 7 Gate'!L5</x:f>
        <x:v>0.7333333333333333</x:v>
      </x:c>
      <x:c r="D6" s="607" t="str">
        <x:v>Stage 7 gate</x:v>
      </x:c>
      <x:c r="E6" s="630" t="n">
        <x:f>B6*100</x:f>
        <x:v>73.33333333333333</x:v>
      </x:c>
    </x:row>
    <x:row r="7">
      <x:c r="A7" s="607" t="str">
        <x:v>Stage 6 backlog maturity</x:v>
      </x:c>
      <x:c r="B7" s="622" t="n">
        <x:f>AVERAGE('Stage 6 Backlog'!J5:J16)</x:f>
        <x:v>0</x:v>
      </x:c>
      <x:c r="D7" s="607" t="str">
        <x:v>Stage 6 backlog</x:v>
      </x:c>
      <x:c r="E7" s="630" t="n">
        <x:f>B7*100</x:f>
        <x:v>0</x:v>
      </x:c>
    </x:row>
    <x:row r="8">
      <x:c r="A8" s="607" t="str">
        <x:v>Stage 7 backlog maturity</x:v>
      </x:c>
      <x:c r="B8" s="622" t="n">
        <x:f>AVERAGE('Stage 7 Backlog'!J5:J18)</x:f>
        <x:v>0</x:v>
      </x:c>
      <x:c r="D8" s="609" t="str">
        <x:v>Stage 7 backlog</x:v>
      </x:c>
      <x:c r="E8" s="631" t="n">
        <x:f>B8*100</x:f>
        <x:v>0</x:v>
      </x:c>
    </x:row>
    <x:row r="9">
      <x:c r="A9" s="607" t="str">
        <x:v>Stage 6 mandatory not started/blocked</x:v>
      </x:c>
      <x:c r="B9" s="608" t="n">
        <x:f>'Stage 6 Gate'!L6</x:f>
        <x:v>1</x:v>
      </x:c>
    </x:row>
    <x:row r="10">
      <x:c r="A10" s="607" t="str">
        <x:v>Stage 7 mandatory not started/blocked</x:v>
      </x:c>
      <x:c r="B10" s="608" t="n">
        <x:f>'Stage 7 Gate'!L6</x:f>
        <x:v>1</x:v>
      </x:c>
    </x:row>
    <x:row r="11">
      <x:c r="A11" s="607" t="str">
        <x:v>Stage 6–7 risks open</x:v>
      </x:c>
      <x:c r="B11" s="608" t="n">
        <x:f>COUNTIF('Stage 6-7 Risks'!I5:I19,"Open")+COUNTIF('Stage 6-7 Risks'!I5:I19,"Mitigating")</x:f>
        <x:v>15</x:v>
      </x:c>
    </x:row>
    <x:row r="12">
      <x:c r="A12" s="607" t="str">
        <x:v>Stage 6–7 source count</x:v>
      </x:c>
      <x:c r="B12" s="608" t="n">
        <x:f>COUNTA('Stage 6-7 Sources'!A5:A100)</x:f>
        <x:v>16</x:v>
      </x:c>
    </x:row>
    <x:row r="13">
      <x:c r="A13" s="607" t="str">
        <x:v>Stage 6–7 ADRs accepted/in principle</x:v>
      </x:c>
      <x:c r="B13" s="608" t="n">
        <x:f>COUNTIF('Stage 6-7 ADRs'!C5:C16,"Accepted in principle")+COUNTIF('Stage 6-7 ADRs'!C5:C16,"Accepted")</x:f>
        <x:v>12</x:v>
      </x:c>
    </x:row>
    <x:row r="14">
      <x:c r="A14" s="607" t="str">
        <x:v>Adapter/provider rows</x:v>
      </x:c>
      <x:c r="B14" s="608" t="n">
        <x:f>COUNTA('Provider Event Matrix'!A5:A100)</x:f>
        <x:v>15</x:v>
      </x:c>
    </x:row>
    <x:row r="15">
      <x:c r="A15" s="607" t="str">
        <x:v>Evaluation dataset cases</x:v>
      </x:c>
      <x:c r="B15" s="608" t="n">
        <x:f>COUNTA('Evaluation Dataset'!A5:A100)</x:f>
        <x:v>20</x:v>
      </x:c>
    </x:row>
    <x:row r="16">
      <x:c r="A16" s="609" t="str">
        <x:v>Human-review controls</x:v>
      </x:c>
      <x:c r="B16" s="611" t="n">
        <x:f>COUNTA('Human Review and Correction'!A5:A100)</x:f>
        <x:v>12</x:v>
      </x:c>
    </x:row>
    <x:row r="20" ht="24" customHeight="1">
      <x:c r="A20" s="633" t="str">
        <x:v>Current interpretation</x:v>
      </x:c>
      <x:c r="B20" s="633"/>
      <x:c r="C20" s="633"/>
      <x:c r="D20" s="633"/>
      <x:c r="E20" s="633"/>
      <x:c r="F20" s="633"/>
      <x:c r="G20" s="633"/>
      <x:c r="H20" s="633"/>
      <x:c r="I20" s="633"/>
      <x:c r="J20" s="633"/>
    </x:row>
    <x:row r="21" ht="30" customHeight="1">
      <x:c r="A21" s="585" t="str">
        <x:v>#</x:v>
      </x:c>
      <x:c r="B21" s="587" t="str">
        <x:v>Interpretation</x:v>
      </x:c>
    </x:row>
    <x:row r="22">
      <x:c r="A22" s="604" t="str">
        <x:v>1</x:v>
      </x:c>
      <x:c r="B22" s="606" t="str">
        <x:v>Stage 6 is specification-complete: Adapter Hub, SDK contract, provider matrix, browser/shell/Git/CI/IDE/AI adapters, conformance tests, backlog, risks, ADRs and gate criteria.</x:v>
      </x:c>
      <x:c r="C22" s="279"/>
      <x:c r="D22" s="279"/>
      <x:c r="E22" s="279"/>
      <x:c r="F22" s="279"/>
      <x:c r="G22" s="279"/>
      <x:c r="H22" s="279"/>
      <x:c r="I22" s="279"/>
      <x:c r="J22" s="279"/>
    </x:row>
    <x:row r="23">
      <x:c r="A23" s="607" t="str">
        <x:v>2</x:v>
      </x:c>
      <x:c r="B23" s="608" t="str">
        <x:v>Stage 7 is specification-complete: provenance graph, relationships, correlation engine, work episodes, task alignment, acceptance criteria, quality/blockers, evaluators, dataset, review/correction, APIs/events, backlog, risks, ADRs and gate criteria.</x:v>
      </x:c>
      <x:c r="C23" s="279"/>
      <x:c r="D23" s="279"/>
      <x:c r="E23" s="279"/>
      <x:c r="F23" s="279"/>
      <x:c r="G23" s="279"/>
      <x:c r="H23" s="279"/>
      <x:c r="I23" s="279"/>
      <x:c r="J23" s="279"/>
    </x:row>
    <x:row r="24">
      <x:c r="A24" s="607" t="str">
        <x:v>3</x:v>
      </x:c>
      <x:c r="B24" s="608" t="str">
        <x:v>Semantic/tool events and authoritative artefacts explicitly outrank visual/OCR/AI inference.</x:v>
      </x:c>
      <x:c r="C24" s="279"/>
      <x:c r="D24" s="279"/>
      <x:c r="E24" s="279"/>
      <x:c r="F24" s="279"/>
      <x:c r="G24" s="279"/>
      <x:c r="H24" s="279"/>
      <x:c r="I24" s="279"/>
      <x:c r="J24" s="279"/>
    </x:row>
    <x:row r="25">
      <x:c r="A25" s="607" t="str">
        <x:v>4</x:v>
      </x:c>
      <x:c r="B25" s="608" t="str">
        <x:v>Task Assurance evaluates against approved Task Execution Contracts and produces evidence-linked recommendations; it does not make consequential employment decisions.</x:v>
      </x:c>
      <x:c r="C25" s="279"/>
      <x:c r="D25" s="279"/>
      <x:c r="E25" s="279"/>
      <x:c r="F25" s="279"/>
      <x:c r="G25" s="279"/>
      <x:c r="H25" s="279"/>
      <x:c r="I25" s="279"/>
      <x:c r="J25" s="279"/>
    </x:row>
    <x:row r="26">
      <x:c r="A26" s="609" t="str">
        <x:v>5</x:v>
      </x:c>
      <x:c r="B26" s="611" t="str">
        <x:v>The next execution package is one combined prompt for Stages 8 and 9: Capability Graph/Baseline Assessment plus Growth Coach/Learning Loop.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{3A100AF0-52D8-49F9-8271-9A43781BA5FC}</x14:id>
        </x:ext>
      </x:extLst>
    </x:cfRule>
  </x:conditionalFormatting>
  <x:pageMargins left="0.7" right="0.7" top="0.75" bottom="0.75" header="0.3" footer="0.3"/>
  <x:drawing xmlns:r="http://schemas.openxmlformats.org/officeDocument/2006/relationships" r:id="Rf6c6a506b6114b8e"/>
  <x:extLst>
    <x:ext xmlns:x14="http://schemas.microsoft.com/office/spreadsheetml/2009/9/main" xmlns:xm="http://schemas.microsoft.com/office/excel/2006/main" uri="{78C0D931-6437-407d-A8EE-F0AAD7539E65}">
      <x14:conditionalFormattings>
        <x14:conditionalFormatting>
          <x14:cfRule type="dataBar" priority="1" id="{3A100AF0-52D8-49F9-8271-9A43781BA5FC}">
            <x14:dataBar gradient="1">
              <x14:cfvo type="min"/>
              <x14:cfvo type="max"/>
              <x14:fillColor rgb="FFA02B93"/>
            </x14:dataBar>
          </x14:cfRule>
          <xm:sqref>B5:B8</xm:sqref>
        </x14:conditionalFormatting>
      </x14:conditionalFormattings>
    </x:ext>
  </x:extLst>
</x:worksheet>
</file>

<file path=xl/worksheets/sheet87.xml><?xml version="1.0" encoding="utf-8"?>
<x:worksheet xmlns:x="http://schemas.openxmlformats.org/spreadsheetml/2006/main">
  <x:sheetFormatPr defaultRowHeight="15"/>
  <x:cols>
    <x:col min="1" max="1" width="14" hidden="0" customWidth="1"/>
    <x:col min="2" max="2" width="30" hidden="0" customWidth="1"/>
    <x:col min="3" max="3" width="58" hidden="0" customWidth="1"/>
    <x:col min="4" max="4" width="40" hidden="0" customWidth="1"/>
    <x:col min="5" max="5" width="34" hidden="0" customWidth="1"/>
    <x:col min="6" max="6" width="44" hidden="0" customWidth="1"/>
    <x:col min="7" max="7" width="34" hidden="0" customWidth="1"/>
    <x:col min="8" max="8" width="58" hidden="0" customWidth="1"/>
    <x:col min="9" max="9" width="12" hidden="0" customWidth="1"/>
    <x:col min="10" max="10" width="18" hidden="0" customWidth="1"/>
    <x:col min="11" max="11" width="12" hidden="0" customWidth="1"/>
  </x:cols>
  <x:sheetData>
    <x:row r="1" ht="30" customHeight="1">
      <x:c r="A1" s="569" t="str">
        <x:v>Stage 6 — Semantic Adapter Architecture</x:v>
      </x:c>
      <x:c r="B1" s="569"/>
      <x:c r="C1" s="569"/>
      <x:c r="D1" s="569"/>
      <x:c r="E1" s="569"/>
      <x:c r="F1" s="569"/>
      <x:c r="G1" s="569"/>
      <x:c r="H1" s="569"/>
      <x:c r="I1" s="569"/>
      <x:c r="J1" s="569"/>
      <x:c r="K1" s="569"/>
    </x:row>
    <x:row r="2" ht="36" customHeight="1">
      <x:c r="A2" s="573" t="str">
        <x:v>Provider-neutral adapter architecture that converts browser, shell, Git/CI, IDE and AI-agent events into HumanOS semantic evidence without making task, capability or employment conclusions.</x:v>
      </x:c>
      <x:c r="B2" s="573"/>
      <x:c r="C2" s="573"/>
      <x:c r="D2" s="573"/>
      <x:c r="E2" s="573"/>
      <x:c r="F2" s="573"/>
      <x:c r="G2" s="573"/>
      <x:c r="H2" s="573"/>
      <x:c r="I2" s="573"/>
      <x:c r="J2" s="573"/>
      <x:c r="K2" s="573"/>
    </x:row>
    <x:row r="4" ht="30" customHeight="1">
      <x:c r="A4" s="585" t="str">
        <x:v>ID</x:v>
      </x:c>
      <x:c r="B4" s="586" t="str">
        <x:v>Component</x:v>
      </x:c>
      <x:c r="C4" s="586" t="str">
        <x:v>Responsibility</x:v>
      </x:c>
      <x:c r="D4" s="586" t="str">
        <x:v>Runtime / implementation</x:v>
      </x:c>
      <x:c r="E4" s="586" t="str">
        <x:v>Data / state</x:v>
      </x:c>
      <x:c r="F4" s="586" t="str">
        <x:v>Consumes / integrates</x:v>
      </x:c>
      <x:c r="G4" s="586" t="str">
        <x:v>Publishes / exposes</x:v>
      </x:c>
      <x:c r="H4" s="586" t="str">
        <x:v>Security / governance rule</x:v>
      </x:c>
      <x:c r="I4" s="586" t="str">
        <x:v>Priority</x:v>
      </x:c>
      <x:c r="J4" s="586" t="str">
        <x:v>Status</x:v>
      </x:c>
      <x:c r="K4" s="587" t="str">
        <x:v>Stage</x:v>
      </x:c>
    </x:row>
    <x:row r="5">
      <x:c r="A5" s="604" t="str">
        <x:v>S6-ARC-001</x:v>
      </x:c>
      <x:c r="B5" s="605" t="str">
        <x:v>Adapter Hub</x:v>
      </x:c>
      <x:c r="C5" s="605" t="str">
        <x:v>Provider-neutral layer for browser, shell, Git/CI, IDE, toolchain and AI-agent events.</x:v>
      </x:c>
      <x:c r="D5" s="605" t="str">
        <x:v>Java registry + Rust local manifest + Python/adapter workers where needed</x:v>
      </x:c>
      <x:c r="E5" s="605" t="str">
        <x:v>Adapter registry, manifest validation, version/health state</x:v>
      </x:c>
      <x:c r="F5" s="605" t="str">
        <x:v>Stage 3 Adapter SDK; Stage 4 ingestion; Stage 5 capture events</x:v>
      </x:c>
      <x:c r="G5" s="605" t="str">
        <x:v>normalised.semantic.event.v1</x:v>
      </x:c>
      <x:c r="H5" s="605" t="str">
        <x:v>Adapters emit evidence candidates only; no employment/capability conclusions.</x:v>
      </x:c>
      <x:c r="I5" s="605" t="str">
        <x:v>Critical</x:v>
      </x:c>
      <x:c r="J5" s="605" t="str">
        <x:v>Draft Complete</x:v>
      </x:c>
      <x:c r="K5" s="606" t="str">
        <x:v>Stage 6</x:v>
      </x:c>
    </x:row>
    <x:row r="6">
      <x:c r="A6" s="612" t="str">
        <x:v>S6-ARC-002</x:v>
      </x:c>
      <x:c r="B6" s="613" t="str">
        <x:v>Adapter Manifest</x:v>
      </x:c>
      <x:c r="C6" s="613" t="str">
        <x:v>Signed declaration of supported events, versions, scopes, required permissions and privacy classes.</x:v>
      </x:c>
      <x:c r="D6" s="613" t="str">
        <x:v>JSON Schema + signature</x:v>
      </x:c>
      <x:c r="E6" s="613" t="str">
        <x:v>Manifest store / local policy cache</x:v>
      </x:c>
      <x:c r="F6" s="613" t="str">
        <x:v>HumanOS Policy Service; Device Agent</x:v>
      </x:c>
      <x:c r="G6" s="613" t="str">
        <x:v>adapter.manifest.registered.v1</x:v>
      </x:c>
      <x:c r="H6" s="613" t="str">
        <x:v>Unsupported capabilities produce gap events; manifest cannot request hidden capture.</x:v>
      </x:c>
      <x:c r="I6" s="613" t="str">
        <x:v>Critical</x:v>
      </x:c>
      <x:c r="J6" s="613" t="str">
        <x:v>Draft Complete</x:v>
      </x:c>
      <x:c r="K6" s="614" t="str">
        <x:v>Stage 6</x:v>
      </x:c>
    </x:row>
    <x:row r="7">
      <x:c r="A7" s="607" t="str">
        <x:v>S6-ARC-003</x:v>
      </x:c>
      <x:c r="B7" s="114" t="str">
        <x:v>Local Adapter Host</x:v>
      </x:c>
      <x:c r="C7" s="114" t="str">
        <x:v>Loads, supervises and isolates approved local adapters.</x:v>
      </x:c>
      <x:c r="D7" s="114" t="str">
        <x:v>Rust core + language-specific plugin process/IPC</x:v>
      </x:c>
      <x:c r="E7" s="114" t="str">
        <x:v>Agent local journal + adapter health</x:v>
      </x:c>
      <x:c r="F7" s="114" t="str">
        <x:v>Browser extension, shell, Git, IDE, AI hooks</x:v>
      </x:c>
      <x:c r="G7" s="114" t="str">
        <x:v>adapter.event.local.v1</x:v>
      </x:c>
      <x:c r="H7" s="114" t="str">
        <x:v>Adapter output passes through policy/redaction before journal/upload.</x:v>
      </x:c>
      <x:c r="I7" s="114" t="str">
        <x:v>Critical</x:v>
      </x:c>
      <x:c r="J7" s="114" t="str">
        <x:v>Draft Complete</x:v>
      </x:c>
      <x:c r="K7" s="608" t="str">
        <x:v>Stage 6</x:v>
      </x:c>
    </x:row>
    <x:row r="8">
      <x:c r="A8" s="612" t="str">
        <x:v>S6-ARC-004</x:v>
      </x:c>
      <x:c r="B8" s="613" t="str">
        <x:v>Cloud Adapter Registry</x:v>
      </x:c>
      <x:c r="C8" s="613" t="str">
        <x:v>Tracks provider, version, schemas, capabilities, test status and rollout policy.</x:v>
      </x:c>
      <x:c r="D8" s="613" t="str">
        <x:v>Java/Spring Boot</x:v>
      </x:c>
      <x:c r="E8" s="613" t="str">
        <x:v>PostgreSQL</x:v>
      </x:c>
      <x:c r="F8" s="613" t="str">
        <x:v>Architecture Board, Policy Service, Schema Registry</x:v>
      </x:c>
      <x:c r="G8" s="613" t="str">
        <x:v>adapter.version.approved.v1</x:v>
      </x:c>
      <x:c r="H8" s="613" t="str">
        <x:v>Only approved versions can become active in managed-device policy.</x:v>
      </x:c>
      <x:c r="I8" s="613" t="str">
        <x:v>High</x:v>
      </x:c>
      <x:c r="J8" s="613" t="str">
        <x:v>Draft Complete</x:v>
      </x:c>
      <x:c r="K8" s="614" t="str">
        <x:v>Stage 6</x:v>
      </x:c>
    </x:row>
    <x:row r="9">
      <x:c r="A9" s="607" t="str">
        <x:v>S6-ARC-005</x:v>
      </x:c>
      <x:c r="B9" s="114" t="str">
        <x:v>Semantic Event Normaliser</x:v>
      </x:c>
      <x:c r="C9" s="114" t="str">
        <x:v>Maps provider-specific payloads into canonical HumanOS semantic events.</x:v>
      </x:c>
      <x:c r="D9" s="114" t="str">
        <x:v>Java workers + provider libraries</x:v>
      </x:c>
      <x:c r="E9" s="114" t="str">
        <x:v>Kafka/schema registry</x:v>
      </x:c>
      <x:c r="F9" s="114" t="str">
        <x:v>GitHub webhooks, CI APIs, AI hooks, IDE events</x:v>
      </x:c>
      <x:c r="G9" s="114" t="str">
        <x:v>semantic.event.normalised.v1</x:v>
      </x:c>
      <x:c r="H9" s="114" t="str">
        <x:v>Preserve original provider ID and payload reference/version.</x:v>
      </x:c>
      <x:c r="I9" s="114" t="str">
        <x:v>Critical</x:v>
      </x:c>
      <x:c r="J9" s="114" t="str">
        <x:v>Draft Complete</x:v>
      </x:c>
      <x:c r="K9" s="608" t="str">
        <x:v>Stage 6</x:v>
      </x:c>
    </x:row>
    <x:row r="10">
      <x:c r="A10" s="612" t="str">
        <x:v>S6-ARC-006</x:v>
      </x:c>
      <x:c r="B10" s="613" t="str">
        <x:v>Provider Drift Monitor</x:v>
      </x:c>
      <x:c r="C10" s="613" t="str">
        <x:v>Detects API/hook/schema changes and adapter coverage degradation.</x:v>
      </x:c>
      <x:c r="D10" s="613" t="str">
        <x:v>Java/SRE job + contract tests</x:v>
      </x:c>
      <x:c r="E10" s="613" t="str">
        <x:v>Adapter test results</x:v>
      </x:c>
      <x:c r="F10" s="613" t="str">
        <x:v>Provider docs/API fixtures</x:v>
      </x:c>
      <x:c r="G10" s="613" t="str">
        <x:v>adapter.drift.detected.v1</x:v>
      </x:c>
      <x:c r="H10" s="613" t="str">
        <x:v>Degraded adapters reduce coverage and trigger fallback/gap events.</x:v>
      </x:c>
      <x:c r="I10" s="613" t="str">
        <x:v>High</x:v>
      </x:c>
      <x:c r="J10" s="613" t="str">
        <x:v>Draft Complete</x:v>
      </x:c>
      <x:c r="K10" s="614" t="str">
        <x:v>Stage 6</x:v>
      </x:c>
    </x:row>
    <x:row r="11">
      <x:c r="A11" s="607" t="str">
        <x:v>S6-ARC-007</x:v>
      </x:c>
      <x:c r="B11" s="114" t="str">
        <x:v>Browser Adapter</x:v>
      </x:c>
      <x:c r="C11" s="114" t="str">
        <x:v>Normalises Chrome/Edge tab/navigation/domain and approved page/task metadata.</x:v>
      </x:c>
      <x:c r="D11" s="114" t="str">
        <x:v>TypeScript extension + native host + Java registry</x:v>
      </x:c>
      <x:c r="E11" s="114" t="str">
        <x:v>Browser extension state + local agent</x:v>
      </x:c>
      <x:c r="F11" s="114" t="str">
        <x:v>Chrome Tabs/Native Messaging</x:v>
      </x:c>
      <x:c r="G11" s="114" t="str">
        <x:v>browser.semantic.event.v1</x:v>
      </x:c>
      <x:c r="H11" s="114" t="str">
        <x:v>URL path/query/DOM only allowlisted; personal domains excluded.</x:v>
      </x:c>
      <x:c r="I11" s="114" t="str">
        <x:v>High</x:v>
      </x:c>
      <x:c r="J11" s="114" t="str">
        <x:v>Draft Complete</x:v>
      </x:c>
      <x:c r="K11" s="608" t="str">
        <x:v>Stage 6</x:v>
      </x:c>
    </x:row>
    <x:row r="12">
      <x:c r="A12" s="612" t="str">
        <x:v>S6-ARC-008</x:v>
      </x:c>
      <x:c r="B12" s="613" t="str">
        <x:v>Shell/PTY Adapter</x:v>
      </x:c>
      <x:c r="C12" s="613" t="str">
        <x:v>Captures command lifecycle, cwd, exit code, process tree and selected output.</x:v>
      </x:c>
      <x:c r="D12" s="613" t="str">
        <x:v>Rust/PTY + shell integration scripts</x:v>
      </x:c>
      <x:c r="E12" s="613" t="str">
        <x:v>Local agent journal</x:v>
      </x:c>
      <x:c r="F12" s="613" t="str">
        <x:v>PowerShell, bash, zsh</x:v>
      </x:c>
      <x:c r="G12" s="613" t="str">
        <x:v>shell.command.semantic.v1</x:v>
      </x:c>
      <x:c r="H12" s="613" t="str">
        <x:v>Secret/env redaction; command count is not productivity.</x:v>
      </x:c>
      <x:c r="I12" s="613" t="str">
        <x:v>Critical</x:v>
      </x:c>
      <x:c r="J12" s="613" t="str">
        <x:v>Draft Complete</x:v>
      </x:c>
      <x:c r="K12" s="614" t="str">
        <x:v>Stage 6</x:v>
      </x:c>
    </x:row>
    <x:row r="13">
      <x:c r="A13" s="607" t="str">
        <x:v>S6-ARC-009</x:v>
      </x:c>
      <x:c r="B13" s="114" t="str">
        <x:v>Git/GitHub Adapter</x:v>
      </x:c>
      <x:c r="C13" s="114" t="str">
        <x:v>Normalises local Git state and GitHub PR/check/review/workflow events.</x:v>
      </x:c>
      <x:c r="D13" s="114" t="str">
        <x:v>Rust/Git CLI + Java GitHub App connector</x:v>
      </x:c>
      <x:c r="E13" s="114" t="str">
        <x:v>Repository refs + GitHub webhook/API state</x:v>
      </x:c>
      <x:c r="F13" s="114" t="str">
        <x:v>Git hooks/status/log; GitHub webhooks/checks</x:v>
      </x:c>
      <x:c r="G13" s="114" t="str">
        <x:v>git.semantic.event.v1</x:v>
      </x:c>
      <x:c r="H13" s="114" t="str">
        <x:v>Repository tokens scoped; source code content by reference/hash.</x:v>
      </x:c>
      <x:c r="I13" s="114" t="str">
        <x:v>Critical</x:v>
      </x:c>
      <x:c r="J13" s="114" t="str">
        <x:v>Draft Complete</x:v>
      </x:c>
      <x:c r="K13" s="608" t="str">
        <x:v>Stage 6</x:v>
      </x:c>
    </x:row>
    <x:row r="14">
      <x:c r="A14" s="612" t="str">
        <x:v>S6-ARC-010</x:v>
      </x:c>
      <x:c r="B14" s="613" t="str">
        <x:v>CI/Test/Build Adapter</x:v>
      </x:c>
      <x:c r="C14" s="613" t="str">
        <x:v>Captures build/test/job status, logs refs, results, duration and artefacts.</x:v>
      </x:c>
      <x:c r="D14" s="613" t="str">
        <x:v>Java connectors + shell/IDE hooks</x:v>
      </x:c>
      <x:c r="E14" s="613" t="str">
        <x:v>CI event store refs</x:v>
      </x:c>
      <x:c r="F14" s="613" t="str">
        <x:v>GitHub Actions/CI providers/test tools</x:v>
      </x:c>
      <x:c r="G14" s="613" t="str">
        <x:v>build.test.semantic.v1</x:v>
      </x:c>
      <x:c r="H14" s="613" t="str">
        <x:v>Results are authoritative for criteria where scoped to task.</x:v>
      </x:c>
      <x:c r="I14" s="613" t="str">
        <x:v>Critical</x:v>
      </x:c>
      <x:c r="J14" s="613" t="str">
        <x:v>Draft Complete</x:v>
      </x:c>
      <x:c r="K14" s="614" t="str">
        <x:v>Stage 6</x:v>
      </x:c>
    </x:row>
    <x:row r="15">
      <x:c r="A15" s="607" t="str">
        <x:v>S6-ARC-011</x:v>
      </x:c>
      <x:c r="B15" s="114" t="str">
        <x:v>IDE Adapter Family</x:v>
      </x:c>
      <x:c r="C15" s="114" t="str">
        <x:v>Normalises tasks, terminals, diagnostics, debug/build/test state, editor/file semantic events.</x:v>
      </x:c>
      <x:c r="D15" s="114" t="str">
        <x:v>VS Code TypeScript extension; JetBrains plugin; Xcode/Android Studio adapters later</x:v>
      </x:c>
      <x:c r="E15" s="114" t="str">
        <x:v>Local adapter state + agent</x:v>
      </x:c>
      <x:c r="F15" s="114" t="str">
        <x:v>IDE APIs</x:v>
      </x:c>
      <x:c r="G15" s="114" t="str">
        <x:v>ide.semantic.event.v1</x:v>
      </x:c>
      <x:c r="H15" s="114" t="str">
        <x:v>IDE adapter enriches but is not required for universal capture.</x:v>
      </x:c>
      <x:c r="I15" s="114" t="str">
        <x:v>High</x:v>
      </x:c>
      <x:c r="J15" s="114" t="str">
        <x:v>Draft Complete</x:v>
      </x:c>
      <x:c r="K15" s="608" t="str">
        <x:v>Stage 6</x:v>
      </x:c>
    </x:row>
    <x:row r="16">
      <x:c r="A16" s="612" t="str">
        <x:v>S6-ARC-012</x:v>
      </x:c>
      <x:c r="B16" s="613" t="str">
        <x:v>AI Agent Adapter Hub</x:v>
      </x:c>
      <x:c r="C16" s="613" t="str">
        <x:v>Normalises Codex, Claude Code and future agent prompts, plans, tool calls, permissions and generated changes.</x:v>
      </x:c>
      <x:c r="D16" s="613" t="str">
        <x:v>Python/Java provider adapters + local hooks</x:v>
      </x:c>
      <x:c r="E16" s="613" t="str">
        <x:v>Agent session metadata; content refs</x:v>
      </x:c>
      <x:c r="F16" s="613" t="str">
        <x:v>Codex hooks, Claude Code hooks/SDK, MCP/tool events</x:v>
      </x:c>
      <x:c r="G16" s="613" t="str">
        <x:v>agent.semantic.event.v1</x:v>
      </x:c>
      <x:c r="H16" s="613" t="str">
        <x:v>Prompt/tool content is sensitive evidence, not operational log data.</x:v>
      </x:c>
      <x:c r="I16" s="613" t="str">
        <x:v>Critical</x:v>
      </x:c>
      <x:c r="J16" s="613" t="str">
        <x:v>Draft Complete</x:v>
      </x:c>
      <x:c r="K16" s="614" t="str">
        <x:v>Stage 6</x:v>
      </x:c>
    </x:row>
    <x:row r="17">
      <x:c r="A17" s="607" t="str">
        <x:v>S6-ARC-013</x:v>
      </x:c>
      <x:c r="B17" s="114" t="str">
        <x:v>Adapter Coverage Model</x:v>
      </x:c>
      <x:c r="C17" s="114" t="str">
        <x:v>Calculates supported/observed/missing semantic signals by provider, version, session and task.</x:v>
      </x:c>
      <x:c r="D17" s="114" t="str">
        <x:v>Java service + data read model</x:v>
      </x:c>
      <x:c r="E17" s="114" t="str">
        <x:v>PostgreSQL read model</x:v>
      </x:c>
      <x:c r="F17" s="114" t="str">
        <x:v>Adapter health and event topics</x:v>
      </x:c>
      <x:c r="G17" s="114" t="str">
        <x:v>adapter.coverage.updated.v1</x:v>
      </x:c>
      <x:c r="H17" s="114" t="str">
        <x:v>Coverage affects downstream confidence; missing data is not inactivity.</x:v>
      </x:c>
      <x:c r="I17" s="114" t="str">
        <x:v>Critical</x:v>
      </x:c>
      <x:c r="J17" s="114" t="str">
        <x:v>Draft Complete</x:v>
      </x:c>
      <x:c r="K17" s="608" t="str">
        <x:v>Stage 6</x:v>
      </x:c>
    </x:row>
    <x:row r="18">
      <x:c r="A18" s="612" t="str">
        <x:v>S6-ARC-014</x:v>
      </x:c>
      <x:c r="B18" s="613" t="str">
        <x:v>Fallback to Universal Evidence</x:v>
      </x:c>
      <x:c r="C18" s="613" t="str">
        <x:v>When adapter unavailable, Stage 5 OS/visual/input evidence remains the lower-confidence baseline.</x:v>
      </x:c>
      <x:c r="D18" s="613" t="str">
        <x:v>Evidence/replay rule</x:v>
      </x:c>
      <x:c r="E18" s="613" t="str">
        <x:v>Evidence metadata</x:v>
      </x:c>
      <x:c r="F18" s="613" t="str">
        <x:v>Stage 5 events</x:v>
      </x:c>
      <x:c r="G18" s="613" t="str">
        <x:v>semantic.coverage.gap.v1</x:v>
      </x:c>
      <x:c r="H18" s="613" t="str">
        <x:v>Fallback classifications must state limitation and confidence reduction.</x:v>
      </x:c>
      <x:c r="I18" s="613" t="str">
        <x:v>High</x:v>
      </x:c>
      <x:c r="J18" s="613" t="str">
        <x:v>Draft Complete</x:v>
      </x:c>
      <x:c r="K18" s="614" t="str">
        <x:v>Stage 6</x:v>
      </x:c>
    </x:row>
    <x:row r="19">
      <x:c r="A19" s="609" t="str">
        <x:v>S6-ARC-015</x:v>
      </x:c>
      <x:c r="B19" s="610" t="str">
        <x:v>Adapter Governance</x:v>
      </x:c>
      <x:c r="C19" s="610" t="str">
        <x:v>Every adapter has owner, test suite, rollout channel, rollback and privacy/security review.</x:v>
      </x:c>
      <x:c r="D19" s="610" t="str">
        <x:v>Java registry + workflow</x:v>
      </x:c>
      <x:c r="E19" s="610" t="str">
        <x:v>PostgreSQL + audit</x:v>
      </x:c>
      <x:c r="F19" s="610" t="str">
        <x:v>Workflow/policy/audit services</x:v>
      </x:c>
      <x:c r="G19" s="610" t="str">
        <x:v>adapter.review.decision.v1</x:v>
      </x:c>
      <x:c r="H19" s="610" t="str">
        <x:v>Adapters cannot ship without conformance and privacy tests.</x:v>
      </x:c>
      <x:c r="I19" s="610" t="str">
        <x:v>Critical</x:v>
      </x:c>
      <x:c r="J19" s="610" t="str">
        <x:v>Draft Complete</x:v>
      </x:c>
      <x:c r="K19" s="611" t="str">
        <x:v>Stage 6</x:v>
      </x:c>
    </x:row>
  </x:sheetData>
  <x:mergeCells>
    <x:mergeCell ref="A1:K1"/>
    <x:mergeCell ref="A2:K2"/>
  </x:mergeCells>
  <x:dataValidations count="2">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88.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22" hidden="0" customWidth="1"/>
    <x:col min="5" max="5" width="22" hidden="0" customWidth="1"/>
    <x:col min="6" max="6" width="36" hidden="0" customWidth="1"/>
    <x:col min="7" max="7" width="56" hidden="0" customWidth="1"/>
    <x:col min="8" max="8" width="18" hidden="0" customWidth="1"/>
  </x:cols>
  <x:sheetData>
    <x:row r="1" ht="30" customHeight="1">
      <x:c r="A1" s="569" t="str">
        <x:v>Stage 6 — Adapter SDK Contract</x:v>
      </x:c>
      <x:c r="B1" s="569"/>
      <x:c r="C1" s="569"/>
      <x:c r="D1" s="569"/>
      <x:c r="E1" s="569"/>
      <x:c r="F1" s="569"/>
      <x:c r="G1" s="569"/>
      <x:c r="H1" s="569"/>
    </x:row>
    <x:row r="2" ht="36" customHeight="1">
      <x:c r="A2" s="573" t="str">
        <x:v>Canonical fields and rules every semantic adapter must satisfy before producing HumanOS evidence events.</x:v>
      </x:c>
      <x:c r="B2" s="573"/>
      <x:c r="C2" s="573"/>
      <x:c r="D2" s="573"/>
      <x:c r="E2" s="573"/>
      <x:c r="F2" s="573"/>
      <x:c r="G2" s="573"/>
      <x:c r="H2" s="573"/>
    </x:row>
    <x:row r="4" ht="30" customHeight="1">
      <x:c r="A4" s="585" t="str">
        <x:v>ID</x:v>
      </x:c>
      <x:c r="B4" s="586" t="str">
        <x:v>Field</x:v>
      </x:c>
      <x:c r="C4" s="586" t="str">
        <x:v>Definition</x:v>
      </x:c>
      <x:c r="D4" s="586" t="str">
        <x:v>Type</x:v>
      </x:c>
      <x:c r="E4" s="586" t="str">
        <x:v>Requirement</x:v>
      </x:c>
      <x:c r="F4" s="586" t="str">
        <x:v>Purpose</x:v>
      </x:c>
      <x:c r="G4" s="586" t="str">
        <x:v>Validation / rule</x:v>
      </x:c>
      <x:c r="H4" s="587" t="str">
        <x:v>Status</x:v>
      </x:c>
    </x:row>
    <x:row r="5">
      <x:c r="A5" s="604" t="str">
        <x:v>SDK-001</x:v>
      </x:c>
      <x:c r="B5" s="605" t="str">
        <x:v>adapter_id</x:v>
      </x:c>
      <x:c r="C5" s="605" t="str">
        <x:v>Stable adapter identifier.</x:v>
      </x:c>
      <x:c r="D5" s="605" t="str">
        <x:v>string</x:v>
      </x:c>
      <x:c r="E5" s="605" t="str">
        <x:v>Required</x:v>
      </x:c>
      <x:c r="F5" s="605" t="str">
        <x:v>Registry, policy, event lineage.</x:v>
      </x:c>
      <x:c r="G5" s="605" t="str">
        <x:v>Must match signed manifest and policy.</x:v>
      </x:c>
      <x:c r="H5" s="606" t="str">
        <x:v>Draft Complete</x:v>
      </x:c>
    </x:row>
    <x:row r="6">
      <x:c r="A6" s="612" t="str">
        <x:v>SDK-002</x:v>
      </x:c>
      <x:c r="B6" s="613" t="str">
        <x:v>adapter_version</x:v>
      </x:c>
      <x:c r="C6" s="613" t="str">
        <x:v>Semantic version of adapter implementation.</x:v>
      </x:c>
      <x:c r="D6" s="613" t="str">
        <x:v>semver</x:v>
      </x:c>
      <x:c r="E6" s="613" t="str">
        <x:v>Required</x:v>
      </x:c>
      <x:c r="F6" s="613" t="str">
        <x:v>Compatibility and rollback.</x:v>
      </x:c>
      <x:c r="G6" s="613" t="str">
        <x:v>Recorded on every event.</x:v>
      </x:c>
      <x:c r="H6" s="614" t="str">
        <x:v>Draft Complete</x:v>
      </x:c>
    </x:row>
    <x:row r="7">
      <x:c r="A7" s="607" t="str">
        <x:v>SDK-003</x:v>
      </x:c>
      <x:c r="B7" s="114" t="str">
        <x:v>provider</x:v>
      </x:c>
      <x:c r="C7" s="114" t="str">
        <x:v>Tool/provider family such as GitHub, Codex, ClaudeCode, VSCode, JetBrains, Chrome.</x:v>
      </x:c>
      <x:c r="D7" s="114" t="str">
        <x:v>enum/string</x:v>
      </x:c>
      <x:c r="E7" s="114" t="str">
        <x:v>Required</x:v>
      </x:c>
      <x:c r="F7" s="114" t="str">
        <x:v>Provider-specific mapping.</x:v>
      </x:c>
      <x:c r="G7" s="114" t="str">
        <x:v>Provider-specific payload stays referenced.</x:v>
      </x:c>
      <x:c r="H7" s="608" t="str">
        <x:v>Draft Complete</x:v>
      </x:c>
    </x:row>
    <x:row r="8">
      <x:c r="A8" s="612" t="str">
        <x:v>SDK-004</x:v>
      </x:c>
      <x:c r="B8" s="613" t="str">
        <x:v>capabilities</x:v>
      </x:c>
      <x:c r="C8" s="613" t="str">
        <x:v>Declared events and sensors the adapter can emit.</x:v>
      </x:c>
      <x:c r="D8" s="613" t="str">
        <x:v>array</x:v>
      </x:c>
      <x:c r="E8" s="613" t="str">
        <x:v>Required</x:v>
      </x:c>
      <x:c r="F8" s="613" t="str">
        <x:v>Policy and coverage.</x:v>
      </x:c>
      <x:c r="G8" s="613" t="str">
        <x:v>Only declared+approved capabilities active.</x:v>
      </x:c>
      <x:c r="H8" s="614" t="str">
        <x:v>Draft Complete</x:v>
      </x:c>
    </x:row>
    <x:row r="9">
      <x:c r="A9" s="607" t="str">
        <x:v>SDK-005</x:v>
      </x:c>
      <x:c r="B9" s="114" t="str">
        <x:v>permission_scope</x:v>
      </x:c>
      <x:c r="C9" s="114" t="str">
        <x:v>Required OS/tool/API permissions.</x:v>
      </x:c>
      <x:c r="D9" s="114" t="str">
        <x:v>object</x:v>
      </x:c>
      <x:c r="E9" s="114" t="str">
        <x:v>Required</x:v>
      </x:c>
      <x:c r="F9" s="114" t="str">
        <x:v>Least privilege.</x:v>
      </x:c>
      <x:c r="G9" s="114" t="str">
        <x:v>Policy and employee UI show active scopes.</x:v>
      </x:c>
      <x:c r="H9" s="608" t="str">
        <x:v>Draft Complete</x:v>
      </x:c>
    </x:row>
    <x:row r="10">
      <x:c r="A10" s="612" t="str">
        <x:v>SDK-006</x:v>
      </x:c>
      <x:c r="B10" s="613" t="str">
        <x:v>content_policy</x:v>
      </x:c>
      <x:c r="C10" s="613" t="str">
        <x:v>Which fields are content refs, metadata, secret-scanned or excluded.</x:v>
      </x:c>
      <x:c r="D10" s="613" t="str">
        <x:v>object</x:v>
      </x:c>
      <x:c r="E10" s="613" t="str">
        <x:v>Required</x:v>
      </x:c>
      <x:c r="F10" s="613" t="str">
        <x:v>Privacy classification.</x:v>
      </x:c>
      <x:c r="G10" s="613" t="str">
        <x:v>No raw prompts/source/text in logs/traces.</x:v>
      </x:c>
      <x:c r="H10" s="614" t="str">
        <x:v>Draft Complete</x:v>
      </x:c>
    </x:row>
    <x:row r="11">
      <x:c r="A11" s="607" t="str">
        <x:v>SDK-007</x:v>
      </x:c>
      <x:c r="B11" s="114" t="str">
        <x:v>session_context</x:v>
      </x:c>
      <x:c r="C11" s="114" t="str">
        <x:v>tenant, device, work session, task session and policy references.</x:v>
      </x:c>
      <x:c r="D11" s="114" t="str">
        <x:v>object</x:v>
      </x:c>
      <x:c r="E11" s="114" t="str">
        <x:v>Required</x:v>
      </x:c>
      <x:c r="F11" s="114" t="str">
        <x:v>Task/session scoping.</x:v>
      </x:c>
      <x:c r="G11" s="114" t="str">
        <x:v>Events outside active scope become gaps/rejected.</x:v>
      </x:c>
      <x:c r="H11" s="608" t="str">
        <x:v>Draft Complete</x:v>
      </x:c>
    </x:row>
    <x:row r="12">
      <x:c r="A12" s="612" t="str">
        <x:v>SDK-008</x:v>
      </x:c>
      <x:c r="B12" s="613" t="str">
        <x:v>event_id</x:v>
      </x:c>
      <x:c r="C12" s="613" t="str">
        <x:v>Adapter-generated or assigned canonical event ID.</x:v>
      </x:c>
      <x:c r="D12" s="613" t="str">
        <x:v>string</x:v>
      </x:c>
      <x:c r="E12" s="613" t="str">
        <x:v>Required</x:v>
      </x:c>
      <x:c r="F12" s="613" t="str">
        <x:v>Idempotency and correlation.</x:v>
      </x:c>
      <x:c r="G12" s="613" t="str">
        <x:v>Stable for retries.</x:v>
      </x:c>
      <x:c r="H12" s="614" t="str">
        <x:v>Draft Complete</x:v>
      </x:c>
    </x:row>
    <x:row r="13">
      <x:c r="A13" s="607" t="str">
        <x:v>SDK-009</x:v>
      </x:c>
      <x:c r="B13" s="114" t="str">
        <x:v>provider_event_id</x:v>
      </x:c>
      <x:c r="C13" s="114" t="str">
        <x:v>Provider-native event identifier.</x:v>
      </x:c>
      <x:c r="D13" s="114" t="str">
        <x:v>string/ref</x:v>
      </x:c>
      <x:c r="E13" s="114" t="str">
        <x:v>Recommended</x:v>
      </x:c>
      <x:c r="F13" s="114" t="str">
        <x:v>Lineage/source trace.</x:v>
      </x:c>
      <x:c r="G13" s="114" t="str">
        <x:v>Persist when available.</x:v>
      </x:c>
      <x:c r="H13" s="608" t="str">
        <x:v>Draft Complete</x:v>
      </x:c>
    </x:row>
    <x:row r="14">
      <x:c r="A14" s="612" t="str">
        <x:v>SDK-010</x:v>
      </x:c>
      <x:c r="B14" s="613" t="str">
        <x:v>provider_payload_ref</x:v>
      </x:c>
      <x:c r="C14" s="613" t="str">
        <x:v>Reference to encrypted/redacted raw provider payload when retained.</x:v>
      </x:c>
      <x:c r="D14" s="613" t="str">
        <x:v>object ref</x:v>
      </x:c>
      <x:c r="E14" s="613" t="str">
        <x:v>Conditional</x:v>
      </x:c>
      <x:c r="F14" s="613" t="str">
        <x:v>Audit/debug/replay.</x:v>
      </x:c>
      <x:c r="G14" s="613" t="str">
        <x:v>Not required for low-risk metadata events.</x:v>
      </x:c>
      <x:c r="H14" s="614" t="str">
        <x:v>Draft Complete</x:v>
      </x:c>
    </x:row>
    <x:row r="15">
      <x:c r="A15" s="607" t="str">
        <x:v>SDK-011</x:v>
      </x:c>
      <x:c r="B15" s="114" t="str">
        <x:v>event_time</x:v>
      </x:c>
      <x:c r="C15" s="114" t="str">
        <x:v>Provider/device event timestamp.</x:v>
      </x:c>
      <x:c r="D15" s="114" t="str">
        <x:v>date-time</x:v>
      </x:c>
      <x:c r="E15" s="114" t="str">
        <x:v>Required</x:v>
      </x:c>
      <x:c r="F15" s="114" t="str">
        <x:v>Ordering/correlation.</x:v>
      </x:c>
      <x:c r="G15" s="114" t="str">
        <x:v>Clock source and offset recorded if known.</x:v>
      </x:c>
      <x:c r="H15" s="608" t="str">
        <x:v>Draft Complete</x:v>
      </x:c>
    </x:row>
    <x:row r="16">
      <x:c r="A16" s="612" t="str">
        <x:v>SDK-012</x:v>
      </x:c>
      <x:c r="B16" s="613" t="str">
        <x:v>correlation_ids</x:v>
      </x:c>
      <x:c r="C16" s="613" t="str">
        <x:v>Trace/session/tool/process/file IDs used for graph correlation.</x:v>
      </x:c>
      <x:c r="D16" s="613" t="str">
        <x:v>object</x:v>
      </x:c>
      <x:c r="E16" s="613" t="str">
        <x:v>Recommended</x:v>
      </x:c>
      <x:c r="F16" s="613" t="str">
        <x:v>Provenance linking.</x:v>
      </x:c>
      <x:c r="G16" s="613" t="str">
        <x:v>No sensitive content in IDs.</x:v>
      </x:c>
      <x:c r="H16" s="614" t="str">
        <x:v>Draft Complete</x:v>
      </x:c>
    </x:row>
    <x:row r="17">
      <x:c r="A17" s="607" t="str">
        <x:v>SDK-013</x:v>
      </x:c>
      <x:c r="B17" s="114" t="str">
        <x:v>actor_hint</x:v>
      </x:c>
      <x:c r="C17" s="114" t="str">
        <x:v>Preliminary actor/origin hint from adapter.</x:v>
      </x:c>
      <x:c r="D17" s="114" t="str">
        <x:v>enum</x:v>
      </x:c>
      <x:c r="E17" s="114" t="str">
        <x:v>Optional</x:v>
      </x:c>
      <x:c r="F17" s="114" t="str">
        <x:v>Provenance candidate.</x:v>
      </x:c>
      <x:c r="G17" s="114" t="str">
        <x:v>Allowed: HUMAN, AI_AGENT, AUTOMATION, SYSTEM, MIXED, UNKNOWN.</x:v>
      </x:c>
      <x:c r="H17" s="608" t="str">
        <x:v>Draft Complete</x:v>
      </x:c>
    </x:row>
    <x:row r="18">
      <x:c r="A18" s="612" t="str">
        <x:v>SDK-014</x:v>
      </x:c>
      <x:c r="B18" s="613" t="str">
        <x:v>confidence_hint</x:v>
      </x:c>
      <x:c r="C18" s="613" t="str">
        <x:v>Adapter confidence in event and actor interpretation.</x:v>
      </x:c>
      <x:c r="D18" s="613" t="str">
        <x:v>number 0-1</x:v>
      </x:c>
      <x:c r="E18" s="613" t="str">
        <x:v>Optional</x:v>
      </x:c>
      <x:c r="F18" s="613" t="str">
        <x:v>Downstream weighting.</x:v>
      </x:c>
      <x:c r="G18" s="613" t="str">
        <x:v>Cannot be final assessment confidence.</x:v>
      </x:c>
      <x:c r="H18" s="614" t="str">
        <x:v>Draft Complete</x:v>
      </x:c>
    </x:row>
    <x:row r="19">
      <x:c r="A19" s="607" t="str">
        <x:v>SDK-015</x:v>
      </x:c>
      <x:c r="B19" s="114" t="str">
        <x:v>coverage_state</x:v>
      </x:c>
      <x:c r="C19" s="114" t="str">
        <x:v>Supported, degraded, unavailable, unsupported, denied or unknown.</x:v>
      </x:c>
      <x:c r="D19" s="114" t="str">
        <x:v>enum</x:v>
      </x:c>
      <x:c r="E19" s="114" t="str">
        <x:v>Required in health</x:v>
      </x:c>
      <x:c r="F19" s="114" t="str">
        <x:v>Completeness tracking.</x:v>
      </x:c>
      <x:c r="G19" s="114" t="str">
        <x:v>Coverage gap emitted when degraded.</x:v>
      </x:c>
      <x:c r="H19" s="608" t="str">
        <x:v>Draft Complete</x:v>
      </x:c>
    </x:row>
    <x:row r="20">
      <x:c r="A20" s="612" t="str">
        <x:v>SDK-016</x:v>
      </x:c>
      <x:c r="B20" s="613" t="str">
        <x:v>health_heartbeat</x:v>
      </x:c>
      <x:c r="C20" s="613" t="str">
        <x:v>Version, permission, provider reachability and backlog status.</x:v>
      </x:c>
      <x:c r="D20" s="613" t="str">
        <x:v>object</x:v>
      </x:c>
      <x:c r="E20" s="613" t="str">
        <x:v>Required</x:v>
      </x:c>
      <x:c r="F20" s="613" t="str">
        <x:v>Operational trust.</x:v>
      </x:c>
      <x:c r="G20" s="613" t="str">
        <x:v>No raw evidence in health.</x:v>
      </x:c>
      <x:c r="H20" s="614" t="str">
        <x:v>Draft Complete</x:v>
      </x:c>
    </x:row>
    <x:row r="21">
      <x:c r="A21" s="607" t="str">
        <x:v>SDK-017</x:v>
      </x:c>
      <x:c r="B21" s="114" t="str">
        <x:v>redaction_status</x:v>
      </x:c>
      <x:c r="C21" s="114" t="str">
        <x:v>none, processed, partially_redacted, suppressed, failed.</x:v>
      </x:c>
      <x:c r="D21" s="114" t="str">
        <x:v>enum</x:v>
      </x:c>
      <x:c r="E21" s="114" t="str">
        <x:v>Required for content events</x:v>
      </x:c>
      <x:c r="F21" s="114" t="str">
        <x:v>Privacy audit.</x:v>
      </x:c>
      <x:c r="G21" s="114" t="str">
        <x:v>Failed redaction blocks content persistence.</x:v>
      </x:c>
      <x:c r="H21" s="608" t="str">
        <x:v>Draft Complete</x:v>
      </x:c>
    </x:row>
    <x:row r="22">
      <x:c r="A22" s="612" t="str">
        <x:v>SDK-018</x:v>
      </x:c>
      <x:c r="B22" s="613" t="str">
        <x:v>signature</x:v>
      </x:c>
      <x:c r="C22" s="613" t="str">
        <x:v>Optional adapter/event signature where adapter process is separately signed.</x:v>
      </x:c>
      <x:c r="D22" s="613" t="str">
        <x:v>string</x:v>
      </x:c>
      <x:c r="E22" s="613" t="str">
        <x:v>Recommended</x:v>
      </x:c>
      <x:c r="F22" s="613" t="str">
        <x:v>Tamper evidence.</x:v>
      </x:c>
      <x:c r="G22" s="613" t="str">
        <x:v>Local agent still signs final batch.</x:v>
      </x:c>
      <x:c r="H22" s="614" t="str">
        <x:v>Draft Complete</x:v>
      </x:c>
    </x:row>
    <x:row r="23">
      <x:c r="A23" s="607" t="str">
        <x:v>SDK-019</x:v>
      </x:c>
      <x:c r="B23" s="114" t="str">
        <x:v>conformance_suite_id</x:v>
      </x:c>
      <x:c r="C23" s="114" t="str">
        <x:v>Test suite version proving contract compatibility.</x:v>
      </x:c>
      <x:c r="D23" s="114" t="str">
        <x:v>string</x:v>
      </x:c>
      <x:c r="E23" s="114" t="str">
        <x:v>Required for approval</x:v>
      </x:c>
      <x:c r="F23" s="114" t="str">
        <x:v>Adapter gate.</x:v>
      </x:c>
      <x:c r="G23" s="114" t="str">
        <x:v>Active adapter requires passing suite.</x:v>
      </x:c>
      <x:c r="H23" s="608" t="str">
        <x:v>Draft Complete</x:v>
      </x:c>
    </x:row>
    <x:row r="24">
      <x:c r="A24" s="615" t="str">
        <x:v>SDK-020</x:v>
      </x:c>
      <x:c r="B24" s="616" t="str">
        <x:v>fallback_policy</x:v>
      </x:c>
      <x:c r="C24" s="616" t="str">
        <x:v>What happens when adapter unavailable or unsupported.</x:v>
      </x:c>
      <x:c r="D24" s="616" t="str">
        <x:v>enum/object</x:v>
      </x:c>
      <x:c r="E24" s="616" t="str">
        <x:v>Required</x:v>
      </x:c>
      <x:c r="F24" s="616" t="str">
        <x:v>Fairness and continuity.</x:v>
      </x:c>
      <x:c r="G24" s="616" t="str">
        <x:v>Fallback to Stage 5 universal evidence with lower confidence.</x:v>
      </x:c>
      <x:c r="H24" s="617" t="str">
        <x:v>Draft Complete</x:v>
      </x:c>
    </x:row>
  </x:sheetData>
  <x:mergeCells>
    <x:mergeCell ref="A1:H1"/>
    <x:mergeCell ref="A2:H2"/>
  </x:mergeCells>
  <x:dataValidations count="2">
    <x:dataValidation type="list" sqref="E5:E24">
      <x:formula1>"Required,Recommended,Conditional,Optional,Required in health,Required for approval,Required for content events"</x:formula1>
    </x:dataValidation>
    <x:dataValidation type="list" sqref="H5:H24">
      <x:formula1>"Draft Complete,Needs Review,Approved,Deferred"</x:formula1>
    </x:dataValidation>
  </x:dataValidations>
  <x:pageMargins left="0.7" right="0.7" top="0.75" bottom="0.75" header="0.3" footer="0.3"/>
</x:worksheet>
</file>

<file path=xl/worksheets/sheet89.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58" hidden="0" customWidth="1"/>
    <x:col min="5" max="5" width="44" hidden="0" customWidth="1"/>
    <x:col min="6" max="6" width="54" hidden="0" customWidth="1"/>
    <x:col min="7" max="7" width="18" hidden="0" customWidth="1"/>
    <x:col min="8" max="8" width="16" hidden="0" customWidth="1"/>
    <x:col min="9" max="9" width="12" hidden="0" customWidth="1"/>
    <x:col min="10" max="10" width="18" hidden="0" customWidth="1"/>
  </x:cols>
  <x:sheetData>
    <x:row r="1" ht="30" customHeight="1">
      <x:c r="A1" s="569" t="str">
        <x:v>Stage 6 — Provider Event Matrix</x:v>
      </x:c>
      <x:c r="B1" s="569"/>
      <x:c r="C1" s="569"/>
      <x:c r="D1" s="569"/>
      <x:c r="E1" s="569"/>
      <x:c r="F1" s="569"/>
      <x:c r="G1" s="569"/>
      <x:c r="H1" s="569"/>
      <x:c r="I1" s="569"/>
      <x:c r="J1" s="569"/>
    </x:row>
    <x:row r="2" ht="36" customHeight="1">
      <x:c r="A2" s="573" t="str">
        <x:v>Provider/tool coverage and event taxonomy for semantic adapters. Each provider keeps its source lineage while normalising into HumanOS events.</x:v>
      </x:c>
      <x:c r="B2" s="573"/>
      <x:c r="C2" s="573"/>
      <x:c r="D2" s="573"/>
      <x:c r="E2" s="573"/>
      <x:c r="F2" s="573"/>
      <x:c r="G2" s="573"/>
      <x:c r="H2" s="573"/>
      <x:c r="I2" s="573"/>
      <x:c r="J2" s="573"/>
    </x:row>
    <x:row r="4" ht="30" customHeight="1">
      <x:c r="A4" s="585" t="str">
        <x:v>ID</x:v>
      </x:c>
      <x:c r="B4" s="586" t="str">
        <x:v>Provider/tool</x:v>
      </x:c>
      <x:c r="C4" s="586" t="str">
        <x:v>Adapter</x:v>
      </x:c>
      <x:c r="D4" s="586" t="str">
        <x:v>Canonical events</x:v>
      </x:c>
      <x:c r="E4" s="586" t="str">
        <x:v>Source mechanism</x:v>
      </x:c>
      <x:c r="F4" s="586" t="str">
        <x:v>Privacy/security note</x:v>
      </x:c>
      <x:c r="G4" s="586" t="str">
        <x:v>Semantic coverage</x:v>
      </x:c>
      <x:c r="H4" s="586" t="str">
        <x:v>MVP status</x:v>
      </x:c>
      <x:c r="I4" s="586" t="str">
        <x:v>Priority</x:v>
      </x:c>
      <x:c r="J4" s="587" t="str">
        <x:v>Status</x:v>
      </x:c>
    </x:row>
    <x:row r="5">
      <x:c r="A5" s="604" t="str">
        <x:v>PEM-001</x:v>
      </x:c>
      <x:c r="B5" s="605" t="str">
        <x:v>Chrome/Edge</x:v>
      </x:c>
      <x:c r="C5" s="605" t="str">
        <x:v>Browser Adapter</x:v>
      </x:c>
      <x:c r="D5" s="605" t="str">
        <x:v>tab_activated, tab_updated, navigation_committed, allowlisted_dom_event, native_host_health</x:v>
      </x:c>
      <x:c r="E5" s="605" t="str">
        <x:v>Tabs API, webNavigation, native messaging</x:v>
      </x:c>
      <x:c r="F5" s="605" t="str">
        <x:v>Title/domain by default; URL path/content allowlisted.</x:v>
      </x:c>
      <x:c r="G5" s="605" t="str">
        <x:v>Medium–high</x:v>
      </x:c>
      <x:c r="H5" s="605" t="str">
        <x:v>Yes</x:v>
      </x:c>
      <x:c r="I5" s="605" t="str">
        <x:v>High</x:v>
      </x:c>
      <x:c r="J5" s="606" t="str">
        <x:v>Draft Complete</x:v>
      </x:c>
    </x:row>
    <x:row r="6">
      <x:c r="A6" s="612" t="str">
        <x:v>PEM-002</x:v>
      </x:c>
      <x:c r="B6" s="613" t="str">
        <x:v>PowerShell 7</x:v>
      </x:c>
      <x:c r="C6" s="613" t="str">
        <x:v>Shell Adapter</x:v>
      </x:c>
      <x:c r="D6" s="613" t="str">
        <x:v>command_started, command_completed, cwd_changed, output_ref, exit_code</x:v>
      </x:c>
      <x:c r="E6" s="613" t="str">
        <x:v>Shell integration/PTY wrapper</x:v>
      </x:c>
      <x:c r="F6" s="613" t="str">
        <x:v>Env/secret redaction; approved profiles.</x:v>
      </x:c>
      <x:c r="G6" s="613" t="str">
        <x:v>High</x:v>
      </x:c>
      <x:c r="H6" s="613" t="str">
        <x:v>Yes</x:v>
      </x:c>
      <x:c r="I6" s="613" t="str">
        <x:v>High</x:v>
      </x:c>
      <x:c r="J6" s="614" t="str">
        <x:v>Draft Complete</x:v>
      </x:c>
    </x:row>
    <x:row r="7">
      <x:c r="A7" s="607" t="str">
        <x:v>PEM-003</x:v>
      </x:c>
      <x:c r="B7" s="114" t="str">
        <x:v>bash/zsh</x:v>
      </x:c>
      <x:c r="C7" s="114" t="str">
        <x:v>Shell Adapter</x:v>
      </x:c>
      <x:c r="D7" s="114" t="str">
        <x:v>command_started, command_completed, cwd_changed, output_ref, exit_code</x:v>
      </x:c>
      <x:c r="E7" s="114" t="str">
        <x:v>Shell integration/PTY wrapper</x:v>
      </x:c>
      <x:c r="F7" s="114" t="str">
        <x:v>Env/secret redaction; approved rc/profile.</x:v>
      </x:c>
      <x:c r="G7" s="114" t="str">
        <x:v>High</x:v>
      </x:c>
      <x:c r="H7" s="114" t="str">
        <x:v>Yes</x:v>
      </x:c>
      <x:c r="I7" s="114" t="str">
        <x:v>High</x:v>
      </x:c>
      <x:c r="J7" s="608" t="str">
        <x:v>Draft Complete</x:v>
      </x:c>
    </x:row>
    <x:row r="8">
      <x:c r="A8" s="612" t="str">
        <x:v>PEM-004</x:v>
      </x:c>
      <x:c r="B8" s="613" t="str">
        <x:v>Git CLI</x:v>
      </x:c>
      <x:c r="C8" s="613" t="str">
        <x:v>Git Adapter</x:v>
      </x:c>
      <x:c r="D8" s="613" t="str">
        <x:v>repo_detected, branch_changed, diff_changed, commit_created, merge/rebase, push_attempt</x:v>
      </x:c>
      <x:c r="E8" s="613" t="str">
        <x:v>Git CLI/status/hooks where allowed</x:v>
      </x:c>
      <x:c r="F8" s="613" t="str">
        <x:v>Local hooks can be altered; corroborate with repo state and GitHub events.</x:v>
      </x:c>
      <x:c r="G8" s="613" t="str">
        <x:v>Medium</x:v>
      </x:c>
      <x:c r="H8" s="613" t="str">
        <x:v>Yes</x:v>
      </x:c>
      <x:c r="I8" s="613" t="str">
        <x:v>High</x:v>
      </x:c>
      <x:c r="J8" s="614" t="str">
        <x:v>Draft Complete</x:v>
      </x:c>
    </x:row>
    <x:row r="9">
      <x:c r="A9" s="607" t="str">
        <x:v>PEM-005</x:v>
      </x:c>
      <x:c r="B9" s="114" t="str">
        <x:v>GitHub</x:v>
      </x:c>
      <x:c r="C9" s="114" t="str">
        <x:v>GitHub App Connector</x:v>
      </x:c>
      <x:c r="D9" s="114" t="str">
        <x:v>pull_request, review, review_comment, check_run, check_suite, workflow_run, workflow_job, push</x:v>
      </x:c>
      <x:c r="E9" s="114" t="str">
        <x:v>GitHub webhooks + REST/GraphQL</x:v>
      </x:c>
      <x:c r="F9" s="114" t="str">
        <x:v>Use GitHub App least permissions; PR/Checks authoritative.</x:v>
      </x:c>
      <x:c r="G9" s="114" t="str">
        <x:v>High</x:v>
      </x:c>
      <x:c r="H9" s="114" t="str">
        <x:v>Yes</x:v>
      </x:c>
      <x:c r="I9" s="114" t="str">
        <x:v>Critical</x:v>
      </x:c>
      <x:c r="J9" s="608" t="str">
        <x:v>Draft Complete</x:v>
      </x:c>
    </x:row>
    <x:row r="10">
      <x:c r="A10" s="612" t="str">
        <x:v>PEM-006</x:v>
      </x:c>
      <x:c r="B10" s="613" t="str">
        <x:v>GitHub Actions</x:v>
      </x:c>
      <x:c r="C10" s="613" t="str">
        <x:v>CI Adapter</x:v>
      </x:c>
      <x:c r="D10" s="613" t="str">
        <x:v>workflow_run, workflow_job, check_run, artifact/log refs</x:v>
      </x:c>
      <x:c r="E10" s="613" t="str">
        <x:v>GitHub webhooks + Actions APIs</x:v>
      </x:c>
      <x:c r="F10" s="613" t="str">
        <x:v>Check/write restrictions noted; logs scoped.</x:v>
      </x:c>
      <x:c r="G10" s="613" t="str">
        <x:v>High</x:v>
      </x:c>
      <x:c r="H10" s="613" t="str">
        <x:v>Yes</x:v>
      </x:c>
      <x:c r="I10" s="613" t="str">
        <x:v>High</x:v>
      </x:c>
      <x:c r="J10" s="614" t="str">
        <x:v>Draft Complete</x:v>
      </x:c>
    </x:row>
    <x:row r="11">
      <x:c r="A11" s="607" t="str">
        <x:v>PEM-007</x:v>
      </x:c>
      <x:c r="B11" s="114" t="str">
        <x:v>VS Code family</x:v>
      </x:c>
      <x:c r="C11" s="114" t="str">
        <x:v>IDE Adapter</x:v>
      </x:c>
      <x:c r="D11" s="114" t="str">
        <x:v>text_document_changed, task_start/end, terminal_shell_execution, diagnostics_changed, debug_start/end</x:v>
      </x:c>
      <x:c r="E11" s="114" t="str">
        <x:v>VS Code Extension API</x:v>
      </x:c>
      <x:c r="F11" s="114" t="str">
        <x:v>Editor semantics only with installed extension; fallback Stage 5.</x:v>
      </x:c>
      <x:c r="G11" s="114" t="str">
        <x:v>Medium–high</x:v>
      </x:c>
      <x:c r="H11" s="114" t="str">
        <x:v>Yes</x:v>
      </x:c>
      <x:c r="I11" s="114" t="str">
        <x:v>High</x:v>
      </x:c>
      <x:c r="J11" s="608" t="str">
        <x:v>Draft Complete</x:v>
      </x:c>
    </x:row>
    <x:row r="12">
      <x:c r="A12" s="612" t="str">
        <x:v>PEM-008</x:v>
      </x:c>
      <x:c r="B12" s="613" t="str">
        <x:v>JetBrains IDEs</x:v>
      </x:c>
      <x:c r="C12" s="613" t="str">
        <x:v>IDE Adapter</x:v>
      </x:c>
      <x:c r="D12" s="613" t="str">
        <x:v>VFS/PSI document changes, run configuration, test/process/debug events, inspections</x:v>
      </x:c>
      <x:c r="E12" s="613" t="str">
        <x:v>IntelliJ Platform SDK plugins</x:v>
      </x:c>
      <x:c r="F12" s="613" t="str">
        <x:v>Plugin APIs differ by IDE/version; use conformance suite.</x:v>
      </x:c>
      <x:c r="G12" s="613" t="str">
        <x:v>Medium</x:v>
      </x:c>
      <x:c r="H12" s="613" t="str">
        <x:v>Yes</x:v>
      </x:c>
      <x:c r="I12" s="613" t="str">
        <x:v>High</x:v>
      </x:c>
      <x:c r="J12" s="614" t="str">
        <x:v>Draft Complete</x:v>
      </x:c>
    </x:row>
    <x:row r="13">
      <x:c r="A13" s="607" t="str">
        <x:v>PEM-009</x:v>
      </x:c>
      <x:c r="B13" s="114" t="str">
        <x:v>Xcode</x:v>
      </x:c>
      <x:c r="C13" s="114" t="str">
        <x:v>Toolchain Adapter</x:v>
      </x:c>
      <x:c r="D13" s="114" t="str">
        <x:v>build/test/archive/simulator/debug state</x:v>
      </x:c>
      <x:c r="E13" s="114" t="str">
        <x:v>xcodebuild logs, Xcode extensions/derived data/CLI where feasible</x:v>
      </x:c>
      <x:c r="F13" s="114" t="str">
        <x:v>May have lower semantic coverage; fallback Stage 5/macOS.</x:v>
      </x:c>
      <x:c r="G13" s="114" t="str">
        <x:v>Medium</x:v>
      </x:c>
      <x:c r="H13" s="114" t="str">
        <x:v>Partial</x:v>
      </x:c>
      <x:c r="I13" s="114" t="str">
        <x:v>Medium</x:v>
      </x:c>
      <x:c r="J13" s="608" t="str">
        <x:v>Draft Complete</x:v>
      </x:c>
    </x:row>
    <x:row r="14">
      <x:c r="A14" s="612" t="str">
        <x:v>PEM-010</x:v>
      </x:c>
      <x:c r="B14" s="613" t="str">
        <x:v>Android Studio/Flutter</x:v>
      </x:c>
      <x:c r="C14" s="613" t="str">
        <x:v>Toolchain Adapter</x:v>
      </x:c>
      <x:c r="D14" s="613" t="str">
        <x:v>Gradle/Flutter build/test/run/emulator events</x:v>
      </x:c>
      <x:c r="E14" s="613" t="str">
        <x:v>IDE plugin, Gradle/Flutter CLI wrappers, adb/emulator events</x:v>
      </x:c>
      <x:c r="F14" s="613" t="str">
        <x:v>Version/toolchain matrix required.</x:v>
      </x:c>
      <x:c r="G14" s="613" t="str">
        <x:v>Medium</x:v>
      </x:c>
      <x:c r="H14" s="613" t="str">
        <x:v>Partial</x:v>
      </x:c>
      <x:c r="I14" s="613" t="str">
        <x:v>High</x:v>
      </x:c>
      <x:c r="J14" s="614" t="str">
        <x:v>Draft Complete</x:v>
      </x:c>
    </x:row>
    <x:row r="15">
      <x:c r="A15" s="607" t="str">
        <x:v>PEM-011</x:v>
      </x:c>
      <x:c r="B15" s="114" t="str">
        <x:v>Docker</x:v>
      </x:c>
      <x:c r="C15" s="114" t="str">
        <x:v>Container Adapter</x:v>
      </x:c>
      <x:c r="D15" s="114" t="str">
        <x:v>container/image/volume/network events, exec_start/die, health_status</x:v>
      </x:c>
      <x:c r="E15" s="114" t="str">
        <x:v>Docker Engine events API</x:v>
      </x:c>
      <x:c r="F15" s="114" t="str">
        <x:v>No container logs/content by default; project scope required.</x:v>
      </x:c>
      <x:c r="G15" s="114" t="str">
        <x:v>High for events</x:v>
      </x:c>
      <x:c r="H15" s="114" t="str">
        <x:v>Yes</x:v>
      </x:c>
      <x:c r="I15" s="114" t="str">
        <x:v>Medium</x:v>
      </x:c>
      <x:c r="J15" s="608" t="str">
        <x:v>Draft Complete</x:v>
      </x:c>
    </x:row>
    <x:row r="16">
      <x:c r="A16" s="612" t="str">
        <x:v>PEM-012</x:v>
      </x:c>
      <x:c r="B16" s="613" t="str">
        <x:v>Codex CLI</x:v>
      </x:c>
      <x:c r="C16" s="613" t="str">
        <x:v>AI Agent Adapter</x:v>
      </x:c>
      <x:c r="D16" s="613" t="str">
        <x:v>session_start, user_prompt_submit, pre/post_tool_use, permission, stop, file/process generated</x:v>
      </x:c>
      <x:c r="E16" s="613" t="str">
        <x:v>Codex hooks</x:v>
      </x:c>
      <x:c r="F16" s="613" t="str">
        <x:v>Prompt/tool content secret-scanned and content-referenced.</x:v>
      </x:c>
      <x:c r="G16" s="613" t="str">
        <x:v>High</x:v>
      </x:c>
      <x:c r="H16" s="613" t="str">
        <x:v>Yes</x:v>
      </x:c>
      <x:c r="I16" s="613" t="str">
        <x:v>Critical</x:v>
      </x:c>
      <x:c r="J16" s="614" t="str">
        <x:v>Draft Complete</x:v>
      </x:c>
    </x:row>
    <x:row r="17">
      <x:c r="A17" s="607" t="str">
        <x:v>PEM-013</x:v>
      </x:c>
      <x:c r="B17" s="114" t="str">
        <x:v>Claude Code</x:v>
      </x:c>
      <x:c r="C17" s="114" t="str">
        <x:v>AI Agent Adapter</x:v>
      </x:c>
      <x:c r="D17" s="114" t="str">
        <x:v>SessionStart, UserPromptSubmit, PreToolUse, PermissionRequest, PostToolUse, Stop, TaskCreated/Completed, FileChanged</x:v>
      </x:c>
      <x:c r="E17" s="114" t="str">
        <x:v>Claude Code hooks/SDK</x:v>
      </x:c>
      <x:c r="F17" s="114" t="str">
        <x:v>Hook event coverage differs between app and SDK; version track.</x:v>
      </x:c>
      <x:c r="G17" s="114" t="str">
        <x:v>High</x:v>
      </x:c>
      <x:c r="H17" s="114" t="str">
        <x:v>Yes</x:v>
      </x:c>
      <x:c r="I17" s="114" t="str">
        <x:v>Critical</x:v>
      </x:c>
      <x:c r="J17" s="608" t="str">
        <x:v>Draft Complete</x:v>
      </x:c>
    </x:row>
    <x:row r="18">
      <x:c r="A18" s="612" t="str">
        <x:v>PEM-014</x:v>
      </x:c>
      <x:c r="B18" s="613" t="str">
        <x:v>MCP tools</x:v>
      </x:c>
      <x:c r="C18" s="613" t="str">
        <x:v>AI Tool Adapter</x:v>
      </x:c>
      <x:c r="D18" s="613" t="str">
        <x:v>tool_invoked, tool_result, permission, resource_access</x:v>
      </x:c>
      <x:c r="E18" s="613" t="str">
        <x:v>MCP/event wrappers</x:v>
      </x:c>
      <x:c r="F18" s="613" t="str">
        <x:v>Tool access may expose sensitive resources; policy-enforce capability gateway.</x:v>
      </x:c>
      <x:c r="G18" s="613" t="str">
        <x:v>Medium</x:v>
      </x:c>
      <x:c r="H18" s="613" t="str">
        <x:v>Future</x:v>
      </x:c>
      <x:c r="I18" s="613" t="str">
        <x:v>High</x:v>
      </x:c>
      <x:c r="J18" s="614" t="str">
        <x:v>Draft Complete</x:v>
      </x:c>
    </x:row>
    <x:row r="19">
      <x:c r="A19" s="609" t="str">
        <x:v>PEM-015</x:v>
      </x:c>
      <x:c r="B19" s="610" t="str">
        <x:v>Generic CI systems</x:v>
      </x:c>
      <x:c r="C19" s="610" t="str">
        <x:v>CI Adapter</x:v>
      </x:c>
      <x:c r="D19" s="610" t="str">
        <x:v>job_started, job_completed, test_result, artifact_created</x:v>
      </x:c>
      <x:c r="E19" s="610" t="str">
        <x:v>Webhooks/API adapters</x:v>
      </x:c>
      <x:c r="F19" s="610" t="str">
        <x:v>Connector-specific least-privilege and source mapping.</x:v>
      </x:c>
      <x:c r="G19" s="610" t="str">
        <x:v>Varies</x:v>
      </x:c>
      <x:c r="H19" s="610" t="str">
        <x:v>Future</x:v>
      </x:c>
      <x:c r="I19" s="610" t="str">
        <x:v>Medium</x:v>
      </x:c>
      <x:c r="J19" s="611" t="str">
        <x:v>Draft Complete</x:v>
      </x:c>
    </x:row>
  </x:sheetData>
  <x:mergeCells>
    <x:mergeCell ref="A1:J1"/>
    <x:mergeCell ref="A2:J2"/>
  </x:mergeCells>
  <x:dataValidations count="3">
    <x:dataValidation type="list" sqref="H5:H19">
      <x:formula1>"Yes,Partial,Future"</x:formula1>
    </x:dataValidation>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90.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56" hidden="0" customWidth="1"/>
    <x:col min="5" max="5" width="44" hidden="0" customWidth="1"/>
    <x:col min="6" max="6" width="54" hidden="0" customWidth="1"/>
    <x:col min="7" max="7" width="34" hidden="0" customWidth="1"/>
    <x:col min="8" max="8" width="12" hidden="0" customWidth="1"/>
    <x:col min="9" max="9" width="18" hidden="0" customWidth="1"/>
  </x:cols>
  <x:sheetData>
    <x:row r="1" ht="30" customHeight="1">
      <x:c r="A1" s="569" t="str">
        <x:v>Stage 6 — Browser Adapter</x:v>
      </x:c>
      <x:c r="B1" s="569"/>
      <x:c r="C1" s="569"/>
      <x:c r="D1" s="569"/>
      <x:c r="E1" s="569"/>
      <x:c r="F1" s="569"/>
      <x:c r="G1" s="569"/>
      <x:c r="H1" s="569"/>
      <x:c r="I1" s="569"/>
    </x:row>
    <x:row r="2" ht="36" customHeight="1">
      <x:c r="A2" s="573" t="str">
        <x:v>Chrome/Edge semantic adapter for active tab, navigation, work-system context and browser health. It intentionally avoids full web-history or DOM capture by default.</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BR-001</x:v>
      </x:c>
      <x:c r="B5" s="605" t="str">
        <x:v>active_tab_changed</x:v>
      </x:c>
      <x:c r="C5" s="605" t="str">
        <x:v>Active tab/window changed.</x:v>
      </x:c>
      <x:c r="D5" s="605" t="str">
        <x:v>tab_id, window_id, title_ref/redacted_title, domain, allowlisted_url_ref, incognito/profile flag where allowed</x:v>
      </x:c>
      <x:c r="E5" s="605" t="str">
        <x:v>Chrome tabs/onActivated/onUpdated + native messaging</x:v>
      </x:c>
      <x:c r="F5" s="605" t="str">
        <x:v>Domain/title default; URL path/query allowlisted only.</x:v>
      </x:c>
      <x:c r="G5" s="605" t="str">
        <x:v>browser.tab.changed.v1</x:v>
      </x:c>
      <x:c r="H5" s="605" t="str">
        <x:v>High</x:v>
      </x:c>
      <x:c r="I5" s="606" t="str">
        <x:v>Draft Complete</x:v>
      </x:c>
    </x:row>
    <x:row r="6">
      <x:c r="A6" s="612" t="str">
        <x:v>BR-002</x:v>
      </x:c>
      <x:c r="B6" s="613" t="str">
        <x:v>navigation_committed</x:v>
      </x:c>
      <x:c r="C6" s="613" t="str">
        <x:v>Main-frame navigation committed.</x:v>
      </x:c>
      <x:c r="D6" s="613" t="str">
        <x:v>tab_id, transition_type, domain, allowlisted_path_ref, timestamp</x:v>
      </x:c>
      <x:c r="E6" s="613" t="str">
        <x:v>Chrome webNavigation where permitted</x:v>
      </x:c>
      <x:c r="F6" s="613" t="str">
        <x:v>No full history export; only active/policy-scoped session.</x:v>
      </x:c>
      <x:c r="G6" s="613" t="str">
        <x:v>browser.navigation.v1</x:v>
      </x:c>
      <x:c r="H6" s="613" t="str">
        <x:v>High</x:v>
      </x:c>
      <x:c r="I6" s="614" t="str">
        <x:v>Draft Complete</x:v>
      </x:c>
    </x:row>
    <x:row r="7">
      <x:c r="A7" s="607" t="str">
        <x:v>BR-003</x:v>
      </x:c>
      <x:c r="B7" s="114" t="str">
        <x:v>title_changed</x:v>
      </x:c>
      <x:c r="C7" s="114" t="str">
        <x:v>Page title changed materially.</x:v>
      </x:c>
      <x:c r="D7" s="114" t="str">
        <x:v>redacted title class, previous/new title hash/ref</x:v>
      </x:c>
      <x:c r="E7" s="114" t="str">
        <x:v>Tabs API</x:v>
      </x:c>
      <x:c r="F7" s="114" t="str">
        <x:v>Sensitive titles redacted by domain/app policy.</x:v>
      </x:c>
      <x:c r="G7" s="114" t="str">
        <x:v>browser.title.changed.v1</x:v>
      </x:c>
      <x:c r="H7" s="114" t="str">
        <x:v>Medium</x:v>
      </x:c>
      <x:c r="I7" s="608" t="str">
        <x:v>Draft Complete</x:v>
      </x:c>
    </x:row>
    <x:row r="8">
      <x:c r="A8" s="612" t="str">
        <x:v>BR-004</x:v>
      </x:c>
      <x:c r="B8" s="613" t="str">
        <x:v>allowlisted_form_submit</x:v>
      </x:c>
      <x:c r="C8" s="613" t="str">
        <x:v>Approved work-system form submission event.</x:v>
      </x:c>
      <x:c r="D8" s="613" t="str">
        <x:v>site/app ID, form type, task/context refs; no field values by default</x:v>
      </x:c>
      <x:c r="E8" s="613" t="str">
        <x:v>Content script on allowlisted domains only</x:v>
      </x:c>
      <x:c r="F8" s="613" t="str">
        <x:v>No personal web form capture.</x:v>
      </x:c>
      <x:c r="G8" s="613" t="str">
        <x:v>browser.form.semantic.v1</x:v>
      </x:c>
      <x:c r="H8" s="613" t="str">
        <x:v>Medium</x:v>
      </x:c>
      <x:c r="I8" s="614" t="str">
        <x:v>Draft Complete</x:v>
      </x:c>
    </x:row>
    <x:row r="9">
      <x:c r="A9" s="607" t="str">
        <x:v>BR-005</x:v>
      </x:c>
      <x:c r="B9" s="114" t="str">
        <x:v>devtools_context</x:v>
      </x:c>
      <x:c r="C9" s="114" t="str">
        <x:v>Optional developer-tools/test context for approved web app debugging.</x:v>
      </x:c>
      <x:c r="D9" s="114" t="str">
        <x:v>tab/domain, console error count/ref, network error summary/ref</x:v>
      </x:c>
      <x:c r="E9" s="114" t="str">
        <x:v>DevTools/extension APIs where feasible</x:v>
      </x:c>
      <x:c r="F9" s="114" t="str">
        <x:v>No network payload capture; approved app only.</x:v>
      </x:c>
      <x:c r="G9" s="114" t="str">
        <x:v>browser.devtools.context.v1</x:v>
      </x:c>
      <x:c r="H9" s="114" t="str">
        <x:v>Medium</x:v>
      </x:c>
      <x:c r="I9" s="608" t="str">
        <x:v>Draft Complete</x:v>
      </x:c>
    </x:row>
    <x:row r="10">
      <x:c r="A10" s="612" t="str">
        <x:v>BR-006</x:v>
      </x:c>
      <x:c r="B10" s="613" t="str">
        <x:v>extension_health</x:v>
      </x:c>
      <x:c r="C10" s="613" t="str">
        <x:v>Extension installed, native host reachable and permission state.</x:v>
      </x:c>
      <x:c r="D10" s="613" t="str">
        <x:v>version, permission set, native_host status, blocked domains count</x:v>
      </x:c>
      <x:c r="E10" s="613" t="str">
        <x:v>Extension runtime/native messaging</x:v>
      </x:c>
      <x:c r="F10" s="613" t="str">
        <x:v>No browsing content.</x:v>
      </x:c>
      <x:c r="G10" s="613" t="str">
        <x:v>adapter.health.v1</x:v>
      </x:c>
      <x:c r="H10" s="613" t="str">
        <x:v>High</x:v>
      </x:c>
      <x:c r="I10" s="614" t="str">
        <x:v>Draft Complete</x:v>
      </x:c>
    </x:row>
    <x:row r="11">
      <x:c r="A11" s="607" t="str">
        <x:v>BR-007</x:v>
      </x:c>
      <x:c r="B11" s="114" t="str">
        <x:v>private/excluded_domain</x:v>
      </x:c>
      <x:c r="C11" s="114" t="str">
        <x:v>Current page matches excluded or private domain.</x:v>
      </x:c>
      <x:c r="D11" s="114" t="str">
        <x:v>reason code, domain category, policy ID; no title/URL content</x:v>
      </x:c>
      <x:c r="E11" s="114" t="str">
        <x:v>Policy + tabs/domain check</x:v>
      </x:c>
      <x:c r="F11" s="114" t="str">
        <x:v>Suppression event only.</x:v>
      </x:c>
      <x:c r="G11" s="114" t="str">
        <x:v>capture.suppressed.v1</x:v>
      </x:c>
      <x:c r="H11" s="114" t="str">
        <x:v>Critical</x:v>
      </x:c>
      <x:c r="I11" s="608" t="str">
        <x:v>Draft Complete</x:v>
      </x:c>
    </x:row>
    <x:row r="12">
      <x:c r="A12" s="615" t="str">
        <x:v>BR-008</x:v>
      </x:c>
      <x:c r="B12" s="616" t="str">
        <x:v>browser_version_drift</x:v>
      </x:c>
      <x:c r="C12" s="616" t="str">
        <x:v>Browser API/version/permission changes reduce coverage.</x:v>
      </x:c>
      <x:c r="D12" s="616" t="str">
        <x:v>browser version, extension version, failed event types</x:v>
      </x:c>
      <x:c r="E12" s="616" t="str">
        <x:v>Health/conformance tests</x:v>
      </x:c>
      <x:c r="F12" s="616" t="str">
        <x:v>Coverage gap emitted.</x:v>
      </x:c>
      <x:c r="G12" s="616" t="str">
        <x:v>adapter.drift.detected.v1</x:v>
      </x:c>
      <x:c r="H12" s="616" t="str">
        <x:v>High</x:v>
      </x:c>
      <x:c r="I12" s="617" t="str">
        <x:v>Draft Complete</x:v>
      </x:c>
    </x:row>
  </x:sheetData>
  <x:mergeCells>
    <x:mergeCell ref="A1:I1"/>
    <x:mergeCell ref="A2:I2"/>
  </x:mergeCells>
  <x:dataValidations count="2">
    <x:dataValidation type="list" sqref="H5:H12">
      <x:formula1>"Critical,High,Medium,Low"</x:formula1>
    </x:dataValidation>
    <x:dataValidation type="list" sqref="I5:I12">
      <x:formula1>"Draft Complete,Needs Review,Approved,Deferred"</x:formula1>
    </x:dataValidation>
  </x:dataValidations>
  <x:pageMargins left="0.7" right="0.7" top="0.75" bottom="0.75" header="0.3" footer="0.3"/>
</x:worksheet>
</file>

<file path=xl/worksheets/sheet91.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58" hidden="0" customWidth="1"/>
    <x:col min="5" max="5" width="40" hidden="0" customWidth="1"/>
    <x:col min="6" max="6" width="54" hidden="0" customWidth="1"/>
    <x:col min="7" max="7" width="34" hidden="0" customWidth="1"/>
    <x:col min="8" max="8" width="12" hidden="0" customWidth="1"/>
    <x:col min="9" max="9" width="18" hidden="0" customWidth="1"/>
  </x:cols>
  <x:sheetData>
    <x:row r="1" ht="30" customHeight="1">
      <x:c r="A1" s="569" t="str">
        <x:v>Stage 6 — Shell and Process Adapter</x:v>
      </x:c>
      <x:c r="B1" s="569"/>
      <x:c r="C1" s="569"/>
      <x:c r="D1" s="569"/>
      <x:c r="E1" s="569"/>
      <x:c r="F1" s="569"/>
      <x:c r="G1" s="569"/>
      <x:c r="H1" s="569"/>
      <x:c r="I1" s="569"/>
    </x:row>
    <x:row r="2" ht="36" customHeight="1">
      <x:c r="A2" s="573" t="str">
        <x:v>PowerShell, bash and zsh semantic events with process-tree correlation and secret-redacted command/result evidence.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SH-001</x:v>
      </x:c>
      <x:c r="B5" s="605" t="str">
        <x:v>shell.session.started</x:v>
      </x:c>
      <x:c r="C5" s="605" t="str">
        <x:v>Shell session created or attached.</x:v>
      </x:c>
      <x:c r="D5" s="605" t="str">
        <x:v>shell type/version, cwd_ref, terminal/window/process refs</x:v>
      </x:c>
      <x:c r="E5" s="605" t="str">
        <x:v>PTY/shell integration</x:v>
      </x:c>
      <x:c r="F5" s="605" t="str">
        <x:v>No environment dump.</x:v>
      </x:c>
      <x:c r="G5" s="605" t="str">
        <x:v>shell.session.started.v1</x:v>
      </x:c>
      <x:c r="H5" s="605" t="str">
        <x:v>High</x:v>
      </x:c>
      <x:c r="I5" s="606" t="str">
        <x:v>Draft Complete</x:v>
      </x:c>
    </x:row>
    <x:row r="6">
      <x:c r="A6" s="612" t="str">
        <x:v>SH-002</x:v>
      </x:c>
      <x:c r="B6" s="613" t="str">
        <x:v>shell.command.started</x:v>
      </x:c>
      <x:c r="C6" s="613" t="str">
        <x:v>Command begins execution.</x:v>
      </x:c>
      <x:c r="D6" s="613" t="str">
        <x:v>command_ref/redacted command, cwd_ref, process_id, parent_id, task/session refs</x:v>
      </x:c>
      <x:c r="E6" s="613" t="str">
        <x:v>Shell integration/PTY</x:v>
      </x:c>
      <x:c r="F6" s="613" t="str">
        <x:v>Secret/env scanning before content ref persistence.</x:v>
      </x:c>
      <x:c r="G6" s="613" t="str">
        <x:v>shell.command.started.v1</x:v>
      </x:c>
      <x:c r="H6" s="613" t="str">
        <x:v>Critical</x:v>
      </x:c>
      <x:c r="I6" s="614" t="str">
        <x:v>Draft Complete</x:v>
      </x:c>
    </x:row>
    <x:row r="7">
      <x:c r="A7" s="607" t="str">
        <x:v>SH-003</x:v>
      </x:c>
      <x:c r="B7" s="114" t="str">
        <x:v>shell.command.completed</x:v>
      </x:c>
      <x:c r="C7" s="114" t="str">
        <x:v>Command exits or is interrupted.</x:v>
      </x:c>
      <x:c r="D7" s="114" t="str">
        <x:v>process_id, exit_code, duration, signal, output_ref, stderr_summary</x:v>
      </x:c>
      <x:c r="E7" s="114" t="str">
        <x:v>Shell integration/PTY/process</x:v>
      </x:c>
      <x:c r="F7" s="114" t="str">
        <x:v>Bounded output refs; no secrets in operational logs.</x:v>
      </x:c>
      <x:c r="G7" s="114" t="str">
        <x:v>shell.command.completed.v1</x:v>
      </x:c>
      <x:c r="H7" s="114" t="str">
        <x:v>Critical</x:v>
      </x:c>
      <x:c r="I7" s="608" t="str">
        <x:v>Draft Complete</x:v>
      </x:c>
    </x:row>
    <x:row r="8">
      <x:c r="A8" s="612" t="str">
        <x:v>SH-004</x:v>
      </x:c>
      <x:c r="B8" s="613" t="str">
        <x:v>cwd.changed</x:v>
      </x:c>
      <x:c r="C8" s="613" t="str">
        <x:v>Working directory changed.</x:v>
      </x:c>
      <x:c r="D8" s="613" t="str">
        <x:v>old/new cwd hash/ref, repo root ref if approved</x:v>
      </x:c>
      <x:c r="E8" s="613" t="str">
        <x:v>Shell integration</x:v>
      </x:c>
      <x:c r="F8" s="613" t="str">
        <x:v>Path tokenisation; approved roots only.</x:v>
      </x:c>
      <x:c r="G8" s="613" t="str">
        <x:v>shell.cwd.changed.v1</x:v>
      </x:c>
      <x:c r="H8" s="613" t="str">
        <x:v>Medium</x:v>
      </x:c>
      <x:c r="I8" s="614" t="str">
        <x:v>Draft Complete</x:v>
      </x:c>
    </x:row>
    <x:row r="9">
      <x:c r="A9" s="607" t="str">
        <x:v>SH-005</x:v>
      </x:c>
      <x:c r="B9" s="114" t="str">
        <x:v>process.spawned</x:v>
      </x:c>
      <x:c r="C9" s="114" t="str">
        <x:v>Child process tree expands from command/tool.</x:v>
      </x:c>
      <x:c r="D9" s="114" t="str">
        <x:v>pid, ppid, executable identity, args_ref policy, start_time</x:v>
      </x:c>
      <x:c r="E9" s="114" t="str">
        <x:v>OS process + shell correlation</x:v>
      </x:c>
      <x:c r="F9" s="114" t="str">
        <x:v>Command-line redaction; no env by default.</x:v>
      </x:c>
      <x:c r="G9" s="114" t="str">
        <x:v>process.lifecycle.v1</x:v>
      </x:c>
      <x:c r="H9" s="114" t="str">
        <x:v>High</x:v>
      </x:c>
      <x:c r="I9" s="608" t="str">
        <x:v>Draft Complete</x:v>
      </x:c>
    </x:row>
    <x:row r="10">
      <x:c r="A10" s="612" t="str">
        <x:v>SH-006</x:v>
      </x:c>
      <x:c r="B10" s="613" t="str">
        <x:v>process.completed</x:v>
      </x:c>
      <x:c r="C10" s="613" t="str">
        <x:v>Process exits.</x:v>
      </x:c>
      <x:c r="D10" s="613" t="str">
        <x:v>pid, exit_code, duration, resource summary</x:v>
      </x:c>
      <x:c r="E10" s="613" t="str">
        <x:v>OS process + shell correlation</x:v>
      </x:c>
      <x:c r="F10" s="613" t="str">
        <x:v>Operational only; no personal inference.</x:v>
      </x:c>
      <x:c r="G10" s="613" t="str">
        <x:v>process.lifecycle.v1</x:v>
      </x:c>
      <x:c r="H10" s="613" t="str">
        <x:v>High</x:v>
      </x:c>
      <x:c r="I10" s="614" t="str">
        <x:v>Draft Complete</x:v>
      </x:c>
    </x:row>
    <x:row r="11">
      <x:c r="A11" s="607" t="str">
        <x:v>SH-007</x:v>
      </x:c>
      <x:c r="B11" s="114" t="str">
        <x:v>build_or_test_detected</x:v>
      </x:c>
      <x:c r="C11" s="114" t="str">
        <x:v>Command recognised as build/test/lint/run.</x:v>
      </x:c>
      <x:c r="D11" s="114" t="str">
        <x:v>tool, target, inferred task linkage, process refs</x:v>
      </x:c>
      <x:c r="E11" s="114" t="str">
        <x:v>Command parser + process/tool adapters</x:v>
      </x:c>
      <x:c r="F11" s="114" t="str">
        <x:v>Inference flagged; not final pass/fail unless result captured.</x:v>
      </x:c>
      <x:c r="G11" s="114" t="str">
        <x:v>build.test.lifecycle.v1</x:v>
      </x:c>
      <x:c r="H11" s="114" t="str">
        <x:v>High</x:v>
      </x:c>
      <x:c r="I11" s="608" t="str">
        <x:v>Draft Complete</x:v>
      </x:c>
    </x:row>
    <x:row r="12">
      <x:c r="A12" s="612" t="str">
        <x:v>SH-008</x:v>
      </x:c>
      <x:c r="B12" s="613" t="str">
        <x:v>long_running_process</x:v>
      </x:c>
      <x:c r="C12" s="613" t="str">
        <x:v>Process continues beyond idle threshold.</x:v>
      </x:c>
      <x:c r="D12" s="613" t="str">
        <x:v>pid, command category, duration, last output timestamp</x:v>
      </x:c>
      <x:c r="E12" s="613" t="str">
        <x:v>Process/shell</x:v>
      </x:c>
      <x:c r="F12" s="613" t="str">
        <x:v>Creates automated execution/wait context.</x:v>
      </x:c>
      <x:c r="G12" s="613" t="str">
        <x:v>automation.execution.state.v1</x:v>
      </x:c>
      <x:c r="H12" s="613" t="str">
        <x:v>Critical</x:v>
      </x:c>
      <x:c r="I12" s="614" t="str">
        <x:v>Draft Complete</x:v>
      </x:c>
    </x:row>
    <x:row r="13">
      <x:c r="A13" s="607" t="str">
        <x:v>SH-009</x:v>
      </x:c>
      <x:c r="B13" s="114" t="str">
        <x:v>secret_redaction</x:v>
      </x:c>
      <x:c r="C13" s="114" t="str">
        <x:v>Command/output contained synthetic or actual secret pattern and was redacted/suppressed.</x:v>
      </x:c>
      <x:c r="D13" s="114" t="str">
        <x:v>rule ID, redaction class, suppression reason</x:v>
      </x:c>
      <x:c r="E13" s="114" t="str">
        <x:v>Local secret scanner</x:v>
      </x:c>
      <x:c r="F13" s="114" t="str">
        <x:v>No secret value persisted.</x:v>
      </x:c>
      <x:c r="G13" s="114" t="str">
        <x:v>capture.suppressed.v1</x:v>
      </x:c>
      <x:c r="H13" s="114" t="str">
        <x:v>Critical</x:v>
      </x:c>
      <x:c r="I13" s="608" t="str">
        <x:v>Draft Complete</x:v>
      </x:c>
    </x:row>
    <x:row r="14">
      <x:c r="A14" s="615" t="str">
        <x:v>SH-010</x:v>
      </x:c>
      <x:c r="B14" s="616" t="str">
        <x:v>unsupported_shell_gap</x:v>
      </x:c>
      <x:c r="C14" s="616" t="str">
        <x:v>Shell lacks semantic integration or permission denied.</x:v>
      </x:c>
      <x:c r="D14" s="616" t="str">
        <x:v>shell/process context, coverage state, fallback sensors</x:v>
      </x:c>
      <x:c r="E14" s="616" t="str">
        <x:v>Adapter health</x:v>
      </x:c>
      <x:c r="F14" s="616" t="str">
        <x:v>Downstream confidence reduction.</x:v>
      </x:c>
      <x:c r="G14" s="616" t="str">
        <x:v>telemetry.gap.detected.v1</x:v>
      </x:c>
      <x:c r="H14" s="616" t="str">
        <x:v>High</x:v>
      </x:c>
      <x:c r="I14" s="617" t="str">
        <x:v>Draft Complete</x:v>
      </x:c>
    </x:row>
  </x:sheetData>
  <x:mergeCells>
    <x:mergeCell ref="A1:I1"/>
    <x:mergeCell ref="A2:I2"/>
  </x:mergeCells>
  <x:dataValidations count="2">
    <x:dataValidation type="list" sqref="H5:H14">
      <x:formula1>"Critical,High,Medium,Low"</x:formula1>
    </x:dataValidation>
    <x:dataValidation type="list" sqref="I5:I14">
      <x:formula1>"Draft Complete,Needs Review,Approved,Deferred"</x:formula1>
    </x:dataValidation>
  </x:dataValidations>
  <x:pageMargins left="0.7" right="0.7" top="0.75" bottom="0.75" header="0.3" footer="0.3"/>
</x:worksheet>
</file>

<file path=xl/worksheets/sheet92.xml><?xml version="1.0" encoding="utf-8"?>
<x:worksheet xmlns:x="http://schemas.openxmlformats.org/spreadsheetml/2006/main">
  <x:sheetFormatPr defaultRowHeight="15"/>
  <x:cols>
    <x:col min="1" max="1" width="14" hidden="0" customWidth="1"/>
    <x:col min="2" max="2" width="30" hidden="0" customWidth="1"/>
    <x:col min="3" max="3" width="46" hidden="0" customWidth="1"/>
    <x:col min="4" max="4" width="58"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Git, CI and IDE Adapters</x:v>
      </x:c>
      <x:c r="B1" s="569"/>
      <x:c r="C1" s="569"/>
      <x:c r="D1" s="569"/>
      <x:c r="E1" s="569"/>
      <x:c r="F1" s="569"/>
      <x:c r="G1" s="569"/>
      <x:c r="H1" s="569"/>
      <x:c r="I1" s="569"/>
    </x:row>
    <x:row r="2" ht="36" customHeight="1">
      <x:c r="A2" s="573" t="str">
        <x:v>Semantic event design for Git/GitHub/CI and development environments. Authoritative source-system results outrank screenshots and AI inference.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GIDE-001</x:v>
      </x:c>
      <x:c r="B5" s="605" t="str">
        <x:v>git.repo.detected</x:v>
      </x:c>
      <x:c r="C5" s="605" t="str">
        <x:v>Approved repository detected and mapped to HumanOS task/project.</x:v>
      </x:c>
      <x:c r="D5" s="605" t="str">
        <x:v>repo_id, root_ref, remote_hash/ref, branch, workspace</x:v>
      </x:c>
      <x:c r="E5" s="605" t="str">
        <x:v>Git CLI/libgit2/JGit + approved roots</x:v>
      </x:c>
      <x:c r="F5" s="605" t="str">
        <x:v>Repo roots allowlisted; no personal repos.</x:v>
      </x:c>
      <x:c r="G5" s="605" t="str">
        <x:v>git.repo.detected.v1</x:v>
      </x:c>
      <x:c r="H5" s="605" t="str">
        <x:v>Critical</x:v>
      </x:c>
      <x:c r="I5" s="606" t="str">
        <x:v>Draft Complete</x:v>
      </x:c>
    </x:row>
    <x:row r="6">
      <x:c r="A6" s="612" t="str">
        <x:v>GIDE-002</x:v>
      </x:c>
      <x:c r="B6" s="613" t="str">
        <x:v>git.branch.changed</x:v>
      </x:c>
      <x:c r="C6" s="613" t="str">
        <x:v>Branch checkout/switch/rebase/merge state changed.</x:v>
      </x:c>
      <x:c r="D6" s="613" t="str">
        <x:v>old/new branch refs, commit SHAs, operation type</x:v>
      </x:c>
      <x:c r="E6" s="613" t="str">
        <x:v>Git CLI/hooks/status</x:v>
      </x:c>
      <x:c r="F6" s="613" t="str">
        <x:v>Branch names can contain ticket/customer info; redact by policy.</x:v>
      </x:c>
      <x:c r="G6" s="613" t="str">
        <x:v>git.branch.changed.v1</x:v>
      </x:c>
      <x:c r="H6" s="613" t="str">
        <x:v>High</x:v>
      </x:c>
      <x:c r="I6" s="614" t="str">
        <x:v>Draft Complete</x:v>
      </x:c>
    </x:row>
    <x:row r="7">
      <x:c r="A7" s="607" t="str">
        <x:v>GIDE-003</x:v>
      </x:c>
      <x:c r="B7" s="114" t="str">
        <x:v>git.diff.changed</x:v>
      </x:c>
      <x:c r="C7" s="114" t="str">
        <x:v>Working tree/index changed materially.</x:v>
      </x:c>
      <x:c r="D7" s="114" t="str">
        <x:v>file refs, hash/diff stats, change type, actor candidate</x:v>
      </x:c>
      <x:c r="E7" s="114" t="str">
        <x:v>Git status/diff + file watcher</x:v>
      </x:c>
      <x:c r="F7" s="114" t="str">
        <x:v>Diff content stored only if approved; line count not productivity.</x:v>
      </x:c>
      <x:c r="G7" s="114" t="str">
        <x:v>git.diff.changed.v1</x:v>
      </x:c>
      <x:c r="H7" s="114" t="str">
        <x:v>Critical</x:v>
      </x:c>
      <x:c r="I7" s="608" t="str">
        <x:v>Draft Complete</x:v>
      </x:c>
    </x:row>
    <x:row r="8">
      <x:c r="A8" s="612" t="str">
        <x:v>GIDE-004</x:v>
      </x:c>
      <x:c r="B8" s="613" t="str">
        <x:v>git.commit.created</x:v>
      </x:c>
      <x:c r="C8" s="613" t="str">
        <x:v>Commit created locally.</x:v>
      </x:c>
      <x:c r="D8" s="613" t="str">
        <x:v>commit SHA, parent SHAs, author/committer refs, message_ref, file hashes</x:v>
      </x:c>
      <x:c r="E8" s="613" t="str">
        <x:v>Git hook/status/log</x:v>
      </x:c>
      <x:c r="F8" s="613" t="str">
        <x:v>Local hooks mutable; corroborate with repo state/GitHub push.</x:v>
      </x:c>
      <x:c r="G8" s="613" t="str">
        <x:v>git.commit.created.v1</x:v>
      </x:c>
      <x:c r="H8" s="613" t="str">
        <x:v>High</x:v>
      </x:c>
      <x:c r="I8" s="614" t="str">
        <x:v>Draft Complete</x:v>
      </x:c>
    </x:row>
    <x:row r="9">
      <x:c r="A9" s="607" t="str">
        <x:v>GIDE-005</x:v>
      </x:c>
      <x:c r="B9" s="114" t="str">
        <x:v>github.pull_request</x:v>
      </x:c>
      <x:c r="C9" s="114" t="str">
        <x:v>PR opened/updated/merged/closed/reviewed.</x:v>
      </x:c>
      <x:c r="D9" s="114" t="str">
        <x:v>PR ID, branch, commit, review state, labels, linked task refs</x:v>
      </x:c>
      <x:c r="E9" s="114" t="str">
        <x:v>GitHub webhooks/API</x:v>
      </x:c>
      <x:c r="F9" s="114" t="str">
        <x:v>GitHub App least permissions.</x:v>
      </x:c>
      <x:c r="G9" s="114" t="str">
        <x:v>github.pr.semantic.v1</x:v>
      </x:c>
      <x:c r="H9" s="114" t="str">
        <x:v>Critical</x:v>
      </x:c>
      <x:c r="I9" s="608" t="str">
        <x:v>Draft Complete</x:v>
      </x:c>
    </x:row>
    <x:row r="10">
      <x:c r="A10" s="612" t="str">
        <x:v>GIDE-006</x:v>
      </x:c>
      <x:c r="B10" s="613" t="str">
        <x:v>github.review</x:v>
      </x:c>
      <x:c r="C10" s="613" t="str">
        <x:v>Review submitted or comment resolved.</x:v>
      </x:c>
      <x:c r="D10" s="613" t="str">
        <x:v>review ID, state, reviewer, files/threads refs</x:v>
      </x:c>
      <x:c r="E10" s="613" t="str">
        <x:v>GitHub webhook/API</x:v>
      </x:c>
      <x:c r="F10" s="613" t="str">
        <x:v>Review text/content refs controlled.</x:v>
      </x:c>
      <x:c r="G10" s="613" t="str">
        <x:v>github.review.semantic.v1</x:v>
      </x:c>
      <x:c r="H10" s="613" t="str">
        <x:v>High</x:v>
      </x:c>
      <x:c r="I10" s="614" t="str">
        <x:v>Draft Complete</x:v>
      </x:c>
    </x:row>
    <x:row r="11">
      <x:c r="A11" s="607" t="str">
        <x:v>GIDE-007</x:v>
      </x:c>
      <x:c r="B11" s="114" t="str">
        <x:v>github.check_run</x:v>
      </x:c>
      <x:c r="C11" s="114" t="str">
        <x:v>Check run created/started/completed/rerequested.</x:v>
      </x:c>
      <x:c r="D11" s="114" t="str">
        <x:v>check_run ID, status, conclusion, SHA, run URL, app ID</x:v>
      </x:c>
      <x:c r="E11" s="114" t="str">
        <x:v>GitHub Checks API/webhooks</x:v>
      </x:c>
      <x:c r="F11" s="114" t="str">
        <x:v>Checks write only GitHub Apps; read-only may suffice for evidence.</x:v>
      </x:c>
      <x:c r="G11" s="114" t="str">
        <x:v>github.check.semantic.v1</x:v>
      </x:c>
      <x:c r="H11" s="114" t="str">
        <x:v>Critical</x:v>
      </x:c>
      <x:c r="I11" s="608" t="str">
        <x:v>Draft Complete</x:v>
      </x:c>
    </x:row>
    <x:row r="12">
      <x:c r="A12" s="612" t="str">
        <x:v>GIDE-008</x:v>
      </x:c>
      <x:c r="B12" s="613" t="str">
        <x:v>github.workflow_run</x:v>
      </x:c>
      <x:c r="C12" s="613" t="str">
        <x:v>GitHub Actions workflow state.</x:v>
      </x:c>
      <x:c r="D12" s="613" t="str">
        <x:v>workflow_run ID, status, conclusion, run attempt, branch/SHA</x:v>
      </x:c>
      <x:c r="E12" s="613" t="str">
        <x:v>GitHub webhooks/API</x:v>
      </x:c>
      <x:c r="F12" s="613" t="str">
        <x:v>Logs/artifacts refs; not raw logs by default.</x:v>
      </x:c>
      <x:c r="G12" s="613" t="str">
        <x:v>ci.workflow.semantic.v1</x:v>
      </x:c>
      <x:c r="H12" s="613" t="str">
        <x:v>Critical</x:v>
      </x:c>
      <x:c r="I12" s="614" t="str">
        <x:v>Draft Complete</x:v>
      </x:c>
    </x:row>
    <x:row r="13">
      <x:c r="A13" s="607" t="str">
        <x:v>GIDE-009</x:v>
      </x:c>
      <x:c r="B13" s="114" t="str">
        <x:v>ci.job.completed</x:v>
      </x:c>
      <x:c r="C13" s="114" t="str">
        <x:v>CI job/test/build finished.</x:v>
      </x:c>
      <x:c r="D13" s="114" t="str">
        <x:v>job ID, result, duration, test counts, artefact refs</x:v>
      </x:c>
      <x:c r="E13" s="114" t="str">
        <x:v>GitHub workflow_job or provider API</x:v>
      </x:c>
      <x:c r="F13" s="114" t="str">
        <x:v>Authoritative for quality gates when scoped.</x:v>
      </x:c>
      <x:c r="G13" s="114" t="str">
        <x:v>ci.job.semantic.v1</x:v>
      </x:c>
      <x:c r="H13" s="114" t="str">
        <x:v>High</x:v>
      </x:c>
      <x:c r="I13" s="608" t="str">
        <x:v>Draft Complete</x:v>
      </x:c>
    </x:row>
    <x:row r="14">
      <x:c r="A14" s="612" t="str">
        <x:v>GIDE-010</x:v>
      </x:c>
      <x:c r="B14" s="613" t="str">
        <x:v>vscode.document.changed</x:v>
      </x:c>
      <x:c r="C14" s="613" t="str">
        <x:v>Open/edit/save/document diagnostics events.</x:v>
      </x:c>
      <x:c r="D14" s="613" t="str">
        <x:v>uri ref, language, range/hash, diagnostics summary, task refs</x:v>
      </x:c>
      <x:c r="E14" s="613" t="str">
        <x:v>VS Code extension API</x:v>
      </x:c>
      <x:c r="F14" s="613" t="str">
        <x:v>No source text in logs; content refs only.</x:v>
      </x:c>
      <x:c r="G14" s="613" t="str">
        <x:v>ide.document.semantic.v1</x:v>
      </x:c>
      <x:c r="H14" s="613" t="str">
        <x:v>High</x:v>
      </x:c>
      <x:c r="I14" s="614" t="str">
        <x:v>Draft Complete</x:v>
      </x:c>
    </x:row>
    <x:row r="15">
      <x:c r="A15" s="607" t="str">
        <x:v>GIDE-011</x:v>
      </x:c>
      <x:c r="B15" s="114" t="str">
        <x:v>vscode.task.terminal</x:v>
      </x:c>
      <x:c r="C15" s="114" t="str">
        <x:v>VS Code task/terminal shell execution lifecycle.</x:v>
      </x:c>
      <x:c r="D15" s="114" t="str">
        <x:v>task name/ref, shell execution, exit code, problem matcher refs</x:v>
      </x:c>
      <x:c r="E15" s="114" t="str">
        <x:v>VS Code task/terminal APIs</x:v>
      </x:c>
      <x:c r="F15" s="114" t="str">
        <x:v>Task outputs bounded/redacted.</x:v>
      </x:c>
      <x:c r="G15" s="114" t="str">
        <x:v>ide.task.semantic.v1</x:v>
      </x:c>
      <x:c r="H15" s="114" t="str">
        <x:v>High</x:v>
      </x:c>
      <x:c r="I15" s="608" t="str">
        <x:v>Draft Complete</x:v>
      </x:c>
    </x:row>
    <x:row r="16">
      <x:c r="A16" s="612" t="str">
        <x:v>GIDE-012</x:v>
      </x:c>
      <x:c r="B16" s="613" t="str">
        <x:v>jetbrains.vfs.psi</x:v>
      </x:c>
      <x:c r="C16" s="613" t="str">
        <x:v>Document/VFS/PSI/editor semantic changes.</x:v>
      </x:c>
      <x:c r="D16" s="613" t="str">
        <x:v>file ref, PSI element summary, run config/test refs</x:v>
      </x:c>
      <x:c r="E16" s="613" t="str">
        <x:v>IntelliJ Platform plugin SDK</x:v>
      </x:c>
      <x:c r="F16" s="613" t="str">
        <x:v>Plugin version-specific conformance required.</x:v>
      </x:c>
      <x:c r="G16" s="613" t="str">
        <x:v>ide.document.semantic.v1</x:v>
      </x:c>
      <x:c r="H16" s="613" t="str">
        <x:v>High</x:v>
      </x:c>
      <x:c r="I16" s="614" t="str">
        <x:v>Draft Complete</x:v>
      </x:c>
    </x:row>
    <x:row r="17">
      <x:c r="A17" s="607" t="str">
        <x:v>GIDE-013</x:v>
      </x:c>
      <x:c r="B17" s="114" t="str">
        <x:v>jetbrains.run.test</x:v>
      </x:c>
      <x:c r="C17" s="114" t="str">
        <x:v>Run configuration, test/debug/build state.</x:v>
      </x:c>
      <x:c r="D17" s="114" t="str">
        <x:v>run config, executor, test results, process refs</x:v>
      </x:c>
      <x:c r="E17" s="114" t="str">
        <x:v>IntelliJ execution/test APIs</x:v>
      </x:c>
      <x:c r="F17" s="114" t="str">
        <x:v>Results authoritative where adapter coverage confirmed.</x:v>
      </x:c>
      <x:c r="G17" s="114" t="str">
        <x:v>ide.task.semantic.v1</x:v>
      </x:c>
      <x:c r="H17" s="114" t="str">
        <x:v>High</x:v>
      </x:c>
      <x:c r="I17" s="608" t="str">
        <x:v>Draft Complete</x:v>
      </x:c>
    </x:row>
    <x:row r="18">
      <x:c r="A18" s="612" t="str">
        <x:v>GIDE-014</x:v>
      </x:c>
      <x:c r="B18" s="613" t="str">
        <x:v>xcode.build.test</x:v>
      </x:c>
      <x:c r="C18" s="613" t="str">
        <x:v>Build/test/archive/simulator events.</x:v>
      </x:c>
      <x:c r="D18" s="613" t="str">
        <x:v>scheme, target, result, derived data/log refs</x:v>
      </x:c>
      <x:c r="E18" s="613" t="str">
        <x:v>xcodebuild/xcresult/simulator tooling</x:v>
      </x:c>
      <x:c r="F18" s="613" t="str">
        <x:v>Semantic coverage likely partial; mark coverage.</x:v>
      </x:c>
      <x:c r="G18" s="613" t="str">
        <x:v>toolchain.semantic.v1</x:v>
      </x:c>
      <x:c r="H18" s="613" t="str">
        <x:v>Medium</x:v>
      </x:c>
      <x:c r="I18" s="614" t="str">
        <x:v>Draft Complete</x:v>
      </x:c>
    </x:row>
    <x:row r="19">
      <x:c r="A19" s="607" t="str">
        <x:v>GIDE-015</x:v>
      </x:c>
      <x:c r="B19" s="114" t="str">
        <x:v>android.flutter.build.test</x:v>
      </x:c>
      <x:c r="C19" s="114" t="str">
        <x:v>Gradle/Flutter build/test/run/emulator events.</x:v>
      </x:c>
      <x:c r="D19" s="114" t="str">
        <x:v>command/tool, target/device, result, logs/artefacts</x:v>
      </x:c>
      <x:c r="E19" s="114" t="str">
        <x:v>Gradle/Flutter/adb adapters</x:v>
      </x:c>
      <x:c r="F19" s="114" t="str">
        <x:v>Toolchain version matrix required.</x:v>
      </x:c>
      <x:c r="G19" s="114" t="str">
        <x:v>toolchain.semantic.v1</x:v>
      </x:c>
      <x:c r="H19" s="114" t="str">
        <x:v>High</x:v>
      </x:c>
      <x:c r="I19" s="608" t="str">
        <x:v>Draft Complete</x:v>
      </x:c>
    </x:row>
    <x:row r="20">
      <x:c r="A20" s="615" t="str">
        <x:v>GIDE-016</x:v>
      </x:c>
      <x:c r="B20" s="616" t="str">
        <x:v>docker.events</x:v>
      </x:c>
      <x:c r="C20" s="616" t="str">
        <x:v>Container/image/volume/network lifecycle events.</x:v>
      </x:c>
      <x:c r="D20" s="616" t="str">
        <x:v>object type, action, IDs, labels, task/repo refs</x:v>
      </x:c>
      <x:c r="E20" s="616" t="str">
        <x:v>Docker Engine events API</x:v>
      </x:c>
      <x:c r="F20" s="616" t="str">
        <x:v>No container logs/content by default.</x:v>
      </x:c>
      <x:c r="G20" s="616" t="str">
        <x:v>docker.semantic.v1</x:v>
      </x:c>
      <x:c r="H20" s="616" t="str">
        <x:v>Medium</x:v>
      </x:c>
      <x:c r="I20" s="61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93.xml><?xml version="1.0" encoding="utf-8"?>
<x:worksheet xmlns:x="http://schemas.openxmlformats.org/spreadsheetml/2006/main">
  <x:sheetFormatPr defaultRowHeight="15"/>
  <x:cols>
    <x:col min="1" max="1" width="14" hidden="0" customWidth="1"/>
    <x:col min="2" max="2" width="34" hidden="0" customWidth="1"/>
    <x:col min="3" max="3" width="46" hidden="0" customWidth="1"/>
    <x:col min="4" max="4" width="60"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AI Agent Adapter Hub</x:v>
      </x:c>
      <x:c r="B1" s="569"/>
      <x:c r="C1" s="569"/>
      <x:c r="D1" s="569"/>
      <x:c r="E1" s="569"/>
      <x:c r="F1" s="569"/>
      <x:c r="G1" s="569"/>
      <x:c r="H1" s="569"/>
      <x:c r="I1" s="569"/>
    </x:row>
    <x:row r="2" ht="36" customHeight="1">
      <x:c r="A2" s="573" t="str">
        <x:v>Provider-neutral AI-agent event model for Codex, Claude Code and future agent systems, preserving human direction, tool execution, generated changes and review actions.</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AIAD-001</x:v>
      </x:c>
      <x:c r="B5" s="605" t="str">
        <x:v>agent.session.started</x:v>
      </x:c>
      <x:c r="C5" s="605" t="str">
        <x:v>AI agent session begins/resumes.</x:v>
      </x:c>
      <x:c r="D5" s="605" t="str">
        <x:v>provider, session ID/ref, model/version, workspace/task refs, config/skill version</x:v>
      </x:c>
      <x:c r="E5" s="605" t="str">
        <x:v>Codex/Claude hooks/SDK</x:v>
      </x:c>
      <x:c r="F5" s="605" t="str">
        <x:v>No raw transcript in operational telemetry.</x:v>
      </x:c>
      <x:c r="G5" s="605" t="str">
        <x:v>agent.session.started.v1</x:v>
      </x:c>
      <x:c r="H5" s="605" t="str">
        <x:v>Critical</x:v>
      </x:c>
      <x:c r="I5" s="606" t="str">
        <x:v>Draft Complete</x:v>
      </x:c>
    </x:row>
    <x:row r="6">
      <x:c r="A6" s="612" t="str">
        <x:v>AIAD-002</x:v>
      </x:c>
      <x:c r="B6" s="613" t="str">
        <x:v>agent.prompt.submitted</x:v>
      </x:c>
      <x:c r="C6" s="613" t="str">
        <x:v>Human prompt submitted to agent.</x:v>
      </x:c>
      <x:c r="D6" s="613" t="str">
        <x:v>prompt_ref, prompt_hash, user/task/session refs, policy result</x:v>
      </x:c>
      <x:c r="E6" s="613" t="str">
        <x:v>UserPromptSubmit/Codex hook/Claude hook</x:v>
      </x:c>
      <x:c r="F6" s="613" t="str">
        <x:v>Prompt content encrypted/ref, secret scanned.</x:v>
      </x:c>
      <x:c r="G6" s="613" t="str">
        <x:v>agent.prompt.submitted.v1</x:v>
      </x:c>
      <x:c r="H6" s="613" t="str">
        <x:v>Critical</x:v>
      </x:c>
      <x:c r="I6" s="614" t="str">
        <x:v>Draft Complete</x:v>
      </x:c>
    </x:row>
    <x:row r="7">
      <x:c r="A7" s="607" t="str">
        <x:v>AIAD-003</x:v>
      </x:c>
      <x:c r="B7" s="114" t="str">
        <x:v>agent.plan.created</x:v>
      </x:c>
      <x:c r="C7" s="114" t="str">
        <x:v>Agent produces or updates plan.</x:v>
      </x:c>
      <x:c r="D7" s="114" t="str">
        <x:v>plan_ref/summary, step count, model/version</x:v>
      </x:c>
      <x:c r="E7" s="114" t="str">
        <x:v>Provider hook/transcript parsing where approved</x:v>
      </x:c>
      <x:c r="F7" s="114" t="str">
        <x:v>Plan is AI inference, not task completion evidence.</x:v>
      </x:c>
      <x:c r="G7" s="114" t="str">
        <x:v>agent.plan.created.v1</x:v>
      </x:c>
      <x:c r="H7" s="114" t="str">
        <x:v>Medium</x:v>
      </x:c>
      <x:c r="I7" s="608" t="str">
        <x:v>Draft Complete</x:v>
      </x:c>
    </x:row>
    <x:row r="8">
      <x:c r="A8" s="612" t="str">
        <x:v>AIAD-004</x:v>
      </x:c>
      <x:c r="B8" s="613" t="str">
        <x:v>agent.tool.requested</x:v>
      </x:c>
      <x:c r="C8" s="613" t="str">
        <x:v>Agent requests tool call.</x:v>
      </x:c>
      <x:c r="D8" s="613" t="str">
        <x:v>tool name, input_ref, permission scope, target refs</x:v>
      </x:c>
      <x:c r="E8" s="613" t="str">
        <x:v>PreToolUse/PermissionRequest</x:v>
      </x:c>
      <x:c r="F8" s="613" t="str">
        <x:v>Tool input content sensitive; block/allow policy recorded.</x:v>
      </x:c>
      <x:c r="G8" s="613" t="str">
        <x:v>agent.tool.requested.v1</x:v>
      </x:c>
      <x:c r="H8" s="613" t="str">
        <x:v>Critical</x:v>
      </x:c>
      <x:c r="I8" s="614" t="str">
        <x:v>Draft Complete</x:v>
      </x:c>
    </x:row>
    <x:row r="9">
      <x:c r="A9" s="607" t="str">
        <x:v>AIAD-005</x:v>
      </x:c>
      <x:c r="B9" s="114" t="str">
        <x:v>agent.tool.completed</x:v>
      </x:c>
      <x:c r="C9" s="114" t="str">
        <x:v>Tool call completes.</x:v>
      </x:c>
      <x:c r="D9" s="114" t="str">
        <x:v>tool name, result_ref, duration, success/failure, affected artefacts</x:v>
      </x:c>
      <x:c r="E9" s="114" t="str">
        <x:v>PostToolUse/PostToolUseFailure</x:v>
      </x:c>
      <x:c r="F9" s="114" t="str">
        <x:v>Result content referenced and redacted.</x:v>
      </x:c>
      <x:c r="G9" s="114" t="str">
        <x:v>agent.tool.completed.v1</x:v>
      </x:c>
      <x:c r="H9" s="114" t="str">
        <x:v>Critical</x:v>
      </x:c>
      <x:c r="I9" s="608" t="str">
        <x:v>Draft Complete</x:v>
      </x:c>
    </x:row>
    <x:row r="10">
      <x:c r="A10" s="612" t="str">
        <x:v>AIAD-006</x:v>
      </x:c>
      <x:c r="B10" s="613" t="str">
        <x:v>agent.permission.decision</x:v>
      </x:c>
      <x:c r="C10" s="613" t="str">
        <x:v>Permission requested/allowed/denied.</x:v>
      </x:c>
      <x:c r="D10" s="613" t="str">
        <x:v>permission type, reason, requester, decision, reviewer/human if any</x:v>
      </x:c>
      <x:c r="E10" s="613" t="str">
        <x:v>PermissionRequest/PermissionDenied</x:v>
      </x:c>
      <x:c r="F10" s="613" t="str">
        <x:v>Permission event is governance evidence.</x:v>
      </x:c>
      <x:c r="G10" s="613" t="str">
        <x:v>agent.permission.decision.v1</x:v>
      </x:c>
      <x:c r="H10" s="613" t="str">
        <x:v>High</x:v>
      </x:c>
      <x:c r="I10" s="614" t="str">
        <x:v>Draft Complete</x:v>
      </x:c>
    </x:row>
    <x:row r="11">
      <x:c r="A11" s="607" t="str">
        <x:v>AIAD-007</x:v>
      </x:c>
      <x:c r="B11" s="114" t="str">
        <x:v>agent.file.generated</x:v>
      </x:c>
      <x:c r="C11" s="114" t="str">
        <x:v>Agent generated or modified file/document.</x:v>
      </x:c>
      <x:c r="D11" s="114" t="str">
        <x:v>file refs, hash/diff refs, tool call, session/prompt refs</x:v>
      </x:c>
      <x:c r="E11" s="114" t="str">
        <x:v>Provider hooks + file/Git watcher</x:v>
      </x:c>
      <x:c r="F11" s="114" t="str">
        <x:v>Final human review still required.</x:v>
      </x:c>
      <x:c r="G11" s="114" t="str">
        <x:v>agent.file.generated.v1</x:v>
      </x:c>
      <x:c r="H11" s="114" t="str">
        <x:v>Critical</x:v>
      </x:c>
      <x:c r="I11" s="608" t="str">
        <x:v>Draft Complete</x:v>
      </x:c>
    </x:row>
    <x:row r="12">
      <x:c r="A12" s="612" t="str">
        <x:v>AIAD-008</x:v>
      </x:c>
      <x:c r="B12" s="613" t="str">
        <x:v>agent.command.executed</x:v>
      </x:c>
      <x:c r="C12" s="613" t="str">
        <x:v>Agent caused shell/process execution.</x:v>
      </x:c>
      <x:c r="D12" s="613" t="str">
        <x:v>command/process refs, tool call, result/exit code</x:v>
      </x:c>
      <x:c r="E12" s="613" t="str">
        <x:v>Tool hooks + process/shell adapter</x:v>
      </x:c>
      <x:c r="F12" s="613" t="str">
        <x:v>Counts as AI/automation execution, not human manual typing.</x:v>
      </x:c>
      <x:c r="G12" s="613" t="str">
        <x:v>agent.command.executed.v1</x:v>
      </x:c>
      <x:c r="H12" s="613" t="str">
        <x:v>Critical</x:v>
      </x:c>
      <x:c r="I12" s="614" t="str">
        <x:v>Draft Complete</x:v>
      </x:c>
    </x:row>
    <x:row r="13">
      <x:c r="A13" s="607" t="str">
        <x:v>AIAD-009</x:v>
      </x:c>
      <x:c r="B13" s="114" t="str">
        <x:v>human.reviewed.agent_output</x:v>
      </x:c>
      <x:c r="C13" s="114" t="str">
        <x:v>Employee reviewed/accepted/rejected agent change.</x:v>
      </x:c>
      <x:c r="D13" s="114" t="str">
        <x:v>diff refs, accept/reject action, comment/ref, reviewer</x:v>
      </x:c>
      <x:c r="E13" s="114" t="str">
        <x:v>IDE/Git/UI/manual review event</x:v>
      </x:c>
      <x:c r="F13" s="114" t="str">
        <x:v>Human judgement evidence; not raw mouse count.</x:v>
      </x:c>
      <x:c r="G13" s="114" t="str">
        <x:v>agent.output.reviewed.v1</x:v>
      </x:c>
      <x:c r="H13" s="114" t="str">
        <x:v>Critical</x:v>
      </x:c>
      <x:c r="I13" s="608" t="str">
        <x:v>Draft Complete</x:v>
      </x:c>
    </x:row>
    <x:row r="14">
      <x:c r="A14" s="612" t="str">
        <x:v>AIAD-010</x:v>
      </x:c>
      <x:c r="B14" s="613" t="str">
        <x:v>agent.stop</x:v>
      </x:c>
      <x:c r="C14" s="613" t="str">
        <x:v>Agent turn/session stopped or failed.</x:v>
      </x:c>
      <x:c r="D14" s="613" t="str">
        <x:v>status, stop reason, summary_ref, unresolved actions</x:v>
      </x:c>
      <x:c r="E14" s="613" t="str">
        <x:v>Stop/StopFailure/SessionEnd</x:v>
      </x:c>
      <x:c r="F14" s="613" t="str">
        <x:v>Summary is not verified task completion.</x:v>
      </x:c>
      <x:c r="G14" s="613" t="str">
        <x:v>agent.session.stopped.v1</x:v>
      </x:c>
      <x:c r="H14" s="613" t="str">
        <x:v>High</x:v>
      </x:c>
      <x:c r="I14" s="614" t="str">
        <x:v>Draft Complete</x:v>
      </x:c>
    </x:row>
    <x:row r="15">
      <x:c r="A15" s="607" t="str">
        <x:v>AIAD-011</x:v>
      </x:c>
      <x:c r="B15" s="114" t="str">
        <x:v>agent.subtask</x:v>
      </x:c>
      <x:c r="C15" s="114" t="str">
        <x:v>Subagent/task created/completed.</x:v>
      </x:c>
      <x:c r="D15" s="114" t="str">
        <x:v>task ID/ref, parent session, result/ref, status</x:v>
      </x:c>
      <x:c r="E15" s="114" t="str">
        <x:v>Claude TaskCreated/TaskCompleted/Subagent hooks where available</x:v>
      </x:c>
      <x:c r="F15" s="114" t="str">
        <x:v>Subtasks require source lineage.</x:v>
      </x:c>
      <x:c r="G15" s="114" t="str">
        <x:v>agent.subtask.v1</x:v>
      </x:c>
      <x:c r="H15" s="114" t="str">
        <x:v>Medium</x:v>
      </x:c>
      <x:c r="I15" s="608" t="str">
        <x:v>Draft Complete</x:v>
      </x:c>
    </x:row>
    <x:row r="16">
      <x:c r="A16" s="612" t="str">
        <x:v>AIAD-012</x:v>
      </x:c>
      <x:c r="B16" s="613" t="str">
        <x:v>agent.memory.context</x:v>
      </x:c>
      <x:c r="C16" s="613" t="str">
        <x:v>Approved memory/context injected or retrieved.</x:v>
      </x:c>
      <x:c r="D16" s="613" t="str">
        <x:v>memory/skill refs, source version, reason</x:v>
      </x:c>
      <x:c r="E16" s="613" t="str">
        <x:v>Provider hooks/Model Gateway</x:v>
      </x:c>
      <x:c r="F16" s="613" t="str">
        <x:v>No hidden employee evaluation context without policy.</x:v>
      </x:c>
      <x:c r="G16" s="613" t="str">
        <x:v>agent.context.used.v1</x:v>
      </x:c>
      <x:c r="H16" s="613" t="str">
        <x:v>High</x:v>
      </x:c>
      <x:c r="I16" s="614" t="str">
        <x:v>Draft Complete</x:v>
      </x:c>
    </x:row>
    <x:row r="17">
      <x:c r="A17" s="607" t="str">
        <x:v>AIAD-013</x:v>
      </x:c>
      <x:c r="B17" s="114" t="str">
        <x:v>agent.cost.latency</x:v>
      </x:c>
      <x:c r="C17" s="114" t="str">
        <x:v>Operational usage metrics.</x:v>
      </x:c>
      <x:c r="D17" s="114" t="str">
        <x:v>provider/model, tokens/latency/cost estimate, session ref</x:v>
      </x:c>
      <x:c r="E17" s="114" t="str">
        <x:v>Provider telemetry/Model Gateway</x:v>
      </x:c>
      <x:c r="F17" s="114" t="str">
        <x:v>Operational data only; not productivity/capability score.</x:v>
      </x:c>
      <x:c r="G17" s="114" t="str">
        <x:v>agent.operational.metrics.v1</x:v>
      </x:c>
      <x:c r="H17" s="114" t="str">
        <x:v>Medium</x:v>
      </x:c>
      <x:c r="I17" s="608" t="str">
        <x:v>Draft Complete</x:v>
      </x:c>
    </x:row>
    <x:row r="18">
      <x:c r="A18" s="615" t="str">
        <x:v>AIAD-014</x:v>
      </x:c>
      <x:c r="B18" s="616" t="str">
        <x:v>agent.coverage.gap</x:v>
      </x:c>
      <x:c r="C18" s="616" t="str">
        <x:v>Provider hook unavailable, version unsupported or event missing.</x:v>
      </x:c>
      <x:c r="D18" s="616" t="str">
        <x:v>provider/version, missing events, fallback state</x:v>
      </x:c>
      <x:c r="E18" s="616" t="str">
        <x:v>Adapter health</x:v>
      </x:c>
      <x:c r="F18" s="616" t="str">
        <x:v>Downstream confidence reduction.</x:v>
      </x:c>
      <x:c r="G18" s="616" t="str">
        <x:v>adapter.coverage.gap.v1</x:v>
      </x:c>
      <x:c r="H18" s="616" t="str">
        <x:v>High</x:v>
      </x:c>
      <x:c r="I18" s="617" t="str">
        <x:v>Draft Complete</x:v>
      </x:c>
    </x:row>
  </x:sheetData>
  <x:mergeCells>
    <x:mergeCell ref="A1:I1"/>
    <x:mergeCell ref="A2:I2"/>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4.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46" hidden="0" customWidth="1"/>
    <x:col min="5" max="5" width="56" hidden="0" customWidth="1"/>
    <x:col min="6" max="6" width="24" hidden="0" customWidth="1"/>
    <x:col min="7" max="7" width="18" hidden="0" customWidth="1"/>
  </x:cols>
  <x:sheetData>
    <x:row r="1" ht="30" customHeight="1">
      <x:c r="A1" s="569" t="str">
        <x:v>Stage 6 — Adapter Conformance Tests</x:v>
      </x:c>
      <x:c r="B1" s="569"/>
      <x:c r="C1" s="569"/>
      <x:c r="D1" s="569"/>
      <x:c r="E1" s="569"/>
      <x:c r="F1" s="569"/>
      <x:c r="G1" s="569"/>
    </x:row>
    <x:row r="2" ht="36" customHeight="1">
      <x:c r="A2" s="573" t="str">
        <x:v>Required compatibility, privacy, lineage, drift, fallback and employee-visibility tests before an adapter can be activated.</x:v>
      </x:c>
      <x:c r="B2" s="573"/>
      <x:c r="C2" s="573"/>
      <x:c r="D2" s="573"/>
      <x:c r="E2" s="573"/>
      <x:c r="F2" s="573"/>
      <x:c r="G2" s="573"/>
    </x:row>
    <x:row r="4" ht="30" customHeight="1">
      <x:c r="A4" s="585" t="str">
        <x:v>ID</x:v>
      </x:c>
      <x:c r="B4" s="586" t="str">
        <x:v>Test area</x:v>
      </x:c>
      <x:c r="C4" s="586" t="str">
        <x:v>Requirement</x:v>
      </x:c>
      <x:c r="D4" s="586" t="str">
        <x:v>Method</x:v>
      </x:c>
      <x:c r="E4" s="586" t="str">
        <x:v>Acceptance criterion</x:v>
      </x:c>
      <x:c r="F4" s="586" t="str">
        <x:v>Owner</x:v>
      </x:c>
      <x:c r="G4" s="587" t="str">
        <x:v>Status</x:v>
      </x:c>
    </x:row>
    <x:row r="5">
      <x:c r="A5" s="604" t="str">
        <x:v>CONF-001</x:v>
      </x:c>
      <x:c r="B5" s="605" t="str">
        <x:v>Manifest schema validation</x:v>
      </x:c>
      <x:c r="C5" s="605" t="str">
        <x:v>Adapter manifest validates, signs and declares capabilities/permissions.</x:v>
      </x:c>
      <x:c r="D5" s="605" t="str">
        <x:v>Positive/negative manifest fixtures.</x:v>
      </x:c>
      <x:c r="E5" s="605" t="str">
        <x:v>Invalid manifests rejected; approved manifest recorded.</x:v>
      </x:c>
      <x:c r="F5" s="605" t="str">
        <x:v>Adapter Registry</x:v>
      </x:c>
      <x:c r="G5" s="606" t="str">
        <x:v>Critical</x:v>
      </x:c>
      <x:c r="H5" t="str">
        <x:v>Draft Complete</x:v>
      </x:c>
    </x:row>
    <x:row r="6">
      <x:c r="A6" s="612" t="str">
        <x:v>CONF-002</x:v>
      </x:c>
      <x:c r="B6" s="613" t="str">
        <x:v>Policy enforcement</x:v>
      </x:c>
      <x:c r="C6" s="613" t="str">
        <x:v>Adapter cannot emit capability not allowed by signed policy.</x:v>
      </x:c>
      <x:c r="D6" s="613" t="str">
        <x:v>Attempt unsupported events under restrictive policy.</x:v>
      </x:c>
      <x:c r="E6" s="613" t="str">
        <x:v>Event blocked and violation audit emitted.</x:v>
      </x:c>
      <x:c r="F6" s="613" t="str">
        <x:v>Security/QA</x:v>
      </x:c>
      <x:c r="G6" s="614" t="str">
        <x:v>Critical</x:v>
      </x:c>
      <x:c r="H6" t="str">
        <x:v>Draft Complete</x:v>
      </x:c>
    </x:row>
    <x:row r="7">
      <x:c r="A7" s="607" t="str">
        <x:v>CONF-003</x:v>
      </x:c>
      <x:c r="B7" s="114" t="str">
        <x:v>Redaction path</x:v>
      </x:c>
      <x:c r="C7" s="114" t="str">
        <x:v>Content refs are redacted/secret-scanned before journal/upload.</x:v>
      </x:c>
      <x:c r="D7" s="114" t="str">
        <x:v>Synthetic secret corpus across prompt/terminal/editor/browser.</x:v>
      </x:c>
      <x:c r="E7" s="114" t="str">
        <x:v>Zero known high-severity secret retained.</x:v>
      </x:c>
      <x:c r="F7" s="114" t="str">
        <x:v>CISO/QA</x:v>
      </x:c>
      <x:c r="G7" s="608" t="str">
        <x:v>Critical</x:v>
      </x:c>
      <x:c r="H7" t="str">
        <x:v>Draft Complete</x:v>
      </x:c>
    </x:row>
    <x:row r="8">
      <x:c r="A8" s="612" t="str">
        <x:v>CONF-004</x:v>
      </x:c>
      <x:c r="B8" s="613" t="str">
        <x:v>Provider lineage</x:v>
      </x:c>
      <x:c r="C8" s="613" t="str">
        <x:v>Event preserves provider ID, provider version, adapter version and source schema.</x:v>
      </x:c>
      <x:c r="D8" s="613" t="str">
        <x:v>Provider fixture replay.</x:v>
      </x:c>
      <x:c r="E8" s="613" t="str">
        <x:v>Lineage fields populated in canonical event.</x:v>
      </x:c>
      <x:c r="F8" s="613" t="str">
        <x:v>Data QA</x:v>
      </x:c>
      <x:c r="G8" s="614" t="str">
        <x:v>Critical</x:v>
      </x:c>
      <x:c r="H8" t="str">
        <x:v>Draft Complete</x:v>
      </x:c>
    </x:row>
    <x:row r="9">
      <x:c r="A9" s="607" t="str">
        <x:v>CONF-005</x:v>
      </x:c>
      <x:c r="B9" s="114" t="str">
        <x:v>Idempotency</x:v>
      </x:c>
      <x:c r="C9" s="114" t="str">
        <x:v>Adapter retries do not create duplicate canonical events.</x:v>
      </x:c>
      <x:c r="D9" s="114" t="str">
        <x:v>Replay same provider event and local retry.</x:v>
      </x:c>
      <x:c r="E9" s="114" t="str">
        <x:v>Same idempotency key and deterministic outcome.</x:v>
      </x:c>
      <x:c r="F9" s="114" t="str">
        <x:v>Data QA</x:v>
      </x:c>
      <x:c r="G9" s="608" t="str">
        <x:v>High</x:v>
      </x:c>
      <x:c r="H9" t="str">
        <x:v>Draft Complete</x:v>
      </x:c>
    </x:row>
    <x:row r="10">
      <x:c r="A10" s="612" t="str">
        <x:v>CONF-006</x:v>
      </x:c>
      <x:c r="B10" s="613" t="str">
        <x:v>Version drift</x:v>
      </x:c>
      <x:c r="C10" s="613" t="str">
        <x:v>Unsupported provider schema/version creates coverage gap and does not corrupt evidence.</x:v>
      </x:c>
      <x:c r="D10" s="613" t="str">
        <x:v>Mutated provider payload fixtures.</x:v>
      </x:c>
      <x:c r="E10" s="613" t="str">
        <x:v>Gap event emitted and fallback used.</x:v>
      </x:c>
      <x:c r="F10" s="613" t="str">
        <x:v>SRE/Adapter QA</x:v>
      </x:c>
      <x:c r="G10" s="614" t="str">
        <x:v>High</x:v>
      </x:c>
      <x:c r="H10" t="str">
        <x:v>Draft Complete</x:v>
      </x:c>
    </x:row>
    <x:row r="11">
      <x:c r="A11" s="607" t="str">
        <x:v>CONF-007</x:v>
      </x:c>
      <x:c r="B11" s="114" t="str">
        <x:v>Fallback correctness</x:v>
      </x:c>
      <x:c r="C11" s="114" t="str">
        <x:v>When adapter unavailable, Stage 5 evidence remains available with lower confidence.</x:v>
      </x:c>
      <x:c r="D11" s="114" t="str">
        <x:v>Disable adapter during task scenario.</x:v>
      </x:c>
      <x:c r="E11" s="114" t="str">
        <x:v>Timeline shows adapter gap and fallback evidence.</x:v>
      </x:c>
      <x:c r="F11" s="114" t="str">
        <x:v>Product/AI QA</x:v>
      </x:c>
      <x:c r="G11" s="608" t="str">
        <x:v>High</x:v>
      </x:c>
      <x:c r="H11" t="str">
        <x:v>Draft Complete</x:v>
      </x:c>
    </x:row>
    <x:row r="12">
      <x:c r="A12" s="612" t="str">
        <x:v>CONF-008</x:v>
      </x:c>
      <x:c r="B12" s="613" t="str">
        <x:v>Employee visibility</x:v>
      </x:c>
      <x:c r="C12" s="613" t="str">
        <x:v>Employee can see active adapter/sensor state and report incorrect attribution.</x:v>
      </x:c>
      <x:c r="D12" s="613" t="str">
        <x:v>UX test.</x:v>
      </x:c>
      <x:c r="E12" s="613" t="str">
        <x:v>Comprehension and report flow pass.</x:v>
      </x:c>
      <x:c r="F12" s="613" t="str">
        <x:v>Product/HR</x:v>
      </x:c>
      <x:c r="G12" s="614" t="str">
        <x:v>High</x:v>
      </x:c>
      <x:c r="H12" t="str">
        <x:v>Draft Complete</x:v>
      </x:c>
    </x:row>
    <x:row r="13">
      <x:c r="A13" s="607" t="str">
        <x:v>CONF-009</x:v>
      </x:c>
      <x:c r="B13" s="114" t="str">
        <x:v>GitHub fixture coverage</x:v>
      </x:c>
      <x:c r="C13" s="114" t="str">
        <x:v>pull_request, review, check_run, workflow_run and workflow_job fixtures normalise.</x:v>
      </x:c>
      <x:c r="D13" s="114" t="str">
        <x:v>GitHub webhook/API fixture suite.</x:v>
      </x:c>
      <x:c r="E13" s="114" t="str">
        <x:v>All required events produce canonical records.</x:v>
      </x:c>
      <x:c r="F13" s="114" t="str">
        <x:v>Integrations QA</x:v>
      </x:c>
      <x:c r="G13" s="608" t="str">
        <x:v>High</x:v>
      </x:c>
      <x:c r="H13" t="str">
        <x:v>Draft Complete</x:v>
      </x:c>
    </x:row>
    <x:row r="14">
      <x:c r="A14" s="612" t="str">
        <x:v>CONF-010</x:v>
      </x:c>
      <x:c r="B14" s="613" t="str">
        <x:v>AI agent fixture coverage</x:v>
      </x:c>
      <x:c r="C14" s="613" t="str">
        <x:v>Prompt, tool, permission, file change, command and stop fixtures normalise.</x:v>
      </x:c>
      <x:c r="D14" s="613" t="str">
        <x:v>Codex/Claude fixture suite.</x:v>
      </x:c>
      <x:c r="E14" s="613" t="str">
        <x:v>All required events with content references and policy decisions.</x:v>
      </x:c>
      <x:c r="F14" s="613" t="str">
        <x:v>AI QA</x:v>
      </x:c>
      <x:c r="G14" s="614" t="str">
        <x:v>Critical</x:v>
      </x:c>
      <x:c r="H14" t="str">
        <x:v>Draft Complete</x:v>
      </x:c>
    </x:row>
    <x:row r="15">
      <x:c r="A15" s="607" t="str">
        <x:v>CONF-011</x:v>
      </x:c>
      <x:c r="B15" s="114" t="str">
        <x:v>IDE fixture coverage</x:v>
      </x:c>
      <x:c r="C15" s="114" t="str">
        <x:v>Task, terminal, diagnostics, document and debug/test events normalise where supported.</x:v>
      </x:c>
      <x:c r="D15" s="114" t="str">
        <x:v>VS Code/JetBrains plugin test workspaces.</x:v>
      </x:c>
      <x:c r="E15" s="114" t="str">
        <x:v>Coverage score produced; unsupported fields marked.</x:v>
      </x:c>
      <x:c r="F15" s="114" t="str">
        <x:v>IDE QA</x:v>
      </x:c>
      <x:c r="G15" s="608" t="str">
        <x:v>High</x:v>
      </x:c>
      <x:c r="H15" t="str">
        <x:v>Draft Complete</x:v>
      </x:c>
    </x:row>
    <x:row r="16">
      <x:c r="A16" s="615" t="str">
        <x:v>CONF-012</x:v>
      </x:c>
      <x:c r="B16" s="616" t="str">
        <x:v>No raw evidence in telemetry</x:v>
      </x:c>
      <x:c r="C16" s="616" t="str">
        <x:v>Sensitive content absent from logs/traces/health.</x:v>
      </x:c>
      <x:c r="D16" s="616" t="str">
        <x:v>Seed unique synthetic secrets and scan OTel/log sinks.</x:v>
      </x:c>
      <x:c r="E16" s="616" t="str">
        <x:v>Zero matches.</x:v>
      </x:c>
      <x:c r="F16" s="616" t="str">
        <x:v>SRE/Security</x:v>
      </x:c>
      <x:c r="G16" s="617" t="str">
        <x:v>Critical</x:v>
      </x:c>
      <x:c r="H16" t="str">
        <x:v>Draft Complete</x:v>
      </x:c>
    </x:row>
  </x:sheetData>
  <x:mergeCells>
    <x:mergeCell ref="A1:G1"/>
    <x:mergeCell ref="A2:G2"/>
  </x:mergeCells>
  <x:dataValidations count="1">
    <x:dataValidation type="list" sqref="G5:G16">
      <x:formula1>"Draft Complete,Not Started,In Progress,Passed,Failed,Deferred"</x:formula1>
    </x:dataValidation>
  </x:dataValidations>
  <x:pageMargins left="0.7" right="0.7" top="0.75" bottom="0.75" header="0.3" footer="0.3"/>
</x:worksheet>
</file>

<file path=xl/worksheets/sheet95.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54" hidden="0" customWidth="1"/>
    <x:col min="5" max="5" width="32" hidden="0" customWidth="1"/>
    <x:col min="6" max="6" width="38" hidden="0" customWidth="1"/>
    <x:col min="7" max="7" width="54" hidden="0" customWidth="1"/>
    <x:col min="8" max="8" width="12" hidden="0" customWidth="1"/>
    <x:col min="9" max="9" width="18" hidden="0" customWidth="1"/>
  </x:cols>
  <x:sheetData>
    <x:row r="1" ht="30" customHeight="1">
      <x:c r="A1" s="569" t="str">
        <x:v>Stage 7 — Provenance Graph Model</x:v>
      </x:c>
      <x:c r="B1" s="569"/>
      <x:c r="C1" s="569"/>
      <x:c r="D1" s="569"/>
      <x:c r="E1" s="569"/>
      <x:c r="F1" s="569"/>
      <x:c r="G1" s="569"/>
      <x:c r="H1" s="569"/>
      <x:c r="I1" s="569"/>
    </x:row>
    <x:row r="2" ht="36" customHeight="1">
      <x:c r="A2" s="573" t="str">
        <x:v>Logical graph model connecting actors, inputs, agents, tools, processes, files, text, visuals, artefacts, task contracts, criteria, episodes, assessments, blockers, corrections and reviews.</x:v>
      </x:c>
      <x:c r="B2" s="573"/>
      <x:c r="C2" s="573"/>
      <x:c r="D2" s="573"/>
      <x:c r="E2" s="573"/>
      <x:c r="F2" s="573"/>
      <x:c r="G2" s="573"/>
      <x:c r="H2" s="573"/>
      <x:c r="I2" s="573"/>
    </x:row>
    <x:row r="4" ht="30" customHeight="1">
      <x:c r="A4" s="585" t="str">
        <x:v>ID</x:v>
      </x:c>
      <x:c r="B4" s="586" t="str">
        <x:v>Node/entity</x:v>
      </x:c>
      <x:c r="C4" s="586" t="str">
        <x:v>Definition</x:v>
      </x:c>
      <x:c r="D4" s="586" t="str">
        <x:v>Key attributes</x:v>
      </x:c>
      <x:c r="E4" s="586" t="str">
        <x:v>Source / owner</x:v>
      </x:c>
      <x:c r="F4" s="586" t="str">
        <x:v>Primary relationships</x:v>
      </x:c>
      <x:c r="G4" s="586" t="str">
        <x:v>Governance rule</x:v>
      </x:c>
      <x:c r="H4" s="586" t="str">
        <x:v>Priority</x:v>
      </x:c>
      <x:c r="I4" s="587" t="str">
        <x:v>Status</x:v>
      </x:c>
    </x:row>
    <x:row r="5">
      <x:c r="A5" s="604" t="str">
        <x:v>PG-001</x:v>
      </x:c>
      <x:c r="B5" s="605" t="str">
        <x:v>Actor</x:v>
      </x:c>
      <x:c r="C5" s="605" t="str">
        <x:v>Person, AI agent, automation, system or unknown entity involved in work.</x:v>
      </x:c>
      <x:c r="D5" s="605" t="str">
        <x:v>actor_id, actor_type, person_id/provider_id, confidence, source</x:v>
      </x:c>
      <x:c r="E5" s="605" t="str">
        <x:v>Evidence &amp; Provenance</x:v>
      </x:c>
      <x:c r="F5" s="605" t="str">
        <x:v>All provenance edges</x:v>
      </x:c>
      <x:c r="G5" s="605" t="str">
        <x:v>UNKNOWN is valid; do not force attribution.</x:v>
      </x:c>
      <x:c r="H5" s="605" t="str">
        <x:v>Critical</x:v>
      </x:c>
      <x:c r="I5" s="606" t="str">
        <x:v>Draft Complete</x:v>
      </x:c>
    </x:row>
    <x:row r="6">
      <x:c r="A6" s="612" t="str">
        <x:v>PG-002</x:v>
      </x:c>
      <x:c r="B6" s="613" t="str">
        <x:v>HumanInput</x:v>
      </x:c>
      <x:c r="C6" s="613" t="str">
        <x:v>User physical or intentional input such as click, shortcut, typed burst, prompt submission or review action.</x:v>
      </x:c>
      <x:c r="D6" s="613" t="str">
        <x:v>input_id, event_id, device/session/task refs, input_type, target_ref</x:v>
      </x:c>
      <x:c r="E6" s="613" t="str">
        <x:v>Stage 5 capture</x:v>
      </x:c>
      <x:c r="F6" s="613" t="str">
        <x:v>Actor, WorkEpisode</x:v>
      </x:c>
      <x:c r="G6" s="613" t="str">
        <x:v>Input volume is not productivity score.</x:v>
      </x:c>
      <x:c r="H6" s="613" t="str">
        <x:v>Critical</x:v>
      </x:c>
      <x:c r="I6" s="614" t="str">
        <x:v>Draft Complete</x:v>
      </x:c>
    </x:row>
    <x:row r="7">
      <x:c r="A7" s="607" t="str">
        <x:v>PG-003</x:v>
      </x:c>
      <x:c r="B7" s="114" t="str">
        <x:v>AgentSession</x:v>
      </x:c>
      <x:c r="C7" s="114" t="str">
        <x:v>AI-agent working session or turn sequence.</x:v>
      </x:c>
      <x:c r="D7" s="114" t="str">
        <x:v>agent_session_id, provider, model, config/skill version, workspace/task refs</x:v>
      </x:c>
      <x:c r="E7" s="114" t="str">
        <x:v>Stage 6 AI Adapter</x:v>
      </x:c>
      <x:c r="F7" s="114" t="str">
        <x:v>AgentPrompt, ToolCall, Artefact</x:v>
      </x:c>
      <x:c r="G7" s="114" t="str">
        <x:v>Agent session does not equal task completion.</x:v>
      </x:c>
      <x:c r="H7" s="114" t="str">
        <x:v>Critical</x:v>
      </x:c>
      <x:c r="I7" s="608" t="str">
        <x:v>Draft Complete</x:v>
      </x:c>
    </x:row>
    <x:row r="8">
      <x:c r="A8" s="612" t="str">
        <x:v>PG-004</x:v>
      </x:c>
      <x:c r="B8" s="613" t="str">
        <x:v>AgentPrompt</x:v>
      </x:c>
      <x:c r="C8" s="613" t="str">
        <x:v>Human-submitted prompt or system/skill-generated prompt reference.</x:v>
      </x:c>
      <x:c r="D8" s="613" t="str">
        <x:v>prompt_id, content_ref, hash, submitting_actor, policy status</x:v>
      </x:c>
      <x:c r="E8" s="613" t="str">
        <x:v>AI Adapter</x:v>
      </x:c>
      <x:c r="F8" s="613" t="str">
        <x:v>AgentSession, ToolCall</x:v>
      </x:c>
      <x:c r="G8" s="613" t="str">
        <x:v>Prompt content sensitive; reference only.</x:v>
      </x:c>
      <x:c r="H8" s="613" t="str">
        <x:v>Critical</x:v>
      </x:c>
      <x:c r="I8" s="614" t="str">
        <x:v>Draft Complete</x:v>
      </x:c>
    </x:row>
    <x:row r="9">
      <x:c r="A9" s="607" t="str">
        <x:v>PG-005</x:v>
      </x:c>
      <x:c r="B9" s="114" t="str">
        <x:v>ToolCall</x:v>
      </x:c>
      <x:c r="C9" s="114" t="str">
        <x:v>Agent/tool/IDE/CLI action request and result.</x:v>
      </x:c>
      <x:c r="D9" s="114" t="str">
        <x:v>tool_call_id, tool_name, input_ref, result_ref, status, duration</x:v>
      </x:c>
      <x:c r="E9" s="114" t="str">
        <x:v>AI/Shell/IDE adapters</x:v>
      </x:c>
      <x:c r="F9" s="114" t="str">
        <x:v>ProcessExecution, FileChange, Artefact</x:v>
      </x:c>
      <x:c r="G9" s="114" t="str">
        <x:v>Tool request may be blocked/denied.</x:v>
      </x:c>
      <x:c r="H9" s="114" t="str">
        <x:v>Critical</x:v>
      </x:c>
      <x:c r="I9" s="608" t="str">
        <x:v>Draft Complete</x:v>
      </x:c>
    </x:row>
    <x:row r="10">
      <x:c r="A10" s="612" t="str">
        <x:v>PG-006</x:v>
      </x:c>
      <x:c r="B10" s="613" t="str">
        <x:v>ProcessExecution</x:v>
      </x:c>
      <x:c r="C10" s="613" t="str">
        <x:v>Process, command, build, test, script or container execution.</x:v>
      </x:c>
      <x:c r="D10" s="613" t="str">
        <x:v>process_id, ppid, command_ref, start/end, exit code, tool refs</x:v>
      </x:c>
      <x:c r="E10" s="613" t="str">
        <x:v>Shell/OS/CI adapters</x:v>
      </x:c>
      <x:c r="F10" s="613" t="str">
        <x:v>Automation state, Artefact</x:v>
      </x:c>
      <x:c r="G10" s="613" t="str">
        <x:v>Command/result redacted and bounded.</x:v>
      </x:c>
      <x:c r="H10" s="613" t="str">
        <x:v>Critical</x:v>
      </x:c>
      <x:c r="I10" s="614" t="str">
        <x:v>Draft Complete</x:v>
      </x:c>
    </x:row>
    <x:row r="11">
      <x:c r="A11" s="607" t="str">
        <x:v>PG-007</x:v>
      </x:c>
      <x:c r="B11" s="114" t="str">
        <x:v>FileChange</x:v>
      </x:c>
      <x:c r="C11" s="114" t="str">
        <x:v>File creation/modification/deletion/rename or document change.</x:v>
      </x:c>
      <x:c r="D11" s="114" t="str">
        <x:v>file_change_id, path_ref, hash_before/after, change_type, actor_candidate</x:v>
      </x:c>
      <x:c r="E11" s="114" t="str">
        <x:v>File/Git/IDE adapters</x:v>
      </x:c>
      <x:c r="F11" s="114" t="str">
        <x:v>Artefact, CapabilityEvidence</x:v>
      </x:c>
      <x:c r="G11" s="114" t="str">
        <x:v>Approved roots only.</x:v>
      </x:c>
      <x:c r="H11" s="114" t="str">
        <x:v>High</x:v>
      </x:c>
      <x:c r="I11" s="608" t="str">
        <x:v>Draft Complete</x:v>
      </x:c>
    </x:row>
    <x:row r="12">
      <x:c r="A12" s="612" t="str">
        <x:v>PG-008</x:v>
      </x:c>
      <x:c r="B12" s="613" t="str">
        <x:v>TextDelta</x:v>
      </x:c>
      <x:c r="C12" s="613" t="str">
        <x:v>Approved resulting text/document change.</x:v>
      </x:c>
      <x:c r="D12" s="613" t="str">
        <x:v>text_delta_id, document_ref, range_ref, content_ref, attribution_candidates</x:v>
      </x:c>
      <x:c r="E12" s="613" t="str">
        <x:v>Stage 5 text model</x:v>
      </x:c>
      <x:c r="F12" s="613" t="str">
        <x:v>HumanInput, ToolCall, FileChange</x:v>
      </x:c>
      <x:c r="G12" s="613" t="str">
        <x:v>No secure-field content.</x:v>
      </x:c>
      <x:c r="H12" s="613" t="str">
        <x:v>Critical</x:v>
      </x:c>
      <x:c r="I12" s="614" t="str">
        <x:v>Draft Complete</x:v>
      </x:c>
    </x:row>
    <x:row r="13">
      <x:c r="A13" s="607" t="str">
        <x:v>PG-009</x:v>
      </x:c>
      <x:c r="B13" s="114" t="str">
        <x:v>VisualState</x:v>
      </x:c>
      <x:c r="C13" s="114" t="str">
        <x:v>Redacted screen/UI state and transitions.</x:v>
      </x:c>
      <x:c r="D13" s="114" t="str">
        <x:v>visual_state_id, screenshot_ref, changed_regions, app/window/display, hash</x:v>
      </x:c>
      <x:c r="E13" s="114" t="str">
        <x:v>Stage 5 visual state</x:v>
      </x:c>
      <x:c r="F13" s="114" t="str">
        <x:v>WorkEpisode, HumanInput</x:v>
      </x:c>
      <x:c r="G13" s="114" t="str">
        <x:v>Visual inference is lower reliability than semantic evidence.</x:v>
      </x:c>
      <x:c r="H13" s="114" t="str">
        <x:v>High</x:v>
      </x:c>
      <x:c r="I13" s="608" t="str">
        <x:v>Draft Complete</x:v>
      </x:c>
    </x:row>
    <x:row r="14">
      <x:c r="A14" s="612" t="str">
        <x:v>PG-010</x:v>
      </x:c>
      <x:c r="B14" s="613" t="str">
        <x:v>Artefact</x:v>
      </x:c>
      <x:c r="C14" s="613" t="str">
        <x:v>Output item such as commit, PR, test result, build, document, deployment or ticket update.</x:v>
      </x:c>
      <x:c r="D14" s="613" t="str">
        <x:v>artefact_id, type, source_system, URI/hash, status, classification</x:v>
      </x:c>
      <x:c r="E14" s="613" t="str">
        <x:v>Evidence/Stage 6 adapters</x:v>
      </x:c>
      <x:c r="F14" s="613" t="str">
        <x:v>AcceptanceCriterion, CapabilityEvidence</x:v>
      </x:c>
      <x:c r="G14" s="613" t="str">
        <x:v>Prefer source-system ref over copied content.</x:v>
      </x:c>
      <x:c r="H14" s="613" t="str">
        <x:v>Critical</x:v>
      </x:c>
      <x:c r="I14" s="614" t="str">
        <x:v>Draft Complete</x:v>
      </x:c>
    </x:row>
    <x:row r="15">
      <x:c r="A15" s="607" t="str">
        <x:v>PG-011</x:v>
      </x:c>
      <x:c r="B15" s="114" t="str">
        <x:v>ReviewAction</x:v>
      </x:c>
      <x:c r="C15" s="114" t="str">
        <x:v>Human review, approval, rejection, correction or comment.</x:v>
      </x:c>
      <x:c r="D15" s="114" t="str">
        <x:v>review_action_id, reviewer_id, subject_ref, decision, rationale_ref</x:v>
      </x:c>
      <x:c r="E15" s="114" t="str">
        <x:v>GitHub/IDE/Governance</x:v>
      </x:c>
      <x:c r="F15" s="114" t="str">
        <x:v>TaskAssessment, Artefact</x:v>
      </x:c>
      <x:c r="G15" s="114" t="str">
        <x:v>Human review must be meaningful for high impact.</x:v>
      </x:c>
      <x:c r="H15" s="114" t="str">
        <x:v>Critical</x:v>
      </x:c>
      <x:c r="I15" s="608" t="str">
        <x:v>Draft Complete</x:v>
      </x:c>
    </x:row>
    <x:row r="16">
      <x:c r="A16" s="612" t="str">
        <x:v>PG-012</x:v>
      </x:c>
      <x:c r="B16" s="613" t="str">
        <x:v>TaskContract</x:v>
      </x:c>
      <x:c r="C16" s="613" t="str">
        <x:v>Approved Task Execution Contract for the assigned HumanOS task.</x:v>
      </x:c>
      <x:c r="D16" s="613" t="str">
        <x:v>task_contract_id, task_id, version, criteria_refs, capability_refs</x:v>
      </x:c>
      <x:c r="E16" s="613" t="str">
        <x:v>Stage 2 Task Assurance</x:v>
      </x:c>
      <x:c r="F16" s="613" t="str">
        <x:v>AcceptanceCriterion, WorkEpisode</x:v>
      </x:c>
      <x:c r="G16" s="613" t="str">
        <x:v>No task assurance without contract.</x:v>
      </x:c>
      <x:c r="H16" s="613" t="str">
        <x:v>Critical</x:v>
      </x:c>
      <x:c r="I16" s="614" t="str">
        <x:v>Draft Complete</x:v>
      </x:c>
    </x:row>
    <x:row r="17">
      <x:c r="A17" s="607" t="str">
        <x:v>PG-013</x:v>
      </x:c>
      <x:c r="B17" s="114" t="str">
        <x:v>AcceptanceCriterion</x:v>
      </x:c>
      <x:c r="C17" s="114" t="str">
        <x:v>Specific task requirement with verification method.</x:v>
      </x:c>
      <x:c r="D17" s="114" t="str">
        <x:v>criterion_id, task_contract_id, verification_method, required_evidence</x:v>
      </x:c>
      <x:c r="E17" s="114" t="str">
        <x:v>Stage 2</x:v>
      </x:c>
      <x:c r="F17" s="114" t="str">
        <x:v>EvidenceRequirement, Artefact</x:v>
      </x:c>
      <x:c r="G17" s="114" t="str">
        <x:v>Must show satisfied/partial/missing/blocked.</x:v>
      </x:c>
      <x:c r="H17" s="114" t="str">
        <x:v>Critical</x:v>
      </x:c>
      <x:c r="I17" s="608" t="str">
        <x:v>Draft Complete</x:v>
      </x:c>
    </x:row>
    <x:row r="18">
      <x:c r="A18" s="612" t="str">
        <x:v>PG-014</x:v>
      </x:c>
      <x:c r="B18" s="613" t="str">
        <x:v>QualityGate</x:v>
      </x:c>
      <x:c r="C18" s="613" t="str">
        <x:v>Required blocking or advisory quality check.</x:v>
      </x:c>
      <x:c r="D18" s="613" t="str">
        <x:v>quality_gate_id, gate_type, threshold, result, reviewer</x:v>
      </x:c>
      <x:c r="E18" s="613" t="str">
        <x:v>Stage 2/7</x:v>
      </x:c>
      <x:c r="F18" s="613" t="str">
        <x:v>TaskAssessment</x:v>
      </x:c>
      <x:c r="G18" s="613" t="str">
        <x:v>Blocking gate prevents verified completion.</x:v>
      </x:c>
      <x:c r="H18" s="613" t="str">
        <x:v>High</x:v>
      </x:c>
      <x:c r="I18" s="614" t="str">
        <x:v>Draft Complete</x:v>
      </x:c>
    </x:row>
    <x:row r="19">
      <x:c r="A19" s="607" t="str">
        <x:v>PG-015</x:v>
      </x:c>
      <x:c r="B19" s="114" t="str">
        <x:v>WorkEpisode</x:v>
      </x:c>
      <x:c r="C19" s="114" t="str">
        <x:v>Time-bounded work period classified against task and evidence.</x:v>
      </x:c>
      <x:c r="D19" s="114" t="str">
        <x:v>episode_id, start/end, class, confidence, evidence_refs, alternatives</x:v>
      </x:c>
      <x:c r="E19" s="114" t="str">
        <x:v>Stage 7 segmentation</x:v>
      </x:c>
      <x:c r="F19" s="114" t="str">
        <x:v>TaskAssessment, CapabilityEvidence</x:v>
      </x:c>
      <x:c r="G19" s="114" t="str">
        <x:v>Derived and challengeable.</x:v>
      </x:c>
      <x:c r="H19" s="114" t="str">
        <x:v>Critical</x:v>
      </x:c>
      <x:c r="I19" s="608" t="str">
        <x:v>Draft Complete</x:v>
      </x:c>
    </x:row>
    <x:row r="20">
      <x:c r="A20" s="612" t="str">
        <x:v>PG-016</x:v>
      </x:c>
      <x:c r="B20" s="613" t="str">
        <x:v>TaskAssessment</x:v>
      </x:c>
      <x:c r="C20" s="613" t="str">
        <x:v>Current assessment of task progress, criteria and completion recommendation.</x:v>
      </x:c>
      <x:c r="D20" s="613" t="str">
        <x:v>assessment_id, task_contract_id, criterion_states, confidence, review_state</x:v>
      </x:c>
      <x:c r="E20" s="613" t="str">
        <x:v>Task Assurance Domain</x:v>
      </x:c>
      <x:c r="F20" s="613" t="str">
        <x:v>ReviewDecision, Report</x:v>
      </x:c>
      <x:c r="G20" s="613" t="str">
        <x:v>Recommendation only until reviewer decision where required.</x:v>
      </x:c>
      <x:c r="H20" s="613" t="str">
        <x:v>Critical</x:v>
      </x:c>
      <x:c r="I20" s="614" t="str">
        <x:v>Draft Complete</x:v>
      </x:c>
    </x:row>
    <x:row r="21">
      <x:c r="A21" s="607" t="str">
        <x:v>PG-017</x:v>
      </x:c>
      <x:c r="B21" s="114" t="str">
        <x:v>Blocker</x:v>
      </x:c>
      <x:c r="C21" s="114" t="str">
        <x:v>Environmental, requirement, access, dependency, knowledge or process blocker.</x:v>
      </x:c>
      <x:c r="D21" s="114" t="str">
        <x:v>blocker_id, type, severity, evidence_refs, owner, status</x:v>
      </x:c>
      <x:c r="E21" s="114" t="str">
        <x:v>Stage 7 evaluator/review</x:v>
      </x:c>
      <x:c r="F21" s="114" t="str">
        <x:v>TaskAssessment, Gap</x:v>
      </x:c>
      <x:c r="G21" s="114" t="str">
        <x:v>Blocker not automatically employee gap.</x:v>
      </x:c>
      <x:c r="H21" s="114" t="str">
        <x:v>High</x:v>
      </x:c>
      <x:c r="I21" s="608" t="str">
        <x:v>Draft Complete</x:v>
      </x:c>
    </x:row>
    <x:row r="22">
      <x:c r="A22" s="612" t="str">
        <x:v>PG-018</x:v>
      </x:c>
      <x:c r="B22" s="613" t="str">
        <x:v>Correction</x:v>
      </x:c>
      <x:c r="C22" s="613" t="str">
        <x:v>Employee/reviewer correction to task/context/evidence interpretation.</x:v>
      </x:c>
      <x:c r="D22" s="613" t="str">
        <x:v>correction_id, subject_ref, corrected_value, explanation_ref, status</x:v>
      </x:c>
      <x:c r="E22" s="613" t="str">
        <x:v>Governance workflow</x:v>
      </x:c>
      <x:c r="F22" s="613" t="str">
        <x:v>TaskAssessment, WorkEpisode</x:v>
      </x:c>
      <x:c r="G22" s="613" t="str">
        <x:v>Preserve original and correction lineage.</x:v>
      </x:c>
      <x:c r="H22" s="613" t="str">
        <x:v>Critical</x:v>
      </x:c>
      <x:c r="I22" s="614" t="str">
        <x:v>Draft Complete</x:v>
      </x:c>
    </x:row>
    <x:row r="23">
      <x:c r="A23" s="609" t="str">
        <x:v>PG-019</x:v>
      </x:c>
      <x:c r="B23" s="610" t="str">
        <x:v>ReviewDecision</x:v>
      </x:c>
      <x:c r="C23" s="610" t="str">
        <x:v>Formal human decision on material finding, dispute or completion state.</x:v>
      </x:c>
      <x:c r="D23" s="610" t="str">
        <x:v>review_decision_id, subject, reviewer, decision, rationale, evidence_refs</x:v>
      </x:c>
      <x:c r="E23" s="610" t="str">
        <x:v>Governance &amp; Review</x:v>
      </x:c>
      <x:c r="F23" s="610" t="str">
        <x:v>TaskAssessment, CapabilityEvidence</x:v>
      </x:c>
      <x:c r="G23" s="610" t="str">
        <x:v>Required for high-impact decisions.</x:v>
      </x:c>
      <x:c r="H23" s="610" t="str">
        <x:v>Critical</x:v>
      </x:c>
      <x:c r="I23" s="611" t="str">
        <x:v>Draft Complete</x:v>
      </x:c>
    </x:row>
  </x:sheetData>
  <x:mergeCells>
    <x:mergeCell ref="A1:I1"/>
    <x:mergeCell ref="A2:I2"/>
  </x:mergeCells>
  <x:dataValidations count="2">
    <x:dataValidation type="list" sqref="H5:H23">
      <x:formula1>"Critical,High,Medium,Low"</x:formula1>
    </x:dataValidation>
    <x:dataValidation type="list" sqref="I5:I23">
      <x:formula1>"Draft Complete,Needs Review,Approved,Deferred"</x:formula1>
    </x:dataValidation>
  </x:dataValidations>
  <x:pageMargins left="0.7" right="0.7" top="0.75" bottom="0.75" header="0.3" footer="0.3"/>
</x:worksheet>
</file>

<file path=xl/worksheets/sheet96.xml><?xml version="1.0" encoding="utf-8"?>
<x:worksheet xmlns:x="http://schemas.openxmlformats.org/spreadsheetml/2006/main">
  <x:sheetFormatPr defaultRowHeight="15"/>
  <x:cols>
    <x:col min="1" max="1" width="12" hidden="0" customWidth="1"/>
    <x:col min="2" max="2" width="24" hidden="0" customWidth="1"/>
    <x:col min="3" max="3" width="20" hidden="0" customWidth="1"/>
    <x:col min="4" max="4" width="34" hidden="0" customWidth="1"/>
    <x:col min="5" max="5" width="50" hidden="0" customWidth="1"/>
    <x:col min="6" max="6" width="50" hidden="0" customWidth="1"/>
    <x:col min="7" max="7" width="18" hidden="0" customWidth="1"/>
    <x:col min="8" max="8" width="52" hidden="0" customWidth="1"/>
    <x:col min="9" max="9" width="18" hidden="0" customWidth="1"/>
  </x:cols>
  <x:sheetData>
    <x:row r="1" ht="30" customHeight="1">
      <x:c r="A1" s="569" t="str">
        <x:v>Stage 7 — Provenance Relationship Rules</x:v>
      </x:c>
      <x:c r="B1" s="569"/>
      <x:c r="C1" s="569"/>
      <x:c r="D1" s="569"/>
      <x:c r="E1" s="569"/>
      <x:c r="F1" s="569"/>
      <x:c r="G1" s="569"/>
      <x:c r="H1" s="569"/>
      <x:c r="I1" s="569"/>
    </x:row>
    <x:row r="2" ht="36" customHeight="1">
      <x:c r="A2" s="573" t="str">
        <x:v>Canonical relationship types, evidence requirements and guardrails for the human/AI/automation/system provenance graph.</x:v>
      </x:c>
      <x:c r="B2" s="573"/>
      <x:c r="C2" s="573"/>
      <x:c r="D2" s="573"/>
      <x:c r="E2" s="573"/>
      <x:c r="F2" s="573"/>
      <x:c r="G2" s="573"/>
      <x:c r="H2" s="573"/>
      <x:c r="I2" s="573"/>
    </x:row>
    <x:row r="4" ht="30" customHeight="1">
      <x:c r="A4" s="585" t="str">
        <x:v>ID</x:v>
      </x:c>
      <x:c r="B4" s="586" t="str">
        <x:v>Subject</x:v>
      </x:c>
      <x:c r="C4" s="586" t="str">
        <x:v>Relationship</x:v>
      </x:c>
      <x:c r="D4" s="586" t="str">
        <x:v>Object</x:v>
      </x:c>
      <x:c r="E4" s="586" t="str">
        <x:v>Meaning</x:v>
      </x:c>
      <x:c r="F4" s="586" t="str">
        <x:v>Evidence rule</x:v>
      </x:c>
      <x:c r="G4" s="586" t="str">
        <x:v>Default confidence</x:v>
      </x:c>
      <x:c r="H4" s="586" t="str">
        <x:v>Guardrail</x:v>
      </x:c>
      <x:c r="I4" s="587" t="str">
        <x:v>Status</x:v>
      </x:c>
    </x:row>
    <x:row r="5">
      <x:c r="A5" s="604" t="str">
        <x:v>PREL-001</x:v>
      </x:c>
      <x:c r="B5" s="605" t="str">
        <x:v>HumanInput</x:v>
      </x:c>
      <x:c r="C5" s="605" t="str">
        <x:v>initiated</x:v>
      </x:c>
      <x:c r="D5" s="605" t="str">
        <x:v>ProcessExecution / ToolCall / VisualState</x:v>
      </x:c>
      <x:c r="E5" s="605" t="str">
        <x:v>User action started process/tool/change.</x:v>
      </x:c>
      <x:c r="F5" s="605" t="str">
        <x:v>Physical input + target + time window.</x:v>
      </x:c>
      <x:c r="G5" s="605" t="str">
        <x:v>Medium–high</x:v>
      </x:c>
      <x:c r="H5" s="605" t="str">
        <x:v>Do not infer intent beyond evidence.</x:v>
      </x:c>
      <x:c r="I5" s="606" t="str">
        <x:v>Draft Complete</x:v>
      </x:c>
    </x:row>
    <x:row r="6">
      <x:c r="A6" s="612" t="str">
        <x:v>PREL-002</x:v>
      </x:c>
      <x:c r="B6" s="613" t="str">
        <x:v>HumanInput</x:v>
      </x:c>
      <x:c r="C6" s="613" t="str">
        <x:v>prompted</x:v>
      </x:c>
      <x:c r="D6" s="613" t="str">
        <x:v>AgentPrompt</x:v>
      </x:c>
      <x:c r="E6" s="613" t="str">
        <x:v>Human submitted AI prompt.</x:v>
      </x:c>
      <x:c r="F6" s="613" t="str">
        <x:v>Prompt event + input metadata + agent session.</x:v>
      </x:c>
      <x:c r="G6" s="613" t="str">
        <x:v>High</x:v>
      </x:c>
      <x:c r="H6" s="613" t="str">
        <x:v>Prompt content referenced only.</x:v>
      </x:c>
      <x:c r="I6" s="614" t="str">
        <x:v>Draft Complete</x:v>
      </x:c>
    </x:row>
    <x:row r="7">
      <x:c r="A7" s="607" t="str">
        <x:v>PREL-003</x:v>
      </x:c>
      <x:c r="B7" s="114" t="str">
        <x:v>AgentPrompt</x:v>
      </x:c>
      <x:c r="C7" s="114" t="str">
        <x:v>invoked</x:v>
      </x:c>
      <x:c r="D7" s="114" t="str">
        <x:v>AgentSession</x:v>
      </x:c>
      <x:c r="E7" s="114" t="str">
        <x:v>Prompt becomes part of agent session/turn.</x:v>
      </x:c>
      <x:c r="F7" s="114" t="str">
        <x:v>Provider event/correlation ID.</x:v>
      </x:c>
      <x:c r="G7" s="114" t="str">
        <x:v>High</x:v>
      </x:c>
      <x:c r="H7" s="114" t="str">
        <x:v>Provider lineage retained.</x:v>
      </x:c>
      <x:c r="I7" s="608" t="str">
        <x:v>Draft Complete</x:v>
      </x:c>
    </x:row>
    <x:row r="8">
      <x:c r="A8" s="612" t="str">
        <x:v>PREL-004</x:v>
      </x:c>
      <x:c r="B8" s="613" t="str">
        <x:v>AgentSession</x:v>
      </x:c>
      <x:c r="C8" s="613" t="str">
        <x:v>requested</x:v>
      </x:c>
      <x:c r="D8" s="613" t="str">
        <x:v>ToolCall</x:v>
      </x:c>
      <x:c r="E8" s="613" t="str">
        <x:v>Agent requested tool use.</x:v>
      </x:c>
      <x:c r="F8" s="613" t="str">
        <x:v>PreToolUse/PermissionRequest/tool event.</x:v>
      </x:c>
      <x:c r="G8" s="613" t="str">
        <x:v>High</x:v>
      </x:c>
      <x:c r="H8" s="613" t="str">
        <x:v>Permission state captured.</x:v>
      </x:c>
      <x:c r="I8" s="614" t="str">
        <x:v>Draft Complete</x:v>
      </x:c>
    </x:row>
    <x:row r="9">
      <x:c r="A9" s="607" t="str">
        <x:v>PREL-005</x:v>
      </x:c>
      <x:c r="B9" s="114" t="str">
        <x:v>ToolCall</x:v>
      </x:c>
      <x:c r="C9" s="114" t="str">
        <x:v>spawned</x:v>
      </x:c>
      <x:c r="D9" s="114" t="str">
        <x:v>ProcessExecution</x:v>
      </x:c>
      <x:c r="E9" s="114" t="str">
        <x:v>Tool created shell/process/build/test execution.</x:v>
      </x:c>
      <x:c r="F9" s="114" t="str">
        <x:v>Tool result + process tree + command ref.</x:v>
      </x:c>
      <x:c r="G9" s="114" t="str">
        <x:v>High</x:v>
      </x:c>
      <x:c r="H9" s="114" t="str">
        <x:v>Do not treat as manual typing.</x:v>
      </x:c>
      <x:c r="I9" s="608" t="str">
        <x:v>Draft Complete</x:v>
      </x:c>
    </x:row>
    <x:row r="10">
      <x:c r="A10" s="612" t="str">
        <x:v>PREL-006</x:v>
      </x:c>
      <x:c r="B10" s="613" t="str">
        <x:v>ProcessExecution</x:v>
      </x:c>
      <x:c r="C10" s="613" t="str">
        <x:v>modified</x:v>
      </x:c>
      <x:c r="D10" s="613" t="str">
        <x:v>FileChange</x:v>
      </x:c>
      <x:c r="E10" s="613" t="str">
        <x:v>Process wrote/changed file.</x:v>
      </x:c>
      <x:c r="F10" s="613" t="str">
        <x:v>File event + process PID/time correlation.</x:v>
      </x:c>
      <x:c r="G10" s="613" t="str">
        <x:v>Medium</x:v>
      </x:c>
      <x:c r="H10" s="613" t="str">
        <x:v>Confidence required; can be unknown.</x:v>
      </x:c>
      <x:c r="I10" s="614" t="str">
        <x:v>Draft Complete</x:v>
      </x:c>
    </x:row>
    <x:row r="11">
      <x:c r="A11" s="607" t="str">
        <x:v>PREL-007</x:v>
      </x:c>
      <x:c r="B11" s="114" t="str">
        <x:v>ToolCall</x:v>
      </x:c>
      <x:c r="C11" s="114" t="str">
        <x:v>generated</x:v>
      </x:c>
      <x:c r="D11" s="114" t="str">
        <x:v>TextDelta / FileChange / Artefact</x:v>
      </x:c>
      <x:c r="E11" s="114" t="str">
        <x:v>AI/tool generated content or artefact.</x:v>
      </x:c>
      <x:c r="F11" s="114" t="str">
        <x:v>Agent hook + diff/file event.</x:v>
      </x:c>
      <x:c r="G11" s="114" t="str">
        <x:v>High</x:v>
      </x:c>
      <x:c r="H11" s="114" t="str">
        <x:v>Human review separately recorded.</x:v>
      </x:c>
      <x:c r="I11" s="608" t="str">
        <x:v>Draft Complete</x:v>
      </x:c>
    </x:row>
    <x:row r="12">
      <x:c r="A12" s="612" t="str">
        <x:v>PREL-008</x:v>
      </x:c>
      <x:c r="B12" s="613" t="str">
        <x:v>HumanInput</x:v>
      </x:c>
      <x:c r="C12" s="613" t="str">
        <x:v>modified</x:v>
      </x:c>
      <x:c r="D12" s="613" t="str">
        <x:v>TextDelta</x:v>
      </x:c>
      <x:c r="E12" s="613" t="str">
        <x:v>Human physical input produced text delta.</x:v>
      </x:c>
      <x:c r="F12" s="613" t="str">
        <x:v>Input burst + text-change correlation.</x:v>
      </x:c>
      <x:c r="G12" s="613" t="str">
        <x:v>Medium</x:v>
      </x:c>
      <x:c r="H12" s="613" t="str">
        <x:v>Autocomplete/paste/AI may be mixed.</x:v>
      </x:c>
      <x:c r="I12" s="614" t="str">
        <x:v>Draft Complete</x:v>
      </x:c>
    </x:row>
    <x:row r="13">
      <x:c r="A13" s="607" t="str">
        <x:v>PREL-009</x:v>
      </x:c>
      <x:c r="B13" s="114" t="str">
        <x:v>ToolCall / ProcessExecution</x:v>
      </x:c>
      <x:c r="C13" s="114" t="str">
        <x:v>formatted</x:v>
      </x:c>
      <x:c r="D13" s="114" t="str">
        <x:v>TextDelta / FileChange</x:v>
      </x:c>
      <x:c r="E13" s="114" t="str">
        <x:v>Formatter/refactor tool changed content.</x:v>
      </x:c>
      <x:c r="F13" s="114" t="str">
        <x:v>Process/tool event + file diff.</x:v>
      </x:c>
      <x:c r="G13" s="114" t="str">
        <x:v>Medium–high</x:v>
      </x:c>
      <x:c r="H13" s="114" t="str">
        <x:v>Automation attribution.</x:v>
      </x:c>
      <x:c r="I13" s="608" t="str">
        <x:v>Draft Complete</x:v>
      </x:c>
    </x:row>
    <x:row r="14">
      <x:c r="A14" s="612" t="str">
        <x:v>PREL-010</x:v>
      </x:c>
      <x:c r="B14" s="613" t="str">
        <x:v>ProcessExecution</x:v>
      </x:c>
      <x:c r="C14" s="613" t="str">
        <x:v>tested</x:v>
      </x:c>
      <x:c r="D14" s="613" t="str">
        <x:v>Artefact / QualityGate</x:v>
      </x:c>
      <x:c r="E14" s="613" t="str">
        <x:v>Process produced test/build result.</x:v>
      </x:c>
      <x:c r="F14" s="613" t="str">
        <x:v>Test/build semantic event and exit/result.</x:v>
      </x:c>
      <x:c r="G14" s="613" t="str">
        <x:v>High</x:v>
      </x:c>
      <x:c r="H14" s="613" t="str">
        <x:v>Authoritative if tool adapter trusted.</x:v>
      </x:c>
      <x:c r="I14" s="614" t="str">
        <x:v>Draft Complete</x:v>
      </x:c>
    </x:row>
    <x:row r="15">
      <x:c r="A15" s="607" t="str">
        <x:v>PREL-011</x:v>
      </x:c>
      <x:c r="B15" s="114" t="str">
        <x:v>ReviewAction</x:v>
      </x:c>
      <x:c r="C15" s="114" t="str">
        <x:v>reviewed</x:v>
      </x:c>
      <x:c r="D15" s="114" t="str">
        <x:v>Artefact / FileChange / AgentOutput</x:v>
      </x:c>
      <x:c r="E15" s="114" t="str">
        <x:v>Human reviewed output.</x:v>
      </x:c>
      <x:c r="F15" s="114" t="str">
        <x:v>PR review, diff review, manual action.</x:v>
      </x:c>
      <x:c r="G15" s="114" t="str">
        <x:v>High</x:v>
      </x:c>
      <x:c r="H15" s="114" t="str">
        <x:v>Review must show scope and decision.</x:v>
      </x:c>
      <x:c r="I15" s="608" t="str">
        <x:v>Draft Complete</x:v>
      </x:c>
    </x:row>
    <x:row r="16">
      <x:c r="A16" s="612" t="str">
        <x:v>PREL-012</x:v>
      </x:c>
      <x:c r="B16" s="613" t="str">
        <x:v>ReviewAction</x:v>
      </x:c>
      <x:c r="C16" s="613" t="str">
        <x:v>accepted</x:v>
      </x:c>
      <x:c r="D16" s="613" t="str">
        <x:v>AgentOutput / FileChange / Artefact</x:v>
      </x:c>
      <x:c r="E16" s="613" t="str">
        <x:v>Human accepted generated/proposed output.</x:v>
      </x:c>
      <x:c r="F16" s="613" t="str">
        <x:v>IDE/Git/UI review event.</x:v>
      </x:c>
      <x:c r="G16" s="613" t="str">
        <x:v>Medium–high</x:v>
      </x:c>
      <x:c r="H16" s="613" t="str">
        <x:v>Acceptance ≠ quality unless verified.</x:v>
      </x:c>
      <x:c r="I16" s="614" t="str">
        <x:v>Draft Complete</x:v>
      </x:c>
    </x:row>
    <x:row r="17">
      <x:c r="A17" s="607" t="str">
        <x:v>PREL-013</x:v>
      </x:c>
      <x:c r="B17" s="114" t="str">
        <x:v>ReviewAction</x:v>
      </x:c>
      <x:c r="C17" s="114" t="str">
        <x:v>rejected</x:v>
      </x:c>
      <x:c r="D17" s="114" t="str">
        <x:v>AgentOutput / FileChange</x:v>
      </x:c>
      <x:c r="E17" s="114" t="str">
        <x:v>Human rejected AI/tool change or reviewer suggested change.</x:v>
      </x:c>
      <x:c r="F17" s="114" t="str">
        <x:v>Diff/PR/UI review event.</x:v>
      </x:c>
      <x:c r="G17" s="114" t="str">
        <x:v>Medium–high</x:v>
      </x:c>
      <x:c r="H17" s="114" t="str">
        <x:v>Positive AI-supervision evidence possible.</x:v>
      </x:c>
      <x:c r="I17" s="608" t="str">
        <x:v>Draft Complete</x:v>
      </x:c>
    </x:row>
    <x:row r="18">
      <x:c r="A18" s="612" t="str">
        <x:v>PREL-014</x:v>
      </x:c>
      <x:c r="B18" s="613" t="str">
        <x:v>VisualState</x:v>
      </x:c>
      <x:c r="C18" s="613" t="str">
        <x:v>correlated_with</x:v>
      </x:c>
      <x:c r="D18" s="613" t="str">
        <x:v>HumanInput / WorkEpisode</x:v>
      </x:c>
      <x:c r="E18" s="613" t="str">
        <x:v>Visual transition supports activity context.</x:v>
      </x:c>
      <x:c r="F18" s="613" t="str">
        <x:v>Changed-region + event trigger.</x:v>
      </x:c>
      <x:c r="G18" s="613" t="str">
        <x:v>Low–medium</x:v>
      </x:c>
      <x:c r="H18" s="613" t="str">
        <x:v>Visual evidence cannot override authoritative artefact.</x:v>
      </x:c>
      <x:c r="I18" s="614" t="str">
        <x:v>Draft Complete</x:v>
      </x:c>
    </x:row>
    <x:row r="19">
      <x:c r="A19" s="607" t="str">
        <x:v>PREL-015</x:v>
      </x:c>
      <x:c r="B19" s="114" t="str">
        <x:v>Artefact</x:v>
      </x:c>
      <x:c r="C19" s="114" t="str">
        <x:v>satisfied</x:v>
      </x:c>
      <x:c r="D19" s="114" t="str">
        <x:v>AcceptanceCriterion</x:v>
      </x:c>
      <x:c r="E19" s="114" t="str">
        <x:v>Artefact/evidence satisfies criterion.</x:v>
      </x:c>
      <x:c r="F19" s="114" t="str">
        <x:v>Verification method + evidence requirement match.</x:v>
      </x:c>
      <x:c r="G19" s="114" t="str">
        <x:v>High when deterministic</x:v>
      </x:c>
      <x:c r="H19" s="114" t="str">
        <x:v>May be partial/requires review.</x:v>
      </x:c>
      <x:c r="I19" s="608" t="str">
        <x:v>Draft Complete</x:v>
      </x:c>
    </x:row>
    <x:row r="20">
      <x:c r="A20" s="612" t="str">
        <x:v>PREL-016</x:v>
      </x:c>
      <x:c r="B20" s="613" t="str">
        <x:v>Artefact / Event</x:v>
      </x:c>
      <x:c r="C20" s="613" t="str">
        <x:v>contradicted</x:v>
      </x:c>
      <x:c r="D20" s="613" t="str">
        <x:v>TaskCompletionClaim / CriterionState</x:v>
      </x:c>
      <x:c r="E20" s="613" t="str">
        <x:v>Evidence conflicts with claimed progress/completion.</x:v>
      </x:c>
      <x:c r="F20" s="613" t="str">
        <x:v>E.g., failing tests after claim complete.</x:v>
      </x:c>
      <x:c r="G20" s="613" t="str">
        <x:v>High if deterministic</x:v>
      </x:c>
      <x:c r="H20" s="613" t="str">
        <x:v>Route material conflicts to review.</x:v>
      </x:c>
      <x:c r="I20" s="614" t="str">
        <x:v>Draft Complete</x:v>
      </x:c>
    </x:row>
    <x:row r="21">
      <x:c r="A21" s="607" t="str">
        <x:v>PREL-017</x:v>
      </x:c>
      <x:c r="B21" s="114" t="str">
        <x:v>Blocker</x:v>
      </x:c>
      <x:c r="C21" s="114" t="str">
        <x:v>blocked_by</x:v>
      </x:c>
      <x:c r="D21" s="114" t="str">
        <x:v>TaskAssessment / WorkEpisode</x:v>
      </x:c>
      <x:c r="E21" s="114" t="str">
        <x:v>Task progress blocked by access, dependency, environment, requirement or knowledge.</x:v>
      </x:c>
      <x:c r="F21" s="114" t="str">
        <x:v>Blocker evidence + owner/status.</x:v>
      </x:c>
      <x:c r="G21" s="114" t="str">
        <x:v>Medium–high</x:v>
      </x:c>
      <x:c r="H21" s="114" t="str">
        <x:v>Blocker cause matters for fairness.</x:v>
      </x:c>
      <x:c r="I21" s="608" t="str">
        <x:v>Draft Complete</x:v>
      </x:c>
    </x:row>
    <x:row r="22">
      <x:c r="A22" s="612" t="str">
        <x:v>PREL-018</x:v>
      </x:c>
      <x:c r="B22" s="613" t="str">
        <x:v>Correction</x:v>
      </x:c>
      <x:c r="C22" s="613" t="str">
        <x:v>corrected_by</x:v>
      </x:c>
      <x:c r="D22" s="613" t="str">
        <x:v>WorkEpisode / TaskAssessment / ProvenanceEdge</x:v>
      </x:c>
      <x:c r="E22" s="613" t="str">
        <x:v>Employee/reviewer correction modifies context or interpretation.</x:v>
      </x:c>
      <x:c r="F22" s="613" t="str">
        <x:v>Governance correction workflow.</x:v>
      </x:c>
      <x:c r="G22" s="613" t="str">
        <x:v>High</x:v>
      </x:c>
      <x:c r="H22" s="613" t="str">
        <x:v>Original remains immutable.</x:v>
      </x:c>
      <x:c r="I22" s="614" t="str">
        <x:v>Draft Complete</x:v>
      </x:c>
    </x:row>
    <x:row r="23">
      <x:c r="A23" s="607" t="str">
        <x:v>PREL-019</x:v>
      </x:c>
      <x:c r="B23" s="114" t="str">
        <x:v>WorkEpisode</x:v>
      </x:c>
      <x:c r="C23" s="114" t="str">
        <x:v>contributed_to</x:v>
      </x:c>
      <x:c r="D23" s="114" t="str">
        <x:v>TaskAssessment</x:v>
      </x:c>
      <x:c r="E23" s="114" t="str">
        <x:v>Episode contributes positive/negative/neutral evidence.</x:v>
      </x:c>
      <x:c r="F23" s="114" t="str">
        <x:v>Episode classification + evidence refs.</x:v>
      </x:c>
      <x:c r="G23" s="114" t="str">
        <x:v>Medium</x:v>
      </x:c>
      <x:c r="H23" s="114" t="str">
        <x:v>Episode is derived and challengeable.</x:v>
      </x:c>
      <x:c r="I23" s="608" t="str">
        <x:v>Draft Complete</x:v>
      </x:c>
    </x:row>
    <x:row r="24">
      <x:c r="A24" s="615" t="str">
        <x:v>PREL-020</x:v>
      </x:c>
      <x:c r="B24" s="616" t="str">
        <x:v>TaskAssessment</x:v>
      </x:c>
      <x:c r="C24" s="616" t="str">
        <x:v>superseded</x:v>
      </x:c>
      <x:c r="D24" s="616" t="str">
        <x:v>TaskAssessment</x:v>
      </x:c>
      <x:c r="E24" s="616" t="str">
        <x:v>New evidence/review creates new assessment version.</x:v>
      </x:c>
      <x:c r="F24" s="616" t="str">
        <x:v>Versioned assessment lifecycle.</x:v>
      </x:c>
      <x:c r="G24" s="616" t="str">
        <x:v>High</x:v>
      </x:c>
      <x:c r="H24" s="616" t="str">
        <x:v>Historical reports cite active version at time.</x:v>
      </x:c>
      <x:c r="I24" s="61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97.xml><?xml version="1.0" encoding="utf-8"?>
<x:worksheet xmlns:x="http://schemas.openxmlformats.org/spreadsheetml/2006/main">
  <x:sheetFormatPr defaultRowHeight="15"/>
  <x:cols>
    <x:col min="1" max="1" width="12" hidden="0" customWidth="1"/>
    <x:col min="2" max="2" width="24" hidden="0" customWidth="1"/>
    <x:col min="3" max="3" width="56" hidden="0" customWidth="1"/>
    <x:col min="4" max="4" width="52" hidden="0" customWidth="1"/>
    <x:col min="5" max="5" width="34" hidden="0" customWidth="1"/>
    <x:col min="6" max="6" width="18" hidden="0" customWidth="1"/>
    <x:col min="7" max="7" width="54" hidden="0" customWidth="1"/>
    <x:col min="8" max="8" width="18" hidden="0" customWidth="1"/>
  </x:cols>
  <x:sheetData>
    <x:row r="1" ht="30" customHeight="1">
      <x:c r="A1" s="569" t="str">
        <x:v>Stage 7 — Correlation Engine</x:v>
      </x:c>
      <x:c r="B1" s="569"/>
      <x:c r="C1" s="569"/>
      <x:c r="D1" s="569"/>
      <x:c r="E1" s="569"/>
      <x:c r="F1" s="569"/>
      <x:c r="G1" s="569"/>
      <x:c r="H1" s="569"/>
    </x:row>
    <x:row r="2" ht="36" customHeight="1">
      <x:c r="A2" s="573" t="str">
        <x:v>Rules for converting events, adapters, artefacts, visual states and reviews into provenance candidates with confidence and missing-evidence awareness.</x:v>
      </x:c>
      <x:c r="B2" s="573"/>
      <x:c r="C2" s="573"/>
      <x:c r="D2" s="573"/>
      <x:c r="E2" s="573"/>
      <x:c r="F2" s="573"/>
      <x:c r="G2" s="573"/>
      <x:c r="H2" s="573"/>
    </x:row>
    <x:row r="4" ht="30" customHeight="1">
      <x:c r="A4" s="585" t="str">
        <x:v>ID</x:v>
      </x:c>
      <x:c r="B4" s="586" t="str">
        <x:v>Rule</x:v>
      </x:c>
      <x:c r="C4" s="586" t="str">
        <x:v>Definition</x:v>
      </x:c>
      <x:c r="D4" s="586" t="str">
        <x:v>Implementation approach</x:v>
      </x:c>
      <x:c r="E4" s="586" t="str">
        <x:v>Evidence source</x:v>
      </x:c>
      <x:c r="F4" s="586" t="str">
        <x:v>Default strength</x:v>
      </x:c>
      <x:c r="G4" s="586" t="str">
        <x:v>Guardrail</x:v>
      </x:c>
      <x:c r="H4" s="587" t="str">
        <x:v>Status</x:v>
      </x:c>
    </x:row>
    <x:row r="5">
      <x:c r="A5" s="604" t="str">
        <x:v>CORR-001</x:v>
      </x:c>
      <x:c r="B5" s="605" t="str">
        <x:v>Temporal window</x:v>
      </x:c>
      <x:c r="C5" s="605" t="str">
        <x:v>Events close in time may be related only when other context supports it.</x:v>
      </x:c>
      <x:c r="D5" s="605" t="str">
        <x:v>Configurable per event type; e.g., input→text delta milliseconds/seconds, command→file minutes.</x:v>
      </x:c>
      <x:c r="E5" s="605" t="str">
        <x:v>time proximity + shared context</x:v>
      </x:c>
      <x:c r="F5" s="605" t="str">
        <x:v>Low alone</x:v>
      </x:c>
      <x:c r="G5" s="605" t="str">
        <x:v>Time alone never proves causality.</x:v>
      </x:c>
      <x:c r="H5" s="606" t="str">
        <x:v>Draft Complete</x:v>
      </x:c>
    </x:row>
    <x:row r="6">
      <x:c r="A6" s="612" t="str">
        <x:v>CORR-002</x:v>
      </x:c>
      <x:c r="B6" s="613" t="str">
        <x:v>Session/task scope</x:v>
      </x:c>
      <x:c r="C6" s="613" t="str">
        <x:v>Events in same device/work/task session correlate more strongly.</x:v>
      </x:c>
      <x:c r="D6" s="613" t="str">
        <x:v>Must match tenant/device/person/session/task or approved cross-system mapping.</x:v>
      </x:c>
      <x:c r="E6" s="613" t="str">
        <x:v>session IDs/task contract</x:v>
      </x:c>
      <x:c r="F6" s="613" t="str">
        <x:v>High for scope</x:v>
      </x:c>
      <x:c r="G6" s="613" t="str">
        <x:v>Task switch and corrections supported.</x:v>
      </x:c>
      <x:c r="H6" s="614" t="str">
        <x:v>Draft Complete</x:v>
      </x:c>
    </x:row>
    <x:row r="7">
      <x:c r="A7" s="607" t="str">
        <x:v>CORR-003</x:v>
      </x:c>
      <x:c r="B7" s="114" t="str">
        <x:v>Process tree</x:v>
      </x:c>
      <x:c r="C7" s="114" t="str">
        <x:v>Parent-child PIDs and start times link commands/tools/builds to file/process outcomes.</x:v>
      </x:c>
      <x:c r="D7" s="114" t="str">
        <x:v>Process lineage and command/tool refs.</x:v>
      </x:c>
      <x:c r="E7" s="114" t="str">
        <x:v>OS/process events</x:v>
      </x:c>
      <x:c r="F7" s="114" t="str">
        <x:v>High if complete</x:v>
      </x:c>
      <x:c r="G7" s="114" t="str">
        <x:v>PID reuse and gaps handled.</x:v>
      </x:c>
      <x:c r="H7" s="608" t="str">
        <x:v>Draft Complete</x:v>
      </x:c>
    </x:row>
    <x:row r="8">
      <x:c r="A8" s="612" t="str">
        <x:v>CORR-004</x:v>
      </x:c>
      <x:c r="B8" s="613" t="str">
        <x:v>Agent correlation ID</x:v>
      </x:c>
      <x:c r="C8" s="613" t="str">
        <x:v>Provider session/tool IDs link prompts, tool calls, generated files and commands.</x:v>
      </x:c>
      <x:c r="D8" s="613" t="str">
        <x:v>Provider IDs + adapter event lineage.</x:v>
      </x:c>
      <x:c r="E8" s="613" t="str">
        <x:v>Agent hooks</x:v>
      </x:c>
      <x:c r="F8" s="613" t="str">
        <x:v>High</x:v>
      </x:c>
      <x:c r="G8" s="613" t="str">
        <x:v>Provider version drift tracked.</x:v>
      </x:c>
      <x:c r="H8" s="614" t="str">
        <x:v>Draft Complete</x:v>
      </x:c>
    </x:row>
    <x:row r="9">
      <x:c r="A9" s="607" t="str">
        <x:v>CORR-005</x:v>
      </x:c>
      <x:c r="B9" s="114" t="str">
        <x:v>File hash/diff</x:v>
      </x:c>
      <x:c r="C9" s="114" t="str">
        <x:v>Hash before/after and diff refs identify changed artefacts.</x:v>
      </x:c>
      <x:c r="D9" s="114" t="str">
        <x:v>File watcher + Git status/diff + tool/file event.</x:v>
      </x:c>
      <x:c r="E9" s="114" t="str">
        <x:v>Git/file/IDE adapters</x:v>
      </x:c>
      <x:c r="F9" s="114" t="str">
        <x:v>High</x:v>
      </x:c>
      <x:c r="G9" s="114" t="str">
        <x:v>Diff volume not productivity.</x:v>
      </x:c>
      <x:c r="H9" s="608" t="str">
        <x:v>Draft Complete</x:v>
      </x:c>
    </x:row>
    <x:row r="10">
      <x:c r="A10" s="612" t="str">
        <x:v>CORR-006</x:v>
      </x:c>
      <x:c r="B10" s="613" t="str">
        <x:v>Text delta/input</x:v>
      </x:c>
      <x:c r="C10" s="613" t="str">
        <x:v>Physical input bursts, paste/shortcut and text deltas produce attribution candidates.</x:v>
      </x:c>
      <x:c r="D10" s="613" t="str">
        <x:v>Input burst + resulting text + app control IDs.</x:v>
      </x:c>
      <x:c r="E10" s="613" t="str">
        <x:v>Stage 5 text model</x:v>
      </x:c>
      <x:c r="F10" s="613" t="str">
        <x:v>Medium</x:v>
      </x:c>
      <x:c r="G10" s="613" t="str">
        <x:v>Autocomplete/AI/formatter mixed origins preserved.</x:v>
      </x:c>
      <x:c r="H10" s="614" t="str">
        <x:v>Draft Complete</x:v>
      </x:c>
    </x:row>
    <x:row r="11">
      <x:c r="A11" s="607" t="str">
        <x:v>CORR-007</x:v>
      </x:c>
      <x:c r="B11" s="114" t="str">
        <x:v>Visual transition</x:v>
      </x:c>
      <x:c r="C11" s="114" t="str">
        <x:v>Before/after visual states support UI action transitions.</x:v>
      </x:c>
      <x:c r="D11" s="114" t="str">
        <x:v>visual_state before/after + click/UI element.</x:v>
      </x:c>
      <x:c r="E11" s="114" t="str">
        <x:v>Stage 5 visual</x:v>
      </x:c>
      <x:c r="F11" s="114" t="str">
        <x:v>Low–medium</x:v>
      </x:c>
      <x:c r="G11" s="114" t="str">
        <x:v>Never override semantic/artefact result.</x:v>
      </x:c>
      <x:c r="H11" s="608" t="str">
        <x:v>Draft Complete</x:v>
      </x:c>
    </x:row>
    <x:row r="12">
      <x:c r="A12" s="612" t="str">
        <x:v>CORR-008</x:v>
      </x:c>
      <x:c r="B12" s="613" t="str">
        <x:v>GitHub PR/check linkage</x:v>
      </x:c>
      <x:c r="C12" s="613" t="str">
        <x:v>PR/check/workflow events link commits to reviews and CI results.</x:v>
      </x:c>
      <x:c r="D12" s="613" t="str">
        <x:v>Commit SHA, PR ID, check_run/workflow_run IDs.</x:v>
      </x:c>
      <x:c r="E12" s="613" t="str">
        <x:v>GitHub webhooks/API</x:v>
      </x:c>
      <x:c r="F12" s="613" t="str">
        <x:v>High</x:v>
      </x:c>
      <x:c r="G12" s="613" t="str">
        <x:v>Fork/permission limitations recorded.</x:v>
      </x:c>
      <x:c r="H12" s="614" t="str">
        <x:v>Draft Complete</x:v>
      </x:c>
    </x:row>
    <x:row r="13">
      <x:c r="A13" s="607" t="str">
        <x:v>CORR-009</x:v>
      </x:c>
      <x:c r="B13" s="114" t="str">
        <x:v>Build/test result</x:v>
      </x:c>
      <x:c r="C13" s="114" t="str">
        <x:v>Test/build artefact verifies quality gate.</x:v>
      </x:c>
      <x:c r="D13" s="114" t="str">
        <x:v>test IDs, result, exit code, logs/artifacts refs.</x:v>
      </x:c>
      <x:c r="E13" s="114" t="str">
        <x:v>CI/test adapters</x:v>
      </x:c>
      <x:c r="F13" s="114" t="str">
        <x:v>High</x:v>
      </x:c>
      <x:c r="G13" s="114" t="str">
        <x:v>Requires task/criterion scope.</x:v>
      </x:c>
      <x:c r="H13" s="608" t="str">
        <x:v>Draft Complete</x:v>
      </x:c>
    </x:row>
    <x:row r="14">
      <x:c r="A14" s="612" t="str">
        <x:v>CORR-010</x:v>
      </x:c>
      <x:c r="B14" s="613" t="str">
        <x:v>Task contract mapping</x:v>
      </x:c>
      <x:c r="C14" s="613" t="str">
        <x:v>Evidence must map to a TaskContract criterion/evidence requirement.</x:v>
      </x:c>
      <x:c r="D14" s="613" t="str">
        <x:v>criterion ID/evidence requirement match.</x:v>
      </x:c>
      <x:c r="E14" s="613" t="str">
        <x:v>Stage 2 contract</x:v>
      </x:c>
      <x:c r="F14" s="613" t="str">
        <x:v>High for applicability</x:v>
      </x:c>
      <x:c r="G14" s="613" t="str">
        <x:v>Unmapped evidence cannot verify criterion.</x:v>
      </x:c>
      <x:c r="H14" s="614" t="str">
        <x:v>Draft Complete</x:v>
      </x:c>
    </x:row>
    <x:row r="15">
      <x:c r="A15" s="607" t="str">
        <x:v>CORR-011</x:v>
      </x:c>
      <x:c r="B15" s="114" t="str">
        <x:v>Telemetry gaps</x:v>
      </x:c>
      <x:c r="C15" s="114" t="str">
        <x:v>Known gaps reduce confidence and can create insufficient-evidence state.</x:v>
      </x:c>
      <x:c r="D15" s="114" t="str">
        <x:v>gap records, sensor coverage.</x:v>
      </x:c>
      <x:c r="E15" s="114" t="str">
        <x:v>Stage 4/5</x:v>
      </x:c>
      <x:c r="F15" s="114" t="str">
        <x:v>N/A</x:v>
      </x:c>
      <x:c r="G15" s="114" t="str">
        <x:v>Missing data is not inactivity.</x:v>
      </x:c>
      <x:c r="H15" s="608" t="str">
        <x:v>Draft Complete</x:v>
      </x:c>
    </x:row>
    <x:row r="16">
      <x:c r="A16" s="612" t="str">
        <x:v>CORR-012</x:v>
      </x:c>
      <x:c r="B16" s="613" t="str">
        <x:v>Conflicting evidence</x:v>
      </x:c>
      <x:c r="C16" s="613" t="str">
        <x:v>Deterministic contradiction triggers review or lower confidence.</x:v>
      </x:c>
      <x:c r="D16" s="613" t="str">
        <x:v>e.g., failing tests vs complete claim.</x:v>
      </x:c>
      <x:c r="E16" s="613" t="str">
        <x:v>Task/artefact evidence</x:v>
      </x:c>
      <x:c r="F16" s="613" t="str">
        <x:v>High conflict signal</x:v>
      </x:c>
      <x:c r="G16" s="613" t="str">
        <x:v>Do not auto-discipline; route to review.</x:v>
      </x:c>
      <x:c r="H16" s="614" t="str">
        <x:v>Draft Complete</x:v>
      </x:c>
    </x:row>
    <x:row r="17">
      <x:c r="A17" s="607" t="str">
        <x:v>CORR-013</x:v>
      </x:c>
      <x:c r="B17" s="114" t="str">
        <x:v>Evidence hierarchy</x:v>
      </x:c>
      <x:c r="C17" s="114" t="str">
        <x:v>Authoritative artefact &gt; semantic tool event &gt; OS event &gt; UI/accessibility &gt; visual/OCR &gt; AI inference.</x:v>
      </x:c>
      <x:c r="D17" s="114" t="str">
        <x:v>Source class and reliability weights.</x:v>
      </x:c>
      <x:c r="E17" s="114" t="str">
        <x:v>Stage 2/4/5</x:v>
      </x:c>
      <x:c r="F17" s="114" t="str">
        <x:v>N/A</x:v>
      </x:c>
      <x:c r="G17" s="114" t="str">
        <x:v>Lower layer cannot silently override higher layer.</x:v>
      </x:c>
      <x:c r="H17" s="608" t="str">
        <x:v>Draft Complete</x:v>
      </x:c>
    </x:row>
    <x:row r="18">
      <x:c r="A18" s="612" t="str">
        <x:v>CORR-014</x:v>
      </x:c>
      <x:c r="B18" s="613" t="str">
        <x:v>Ambiguity handling</x:v>
      </x:c>
      <x:c r="C18" s="613" t="str">
        <x:v>If multiple plausible causes exist, keep alternatives and confidence rather than choosing one.</x:v>
      </x:c>
      <x:c r="D18" s="613" t="str">
        <x:v>alternative edge candidates.</x:v>
      </x:c>
      <x:c r="E18" s="613" t="str">
        <x:v>Correlation engine</x:v>
      </x:c>
      <x:c r="F18" s="613" t="str">
        <x:v>N/A</x:v>
      </x:c>
      <x:c r="G18" s="613" t="str">
        <x:v>UNKNOWN/MIXED allowed.</x:v>
      </x:c>
      <x:c r="H18" s="614" t="str">
        <x:v>Draft Complete</x:v>
      </x:c>
    </x:row>
    <x:row r="19">
      <x:c r="A19" s="609" t="str">
        <x:v>CORR-015</x:v>
      </x:c>
      <x:c r="B19" s="610" t="str">
        <x:v>Employee correction</x:v>
      </x:c>
      <x:c r="C19" s="610" t="str">
        <x:v>Employee explanation can correct task/context and add evidence but does not delete original.</x:v>
      </x:c>
      <x:c r="D19" s="610" t="str">
        <x:v>correction workflow and reviewer state.</x:v>
      </x:c>
      <x:c r="E19" s="610" t="str">
        <x:v>Governance</x:v>
      </x:c>
      <x:c r="F19" s="610" t="str">
        <x:v>Review-dependent</x:v>
      </x:c>
      <x:c r="G19" s="610" t="str">
        <x:v>Correction shown in reports.</x:v>
      </x:c>
      <x:c r="H19" s="611" t="str">
        <x:v>Draft Complete</x:v>
      </x:c>
    </x:row>
  </x:sheetData>
  <x:mergeCells>
    <x:mergeCell ref="A1:H1"/>
    <x:mergeCell ref="A2:H2"/>
  </x:mergeCells>
  <x:dataValidations count="1">
    <x:dataValidation type="list" sqref="H5:H19">
      <x:formula1>"Draft Complete,Needs Review,Approved,Deferred"</x:formula1>
    </x:dataValidation>
  </x:dataValidations>
  <x:pageMargins left="0.7" right="0.7" top="0.75" bottom="0.75" header="0.3" footer="0.3"/>
</x:worksheet>
</file>

<file path=xl/worksheets/sheet98.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54" hidden="0" customWidth="1"/>
    <x:col min="5" max="5" width="20" hidden="0" customWidth="1"/>
    <x:col min="6" max="6" width="54" hidden="0" customWidth="1"/>
    <x:col min="7" max="7" width="38" hidden="0" customWidth="1"/>
    <x:col min="8" max="8" width="12" hidden="0" customWidth="1"/>
    <x:col min="9" max="9" width="18" hidden="0" customWidth="1"/>
  </x:cols>
  <x:sheetData>
    <x:row r="1" ht="30" customHeight="1">
      <x:c r="A1" s="569" t="str">
        <x:v>Stage 7 — Work Episode Model</x:v>
      </x:c>
      <x:c r="B1" s="569"/>
      <x:c r="C1" s="569"/>
      <x:c r="D1" s="569"/>
      <x:c r="E1" s="569"/>
      <x:c r="F1" s="569"/>
      <x:c r="G1" s="569"/>
      <x:c r="H1" s="569"/>
      <x:c r="I1" s="569"/>
    </x:row>
    <x:row r="2" ht="36" customHeight="1">
      <x:c r="A2" s="573" t="str">
        <x:v>Episode classes for segmenting work into meaningful, evidence-linked periods. Episode labels are derived and challengeable.</x:v>
      </x:c>
      <x:c r="B2" s="573"/>
      <x:c r="C2" s="573"/>
      <x:c r="D2" s="573"/>
      <x:c r="E2" s="573"/>
      <x:c r="F2" s="573"/>
      <x:c r="G2" s="573"/>
      <x:c r="H2" s="573"/>
      <x:c r="I2" s="573"/>
    </x:row>
    <x:row r="4" ht="30" customHeight="1">
      <x:c r="A4" s="585" t="str">
        <x:v>ID</x:v>
      </x:c>
      <x:c r="B4" s="586" t="str">
        <x:v>Episode class</x:v>
      </x:c>
      <x:c r="C4" s="586" t="str">
        <x:v>Definition</x:v>
      </x:c>
      <x:c r="D4" s="586" t="str">
        <x:v>Evidence signals</x:v>
      </x:c>
      <x:c r="E4" s="586" t="str">
        <x:v>Alignment default</x:v>
      </x:c>
      <x:c r="F4" s="586" t="str">
        <x:v>Guardrail</x:v>
      </x:c>
      <x:c r="G4" s="586" t="str">
        <x:v>Report use</x:v>
      </x:c>
      <x:c r="H4" s="586" t="str">
        <x:v>Priority</x:v>
      </x:c>
      <x:c r="I4" s="587" t="str">
        <x:v>Status</x:v>
      </x:c>
    </x:row>
    <x:row r="5">
      <x:c r="A5" s="604" t="str">
        <x:v>EP-001</x:v>
      </x:c>
      <x:c r="B5" s="605" t="str">
        <x:v>TASK_FOCUSED_WORK</x:v>
      </x:c>
      <x:c r="C5" s="605" t="str">
        <x:v>Direct work on the active task objective.</x:v>
      </x:c>
      <x:c r="D5" s="605" t="str">
        <x:v>Task artefacts, relevant apps/tools, criterion-linked events.</x:v>
      </x:c>
      <x:c r="E5" s="605" t="str">
        <x:v>on-task</x:v>
      </x:c>
      <x:c r="F5" s="605" t="str">
        <x:v>May include low input during review.</x:v>
      </x:c>
      <x:c r="G5" s="605" t="str">
        <x:v>Task progress evidence.</x:v>
      </x:c>
      <x:c r="H5" s="605" t="str">
        <x:v>High</x:v>
      </x:c>
      <x:c r="I5" s="606" t="str">
        <x:v>Draft Complete</x:v>
      </x:c>
    </x:row>
    <x:row r="6">
      <x:c r="A6" s="612" t="str">
        <x:v>EP-002</x:v>
      </x:c>
      <x:c r="B6" s="613" t="str">
        <x:v>SUPPORTING_RESEARCH</x:v>
      </x:c>
      <x:c r="C6" s="613" t="str">
        <x:v>Research/docs/testing needed to complete task.</x:v>
      </x:c>
      <x:c r="D6" s="613" t="str">
        <x:v>Relevant documentation/domain, search, notes, code references.</x:v>
      </x:c>
      <x:c r="E6" s="613" t="str">
        <x:v>supporting</x:v>
      </x:c>
      <x:c r="F6" s="613" t="str">
        <x:v>Could be unrelated; confidence and URL/domain policy needed.</x:v>
      </x:c>
      <x:c r="G6" s="613" t="str">
        <x:v>Valid task time if tied to task.</x:v>
      </x:c>
      <x:c r="H6" s="613" t="str">
        <x:v>High</x:v>
      </x:c>
      <x:c r="I6" s="614" t="str">
        <x:v>Draft Complete</x:v>
      </x:c>
    </x:row>
    <x:row r="7">
      <x:c r="A7" s="607" t="str">
        <x:v>EP-003</x:v>
      </x:c>
      <x:c r="B7" s="114" t="str">
        <x:v>CODE_OR_DOCUMENT_REVIEW</x:v>
      </x:c>
      <x:c r="C7" s="114" t="str">
        <x:v>Reading/reviewing code, generated output, PRs or documents.</x:v>
      </x:c>
      <x:c r="D7" s="114" t="str">
        <x:v>IDE/GitHub/visual state, scroll, review action, comments.</x:v>
      </x:c>
      <x:c r="E7" s="114" t="str">
        <x:v>supporting/on-task</x:v>
      </x:c>
      <x:c r="F7" s="114" t="str">
        <x:v>Low keyboard activity is expected.</x:v>
      </x:c>
      <x:c r="G7" s="114" t="str">
        <x:v>Review/quality evidence.</x:v>
      </x:c>
      <x:c r="H7" s="114" t="str">
        <x:v>High</x:v>
      </x:c>
      <x:c r="I7" s="608" t="str">
        <x:v>Draft Complete</x:v>
      </x:c>
    </x:row>
    <x:row r="8">
      <x:c r="A8" s="612" t="str">
        <x:v>EP-004</x:v>
      </x:c>
      <x:c r="B8" s="613" t="str">
        <x:v>AI_AGENT_DIRECTION</x:v>
      </x:c>
      <x:c r="C8" s="613" t="str">
        <x:v>Human prompts/directs agent and reviews intent.</x:v>
      </x:c>
      <x:c r="D8" s="613" t="str">
        <x:v>Prompt, permission, plan, comments, active task.</x:v>
      </x:c>
      <x:c r="E8" s="613" t="str">
        <x:v>on-task/supporting</x:v>
      </x:c>
      <x:c r="F8" s="613" t="str">
        <x:v>Prompt count is not productivity.</x:v>
      </x:c>
      <x:c r="G8" s="613" t="str">
        <x:v>AI supervision evidence.</x:v>
      </x:c>
      <x:c r="H8" s="613" t="str">
        <x:v>High</x:v>
      </x:c>
      <x:c r="I8" s="614" t="str">
        <x:v>Draft Complete</x:v>
      </x:c>
    </x:row>
    <x:row r="9">
      <x:c r="A9" s="607" t="str">
        <x:v>EP-005</x:v>
      </x:c>
      <x:c r="B9" s="114" t="str">
        <x:v>AI_AGENT_EXECUTION</x:v>
      </x:c>
      <x:c r="C9" s="114" t="str">
        <x:v>Agent tools/processes run or produce outputs.</x:v>
      </x:c>
      <x:c r="D9" s="114" t="str">
        <x:v>Tool calls, process, file changes, agent status.</x:v>
      </x:c>
      <x:c r="E9" s="114" t="str">
        <x:v>automation</x:v>
      </x:c>
      <x:c r="F9" s="114" t="str">
        <x:v>Employee not idle during valid wait; review needed after.</x:v>
      </x:c>
      <x:c r="G9" s="114" t="str">
        <x:v>Automation/provenance evidence.</x:v>
      </x:c>
      <x:c r="H9" s="114" t="str">
        <x:v>Critical</x:v>
      </x:c>
      <x:c r="I9" s="608" t="str">
        <x:v>Draft Complete</x:v>
      </x:c>
    </x:row>
    <x:row r="10">
      <x:c r="A10" s="612" t="str">
        <x:v>EP-006</x:v>
      </x:c>
      <x:c r="B10" s="613" t="str">
        <x:v>AUTOMATED_EXECUTION_WAIT</x:v>
      </x:c>
      <x:c r="C10" s="613" t="str">
        <x:v>Build/test/agent/CI/process runs after valid initiation.</x:v>
      </x:c>
      <x:c r="D10" s="613" t="str">
        <x:v>Process/CI/test/agent running and task-linked.</x:v>
      </x:c>
      <x:c r="E10" s="613" t="str">
        <x:v>automation_wait</x:v>
      </x:c>
      <x:c r="F10" s="613" t="str">
        <x:v>Not idle; check if employee monitors or switches task.</x:v>
      </x:c>
      <x:c r="G10" s="613" t="str">
        <x:v>Valid task time or parallel work context.</x:v>
      </x:c>
      <x:c r="H10" s="613" t="str">
        <x:v>Critical</x:v>
      </x:c>
      <x:c r="I10" s="614" t="str">
        <x:v>Draft Complete</x:v>
      </x:c>
    </x:row>
    <x:row r="11">
      <x:c r="A11" s="607" t="str">
        <x:v>EP-007</x:v>
      </x:c>
      <x:c r="B11" s="114" t="str">
        <x:v>COLLABORATION</x:v>
      </x:c>
      <x:c r="C11" s="114" t="str">
        <x:v>Work communication, review, pairing or meeting supporting task.</x:v>
      </x:c>
      <x:c r="D11" s="114" t="str">
        <x:v>Calendar/collab metadata, PR comments, chat/ticket refs where approved.</x:v>
      </x:c>
      <x:c r="E11" s="114" t="str">
        <x:v>supporting</x:v>
      </x:c>
      <x:c r="F11" s="114" t="str">
        <x:v>No audio capture in MVP.</x:v>
      </x:c>
      <x:c r="G11" s="114" t="str">
        <x:v>Collaboration evidence.</x:v>
      </x:c>
      <x:c r="H11" s="114" t="str">
        <x:v>Medium</x:v>
      </x:c>
      <x:c r="I11" s="608" t="str">
        <x:v>Draft Complete</x:v>
      </x:c>
    </x:row>
    <x:row r="12">
      <x:c r="A12" s="612" t="str">
        <x:v>EP-008</x:v>
      </x:c>
      <x:c r="B12" s="613" t="str">
        <x:v>LEARNING</x:v>
      </x:c>
      <x:c r="C12" s="613" t="str">
        <x:v>Approved learning/training used to complete task or address gap.</x:v>
      </x:c>
      <x:c r="D12" s="613" t="str">
        <x:v>Learning intervention, docs, practice task.</x:v>
      </x:c>
      <x:c r="E12" s="613" t="str">
        <x:v>learning</x:v>
      </x:c>
      <x:c r="F12" s="613" t="str">
        <x:v>Training completion not capability proof.</x:v>
      </x:c>
      <x:c r="G12" s="613" t="str">
        <x:v>Development evidence.</x:v>
      </x:c>
      <x:c r="H12" s="613" t="str">
        <x:v>Medium</x:v>
      </x:c>
      <x:c r="I12" s="614" t="str">
        <x:v>Draft Complete</x:v>
      </x:c>
    </x:row>
    <x:row r="13">
      <x:c r="A13" s="607" t="str">
        <x:v>EP-009</x:v>
      </x:c>
      <x:c r="B13" s="114" t="str">
        <x:v>BLOCKED</x:v>
      </x:c>
      <x:c r="C13" s="114" t="str">
        <x:v>Progress halted by requirement, access, dependency, environment or unresolved issue.</x:v>
      </x:c>
      <x:c r="D13" s="114" t="str">
        <x:v>Access requests, failing external service, task ambiguity, employee explanation.</x:v>
      </x:c>
      <x:c r="E13" s="114" t="str">
        <x:v>blocked</x:v>
      </x:c>
      <x:c r="F13" s="114" t="str">
        <x:v>Blocker type matters; not automatically employee gap.</x:v>
      </x:c>
      <x:c r="G13" s="114" t="str">
        <x:v>Escalation/support evidence.</x:v>
      </x:c>
      <x:c r="H13" s="114" t="str">
        <x:v>Critical</x:v>
      </x:c>
      <x:c r="I13" s="608" t="str">
        <x:v>Draft Complete</x:v>
      </x:c>
    </x:row>
    <x:row r="14">
      <x:c r="A14" s="612" t="str">
        <x:v>EP-010</x:v>
      </x:c>
      <x:c r="B14" s="613" t="str">
        <x:v>IDLE_UNEXPLAINED</x:v>
      </x:c>
      <x:c r="C14" s="613" t="str">
        <x:v>No valid human/automation/review signal beyond threshold.</x:v>
      </x:c>
      <x:c r="D14" s="613" t="str">
        <x:v>Lack of input and no contextual work evidence.</x:v>
      </x:c>
      <x:c r="E14" s="613" t="str">
        <x:v>idle</x:v>
      </x:c>
      <x:c r="F14" s="613" t="str">
        <x:v>Never misconduct conclusion; requires confidence/context.</x:v>
      </x:c>
      <x:c r="G14" s="613" t="str">
        <x:v>Time allocation and possible coaching.</x:v>
      </x:c>
      <x:c r="H14" s="613" t="str">
        <x:v>High</x:v>
      </x:c>
      <x:c r="I14" s="614" t="str">
        <x:v>Draft Complete</x:v>
      </x:c>
    </x:row>
    <x:row r="15">
      <x:c r="A15" s="607" t="str">
        <x:v>EP-011</x:v>
      </x:c>
      <x:c r="B15" s="114" t="str">
        <x:v>POSSIBLY_UNRELATED</x:v>
      </x:c>
      <x:c r="C15" s="114" t="str">
        <x:v>Activity appears unrelated to active task but may be another assigned task or support work.</x:v>
      </x:c>
      <x:c r="D15" s="114" t="str">
        <x:v>App/domain/task mismatch with ambiguity.</x:v>
      </x:c>
      <x:c r="E15" s="114" t="str">
        <x:v>uncertain</x:v>
      </x:c>
      <x:c r="F15" s="114" t="str">
        <x:v>Route correction/task switch; avoid allegation.</x:v>
      </x:c>
      <x:c r="G15" s="114" t="str">
        <x:v>Needs review/correction.</x:v>
      </x:c>
      <x:c r="H15" s="114" t="str">
        <x:v>High</x:v>
      </x:c>
      <x:c r="I15" s="608" t="str">
        <x:v>Draft Complete</x:v>
      </x:c>
    </x:row>
    <x:row r="16">
      <x:c r="A16" s="612" t="str">
        <x:v>EP-012</x:v>
      </x:c>
      <x:c r="B16" s="613" t="str">
        <x:v>PRIVATE_OR_EXCLUDED</x:v>
      </x:c>
      <x:c r="C16" s="613" t="str">
        <x:v>Policy-excluded/private context active.</x:v>
      </x:c>
      <x:c r="D16" s="613" t="str">
        <x:v>Excluded app/domain/display/pause state.</x:v>
      </x:c>
      <x:c r="E16" s="613" t="str">
        <x:v>excluded</x:v>
      </x:c>
      <x:c r="F16" s="613" t="str">
        <x:v>No raw content and no negative inference.</x:v>
      </x:c>
      <x:c r="G16" s="613" t="str">
        <x:v>Evidence gap/coverage state.</x:v>
      </x:c>
      <x:c r="H16" s="613" t="str">
        <x:v>Critical</x:v>
      </x:c>
      <x:c r="I16" s="614" t="str">
        <x:v>Draft Complete</x:v>
      </x:c>
    </x:row>
    <x:row r="17">
      <x:c r="A17" s="607" t="str">
        <x:v>EP-013</x:v>
      </x:c>
      <x:c r="B17" s="114" t="str">
        <x:v>INSUFFICIENT_EVIDENCE</x:v>
      </x:c>
      <x:c r="C17" s="114" t="str">
        <x:v>Telemetry gaps or unsupported tool prevent reliable classification.</x:v>
      </x:c>
      <x:c r="D17" s="114" t="str">
        <x:v>Coverage/gap records, sensor failure.</x:v>
      </x:c>
      <x:c r="E17" s="114" t="str">
        <x:v>unknown</x:v>
      </x:c>
      <x:c r="F17" s="114" t="str">
        <x:v>Missing data cannot be used negatively.</x:v>
      </x:c>
      <x:c r="G17" s="114" t="str">
        <x:v>Confidence limitation.</x:v>
      </x:c>
      <x:c r="H17" s="114" t="str">
        <x:v>Critical</x:v>
      </x:c>
      <x:c r="I17" s="608" t="str">
        <x:v>Draft Complete</x:v>
      </x:c>
    </x:row>
    <x:row r="18">
      <x:c r="A18" s="615" t="str">
        <x:v>EP-014</x:v>
      </x:c>
      <x:c r="B18" s="616" t="str">
        <x:v>REWORK_OR_RECOVERY</x:v>
      </x:c>
      <x:c r="C18" s="616" t="str">
        <x:v>Correcting, reverting, retesting or recovering from failed approach.</x:v>
      </x:c>
      <x:c r="D18" s="616" t="str">
        <x:v>Git revert/diff, repeated tests, error fix, review comments.</x:v>
      </x:c>
      <x:c r="E18" s="616" t="str">
        <x:v>on-task/supporting</x:v>
      </x:c>
      <x:c r="F18" s="616" t="str">
        <x:v>Rework may be positive if error detected/recovered.</x:v>
      </x:c>
      <x:c r="G18" s="616" t="str">
        <x:v>Quality/recovery evidence.</x:v>
      </x:c>
      <x:c r="H18" s="616" t="str">
        <x:v>High</x:v>
      </x:c>
      <x:c r="I18" s="617" t="str">
        <x:v>Draft Complete</x:v>
      </x:c>
    </x:row>
  </x:sheetData>
  <x:mergeCells>
    <x:mergeCell ref="A1:I1"/>
    <x:mergeCell ref="A2:I2"/>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9.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4" hidden="0" customWidth="1"/>
    <x:col min="5" max="5" width="42" hidden="0" customWidth="1"/>
    <x:col min="6" max="6" width="50" hidden="0" customWidth="1"/>
  </x:cols>
  <x:sheetData>
    <x:row r="1" ht="30" customHeight="1">
      <x:c r="A1" s="569" t="str">
        <x:v>Stage 7 — Task Alignment Model</x:v>
      </x:c>
      <x:c r="B1" s="569"/>
      <x:c r="C1" s="569"/>
      <x:c r="D1" s="569"/>
      <x:c r="E1" s="569"/>
      <x:c r="F1" s="569"/>
    </x:row>
    <x:row r="2" ht="36" customHeight="1">
      <x:c r="A2" s="573" t="str">
        <x:v>Canonical task-alignment states used by Task Assurance. Each alignment is evidence-linked and subject to employee correction.</x:v>
      </x:c>
      <x:c r="B2" s="573"/>
      <x:c r="C2" s="573"/>
      <x:c r="D2" s="573"/>
      <x:c r="E2" s="573"/>
      <x:c r="F2" s="573"/>
    </x:row>
    <x:row r="4" ht="30" customHeight="1">
      <x:c r="A4" s="585" t="str">
        <x:v>ID</x:v>
      </x:c>
      <x:c r="B4" s="586" t="str">
        <x:v>Alignment state</x:v>
      </x:c>
      <x:c r="C4" s="586" t="str">
        <x:v>Definition</x:v>
      </x:c>
      <x:c r="D4" s="586" t="str">
        <x:v>Evidence examples</x:v>
      </x:c>
      <x:c r="E4" s="586" t="str">
        <x:v>Reporting meaning</x:v>
      </x:c>
      <x:c r="F4" s="586" t="str">
        <x:v>Guardrail</x:v>
      </x:c>
      <x:c r="G4" s="587" t="str">
        <x:v>Status</x:v>
      </x:c>
    </x:row>
    <x:row r="5">
      <x:c r="A5" s="604" t="str">
        <x:v>ALIGN-001</x:v>
      </x:c>
      <x:c r="B5" s="605" t="str">
        <x:v>ON_TASK</x:v>
      </x:c>
      <x:c r="C5" s="605" t="str">
        <x:v>Observed activity directly advances the active task contract.</x:v>
      </x:c>
      <x:c r="D5" s="605" t="str">
        <x:v>Criterion-linked evidence, relevant repo/tool, direct artefact changes.</x:v>
      </x:c>
      <x:c r="E5" s="605" t="str">
        <x:v>Can count toward task progress/quality.</x:v>
      </x:c>
      <x:c r="F5" s="605" t="str">
        <x:v>Must link to task contract.</x:v>
      </x:c>
      <x:c r="G5" s="606" t="str">
        <x:v>Draft Complete</x:v>
      </x:c>
    </x:row>
    <x:row r="6">
      <x:c r="A6" s="612" t="str">
        <x:v>ALIGN-002</x:v>
      </x:c>
      <x:c r="B6" s="613" t="str">
        <x:v>SUPPORTING_TASK</x:v>
      </x:c>
      <x:c r="C6" s="613" t="str">
        <x:v>Activity reasonably supports the active task but does not directly complete criteria.</x:v>
      </x:c>
      <x:c r="D6" s="613" t="str">
        <x:v>Documentation, research, review, setup, debugging context.</x:v>
      </x:c>
      <x:c r="E6" s="613" t="str">
        <x:v>Valid supporting time.</x:v>
      </x:c>
      <x:c r="F6" s="613" t="str">
        <x:v>Avoid over-crediting as completion.</x:v>
      </x:c>
      <x:c r="G6" s="614" t="str">
        <x:v>Draft Complete</x:v>
      </x:c>
    </x:row>
    <x:row r="7">
      <x:c r="A7" s="607" t="str">
        <x:v>ALIGN-003</x:v>
      </x:c>
      <x:c r="B7" s="114" t="str">
        <x:v>OTHER_ASSIGNED_TASK</x:v>
      </x:c>
      <x:c r="C7" s="114" t="str">
        <x:v>Work on another assigned or valid HumanOS task.</x:v>
      </x:c>
      <x:c r="D7" s="114" t="str">
        <x:v>Other task/project refs, task switch correction.</x:v>
      </x:c>
      <x:c r="E7" s="114" t="str">
        <x:v>May require task attribution correction.</x:v>
      </x:c>
      <x:c r="F7" s="114" t="str">
        <x:v>Not unrelated by default.</x:v>
      </x:c>
      <x:c r="G7" s="608" t="str">
        <x:v>Draft Complete</x:v>
      </x:c>
    </x:row>
    <x:row r="8">
      <x:c r="A8" s="612" t="str">
        <x:v>ALIGN-004</x:v>
      </x:c>
      <x:c r="B8" s="613" t="str">
        <x:v>BLOCKED</x:v>
      </x:c>
      <x:c r="C8" s="613" t="str">
        <x:v>Progress blocked by access, dependency, unclear requirement or environment.</x:v>
      </x:c>
      <x:c r="D8" s="613" t="str">
        <x:v>Blocker evidence and owner.</x:v>
      </x:c>
      <x:c r="E8" s="613" t="str">
        <x:v>Support/escalation rather than capability penalty.</x:v>
      </x:c>
      <x:c r="F8" s="613" t="str">
        <x:v>Classify blocker type.</x:v>
      </x:c>
      <x:c r="G8" s="614" t="str">
        <x:v>Draft Complete</x:v>
      </x:c>
    </x:row>
    <x:row r="9">
      <x:c r="A9" s="607" t="str">
        <x:v>ALIGN-005</x:v>
      </x:c>
      <x:c r="B9" s="114" t="str">
        <x:v>AUTOMATED_EXECUTION</x:v>
      </x:c>
      <x:c r="C9" s="114" t="str">
        <x:v>Task-linked automated process is running.</x:v>
      </x:c>
      <x:c r="D9" s="114" t="str">
        <x:v>Build/test/CI/agent/process events.</x:v>
      </x:c>
      <x:c r="E9" s="114" t="str">
        <x:v>Valid task/automation time.</x:v>
      </x:c>
      <x:c r="F9" s="114" t="str">
        <x:v>Not human idle.</x:v>
      </x:c>
      <x:c r="G9" s="608" t="str">
        <x:v>Draft Complete</x:v>
      </x:c>
    </x:row>
    <x:row r="10">
      <x:c r="A10" s="612" t="str">
        <x:v>ALIGN-006</x:v>
      </x:c>
      <x:c r="B10" s="613" t="str">
        <x:v>AUTOMATED_EXECUTION_WAIT</x:v>
      </x:c>
      <x:c r="C10" s="613" t="str">
        <x:v>Employee waiting or monitoring task-linked automation.</x:v>
      </x:c>
      <x:c r="D10" s="613" t="str">
        <x:v>Initiating action + active process + no unrelated work.</x:v>
      </x:c>
      <x:c r="E10" s="613" t="str">
        <x:v>Valid task context.</x:v>
      </x:c>
      <x:c r="F10" s="613" t="str">
        <x:v>May support parallel-task switch.</x:v>
      </x:c>
      <x:c r="G10" s="614" t="str">
        <x:v>Draft Complete</x:v>
      </x:c>
    </x:row>
    <x:row r="11">
      <x:c r="A11" s="607" t="str">
        <x:v>ALIGN-007</x:v>
      </x:c>
      <x:c r="B11" s="114" t="str">
        <x:v>LEARNING</x:v>
      </x:c>
      <x:c r="C11" s="114" t="str">
        <x:v>Approved learning or reference material relevant to task/capability gap.</x:v>
      </x:c>
      <x:c r="D11" s="114" t="str">
        <x:v>Learning intervention or relevant docs.</x:v>
      </x:c>
      <x:c r="E11" s="114" t="str">
        <x:v>Development/supporting time.</x:v>
      </x:c>
      <x:c r="F11" s="114" t="str">
        <x:v>Completion is not capability proof.</x:v>
      </x:c>
      <x:c r="G11" s="608" t="str">
        <x:v>Draft Complete</x:v>
      </x:c>
    </x:row>
    <x:row r="12">
      <x:c r="A12" s="612" t="str">
        <x:v>ALIGN-008</x:v>
      </x:c>
      <x:c r="B12" s="613" t="str">
        <x:v>COLLABORATION</x:v>
      </x:c>
      <x:c r="C12" s="613" t="str">
        <x:v>Approved collaboration supporting task or review.</x:v>
      </x:c>
      <x:c r="D12" s="613" t="str">
        <x:v>PR comments, ticket updates, meeting/collab metadata.</x:v>
      </x:c>
      <x:c r="E12" s="613" t="str">
        <x:v>Valid supporting time.</x:v>
      </x:c>
      <x:c r="F12" s="613" t="str">
        <x:v>No audio capture in MVP.</x:v>
      </x:c>
      <x:c r="G12" s="614" t="str">
        <x:v>Draft Complete</x:v>
      </x:c>
    </x:row>
    <x:row r="13">
      <x:c r="A13" s="607" t="str">
        <x:v>ALIGN-009</x:v>
      </x:c>
      <x:c r="B13" s="114" t="str">
        <x:v>POSSIBLY_UNRELATED</x:v>
      </x:c>
      <x:c r="C13" s="114" t="str">
        <x:v>Activity appears outside task and no valid support evidence yet.</x:v>
      </x:c>
      <x:c r="D13" s="114" t="str">
        <x:v>Unmatched domain/app/project.</x:v>
      </x:c>
      <x:c r="E13" s="114" t="str">
        <x:v>Needs employee correction/review.</x:v>
      </x:c>
      <x:c r="F13" s="114" t="str">
        <x:v>Never definitive accusation.</x:v>
      </x:c>
      <x:c r="G13" s="608" t="str">
        <x:v>Draft Complete</x:v>
      </x:c>
    </x:row>
    <x:row r="14">
      <x:c r="A14" s="612" t="str">
        <x:v>ALIGN-010</x:v>
      </x:c>
      <x:c r="B14" s="613" t="str">
        <x:v>UNASSIGNED_WORK</x:v>
      </x:c>
      <x:c r="C14" s="613" t="str">
        <x:v>Legitimate work activity not tied to an active task.</x:v>
      </x:c>
      <x:c r="D14" s="613" t="str">
        <x:v>Work artefacts but no task contract.</x:v>
      </x:c>
      <x:c r="E14" s="613" t="str">
        <x:v>Create task attribution gap.</x:v>
      </x:c>
      <x:c r="F14" s="613" t="str">
        <x:v>Do not assess quality without contract.</x:v>
      </x:c>
      <x:c r="G14" s="614" t="str">
        <x:v>Draft Complete</x:v>
      </x:c>
    </x:row>
    <x:row r="15">
      <x:c r="A15" s="607" t="str">
        <x:v>ALIGN-011</x:v>
      </x:c>
      <x:c r="B15" s="114" t="str">
        <x:v>PRIVATE_OR_EXCLUDED</x:v>
      </x:c>
      <x:c r="C15" s="114" t="str">
        <x:v>Private/excluded context.</x:v>
      </x:c>
      <x:c r="D15" s="114" t="str">
        <x:v>Policy state.</x:v>
      </x:c>
      <x:c r="E15" s="114" t="str">
        <x:v>Coverage gap; no raw content.</x:v>
      </x:c>
      <x:c r="F15" s="114" t="str">
        <x:v>No negative inference.</x:v>
      </x:c>
      <x:c r="G15" s="608" t="str">
        <x:v>Draft Complete</x:v>
      </x:c>
    </x:row>
    <x:row r="16">
      <x:c r="A16" s="615" t="str">
        <x:v>ALIGN-012</x:v>
      </x:c>
      <x:c r="B16" s="616" t="str">
        <x:v>INSUFFICIENT_EVIDENCE</x:v>
      </x:c>
      <x:c r="C16" s="616" t="str">
        <x:v>Coverage too weak to classify.</x:v>
      </x:c>
      <x:c r="D16" s="616" t="str">
        <x:v>Telemetry gaps, unsupported tool, ambiguous evidence.</x:v>
      </x:c>
      <x:c r="E16" s="616" t="str">
        <x:v>Finding unavailable/low confidence.</x:v>
      </x:c>
      <x:c r="F16" s="616" t="str">
        <x:v>No negative inference.</x:v>
      </x:c>
      <x:c r="G16" s="617" t="str">
        <x:v>Draft Complete</x:v>
      </x:c>
    </x:row>
  </x:sheetData>
  <x:mergeCells>
    <x:mergeCell ref="A1:F1"/>
    <x:mergeCell ref="A2:F2"/>
  </x:mergeCells>
  <x:dataValidations count="1">
    <x:dataValidation type="list" sqref="F5:F16">
      <x:formula1>"Draft Complete,Needs Review,Approved,Deferred"</x:formula1>
    </x:dataValidation>
  </x:dataValidations>
  <x:pageMargins left="0.7" right="0.7" top="0.75" bottom="0.75" header="0.3" footer="0.3"/>
</x:worksheet>
</file>

<file path=xl/worksheets/sheet100.xml><?xml version="1.0" encoding="utf-8"?>
<x:worksheet xmlns:x="http://schemas.openxmlformats.org/spreadsheetml/2006/main">
  <x:sheetFormatPr defaultRowHeight="15"/>
  <x:cols>
    <x:col min="1" max="1" width="12" hidden="0" customWidth="1"/>
    <x:col min="2" max="2" width="22" hidden="0" customWidth="1"/>
    <x:col min="3" max="3" width="30" hidden="0" customWidth="1"/>
    <x:col min="4" max="4" width="56" hidden="0" customWidth="1"/>
    <x:col min="5" max="5" width="54" hidden="0" customWidth="1"/>
    <x:col min="6" max="6" width="52" hidden="0" customWidth="1"/>
    <x:col min="7" max="7" width="18" hidden="0" customWidth="1"/>
  </x:cols>
  <x:sheetData>
    <x:row r="1" ht="30" customHeight="1">
      <x:c r="A1" s="569" t="str">
        <x:v>Stage 7 — Acceptance Criteria Engine</x:v>
      </x:c>
      <x:c r="B1" s="569"/>
      <x:c r="C1" s="569"/>
      <x:c r="D1" s="569"/>
      <x:c r="E1" s="569"/>
      <x:c r="F1" s="569"/>
      <x:c r="G1" s="569"/>
    </x:row>
    <x:row r="2" ht="36" customHeight="1">
      <x:c r="A2" s="573" t="str">
        <x:v>Criterion, quality-gate and completion-state model for task assurance. Completion is separated into claimed, evidence-complete and reviewer-approved states.</x:v>
      </x:c>
      <x:c r="B2" s="573"/>
      <x:c r="C2" s="573"/>
      <x:c r="D2" s="573"/>
      <x:c r="E2" s="573"/>
      <x:c r="F2" s="573"/>
      <x:c r="G2" s="573"/>
    </x:row>
    <x:row r="4" ht="30" customHeight="1">
      <x:c r="A4" s="585" t="str">
        <x:v>ID</x:v>
      </x:c>
      <x:c r="B4" s="586" t="str">
        <x:v>Category</x:v>
      </x:c>
      <x:c r="C4" s="586" t="str">
        <x:v>State / rule</x:v>
      </x:c>
      <x:c r="D4" s="586" t="str">
        <x:v>Definition</x:v>
      </x:c>
      <x:c r="E4" s="586" t="str">
        <x:v>Evidence examples</x:v>
      </x:c>
      <x:c r="F4" s="586" t="str">
        <x:v>Guardrail / next action</x:v>
      </x:c>
      <x:c r="G4" s="587" t="str">
        <x:v>Status</x:v>
      </x:c>
    </x:row>
    <x:row r="5">
      <x:c r="A5" s="604" t="str">
        <x:v>ACE-001</x:v>
      </x:c>
      <x:c r="B5" s="605" t="str">
        <x:v>Criterion state</x:v>
      </x:c>
      <x:c r="C5" s="605" t="str">
        <x:v>NOT_STARTED</x:v>
      </x:c>
      <x:c r="D5" s="605" t="str">
        <x:v>No evidence yet linked to the criterion.</x:v>
      </x:c>
      <x:c r="E5" s="605" t="str">
        <x:v>Task contract active but no matching evidence.</x:v>
      </x:c>
      <x:c r="F5" s="605" t="str">
        <x:v>Not a negative capability finding.</x:v>
      </x:c>
      <x:c r="G5" s="606" t="str">
        <x:v>Draft Complete</x:v>
      </x:c>
    </x:row>
    <x:row r="6">
      <x:c r="A6" s="612" t="str">
        <x:v>ACE-002</x:v>
      </x:c>
      <x:c r="B6" s="613" t="str">
        <x:v>Criterion state</x:v>
      </x:c>
      <x:c r="C6" s="613" t="str">
        <x:v>IN_PROGRESS</x:v>
      </x:c>
      <x:c r="D6" s="613" t="str">
        <x:v>Evidence shows work toward criterion but no verification.</x:v>
      </x:c>
      <x:c r="E6" s="613" t="str">
        <x:v>Relevant code/docs/process, no test/review yet.</x:v>
      </x:c>
      <x:c r="F6" s="613" t="str">
        <x:v>Progress, not completion.</x:v>
      </x:c>
      <x:c r="G6" s="614" t="str">
        <x:v>Draft Complete</x:v>
      </x:c>
    </x:row>
    <x:row r="7">
      <x:c r="A7" s="607" t="str">
        <x:v>ACE-003</x:v>
      </x:c>
      <x:c r="B7" s="114" t="str">
        <x:v>Criterion state</x:v>
      </x:c>
      <x:c r="C7" s="114" t="str">
        <x:v>PARTIALLY_SATISFIED</x:v>
      </x:c>
      <x:c r="D7" s="114" t="str">
        <x:v>Some evidence meets part of requirement.</x:v>
      </x:c>
      <x:c r="E7" s="114" t="str">
        <x:v>Subset tests pass, partial artefact, missing edge case.</x:v>
      </x:c>
      <x:c r="F7" s="114" t="str">
        <x:v>Requires missing evidence list.</x:v>
      </x:c>
      <x:c r="G7" s="608" t="str">
        <x:v>Draft Complete</x:v>
      </x:c>
    </x:row>
    <x:row r="8">
      <x:c r="A8" s="612" t="str">
        <x:v>ACE-004</x:v>
      </x:c>
      <x:c r="B8" s="613" t="str">
        <x:v>Criterion state</x:v>
      </x:c>
      <x:c r="C8" s="613" t="str">
        <x:v>SATISFIED_DETERMINISTIC</x:v>
      </x:c>
      <x:c r="D8" s="613" t="str">
        <x:v>Deterministic evidence satisfies criterion.</x:v>
      </x:c>
      <x:c r="E8" s="613" t="str">
        <x:v>Passing test, successful check, merged PR, completed workflow.</x:v>
      </x:c>
      <x:c r="F8" s="613" t="str">
        <x:v>High confidence if scope matches.</x:v>
      </x:c>
      <x:c r="G8" s="614" t="str">
        <x:v>Draft Complete</x:v>
      </x:c>
    </x:row>
    <x:row r="9">
      <x:c r="A9" s="607" t="str">
        <x:v>ACE-005</x:v>
      </x:c>
      <x:c r="B9" s="114" t="str">
        <x:v>Criterion state</x:v>
      </x:c>
      <x:c r="C9" s="114" t="str">
        <x:v>SATISFIED_REVIEWED</x:v>
      </x:c>
      <x:c r="D9" s="114" t="str">
        <x:v>Human reviewer accepted evidence.</x:v>
      </x:c>
      <x:c r="E9" s="114" t="str">
        <x:v>ReviewDecision/PR review/manual verification.</x:v>
      </x:c>
      <x:c r="F9" s="114" t="str">
        <x:v>Reviewer rationale stored.</x:v>
      </x:c>
      <x:c r="G9" s="608" t="str">
        <x:v>Draft Complete</x:v>
      </x:c>
    </x:row>
    <x:row r="10">
      <x:c r="A10" s="612" t="str">
        <x:v>ACE-006</x:v>
      </x:c>
      <x:c r="B10" s="613" t="str">
        <x:v>Criterion state</x:v>
      </x:c>
      <x:c r="C10" s="613" t="str">
        <x:v>SATISFIED_AI_RECOMMENDED</x:v>
      </x:c>
      <x:c r="D10" s="613" t="str">
        <x:v>AI/evaluator recommends satisfaction but human/deterministic evidence not yet final.</x:v>
      </x:c>
      <x:c r="E10" s="613" t="str">
        <x:v>Evidence sufficiency model with refs/confidence.</x:v>
      </x:c>
      <x:c r="F10" s="613" t="str">
        <x:v>Cannot be final high-impact state alone.</x:v>
      </x:c>
      <x:c r="G10" s="614" t="str">
        <x:v>Draft Complete</x:v>
      </x:c>
    </x:row>
    <x:row r="11">
      <x:c r="A11" s="607" t="str">
        <x:v>ACE-007</x:v>
      </x:c>
      <x:c r="B11" s="114" t="str">
        <x:v>Criterion state</x:v>
      </x:c>
      <x:c r="C11" s="114" t="str">
        <x:v>BLOCKED</x:v>
      </x:c>
      <x:c r="D11" s="114" t="str">
        <x:v>Required condition blocked by external/access/requirement issue.</x:v>
      </x:c>
      <x:c r="E11" s="114" t="str">
        <x:v>Blocker evidence and owner.</x:v>
      </x:c>
      <x:c r="F11" s="114" t="str">
        <x:v>Does not indicate employee failure.</x:v>
      </x:c>
      <x:c r="G11" s="608" t="str">
        <x:v>Draft Complete</x:v>
      </x:c>
    </x:row>
    <x:row r="12">
      <x:c r="A12" s="612" t="str">
        <x:v>ACE-008</x:v>
      </x:c>
      <x:c r="B12" s="613" t="str">
        <x:v>Criterion state</x:v>
      </x:c>
      <x:c r="C12" s="613" t="str">
        <x:v>CONTRADICTED</x:v>
      </x:c>
      <x:c r="D12" s="613" t="str">
        <x:v>Evidence contradicts criterion or completion claim.</x:v>
      </x:c>
      <x:c r="E12" s="613" t="str">
        <x:v>Failing tests, reviewer reject, unresolved error.</x:v>
      </x:c>
      <x:c r="F12" s="613" t="str">
        <x:v>Route to review if material.</x:v>
      </x:c>
      <x:c r="G12" s="614" t="str">
        <x:v>Draft Complete</x:v>
      </x:c>
    </x:row>
    <x:row r="13">
      <x:c r="A13" s="607" t="str">
        <x:v>ACE-009</x:v>
      </x:c>
      <x:c r="B13" s="114" t="str">
        <x:v>Criterion state</x:v>
      </x:c>
      <x:c r="C13" s="114" t="str">
        <x:v>INSUFFICIENT_EVIDENCE</x:v>
      </x:c>
      <x:c r="D13" s="114" t="str">
        <x:v>Coverage gaps prevent determination.</x:v>
      </x:c>
      <x:c r="E13" s="114" t="str">
        <x:v>Missing adapter, sensor gaps, inaccessible source.</x:v>
      </x:c>
      <x:c r="F13" s="114" t="str">
        <x:v>No negative conclusion.</x:v>
      </x:c>
      <x:c r="G13" s="608" t="str">
        <x:v>Draft Complete</x:v>
      </x:c>
    </x:row>
    <x:row r="14">
      <x:c r="A14" s="612" t="str">
        <x:v>ACE-010</x:v>
      </x:c>
      <x:c r="B14" s="613" t="str">
        <x:v>Quality gate</x:v>
      </x:c>
      <x:c r="C14" s="613" t="str">
        <x:v>REQUIRED_PASS</x:v>
      </x:c>
      <x:c r="D14" s="613" t="str">
        <x:v>Task cannot be verified complete unless gate passes.</x:v>
      </x:c>
      <x:c r="E14" s="613" t="str">
        <x:v>Tests/security/review/deployment gate.</x:v>
      </x:c>
      <x:c r="F14" s="613" t="str">
        <x:v>Blocks verified completion.</x:v>
      </x:c>
      <x:c r="G14" s="614" t="str">
        <x:v>Draft Complete</x:v>
      </x:c>
    </x:row>
    <x:row r="15">
      <x:c r="A15" s="607" t="str">
        <x:v>ACE-011</x:v>
      </x:c>
      <x:c r="B15" s="114" t="str">
        <x:v>Quality gate</x:v>
      </x:c>
      <x:c r="C15" s="114" t="str">
        <x:v>ADVISORY</x:v>
      </x:c>
      <x:c r="D15" s="114" t="str">
        <x:v>Gate informs quality but does not block by default.</x:v>
      </x:c>
      <x:c r="E15" s="114" t="str">
        <x:v>Lint warnings, optional review, performance note.</x:v>
      </x:c>
      <x:c r="F15" s="114" t="str">
        <x:v>Report as risk/caveat.</x:v>
      </x:c>
      <x:c r="G15" s="608" t="str">
        <x:v>Draft Complete</x:v>
      </x:c>
    </x:row>
    <x:row r="16">
      <x:c r="A16" s="612" t="str">
        <x:v>ACE-012</x:v>
      </x:c>
      <x:c r="B16" s="613" t="str">
        <x:v>Completion state</x:v>
      </x:c>
      <x:c r="C16" s="613" t="str">
        <x:v>CLAIMED_COMPLETE</x:v>
      </x:c>
      <x:c r="D16" s="613" t="str">
        <x:v>Employee/agent/task marked complete but system has not verified all criteria.</x:v>
      </x:c>
      <x:c r="E16" s="613" t="str">
        <x:v>Task status update.</x:v>
      </x:c>
      <x:c r="F16" s="613" t="str">
        <x:v>Not same as verified complete.</x:v>
      </x:c>
      <x:c r="G16" s="614" t="str">
        <x:v>Draft Complete</x:v>
      </x:c>
    </x:row>
    <x:row r="17">
      <x:c r="A17" s="607" t="str">
        <x:v>ACE-013</x:v>
      </x:c>
      <x:c r="B17" s="114" t="str">
        <x:v>Completion state</x:v>
      </x:c>
      <x:c r="C17" s="114" t="str">
        <x:v>EVIDENCE_COMPLETE</x:v>
      </x:c>
      <x:c r="D17" s="114" t="str">
        <x:v>All required deterministic/review evidence present.</x:v>
      </x:c>
      <x:c r="E17" s="114" t="str">
        <x:v>All blocking criteria/gates satisfied.</x:v>
      </x:c>
      <x:c r="F17" s="114" t="str">
        <x:v>May await reviewer approval.</x:v>
      </x:c>
      <x:c r="G17" s="608" t="str">
        <x:v>Draft Complete</x:v>
      </x:c>
    </x:row>
    <x:row r="18">
      <x:c r="A18" s="612" t="str">
        <x:v>ACE-014</x:v>
      </x:c>
      <x:c r="B18" s="613" t="str">
        <x:v>Completion state</x:v>
      </x:c>
      <x:c r="C18" s="613" t="str">
        <x:v>REVIEW_APPROVED</x:v>
      </x:c>
      <x:c r="D18" s="613" t="str">
        <x:v>Authorised reviewer approves task completion.</x:v>
      </x:c>
      <x:c r="E18" s="613" t="str">
        <x:v>ReviewDecision accepted.</x:v>
      </x:c>
      <x:c r="F18" s="613" t="str">
        <x:v>Audit and rationale stored.</x:v>
      </x:c>
      <x:c r="G18" s="614" t="str">
        <x:v>Draft Complete</x:v>
      </x:c>
    </x:row>
    <x:row r="19">
      <x:c r="A19" s="609" t="str">
        <x:v>ACE-015</x:v>
      </x:c>
      <x:c r="B19" s="610" t="str">
        <x:v>Completion state</x:v>
      </x:c>
      <x:c r="C19" s="610" t="str">
        <x:v>REOPEN_REQUIRED</x:v>
      </x:c>
      <x:c r="D19" s="610" t="str">
        <x:v>Contradiction or missing gate requires rework.</x:v>
      </x:c>
      <x:c r="E19" s="610" t="str">
        <x:v>Failing quality gate or reviewer reject.</x:v>
      </x:c>
      <x:c r="F19" s="610" t="str">
        <x:v>Create next action/blocker.</x:v>
      </x:c>
      <x:c r="G19" s="611" t="str">
        <x:v>Draft Complete</x:v>
      </x:c>
    </x:row>
  </x:sheetData>
  <x:mergeCells>
    <x:mergeCell ref="A1:G1"/>
    <x:mergeCell ref="A2:G2"/>
  </x:mergeCells>
  <x:dataValidations count="1">
    <x:dataValidation type="list" sqref="G5:G19">
      <x:formula1>"Draft Complete,Needs Review,Approved,Deferred"</x:formula1>
    </x:dataValidation>
  </x:dataValidations>
  <x:pageMargins left="0.7" right="0.7" top="0.75" bottom="0.75" header="0.3" footer="0.3"/>
</x:worksheet>
</file>

<file path=xl/worksheets/sheet101.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54" hidden="0" customWidth="1"/>
    <x:col min="5" max="5" width="54" hidden="0" customWidth="1"/>
    <x:col min="6" max="6" width="30" hidden="0" customWidth="1"/>
    <x:col min="7" max="7" width="12" hidden="0" customWidth="1"/>
    <x:col min="8" max="8" width="18" hidden="0" customWidth="1"/>
  </x:cols>
  <x:sheetData>
    <x:row r="1" ht="30" customHeight="1">
      <x:c r="A1" s="569" t="str">
        <x:v>Stage 7 — Quality and Blocker Model</x:v>
      </x:c>
      <x:c r="B1" s="569"/>
      <x:c r="C1" s="569"/>
      <x:c r="D1" s="569"/>
      <x:c r="E1" s="569"/>
      <x:c r="F1" s="569"/>
      <x:c r="G1" s="569"/>
      <x:c r="H1" s="569"/>
    </x:row>
    <x:row r="2" ht="36" customHeight="1">
      <x:c r="A2" s="573" t="str">
        <x:v>Blocker and quality taxonomy used to explain task outcomes without automatically converting problems into employee capability findings.</x:v>
      </x:c>
      <x:c r="B2" s="573"/>
      <x:c r="C2" s="573"/>
      <x:c r="D2" s="573"/>
      <x:c r="E2" s="573"/>
      <x:c r="F2" s="573"/>
      <x:c r="G2" s="573"/>
      <x:c r="H2" s="573"/>
    </x:row>
    <x:row r="4" ht="30" customHeight="1">
      <x:c r="A4" s="585" t="str">
        <x:v>ID</x:v>
      </x:c>
      <x:c r="B4" s="586" t="str">
        <x:v>Category</x:v>
      </x:c>
      <x:c r="C4" s="586" t="str">
        <x:v>Definition</x:v>
      </x:c>
      <x:c r="D4" s="586" t="str">
        <x:v>Evidence examples</x:v>
      </x:c>
      <x:c r="E4" s="586" t="str">
        <x:v>Interpretation / guardrail</x:v>
      </x:c>
      <x:c r="F4" s="586" t="str">
        <x:v>Owner / escalation</x:v>
      </x:c>
      <x:c r="G4" s="586" t="str">
        <x:v>Priority</x:v>
      </x:c>
      <x:c r="H4" s="587" t="str">
        <x:v>Status</x:v>
      </x:c>
    </x:row>
    <x:row r="5">
      <x:c r="A5" s="604" t="str">
        <x:v>QB-001</x:v>
      </x:c>
      <x:c r="B5" s="605" t="str">
        <x:v>REQUIREMENT_AMBIGUITY</x:v>
      </x:c>
      <x:c r="C5" s="605" t="str">
        <x:v>Task lacks sufficient expected behaviour, inputs or acceptance criteria.</x:v>
      </x:c>
      <x:c r="D5" s="605" t="str">
        <x:v>Vague ticket, contradictory notes, employee clarifying questions.</x:v>
      </x:c>
      <x:c r="E5" s="605" t="str">
        <x:v>Manager/process issue, not employee gap.</x:v>
      </x:c>
      <x:c r="F5" s="605" t="str">
        <x:v>Task owner/Product</x:v>
      </x:c>
      <x:c r="G5" s="605" t="str">
        <x:v>High</x:v>
      </x:c>
      <x:c r="H5" s="606" t="str">
        <x:v>Draft Complete</x:v>
      </x:c>
    </x:row>
    <x:row r="6">
      <x:c r="A6" s="612" t="str">
        <x:v>QB-002</x:v>
      </x:c>
      <x:c r="B6" s="613" t="str">
        <x:v>ACCESS_BLOCKER</x:v>
      </x:c>
      <x:c r="C6" s="613" t="str">
        <x:v>Employee lacks required account, permission, credential, repo, environment or dataset.</x:v>
      </x:c>
      <x:c r="D6" s="613" t="str">
        <x:v>Access denied, request ticket, missing secret, blocked environment.</x:v>
      </x:c>
      <x:c r="E6" s="613" t="str">
        <x:v>Exclude negative capability evidence.</x:v>
      </x:c>
      <x:c r="F6" s="613" t="str">
        <x:v>Manager/IT/Security</x:v>
      </x:c>
      <x:c r="G6" s="613" t="str">
        <x:v>Critical</x:v>
      </x:c>
      <x:c r="H6" s="614" t="str">
        <x:v>Draft Complete</x:v>
      </x:c>
    </x:row>
    <x:row r="7">
      <x:c r="A7" s="607" t="str">
        <x:v>QB-003</x:v>
      </x:c>
      <x:c r="B7" s="114" t="str">
        <x:v>ENVIRONMENT_FAILURE</x:v>
      </x:c>
      <x:c r="C7" s="114" t="str">
        <x:v>Local/cloud/test environment failure outside reasonable employee control.</x:v>
      </x:c>
      <x:c r="D7" s="114" t="str">
        <x:v>Service outage, dependency unavailable, CI infra failure.</x:v>
      </x:c>
      <x:c r="E7" s="114" t="str">
        <x:v>Classify support/escalation.</x:v>
      </x:c>
      <x:c r="F7" s="114" t="str">
        <x:v>Platform/SRE</x:v>
      </x:c>
      <x:c r="G7" s="114" t="str">
        <x:v>High</x:v>
      </x:c>
      <x:c r="H7" s="608" t="str">
        <x:v>Draft Complete</x:v>
      </x:c>
    </x:row>
    <x:row r="8">
      <x:c r="A8" s="612" t="str">
        <x:v>QB-004</x:v>
      </x:c>
      <x:c r="B8" s="613" t="str">
        <x:v>DEPENDENCY_WAIT</x:v>
      </x:c>
      <x:c r="C8" s="613" t="str">
        <x:v>Awaiting another person/team/system dependency.</x:v>
      </x:c>
      <x:c r="D8" s="613" t="str">
        <x:v>PR review pending, upstream ticket, vendor response.</x:v>
      </x:c>
      <x:c r="E8" s="613" t="str">
        <x:v>Valid blocked time if evidenced.</x:v>
      </x:c>
      <x:c r="F8" s="613" t="str">
        <x:v>Team lead/Dependency owner</x:v>
      </x:c>
      <x:c r="G8" s="613" t="str">
        <x:v>Medium</x:v>
      </x:c>
      <x:c r="H8" s="614" t="str">
        <x:v>Draft Complete</x:v>
      </x:c>
    </x:row>
    <x:row r="9">
      <x:c r="A9" s="607" t="str">
        <x:v>QB-005</x:v>
      </x:c>
      <x:c r="B9" s="114" t="str">
        <x:v>KNOWLEDGE_GAP</x:v>
      </x:c>
      <x:c r="C9" s="114" t="str">
        <x:v>Evidence suggests task failed because required concept/tool knowledge is missing.</x:v>
      </x:c>
      <x:c r="D9" s="114" t="str">
        <x:v>Repeated comparable errors after clear guidance/context.</x:v>
      </x:c>
      <x:c r="E9" s="114" t="str">
        <x:v>Route training; human review before capability impact.</x:v>
      </x:c>
      <x:c r="F9" s="114" t="str">
        <x:v>Capability/L&amp;D</x:v>
      </x:c>
      <x:c r="G9" s="114" t="str">
        <x:v>High</x:v>
      </x:c>
      <x:c r="H9" s="608" t="str">
        <x:v>Draft Complete</x:v>
      </x:c>
    </x:row>
    <x:row r="10">
      <x:c r="A10" s="612" t="str">
        <x:v>QB-006</x:v>
      </x:c>
      <x:c r="B10" s="613" t="str">
        <x:v>TOOL_USE_GAP</x:v>
      </x:c>
      <x:c r="C10" s="613" t="str">
        <x:v>Employee is using wrong/inappropriate tool or missing useful tool features.</x:v>
      </x:c>
      <x:c r="D10" s="613" t="str">
        <x:v>Inefficient command, no test runner, poor agent prompt boundaries.</x:v>
      </x:c>
      <x:c r="E10" s="613" t="str">
        <x:v>Coaching recommendation, not discipline.</x:v>
      </x:c>
      <x:c r="F10" s="613" t="str">
        <x:v>Growth Coach</x:v>
      </x:c>
      <x:c r="G10" s="613" t="str">
        <x:v>Medium</x:v>
      </x:c>
      <x:c r="H10" s="614" t="str">
        <x:v>Draft Complete</x:v>
      </x:c>
    </x:row>
    <x:row r="11">
      <x:c r="A11" s="607" t="str">
        <x:v>QB-007</x:v>
      </x:c>
      <x:c r="B11" s="114" t="str">
        <x:v>AI_AGENT_OVERREACH</x:v>
      </x:c>
      <x:c r="C11" s="114" t="str">
        <x:v>Agent modifies files/scope outside authorised task.</x:v>
      </x:c>
      <x:c r="D11" s="114" t="str">
        <x:v>Extra files, unrelated changes, reviewer reject.</x:v>
      </x:c>
      <x:c r="E11" s="114" t="str">
        <x:v>Good employee review can be positive evidence.</x:v>
      </x:c>
      <x:c r="F11" s="114" t="str">
        <x:v>AI Governance/Reviewer</x:v>
      </x:c>
      <x:c r="G11" s="114" t="str">
        <x:v>High</x:v>
      </x:c>
      <x:c r="H11" s="608" t="str">
        <x:v>Draft Complete</x:v>
      </x:c>
    </x:row>
    <x:row r="12">
      <x:c r="A12" s="612" t="str">
        <x:v>QB-008</x:v>
      </x:c>
      <x:c r="B12" s="613" t="str">
        <x:v>UNVERIFIED_CHANGE</x:v>
      </x:c>
      <x:c r="C12" s="613" t="str">
        <x:v>Work changed but required tests/reviews/evidence missing.</x:v>
      </x:c>
      <x:c r="D12" s="613" t="str">
        <x:v>Diff present, no test/check/review.</x:v>
      </x:c>
      <x:c r="E12" s="613" t="str">
        <x:v>Criterion partial; advise verification.</x:v>
      </x:c>
      <x:c r="F12" s="613" t="str">
        <x:v>Task Assurance</x:v>
      </x:c>
      <x:c r="G12" s="613" t="str">
        <x:v>Critical</x:v>
      </x:c>
      <x:c r="H12" s="614" t="str">
        <x:v>Draft Complete</x:v>
      </x:c>
    </x:row>
    <x:row r="13">
      <x:c r="A13" s="607" t="str">
        <x:v>QB-009</x:v>
      </x:c>
      <x:c r="B13" s="114" t="str">
        <x:v>REGRESSION_INTRODUCED</x:v>
      </x:c>
      <x:c r="C13" s="114" t="str">
        <x:v>Evidence shows new failure, broken test or reversed criterion.</x:v>
      </x:c>
      <x:c r="D13" s="114" t="str">
        <x:v>Failing CI/test, reviewer reject.</x:v>
      </x:c>
      <x:c r="E13" s="114" t="str">
        <x:v>Block completion and open rework.</x:v>
      </x:c>
      <x:c r="F13" s="114" t="str">
        <x:v>Reviewer/QA</x:v>
      </x:c>
      <x:c r="G13" s="114" t="str">
        <x:v>Critical</x:v>
      </x:c>
      <x:c r="H13" s="608" t="str">
        <x:v>Draft Complete</x:v>
      </x:c>
    </x:row>
    <x:row r="14">
      <x:c r="A14" s="612" t="str">
        <x:v>QB-010</x:v>
      </x:c>
      <x:c r="B14" s="613" t="str">
        <x:v>SECURITY_RISK</x:v>
      </x:c>
      <x:c r="C14" s="613" t="str">
        <x:v>Change creates or fails security requirement.</x:v>
      </x:c>
      <x:c r="D14" s="613" t="str">
        <x:v>Secret in log, scan fail, insecure permission.</x:v>
      </x:c>
      <x:c r="E14" s="613" t="str">
        <x:v>Blocking review; do not publish secrets in report.</x:v>
      </x:c>
      <x:c r="F14" s="613" t="str">
        <x:v>CISO/Security Reviewer</x:v>
      </x:c>
      <x:c r="G14" s="613" t="str">
        <x:v>Critical</x:v>
      </x:c>
      <x:c r="H14" s="614" t="str">
        <x:v>Draft Complete</x:v>
      </x:c>
    </x:row>
    <x:row r="15">
      <x:c r="A15" s="607" t="str">
        <x:v>QB-011</x:v>
      </x:c>
      <x:c r="B15" s="114" t="str">
        <x:v>SCOPE_EXPANSION</x:v>
      </x:c>
      <x:c r="C15" s="114" t="str">
        <x:v>Work expands beyond task without approval.</x:v>
      </x:c>
      <x:c r="D15" s="114" t="str">
        <x:v>New unrelated modules, broad refactor.</x:v>
      </x:c>
      <x:c r="E15" s="114" t="str">
        <x:v>Review and task-scope correction.</x:v>
      </x:c>
      <x:c r="F15" s="114" t="str">
        <x:v>Team Lead/Product</x:v>
      </x:c>
      <x:c r="G15" s="114" t="str">
        <x:v>High</x:v>
      </x:c>
      <x:c r="H15" s="608" t="str">
        <x:v>Draft Complete</x:v>
      </x:c>
    </x:row>
    <x:row r="16">
      <x:c r="A16" s="612" t="str">
        <x:v>QB-012</x:v>
      </x:c>
      <x:c r="B16" s="613" t="str">
        <x:v>VALID_ALTERNATE_METHOD</x:v>
      </x:c>
      <x:c r="C16" s="613" t="str">
        <x:v>Different method satisfies criteria with adequate evidence.</x:v>
      </x:c>
      <x:c r="D16" s="613" t="str">
        <x:v>Diagnostic script instead of pre-written failing test, reviewer approval.</x:v>
      </x:c>
      <x:c r="E16" s="613" t="str">
        <x:v>Do not penalise preferred process mismatch.</x:v>
      </x:c>
      <x:c r="F16" s="613" t="str">
        <x:v>Domain Reviewer</x:v>
      </x:c>
      <x:c r="G16" s="613" t="str">
        <x:v>High</x:v>
      </x:c>
      <x:c r="H16" s="614" t="str">
        <x:v>Draft Complete</x:v>
      </x:c>
    </x:row>
    <x:row r="17">
      <x:c r="A17" s="607" t="str">
        <x:v>QB-013</x:v>
      </x:c>
      <x:c r="B17" s="114" t="str">
        <x:v>REWORK_RECOVERY</x:v>
      </x:c>
      <x:c r="C17" s="114" t="str">
        <x:v>Employee detects and recovers from an error.</x:v>
      </x:c>
      <x:c r="D17" s="114" t="str">
        <x:v>Revert/fix/retest and explanation.</x:v>
      </x:c>
      <x:c r="E17" s="114" t="str">
        <x:v>May support recovery capability.</x:v>
      </x:c>
      <x:c r="F17" s="114" t="str">
        <x:v>Capability Reviewer</x:v>
      </x:c>
      <x:c r="G17" s="114" t="str">
        <x:v>Medium</x:v>
      </x:c>
      <x:c r="H17" s="608" t="str">
        <x:v>Draft Complete</x:v>
      </x:c>
    </x:row>
    <x:row r="18">
      <x:c r="A18" s="615" t="str">
        <x:v>QB-014</x:v>
      </x:c>
      <x:c r="B18" s="616" t="str">
        <x:v>EVIDENCE_GAP</x:v>
      </x:c>
      <x:c r="C18" s="616" t="str">
        <x:v>Task may be done but evidence is incomplete.</x:v>
      </x:c>
      <x:c r="D18" s="616" t="str">
        <x:v>Missing logs/test/review, adapter gaps.</x:v>
      </x:c>
      <x:c r="E18" s="616" t="str">
        <x:v>Request evidence or human review, not failure by default.</x:v>
      </x:c>
      <x:c r="F18" s="616" t="str">
        <x:v>Task Assurance</x:v>
      </x:c>
      <x:c r="G18" s="616" t="str">
        <x:v>High</x:v>
      </x:c>
      <x:c r="H18" s="617"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102.xml><?xml version="1.0" encoding="utf-8"?>
<x:worksheet xmlns:x="http://schemas.openxmlformats.org/spreadsheetml/2006/main">
  <x:sheetFormatPr defaultRowHeight="15"/>
  <x:cols>
    <x:col min="1" max="1" width="12" hidden="0" customWidth="1"/>
    <x:col min="2" max="2" width="18" hidden="0" customWidth="1"/>
    <x:col min="3" max="3" width="32" hidden="0" customWidth="1"/>
    <x:col min="4" max="4" width="52" hidden="0" customWidth="1"/>
    <x:col min="5" max="5" width="38" hidden="0" customWidth="1"/>
    <x:col min="6" max="6" width="28" hidden="0" customWidth="1"/>
    <x:col min="7" max="7" width="34" hidden="0" customWidth="1"/>
    <x:col min="8" max="8" width="28" hidden="0" customWidth="1"/>
    <x:col min="9" max="9" width="54" hidden="0" customWidth="1"/>
    <x:col min="10" max="10" width="12" hidden="0" customWidth="1"/>
    <x:col min="11" max="11" width="18" hidden="0" customWidth="1"/>
  </x:cols>
  <x:sheetData>
    <x:row r="1" ht="30" customHeight="1">
      <x:c r="A1" s="569" t="str">
        <x:v>Stage 7 — Evaluator Architecture</x:v>
      </x:c>
      <x:c r="B1" s="569"/>
      <x:c r="C1" s="569"/>
      <x:c r="D1" s="569"/>
      <x:c r="E1" s="569"/>
      <x:c r="F1" s="569"/>
      <x:c r="G1" s="569"/>
      <x:c r="H1" s="569"/>
      <x:c r="I1" s="569"/>
      <x:c r="J1" s="569"/>
      <x:c r="K1" s="569"/>
    </x:row>
    <x:row r="2" ht="36" customHeight="1">
      <x:c r="A2" s="573" t="str">
        <x:v>Separation of deterministic rules, AI-assisted recommendations and human-reviewed decisions for Task Assurance.</x:v>
      </x:c>
      <x:c r="B2" s="573"/>
      <x:c r="C2" s="573"/>
      <x:c r="D2" s="573"/>
      <x:c r="E2" s="573"/>
      <x:c r="F2" s="573"/>
      <x:c r="G2" s="573"/>
      <x:c r="H2" s="573"/>
      <x:c r="I2" s="573"/>
      <x:c r="J2" s="573"/>
      <x:c r="K2" s="573"/>
    </x:row>
    <x:row r="4" ht="30" customHeight="1">
      <x:c r="A4" s="585" t="str">
        <x:v>ID</x:v>
      </x:c>
      <x:c r="B4" s="586" t="str">
        <x:v>Evaluator type</x:v>
      </x:c>
      <x:c r="C4" s="586" t="str">
        <x:v>Evaluator</x:v>
      </x:c>
      <x:c r="D4" s="586" t="str">
        <x:v>Purpose</x:v>
      </x:c>
      <x:c r="E4" s="586" t="str">
        <x:v>Inputs</x:v>
      </x:c>
      <x:c r="F4" s="586" t="str">
        <x:v>Runtime</x:v>
      </x:c>
      <x:c r="G4" s="586" t="str">
        <x:v>Output</x:v>
      </x:c>
      <x:c r="H4" s="586" t="str">
        <x:v>Confidence / metric</x:v>
      </x:c>
      <x:c r="I4" s="586" t="str">
        <x:v>Governance rule</x:v>
      </x:c>
      <x:c r="J4" s="586" t="str">
        <x:v>Priority</x:v>
      </x:c>
      <x:c r="K4" s="587" t="str">
        <x:v>Status</x:v>
      </x:c>
    </x:row>
    <x:row r="5">
      <x:c r="A5" s="604" t="str">
        <x:v>EVAL-001</x:v>
      </x:c>
      <x:c r="B5" s="605" t="str">
        <x:v>Deterministic</x:v>
      </x:c>
      <x:c r="C5" s="605" t="str">
        <x:v>TaskContract validator</x:v>
      </x:c>
      <x:c r="D5" s="605" t="str">
        <x:v>Confirms task has approved contract, criteria and evidence requirements.</x:v>
      </x:c>
      <x:c r="E5" s="605" t="str">
        <x:v>TaskContract data</x:v>
      </x:c>
      <x:c r="F5" s="605" t="str">
        <x:v>Java/Spring</x:v>
      </x:c>
      <x:c r="G5" s="605" t="str">
        <x:v>pass/fail + missing fields</x:v>
      </x:c>
      <x:c r="H5" s="605" t="str">
        <x:v>N/A</x:v>
      </x:c>
      <x:c r="I5" s="605" t="str">
        <x:v>No AI needed.</x:v>
      </x:c>
      <x:c r="J5" s="605" t="str">
        <x:v>Critical</x:v>
      </x:c>
      <x:c r="K5" s="606" t="str">
        <x:v>Draft Complete</x:v>
      </x:c>
    </x:row>
    <x:row r="6">
      <x:c r="A6" s="612" t="str">
        <x:v>EVAL-002</x:v>
      </x:c>
      <x:c r="B6" s="613" t="str">
        <x:v>Deterministic</x:v>
      </x:c>
      <x:c r="C6" s="613" t="str">
        <x:v>Criterion evidence matcher</x:v>
      </x:c>
      <x:c r="D6" s="613" t="str">
        <x:v>Matches artefacts/events to evidence requirements.</x:v>
      </x:c>
      <x:c r="E6" s="613" t="str">
        <x:v>Artefact/event refs</x:v>
      </x:c>
      <x:c r="F6" s="613" t="str">
        <x:v>Java rules</x:v>
      </x:c>
      <x:c r="G6" s="613" t="str">
        <x:v>criterion candidate state</x:v>
      </x:c>
      <x:c r="H6" s="613" t="str">
        <x:v>Rule version</x:v>
      </x:c>
      <x:c r="I6" s="613" t="str">
        <x:v>Unmapped evidence stays unmapped.</x:v>
      </x:c>
      <x:c r="J6" s="613" t="str">
        <x:v>Critical</x:v>
      </x:c>
      <x:c r="K6" s="614" t="str">
        <x:v>Draft Complete</x:v>
      </x:c>
    </x:row>
    <x:row r="7">
      <x:c r="A7" s="607" t="str">
        <x:v>EVAL-003</x:v>
      </x:c>
      <x:c r="B7" s="114" t="str">
        <x:v>Deterministic</x:v>
      </x:c>
      <x:c r="C7" s="114" t="str">
        <x:v>Git/PR state evaluator</x:v>
      </x:c>
      <x:c r="D7" s="114" t="str">
        <x:v>Checks branch/commit/PR/review/merge state.</x:v>
      </x:c>
      <x:c r="E7" s="114" t="str">
        <x:v>GitHub/Git refs</x:v>
      </x:c>
      <x:c r="F7" s="114" t="str">
        <x:v>Java adapter consumer</x:v>
      </x:c>
      <x:c r="G7" s="114" t="str">
        <x:v>PR/review evidence state</x:v>
      </x:c>
      <x:c r="H7" s="114" t="str">
        <x:v>High if source-system trusted</x:v>
      </x:c>
      <x:c r="I7" s="114" t="str">
        <x:v>GitHub permission limits recorded.</x:v>
      </x:c>
      <x:c r="J7" s="114" t="str">
        <x:v>High</x:v>
      </x:c>
      <x:c r="K7" s="608" t="str">
        <x:v>Draft Complete</x:v>
      </x:c>
    </x:row>
    <x:row r="8">
      <x:c r="A8" s="612" t="str">
        <x:v>EVAL-004</x:v>
      </x:c>
      <x:c r="B8" s="613" t="str">
        <x:v>Deterministic</x:v>
      </x:c>
      <x:c r="C8" s="613" t="str">
        <x:v>Build/test evaluator</x:v>
      </x:c>
      <x:c r="D8" s="613" t="str">
        <x:v>Reads CI/test/build result and maps to quality gates.</x:v>
      </x:c>
      <x:c r="E8" s="613" t="str">
        <x:v>CI/test events</x:v>
      </x:c>
      <x:c r="F8" s="613" t="str">
        <x:v>Java/Python parser where needed</x:v>
      </x:c>
      <x:c r="G8" s="613" t="str">
        <x:v>pass/fail/partial</x:v>
      </x:c>
      <x:c r="H8" s="613" t="str">
        <x:v>High</x:v>
      </x:c>
      <x:c r="I8" s="613" t="str">
        <x:v>Semantic result outranks visual output.</x:v>
      </x:c>
      <x:c r="J8" s="613" t="str">
        <x:v>Critical</x:v>
      </x:c>
      <x:c r="K8" s="614" t="str">
        <x:v>Draft Complete</x:v>
      </x:c>
    </x:row>
    <x:row r="9">
      <x:c r="A9" s="607" t="str">
        <x:v>EVAL-005</x:v>
      </x:c>
      <x:c r="B9" s="114" t="str">
        <x:v>Deterministic</x:v>
      </x:c>
      <x:c r="C9" s="114" t="str">
        <x:v>Telemetry completeness evaluator</x:v>
      </x:c>
      <x:c r="D9" s="114" t="str">
        <x:v>Calculates evidence coverage and gaps.</x:v>
      </x:c>
      <x:c r="E9" s="114" t="str">
        <x:v>gap/health/sensor coverage</x:v>
      </x:c>
      <x:c r="F9" s="114" t="str">
        <x:v>Java rules</x:v>
      </x:c>
      <x:c r="G9" s="114" t="str">
        <x:v>completeness score</x:v>
      </x:c>
      <x:c r="H9" s="114" t="str">
        <x:v>N/A</x:v>
      </x:c>
      <x:c r="I9" s="114" t="str">
        <x:v>Low coverage prevents confident negative findings.</x:v>
      </x:c>
      <x:c r="J9" s="114" t="str">
        <x:v>Critical</x:v>
      </x:c>
      <x:c r="K9" s="608" t="str">
        <x:v>Draft Complete</x:v>
      </x:c>
    </x:row>
    <x:row r="10">
      <x:c r="A10" s="612" t="str">
        <x:v>EVAL-006</x:v>
      </x:c>
      <x:c r="B10" s="613" t="str">
        <x:v>AI-assisted</x:v>
      </x:c>
      <x:c r="C10" s="613" t="str">
        <x:v>Episode segmenter</x:v>
      </x:c>
      <x:c r="D10" s="613" t="str">
        <x:v>Segments event timeline into work episodes.</x:v>
      </x:c>
      <x:c r="E10" s="613" t="str">
        <x:v>timeline/events/visual refs</x:v>
      </x:c>
      <x:c r="F10" s="613" t="str">
        <x:v>Python evaluator</x:v>
      </x:c>
      <x:c r="G10" s="613" t="str">
        <x:v>episodes + alternatives</x:v>
      </x:c>
      <x:c r="H10" s="613" t="str">
        <x:v>Calibrated</x:v>
      </x:c>
      <x:c r="I10" s="613" t="str">
        <x:v>Derived and challengeable.</x:v>
      </x:c>
      <x:c r="J10" s="613" t="str">
        <x:v>High</x:v>
      </x:c>
      <x:c r="K10" s="614" t="str">
        <x:v>Draft Complete</x:v>
      </x:c>
    </x:row>
    <x:row r="11">
      <x:c r="A11" s="607" t="str">
        <x:v>EVAL-007</x:v>
      </x:c>
      <x:c r="B11" s="114" t="str">
        <x:v>AI-assisted</x:v>
      </x:c>
      <x:c r="C11" s="114" t="str">
        <x:v>Task relevance classifier</x:v>
      </x:c>
      <x:c r="D11" s="114" t="str">
        <x:v>Classifies episodes into alignment states.</x:v>
      </x:c>
      <x:c r="E11" s="114" t="str">
        <x:v>task contract + episode evidence</x:v>
      </x:c>
      <x:c r="F11" s="114" t="str">
        <x:v>Python LLM/ML</x:v>
      </x:c>
      <x:c r="G11" s="114" t="str">
        <x:v>alignment + confidence + evidence refs</x:v>
      </x:c>
      <x:c r="H11" s="114" t="str">
        <x:v>Calibrated</x:v>
      </x:c>
      <x:c r="I11" s="114" t="str">
        <x:v>Must keep POSSIBLY_UNRELATED/INSUFFICIENT_EVIDENCE.</x:v>
      </x:c>
      <x:c r="J11" s="114" t="str">
        <x:v>Critical</x:v>
      </x:c>
      <x:c r="K11" s="608" t="str">
        <x:v>Draft Complete</x:v>
      </x:c>
    </x:row>
    <x:row r="12">
      <x:c r="A12" s="612" t="str">
        <x:v>EVAL-008</x:v>
      </x:c>
      <x:c r="B12" s="613" t="str">
        <x:v>AI-assisted</x:v>
      </x:c>
      <x:c r="C12" s="613" t="str">
        <x:v>Work-method quality assessor</x:v>
      </x:c>
      <x:c r="D12" s="613" t="str">
        <x:v>Identifies missing steps, risky methods, rework and good practice.</x:v>
      </x:c>
      <x:c r="E12" s="613" t="str">
        <x:v>criteria, evidence, domain rubric</x:v>
      </x:c>
      <x:c r="F12" s="613" t="str">
        <x:v>Python evaluator</x:v>
      </x:c>
      <x:c r="G12" s="613" t="str">
        <x:v>recommendation + caveats</x:v>
      </x:c>
      <x:c r="H12" s="613" t="str">
        <x:v>Calibrated</x:v>
      </x:c>
      <x:c r="I12" s="613" t="str">
        <x:v>Cannot finalise high-impact finding.</x:v>
      </x:c>
      <x:c r="J12" s="613" t="str">
        <x:v>High</x:v>
      </x:c>
      <x:c r="K12" s="614" t="str">
        <x:v>Draft Complete</x:v>
      </x:c>
    </x:row>
    <x:row r="13">
      <x:c r="A13" s="607" t="str">
        <x:v>EVAL-009</x:v>
      </x:c>
      <x:c r="B13" s="114" t="str">
        <x:v>AI-assisted</x:v>
      </x:c>
      <x:c r="C13" s="114" t="str">
        <x:v>Blocker classifier</x:v>
      </x:c>
      <x:c r="D13" s="114" t="str">
        <x:v>Classifies requirement/access/environment/dependency/knowledge/tool gaps.</x:v>
      </x:c>
      <x:c r="E13" s="114" t="str">
        <x:v>episode + task + employee explanation</x:v>
      </x:c>
      <x:c r="F13" s="114" t="str">
        <x:v>Python evaluator</x:v>
      </x:c>
      <x:c r="G13" s="114" t="str">
        <x:v>blocker candidate</x:v>
      </x:c>
      <x:c r="H13" s="114" t="str">
        <x:v>Calibrated</x:v>
      </x:c>
      <x:c r="I13" s="114" t="str">
        <x:v>Knowledge gap needs review before capability use.</x:v>
      </x:c>
      <x:c r="J13" s="114" t="str">
        <x:v>High</x:v>
      </x:c>
      <x:c r="K13" s="608" t="str">
        <x:v>Draft Complete</x:v>
      </x:c>
    </x:row>
    <x:row r="14">
      <x:c r="A14" s="612" t="str">
        <x:v>EVAL-010</x:v>
      </x:c>
      <x:c r="B14" s="613" t="str">
        <x:v>AI-assisted</x:v>
      </x:c>
      <x:c r="C14" s="613" t="str">
        <x:v>Evidence sufficiency recommender</x:v>
      </x:c>
      <x:c r="D14" s="613" t="str">
        <x:v>Recommends whether evidence is sufficient for reviewer.</x:v>
      </x:c>
      <x:c r="E14" s="613" t="str">
        <x:v>criterion states/evidence refs</x:v>
      </x:c>
      <x:c r="F14" s="613" t="str">
        <x:v>Python evaluator</x:v>
      </x:c>
      <x:c r="G14" s="613" t="str">
        <x:v>sufficiency recommendation</x:v>
      </x:c>
      <x:c r="H14" s="613" t="str">
        <x:v>Calibrated</x:v>
      </x:c>
      <x:c r="I14" s="613" t="str">
        <x:v>Reviewer/deterministic gate final where material.</x:v>
      </x:c>
      <x:c r="J14" s="613" t="str">
        <x:v>High</x:v>
      </x:c>
      <x:c r="K14" s="614" t="str">
        <x:v>Draft Complete</x:v>
      </x:c>
    </x:row>
    <x:row r="15">
      <x:c r="A15" s="607" t="str">
        <x:v>EVAL-011</x:v>
      </x:c>
      <x:c r="B15" s="114" t="str">
        <x:v>Human-reviewed</x:v>
      </x:c>
      <x:c r="C15" s="114" t="str">
        <x:v>Material negative finding review</x:v>
      </x:c>
      <x:c r="D15" s="114" t="str">
        <x:v>Reviewer validates negative task/quality finding.</x:v>
      </x:c>
      <x:c r="E15" s="114" t="str">
        <x:v>finding package</x:v>
      </x:c>
      <x:c r="F15" s="114" t="str">
        <x:v>Workflow/Reviewer</x:v>
      </x:c>
      <x:c r="G15" s="114" t="str">
        <x:v>review decision</x:v>
      </x:c>
      <x:c r="H15" s="114" t="str">
        <x:v>Reviewer agreement metric</x:v>
      </x:c>
      <x:c r="I15" s="114" t="str">
        <x:v>Required for employment-impacting use.</x:v>
      </x:c>
      <x:c r="J15" s="114" t="str">
        <x:v>Critical</x:v>
      </x:c>
      <x:c r="K15" s="608" t="str">
        <x:v>Draft Complete</x:v>
      </x:c>
    </x:row>
    <x:row r="16">
      <x:c r="A16" s="612" t="str">
        <x:v>EVAL-012</x:v>
      </x:c>
      <x:c r="B16" s="613" t="str">
        <x:v>Human-reviewed</x:v>
      </x:c>
      <x:c r="C16" s="613" t="str">
        <x:v>Completion dispute review</x:v>
      </x:c>
      <x:c r="D16" s="613" t="str">
        <x:v>Reviewer resolves employee challenge or completion contradiction.</x:v>
      </x:c>
      <x:c r="E16" s="613" t="str">
        <x:v>evidence + employee response</x:v>
      </x:c>
      <x:c r="F16" s="613" t="str">
        <x:v>Workflow/Reviewer</x:v>
      </x:c>
      <x:c r="G16" s="613" t="str">
        <x:v>decision + rationale</x:v>
      </x:c>
      <x:c r="H16" s="613" t="str">
        <x:v>Overturn rate</x:v>
      </x:c>
      <x:c r="I16" s="613" t="str">
        <x:v>Original and corrected states preserved.</x:v>
      </x:c>
      <x:c r="J16" s="613" t="str">
        <x:v>Critical</x:v>
      </x:c>
      <x:c r="K16" s="614" t="str">
        <x:v>Draft Complete</x:v>
      </x:c>
    </x:row>
    <x:row r="17">
      <x:c r="A17" s="607" t="str">
        <x:v>EVAL-013</x:v>
      </x:c>
      <x:c r="B17" s="114" t="str">
        <x:v>Human-reviewed</x:v>
      </x:c>
      <x:c r="C17" s="114" t="str">
        <x:v>Capability-impact review</x:v>
      </x:c>
      <x:c r="D17" s="114" t="str">
        <x:v>Reviewer determines if task evidence may feed Capability Graph.</x:v>
      </x:c>
      <x:c r="E17" s="114" t="str">
        <x:v>task assessment + role/capability refs</x:v>
      </x:c>
      <x:c r="F17" s="114" t="str">
        <x:v>Stage 8/Workflow</x:v>
      </x:c>
      <x:c r="G17" s="114" t="str">
        <x:v>capability evidence candidate</x:v>
      </x:c>
      <x:c r="H17" s="114" t="str">
        <x:v>Reviewer agreement</x:v>
      </x:c>
      <x:c r="I17" s="114" t="str">
        <x:v>Stage 7 does not directly change capability state.</x:v>
      </x:c>
      <x:c r="J17" s="114" t="str">
        <x:v>Critical</x:v>
      </x:c>
      <x:c r="K17" s="608" t="str">
        <x:v>Draft Complete</x:v>
      </x:c>
    </x:row>
    <x:row r="18">
      <x:c r="A18" s="615" t="str">
        <x:v>EVAL-014</x:v>
      </x:c>
      <x:c r="B18" s="616" t="str">
        <x:v>Calibration</x:v>
      </x:c>
      <x:c r="C18" s="616" t="str">
        <x:v>Confidence calibration monitor</x:v>
      </x:c>
      <x:c r="D18" s="616" t="str">
        <x:v>Measures predicted confidence vs reviewer outcomes and corrections.</x:v>
      </x:c>
      <x:c r="E18" s="616" t="str">
        <x:v>holdout/pilot data</x:v>
      </x:c>
      <x:c r="F18" s="616" t="str">
        <x:v>Python analytics</x:v>
      </x:c>
      <x:c r="G18" s="616" t="str">
        <x:v>calibration report</x:v>
      </x:c>
      <x:c r="H18" s="616" t="str">
        <x:v>Brier/ECE/overturn rates</x:v>
      </x:c>
      <x:c r="I18" s="616" t="str">
        <x:v>Retrain/tune before scale.</x:v>
      </x:c>
      <x:c r="J18" s="616" t="str">
        <x:v>High</x:v>
      </x:c>
      <x:c r="K18" s="617" t="str">
        <x:v>Draft Complete</x:v>
      </x:c>
    </x:row>
  </x:sheetData>
  <x:mergeCells>
    <x:mergeCell ref="A1:K1"/>
    <x:mergeCell ref="A2:K2"/>
  </x:mergeCells>
  <x:dataValidations count="3">
    <x:dataValidation type="list" sqref="B5:B18">
      <x:formula1>"Deterministic,AI-assisted,Human-reviewed,Calibration"</x:formula1>
    </x:dataValidation>
    <x:dataValidation type="list" sqref="J5:J18">
      <x:formula1>"Critical,High,Medium,Low"</x:formula1>
    </x:dataValidation>
    <x:dataValidation type="list" sqref="K5:K18">
      <x:formula1>"Draft Complete,Needs Review,Approved,Deferred"</x:formula1>
    </x:dataValidation>
  </x:dataValidations>
  <x:pageMargins left="0.7" right="0.7" top="0.75" bottom="0.75" header="0.3" footer="0.3"/>
</x:worksheet>
</file>

<file path=xl/worksheets/sheet103.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46" hidden="0" customWidth="1"/>
    <x:col min="6" max="6" width="18" hidden="0" customWidth="1"/>
    <x:col min="7" max="7" width="12" hidden="0" customWidth="1"/>
    <x:col min="8" max="8" width="22" hidden="0" customWidth="1"/>
    <x:col min="9" max="9" width="42" hidden="0" customWidth="1"/>
    <x:col min="10" max="10" width="18" hidden="0" customWidth="1"/>
  </x:cols>
  <x:sheetData>
    <x:row r="1" ht="30" customHeight="1">
      <x:c r="A1" s="569" t="str">
        <x:v>Stage 7 — Evaluation Dataset Specification</x:v>
      </x:c>
      <x:c r="B1" s="569"/>
      <x:c r="C1" s="569"/>
      <x:c r="D1" s="569"/>
      <x:c r="E1" s="569"/>
      <x:c r="F1" s="569"/>
      <x:c r="G1" s="569"/>
      <x:c r="H1" s="569"/>
      <x:c r="I1" s="569"/>
      <x:c r="J1" s="569"/>
    </x:row>
    <x:row r="2" ht="36" customHeight="1">
      <x:c r="A2" s="573" t="str">
        <x:v>Initial labelled evaluation cases for episode segmentation, task alignment, provenance, blocker classification and task assurance. Real labelled data must be produced from consented pilot/evaluation sessions.</x:v>
      </x:c>
      <x:c r="B2" s="573"/>
      <x:c r="C2" s="573"/>
      <x:c r="D2" s="573"/>
      <x:c r="E2" s="573"/>
      <x:c r="F2" s="573"/>
      <x:c r="G2" s="573"/>
      <x:c r="H2" s="573"/>
      <x:c r="I2" s="573"/>
      <x:c r="J2" s="573"/>
    </x:row>
    <x:row r="4" ht="30" customHeight="1">
      <x:c r="A4" s="585" t="str">
        <x:v>ID</x:v>
      </x:c>
      <x:c r="B4" s="586" t="str">
        <x:v>Case type</x:v>
      </x:c>
      <x:c r="C4" s="586" t="str">
        <x:v>Scenario</x:v>
      </x:c>
      <x:c r="D4" s="586" t="str">
        <x:v>Required evidence</x:v>
      </x:c>
      <x:c r="E4" s="586" t="str">
        <x:v>Expected label / outcome</x:v>
      </x:c>
      <x:c r="F4" s="586" t="str">
        <x:v>Human review required?</x:v>
      </x:c>
      <x:c r="G4" s="586" t="str">
        <x:v>Priority</x:v>
      </x:c>
      <x:c r="H4" s="586" t="str">
        <x:v>Domain</x:v>
      </x:c>
      <x:c r="I4" s="586" t="str">
        <x:v>Test purpose</x:v>
      </x:c>
      <x:c r="J4" s="587" t="str">
        <x:v>Status</x:v>
      </x:c>
    </x:row>
    <x:row r="5">
      <x:c r="A5" s="604" t="str">
        <x:v>DATA-001</x:v>
      </x:c>
      <x:c r="B5" s="605" t="str">
        <x:v>Positive task completion</x:v>
      </x:c>
      <x:c r="C5" s="605" t="str">
        <x:v>Employee completes API bug fix with scoped diff, targeted/full tests and review.</x:v>
      </x:c>
      <x:c r="D5" s="605" t="str">
        <x:v>Task timeline, Git diff, tests, PR review, employee note.</x:v>
      </x:c>
      <x:c r="E5" s="605" t="str">
        <x:v>SATISFIED_DETERMINISTIC + REVIEW_APPROVED.</x:v>
      </x:c>
      <x:c r="F5" s="605" t="str">
        <x:v>No</x:v>
      </x:c>
      <x:c r="G5" s="605" t="str">
        <x:v>High</x:v>
      </x:c>
      <x:c r="H5" s="605" t="str">
        <x:v>Backend/API</x:v>
      </x:c>
      <x:c r="I5" s="605" t="str">
        <x:v>Task Assurance positive case.</x:v>
      </x:c>
      <x:c r="J5" s="606" t="str">
        <x:v>Draft Complete</x:v>
      </x:c>
    </x:row>
    <x:row r="6">
      <x:c r="A6" s="612" t="str">
        <x:v>DATA-002</x:v>
      </x:c>
      <x:c r="B6" s="613" t="str">
        <x:v>Partial completion</x:v>
      </x:c>
      <x:c r="C6" s="613" t="str">
        <x:v>Code changed and targeted tests pass, but regression/security scan missing.</x:v>
      </x:c>
      <x:c r="D6" s="613" t="str">
        <x:v>Git diff, targeted test result, missing quality gate.</x:v>
      </x:c>
      <x:c r="E6" s="613" t="str">
        <x:v>PARTIALLY_SATISFIED / EVIDENCE_GAP.</x:v>
      </x:c>
      <x:c r="F6" s="613" t="str">
        <x:v>No</x:v>
      </x:c>
      <x:c r="G6" s="613" t="str">
        <x:v>High</x:v>
      </x:c>
      <x:c r="H6" s="613" t="str">
        <x:v>Backend/security</x:v>
      </x:c>
      <x:c r="I6" s="613" t="str">
        <x:v>Missing evidence not failure.</x:v>
      </x:c>
      <x:c r="J6" s="614" t="str">
        <x:v>Draft Complete</x:v>
      </x:c>
    </x:row>
    <x:row r="7">
      <x:c r="A7" s="607" t="str">
        <x:v>DATA-003</x:v>
      </x:c>
      <x:c r="B7" s="114" t="str">
        <x:v>Unsupported completion claim</x:v>
      </x:c>
      <x:c r="C7" s="114" t="str">
        <x:v>Task marked complete while CI/checks fail.</x:v>
      </x:c>
      <x:c r="D7" s="114" t="str">
        <x:v>Completion event, CI failure, PR state.</x:v>
      </x:c>
      <x:c r="E7" s="114" t="str">
        <x:v>CONTRADICTED + review route.</x:v>
      </x:c>
      <x:c r="F7" s="114" t="str">
        <x:v>Yes</x:v>
      </x:c>
      <x:c r="G7" s="114" t="str">
        <x:v>High</x:v>
      </x:c>
      <x:c r="H7" s="114" t="str">
        <x:v>CI/API</x:v>
      </x:c>
      <x:c r="I7" s="114" t="str">
        <x:v>Do not auto-discipline.</x:v>
      </x:c>
      <x:c r="J7" s="608" t="str">
        <x:v>Draft Complete</x:v>
      </x:c>
    </x:row>
    <x:row r="8">
      <x:c r="A8" s="612" t="str">
        <x:v>DATA-004</x:v>
      </x:c>
      <x:c r="B8" s="613" t="str">
        <x:v>Valid alternate method</x:v>
      </x:c>
      <x:c r="C8" s="613" t="str">
        <x:v>Diagnostic script used instead of expected first unit test, but evidence satisfies criteria.</x:v>
      </x:c>
      <x:c r="D8" s="613" t="str">
        <x:v>Script, logs, code diff, reviewer approval.</x:v>
      </x:c>
      <x:c r="E8" s="613" t="str">
        <x:v>VALID_ALTERNATE_METHOD + SATISFIED_REVIEWED.</x:v>
      </x:c>
      <x:c r="F8" s="613" t="str">
        <x:v>No</x:v>
      </x:c>
      <x:c r="G8" s="613" t="str">
        <x:v>Medium</x:v>
      </x:c>
      <x:c r="H8" s="613" t="str">
        <x:v>Debugging</x:v>
      </x:c>
      <x:c r="I8" s="613" t="str">
        <x:v>Avoid preferred-process bias.</x:v>
      </x:c>
      <x:c r="J8" s="614" t="str">
        <x:v>Draft Complete</x:v>
      </x:c>
    </x:row>
    <x:row r="9">
      <x:c r="A9" s="607" t="str">
        <x:v>DATA-005</x:v>
      </x:c>
      <x:c r="B9" s="114" t="str">
        <x:v>Environmental blocker</x:v>
      </x:c>
      <x:c r="C9" s="114" t="str">
        <x:v>Task cannot continue due to missing certificate or broken dev environment.</x:v>
      </x:c>
      <x:c r="D9" s="114" t="str">
        <x:v>Access error, request ticket, employee explanation.</x:v>
      </x:c>
      <x:c r="E9" s="114" t="str">
        <x:v>BLOCKED / ACCESS_BLOCKER or ENVIRONMENT_FAILURE.</x:v>
      </x:c>
      <x:c r="F9" s="114" t="str">
        <x:v>Yes</x:v>
      </x:c>
      <x:c r="G9" s="114" t="str">
        <x:v>High</x:v>
      </x:c>
      <x:c r="H9" s="114" t="str">
        <x:v>DevOps/mobile</x:v>
      </x:c>
      <x:c r="I9" s="114" t="str">
        <x:v>Exclude negative capability evidence.</x:v>
      </x:c>
      <x:c r="J9" s="608" t="str">
        <x:v>Draft Complete</x:v>
      </x:c>
    </x:row>
    <x:row r="10">
      <x:c r="A10" s="612" t="str">
        <x:v>DATA-006</x:v>
      </x:c>
      <x:c r="B10" s="613" t="str">
        <x:v>Unclear requirement</x:v>
      </x:c>
      <x:c r="C10" s="613" t="str">
        <x:v>Ticket says fix customer issue without reproduction or expected behaviour.</x:v>
      </x:c>
      <x:c r="D10" s="613" t="str">
        <x:v>Ticket text, clarifying questions, missing inputs.</x:v>
      </x:c>
      <x:c r="E10" s="613" t="str">
        <x:v>REQUIREMENT_AMBIGUITY.</x:v>
      </x:c>
      <x:c r="F10" s="613" t="str">
        <x:v>Yes</x:v>
      </x:c>
      <x:c r="G10" s="613" t="str">
        <x:v>High</x:v>
      </x:c>
      <x:c r="H10" s="613" t="str">
        <x:v>General</x:v>
      </x:c>
      <x:c r="I10" s="613" t="str">
        <x:v>Manager/process gap.</x:v>
      </x:c>
      <x:c r="J10" s="614" t="str">
        <x:v>Draft Complete</x:v>
      </x:c>
    </x:row>
    <x:row r="11">
      <x:c r="A11" s="607" t="str">
        <x:v>DATA-007</x:v>
      </x:c>
      <x:c r="B11" s="114" t="str">
        <x:v>AI-agent overreach</x:v>
      </x:c>
      <x:c r="C11" s="114" t="str">
        <x:v>Agent modifies unrelated files; employee rejects them.</x:v>
      </x:c>
      <x:c r="D11" s="114" t="str">
        <x:v>Agent tool logs, diff, rejection/revert.</x:v>
      </x:c>
      <x:c r="E11" s="114" t="str">
        <x:v>AI_AGENT_OVERREACH + positive review evidence.</x:v>
      </x:c>
      <x:c r="F11" s="114" t="str">
        <x:v>No</x:v>
      </x:c>
      <x:c r="G11" s="114" t="str">
        <x:v>High</x:v>
      </x:c>
      <x:c r="H11" s="114" t="str">
        <x:v>AI-assisted dev</x:v>
      </x:c>
      <x:c r="I11" s="114" t="str">
        <x:v>Good AI supervision.</x:v>
      </x:c>
      <x:c r="J11" s="608" t="str">
        <x:v>Draft Complete</x:v>
      </x:c>
    </x:row>
    <x:row r="12">
      <x:c r="A12" s="612" t="str">
        <x:v>DATA-008</x:v>
      </x:c>
      <x:c r="B12" s="613" t="str">
        <x:v>Poor AI supervision</x:v>
      </x:c>
      <x:c r="C12" s="613" t="str">
        <x:v>Agent broad patch accepted without review, tests missing and unrelated regression introduced.</x:v>
      </x:c>
      <x:c r="D12" s="613" t="str">
        <x:v>Agent events, diff, failing tests, no review action.</x:v>
      </x:c>
      <x:c r="E12" s="613" t="str">
        <x:v>UNVERIFIED_CHANGE + REGRESSION_INTRODUCED.</x:v>
      </x:c>
      <x:c r="F12" s="613" t="str">
        <x:v>Yes</x:v>
      </x:c>
      <x:c r="G12" s="613" t="str">
        <x:v>High</x:v>
      </x:c>
      <x:c r="H12" s="613" t="str">
        <x:v>AI-assisted dev</x:v>
      </x:c>
      <x:c r="I12" s="613" t="str">
        <x:v>Review required before capability impact.</x:v>
      </x:c>
      <x:c r="J12" s="614" t="str">
        <x:v>Draft Complete</x:v>
      </x:c>
    </x:row>
    <x:row r="13">
      <x:c r="A13" s="607" t="str">
        <x:v>DATA-009</x:v>
      </x:c>
      <x:c r="B13" s="114" t="str">
        <x:v>Automated wait</x:v>
      </x:c>
      <x:c r="C13" s="114" t="str">
        <x:v>Employee starts full test suite; no input for 12 minutes; test still running.</x:v>
      </x:c>
      <x:c r="D13" s="114" t="str">
        <x:v>Command start, process active, output timestamps.</x:v>
      </x:c>
      <x:c r="E13" s="114" t="str">
        <x:v>AUTOMATED_EXECUTION_WAIT.</x:v>
      </x:c>
      <x:c r="F13" s="114" t="str">
        <x:v>No</x:v>
      </x:c>
      <x:c r="G13" s="114" t="str">
        <x:v>High</x:v>
      </x:c>
      <x:c r="H13" s="114" t="str">
        <x:v>Testing</x:v>
      </x:c>
      <x:c r="I13" s="114" t="str">
        <x:v>Not idle.</x:v>
      </x:c>
      <x:c r="J13" s="608" t="str">
        <x:v>Draft Complete</x:v>
      </x:c>
    </x:row>
    <x:row r="14">
      <x:c r="A14" s="612" t="str">
        <x:v>DATA-010</x:v>
      </x:c>
      <x:c r="B14" s="613" t="str">
        <x:v>Legitimate reading/review</x:v>
      </x:c>
      <x:c r="C14" s="613" t="str">
        <x:v>Low input while reviewing generated diff or API docs relevant to task.</x:v>
      </x:c>
      <x:c r="D14" s="613" t="str">
        <x:v>Foreground docs/GitHub diff, scroll, later action.</x:v>
      </x:c>
      <x:c r="E14" s="613" t="str">
        <x:v>CODE_OR_DOCUMENT_REVIEW / SUPPORTING_RESEARCH.</x:v>
      </x:c>
      <x:c r="F14" s="613" t="str">
        <x:v>No</x:v>
      </x:c>
      <x:c r="G14" s="613" t="str">
        <x:v>Medium</x:v>
      </x:c>
      <x:c r="H14" s="613" t="str">
        <x:v>Review/research</x:v>
      </x:c>
      <x:c r="I14" s="613" t="str">
        <x:v>Not idle solely because of low input.</x:v>
      </x:c>
      <x:c r="J14" s="614" t="str">
        <x:v>Draft Complete</x:v>
      </x:c>
    </x:row>
    <x:row r="15">
      <x:c r="A15" s="607" t="str">
        <x:v>DATA-011</x:v>
      </x:c>
      <x:c r="B15" s="114" t="str">
        <x:v>Accessibility accommodation</x:v>
      </x:c>
      <x:c r="C15" s="114" t="str">
        <x:v>Voice input/assistive workflow with low keystroke volume and strong final evidence.</x:v>
      </x:c>
      <x:c r="D15" s="114" t="str">
        <x:v>Artefacts, accommodation context, review.</x:v>
      </x:c>
      <x:c r="E15" s="114" t="str">
        <x:v>ON_TASK / valid evidence.</x:v>
      </x:c>
      <x:c r="F15" s="114" t="str">
        <x:v>Yes</x:v>
      </x:c>
      <x:c r="G15" s="114" t="str">
        <x:v>High</x:v>
      </x:c>
      <x:c r="H15" s="114" t="str">
        <x:v>Accessibility</x:v>
      </x:c>
      <x:c r="I15" s="114" t="str">
        <x:v>No key-volume comparison.</x:v>
      </x:c>
      <x:c r="J15" s="608" t="str">
        <x:v>Draft Complete</x:v>
      </x:c>
    </x:row>
    <x:row r="16">
      <x:c r="A16" s="612" t="str">
        <x:v>DATA-012</x:v>
      </x:c>
      <x:c r="B16" s="613" t="str">
        <x:v>Unrelated activity</x:v>
      </x:c>
      <x:c r="C16" s="613" t="str">
        <x:v>Active personal browsing during active task with no work relation.</x:v>
      </x:c>
      <x:c r="D16" s="613" t="str">
        <x:v>Excluded/private rules or unrelated domain metadata.</x:v>
      </x:c>
      <x:c r="E16" s="613" t="str">
        <x:v>POSSIBLY_UNRELATED or PRIVATE_OR_EXCLUDED depending policy.</x:v>
      </x:c>
      <x:c r="F16" s="613" t="str">
        <x:v>Yes</x:v>
      </x:c>
      <x:c r="G16" s="613" t="str">
        <x:v>Medium</x:v>
      </x:c>
      <x:c r="H16" s="613" t="str">
        <x:v>Browser</x:v>
      </x:c>
      <x:c r="I16" s="613" t="str">
        <x:v>Employee correction and privacy rules.</x:v>
      </x:c>
      <x:c r="J16" s="614" t="str">
        <x:v>Draft Complete</x:v>
      </x:c>
    </x:row>
    <x:row r="17">
      <x:c r="A17" s="607" t="str">
        <x:v>DATA-013</x:v>
      </x:c>
      <x:c r="B17" s="114" t="str">
        <x:v>Missing telemetry</x:v>
      </x:c>
      <x:c r="C17" s="114" t="str">
        <x:v>Adapter disabled; app/window and visual evidence only.</x:v>
      </x:c>
      <x:c r="D17" s="114" t="str">
        <x:v>Telemetry gap, fallback evidence.</x:v>
      </x:c>
      <x:c r="E17" s="114" t="str">
        <x:v>INSUFFICIENT_EVIDENCE or lower confidence.</x:v>
      </x:c>
      <x:c r="F17" s="114" t="str">
        <x:v>Yes</x:v>
      </x:c>
      <x:c r="G17" s="114" t="str">
        <x:v>High</x:v>
      </x:c>
      <x:c r="H17" s="114" t="str">
        <x:v>Coverage</x:v>
      </x:c>
      <x:c r="I17" s="114" t="str">
        <x:v>Do not force conclusion.</x:v>
      </x:c>
      <x:c r="J17" s="608" t="str">
        <x:v>Draft Complete</x:v>
      </x:c>
    </x:row>
    <x:row r="18">
      <x:c r="A18" s="612" t="str">
        <x:v>DATA-014</x:v>
      </x:c>
      <x:c r="B18" s="613" t="str">
        <x:v>False idle challenge</x:v>
      </x:c>
      <x:c r="C18" s="613" t="str">
        <x:v>System initially flags idle, employee shows meeting or code review context.</x:v>
      </x:c>
      <x:c r="D18" s="613" t="str">
        <x:v>Correction, calendar/PR/comment evidence.</x:v>
      </x:c>
      <x:c r="E18" s="613" t="str">
        <x:v>Correction accepted; model error logged.</x:v>
      </x:c>
      <x:c r="F18" s="613" t="str">
        <x:v>Yes</x:v>
      </x:c>
      <x:c r="G18" s="613" t="str">
        <x:v>High</x:v>
      </x:c>
      <x:c r="H18" s="613" t="str">
        <x:v>Review/collab</x:v>
      </x:c>
      <x:c r="I18" s="613" t="str">
        <x:v>Measure overturn rate.</x:v>
      </x:c>
      <x:c r="J18" s="614" t="str">
        <x:v>Draft Complete</x:v>
      </x:c>
    </x:row>
    <x:row r="19">
      <x:c r="A19" s="607" t="str">
        <x:v>DATA-015</x:v>
      </x:c>
      <x:c r="B19" s="114" t="str">
        <x:v>Conflicting evidence</x:v>
      </x:c>
      <x:c r="C19" s="114" t="str">
        <x:v>One test pass and one failing check both mapped to same criterion.</x:v>
      </x:c>
      <x:c r="D19" s="114" t="str">
        <x:v>Targeted pass, full CI fail.</x:v>
      </x:c>
      <x:c r="E19" s="114" t="str">
        <x:v>PARTIAL/CONTRADICTED with review.</x:v>
      </x:c>
      <x:c r="F19" s="114" t="str">
        <x:v>Yes</x:v>
      </x:c>
      <x:c r="G19" s="114" t="str">
        <x:v>High</x:v>
      </x:c>
      <x:c r="H19" s="114" t="str">
        <x:v>CI/test</x:v>
      </x:c>
      <x:c r="I19" s="114" t="str">
        <x:v>Scope of tests matters.</x:v>
      </x:c>
      <x:c r="J19" s="608" t="str">
        <x:v>Draft Complete</x:v>
      </x:c>
    </x:row>
    <x:row r="20">
      <x:c r="A20" s="612" t="str">
        <x:v>DATA-016</x:v>
      </x:c>
      <x:c r="B20" s="613" t="str">
        <x:v>Scope expansion</x:v>
      </x:c>
      <x:c r="C20" s="613" t="str">
        <x:v>Employee performs broad refactor unrelated to task before completing acceptance criteria.</x:v>
      </x:c>
      <x:c r="D20" s="613" t="str">
        <x:v>Diff/PR/commit refs, task contract.</x:v>
      </x:c>
      <x:c r="E20" s="613" t="str">
        <x:v>SCOPE_EXPANSION + missing criteria.</x:v>
      </x:c>
      <x:c r="F20" s="613" t="str">
        <x:v>Yes</x:v>
      </x:c>
      <x:c r="G20" s="613" t="str">
        <x:v>Medium</x:v>
      </x:c>
      <x:c r="H20" s="613" t="str">
        <x:v>Refactor</x:v>
      </x:c>
      <x:c r="I20" s="613" t="str">
        <x:v>May be valid if approved separately.</x:v>
      </x:c>
      <x:c r="J20" s="614" t="str">
        <x:v>Draft Complete</x:v>
      </x:c>
    </x:row>
    <x:row r="21">
      <x:c r="A21" s="607" t="str">
        <x:v>DATA-017</x:v>
      </x:c>
      <x:c r="B21" s="114" t="str">
        <x:v>Blocked by reviewer</x:v>
      </x:c>
      <x:c r="C21" s="114" t="str">
        <x:v>Work done but PR review pending or changes requested.</x:v>
      </x:c>
      <x:c r="D21" s="114" t="str">
        <x:v>PR state, review comment, task criteria.</x:v>
      </x:c>
      <x:c r="E21" s="114" t="str">
        <x:v>DEPENDENCY_WAIT or REWORK_REQUIRED.</x:v>
      </x:c>
      <x:c r="F21" s="114" t="str">
        <x:v>No</x:v>
      </x:c>
      <x:c r="G21" s="114" t="str">
        <x:v>Medium</x:v>
      </x:c>
      <x:c r="H21" s="114" t="str">
        <x:v>PR/review</x:v>
      </x:c>
      <x:c r="I21" s="114" t="str">
        <x:v>Not employee idle/failure.</x:v>
      </x:c>
      <x:c r="J21" s="608" t="str">
        <x:v>Draft Complete</x:v>
      </x:c>
    </x:row>
    <x:row r="22">
      <x:c r="A22" s="612" t="str">
        <x:v>DATA-018</x:v>
      </x:c>
      <x:c r="B22" s="613" t="str">
        <x:v>Learning during task</x:v>
      </x:c>
      <x:c r="C22" s="613" t="str">
        <x:v>Employee uses assigned lesson and then applies concept to task successfully.</x:v>
      </x:c>
      <x:c r="D22" s="613" t="str">
        <x:v>Learning intervention, code diff, tests.</x:v>
      </x:c>
      <x:c r="E22" s="613" t="str">
        <x:v>LEARNING + later criterion satisfied.</x:v>
      </x:c>
      <x:c r="F22" s="613" t="str">
        <x:v>No</x:v>
      </x:c>
      <x:c r="G22" s="613" t="str">
        <x:v>Medium</x:v>
      </x:c>
      <x:c r="H22" s="613" t="str">
        <x:v>L&amp;D</x:v>
      </x:c>
      <x:c r="I22" s="613" t="str">
        <x:v>Training completion alone not enough.</x:v>
      </x:c>
      <x:c r="J22" s="614" t="str">
        <x:v>Draft Complete</x:v>
      </x:c>
    </x:row>
    <x:row r="23">
      <x:c r="A23" s="607" t="str">
        <x:v>DATA-019</x:v>
      </x:c>
      <x:c r="B23" s="114" t="str">
        <x:v>Secret detected</x:v>
      </x:c>
      <x:c r="C23" s="114" t="str">
        <x:v>Agent/tool output includes token; redaction suppresses content and security event emitted.</x:v>
      </x:c>
      <x:c r="D23" s="114" t="str">
        <x:v>Suppression event, no content, security alert.</x:v>
      </x:c>
      <x:c r="E23" s="114" t="str">
        <x:v>SECURITY_RISK / evidence suppressed.</x:v>
      </x:c>
      <x:c r="F23" s="114" t="str">
        <x:v>Yes</x:v>
      </x:c>
      <x:c r="G23" s="114" t="str">
        <x:v>High</x:v>
      </x:c>
      <x:c r="H23" s="114" t="str">
        <x:v>Security</x:v>
      </x:c>
      <x:c r="I23" s="114" t="str">
        <x:v>No secret in dataset.</x:v>
      </x:c>
      <x:c r="J23" s="608" t="str">
        <x:v>Draft Complete</x:v>
      </x:c>
    </x:row>
    <x:row r="24">
      <x:c r="A24" s="615" t="str">
        <x:v>DATA-020</x:v>
      </x:c>
      <x:c r="B24" s="616" t="str">
        <x:v>Adapter drift</x:v>
      </x:c>
      <x:c r="C24" s="616" t="str">
        <x:v>Provider changes hook schema; events are incomplete.</x:v>
      </x:c>
      <x:c r="D24" s="616" t="str">
        <x:v>Adapter drift event, coverage gap.</x:v>
      </x:c>
      <x:c r="E24" s="616" t="str">
        <x:v>INSUFFICIENT_EVIDENCE / coverage degraded.</x:v>
      </x:c>
      <x:c r="F24" s="616" t="str">
        <x:v>No</x:v>
      </x:c>
      <x:c r="G24" s="616" t="str">
        <x:v>High</x:v>
      </x:c>
      <x:c r="H24" s="616" t="str">
        <x:v>Adapter</x:v>
      </x:c>
      <x:c r="I24" s="616" t="str">
        <x:v>Conformance suite triggers.</x:v>
      </x:c>
      <x:c r="J24" s="617" t="str">
        <x:v>Draft Complete</x:v>
      </x:c>
    </x:row>
  </x:sheetData>
  <x:mergeCells>
    <x:mergeCell ref="A1:J1"/>
    <x:mergeCell ref="A2:J2"/>
  </x:mergeCells>
  <x:dataValidations count="3">
    <x:dataValidation type="list" sqref="F5:F24">
      <x:formula1>"Yes,No"</x:formula1>
    </x:dataValidation>
    <x:dataValidation type="list" sqref="G5:G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104.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4" hidden="0" customWidth="1"/>
    <x:col min="5" max="5" width="38" hidden="0" customWidth="1"/>
    <x:col min="6" max="6" width="52" hidden="0" customWidth="1"/>
    <x:col min="7" max="7" width="12" hidden="0" customWidth="1"/>
    <x:col min="8" max="8" width="18" hidden="0" customWidth="1"/>
  </x:cols>
  <x:sheetData>
    <x:row r="1" ht="30" customHeight="1">
      <x:c r="A1" s="569" t="str">
        <x:v>Stage 7 — Human Review and Correction</x:v>
      </x:c>
      <x:c r="B1" s="569"/>
      <x:c r="C1" s="569"/>
      <x:c r="D1" s="569"/>
      <x:c r="E1" s="569"/>
      <x:c r="F1" s="569"/>
      <x:c r="G1" s="569"/>
      <x:c r="H1" s="569"/>
    </x:row>
    <x:row r="2" ht="36" customHeight="1">
      <x:c r="A2" s="573" t="str">
        <x:v>Operational review, correction, dispute and assessment-versioning model for evidence-linked Task Assurance.</x:v>
      </x:c>
      <x:c r="B2" s="573"/>
      <x:c r="C2" s="573"/>
      <x:c r="D2" s="573"/>
      <x:c r="E2" s="573"/>
      <x:c r="F2" s="573"/>
      <x:c r="G2" s="573"/>
      <x:c r="H2" s="573"/>
    </x:row>
    <x:row r="4" ht="30" customHeight="1">
      <x:c r="A4" s="585" t="str">
        <x:v>ID</x:v>
      </x:c>
      <x:c r="B4" s="586" t="str">
        <x:v>Control / workflow</x:v>
      </x:c>
      <x:c r="C4" s="586" t="str">
        <x:v>Requirement</x:v>
      </x:c>
      <x:c r="D4" s="586" t="str">
        <x:v>Implementation</x:v>
      </x:c>
      <x:c r="E4" s="586" t="str">
        <x:v>Purpose</x:v>
      </x:c>
      <x:c r="F4" s="586" t="str">
        <x:v>Guardrail</x:v>
      </x:c>
      <x:c r="G4" s="586" t="str">
        <x:v>Priority</x:v>
      </x:c>
      <x:c r="H4" s="587" t="str">
        <x:v>Status</x:v>
      </x:c>
    </x:row>
    <x:row r="5">
      <x:c r="A5" s="604" t="str">
        <x:v>HRC-001</x:v>
      </x:c>
      <x:c r="B5" s="605" t="str">
        <x:v>Finding package</x:v>
      </x:c>
      <x:c r="C5" s="605" t="str">
        <x:v>Material task-assurance finding must include summary, evidence refs, source types, confidence, missing evidence, alternatives, model/rule versions and impact class.</x:v>
      </x:c>
      <x:c r="D5" s="605" t="str">
        <x:v>Java Task Assurance + Python evaluator outputs</x:v>
      </x:c>
      <x:c r="E5" s="605" t="str">
        <x:v>Reviewer can make informed decision.</x:v>
      </x:c>
      <x:c r="F5" s="605" t="str">
        <x:v>No opaque AI summary.</x:v>
      </x:c>
      <x:c r="G5" s="605" t="str">
        <x:v>Critical</x:v>
      </x:c>
      <x:c r="H5" s="606" t="str">
        <x:v>Draft Complete</x:v>
      </x:c>
    </x:row>
    <x:row r="6">
      <x:c r="A6" s="612" t="str">
        <x:v>HRC-002</x:v>
      </x:c>
      <x:c r="B6" s="613" t="str">
        <x:v>Employee self-access</x:v>
      </x:c>
      <x:c r="C6" s="613" t="str">
        <x:v>Employee can view material episodes, task alignment, criterion states and evidence refs about themselves.</x:v>
      </x:c>
      <x:c r="D6" s="613" t="str">
        <x:v>Employee portal + Evidence Access Broker</x:v>
      </x:c>
      <x:c r="E6" s="613" t="str">
        <x:v>Transparency and correction.</x:v>
      </x:c>
      <x:c r="F6" s="613" t="str">
        <x:v>Raw evidence access obeys policy/redaction.</x:v>
      </x:c>
      <x:c r="G6" s="613" t="str">
        <x:v>Critical</x:v>
      </x:c>
      <x:c r="H6" s="614" t="str">
        <x:v>Draft Complete</x:v>
      </x:c>
    </x:row>
    <x:row r="7">
      <x:c r="A7" s="607" t="str">
        <x:v>HRC-003</x:v>
      </x:c>
      <x:c r="B7" s="114" t="str">
        <x:v>Correction request</x:v>
      </x:c>
      <x:c r="C7" s="114" t="str">
        <x:v>Employee can correct task attribution, context, blocker explanation or evidence classification.</x:v>
      </x:c>
      <x:c r="D7" s="114" t="str">
        <x:v>Governance workflow</x:v>
      </x:c>
      <x:c r="E7" s="114" t="str">
        <x:v>Better data quality and fairness.</x:v>
      </x:c>
      <x:c r="F7" s="114" t="str">
        <x:v>Original remains immutable.</x:v>
      </x:c>
      <x:c r="G7" s="114" t="str">
        <x:v>Critical</x:v>
      </x:c>
      <x:c r="H7" s="608" t="str">
        <x:v>Draft Complete</x:v>
      </x:c>
    </x:row>
    <x:row r="8">
      <x:c r="A8" s="612" t="str">
        <x:v>HRC-004</x:v>
      </x:c>
      <x:c r="B8" s="613" t="str">
        <x:v>Dispute request</x:v>
      </x:c>
      <x:c r="C8" s="613" t="str">
        <x:v>Employee can challenge material negative or incomplete finding.</x:v>
      </x:c>
      <x:c r="D8" s="613" t="str">
        <x:v>Governance workflow + SLA</x:v>
      </x:c>
      <x:c r="E8" s="613" t="str">
        <x:v>Meaningful human review.</x:v>
      </x:c>
      <x:c r="F8" s="613" t="str">
        <x:v>Manager cannot ignore unresolved dispute for high-impact use.</x:v>
      </x:c>
      <x:c r="G8" s="613" t="str">
        <x:v>Critical</x:v>
      </x:c>
      <x:c r="H8" s="614" t="str">
        <x:v>Draft Complete</x:v>
      </x:c>
    </x:row>
    <x:row r="9">
      <x:c r="A9" s="607" t="str">
        <x:v>HRC-005</x:v>
      </x:c>
      <x:c r="B9" s="114" t="str">
        <x:v>Reviewer assignment</x:v>
      </x:c>
      <x:c r="C9" s="114" t="str">
        <x:v>Reviewer selected by domain, independence, authority and conflict rules.</x:v>
      </x:c>
      <x:c r="D9" s="114" t="str">
        <x:v>Workflow Runtime + HR/org</x:v>
      </x:c>
      <x:c r="E9" s="114" t="str">
        <x:v>Meaningful review standard.</x:v>
      </x:c>
      <x:c r="F9" s="114" t="str">
        <x:v>Rubber-stamping prohibited.</x:v>
      </x:c>
      <x:c r="G9" s="114" t="str">
        <x:v>Critical</x:v>
      </x:c>
      <x:c r="H9" s="608" t="str">
        <x:v>Draft Complete</x:v>
      </x:c>
    </x:row>
    <x:row r="10">
      <x:c r="A10" s="612" t="str">
        <x:v>HRC-006</x:v>
      </x:c>
      <x:c r="B10" s="613" t="str">
        <x:v>Reviewer decision</x:v>
      </x:c>
      <x:c r="C10" s="613" t="str">
        <x:v>Decision may approve, modify, reject, request more evidence, reclassify blocker, or mark insufficient evidence.</x:v>
      </x:c>
      <x:c r="D10" s="613" t="str">
        <x:v>ReviewDecision entity</x:v>
      </x:c>
      <x:c r="E10" s="613" t="str">
        <x:v>Audit and downstream state.</x:v>
      </x:c>
      <x:c r="F10" s="613" t="str">
        <x:v>Rationale required.</x:v>
      </x:c>
      <x:c r="G10" s="613" t="str">
        <x:v>Critical</x:v>
      </x:c>
      <x:c r="H10" s="614" t="str">
        <x:v>Draft Complete</x:v>
      </x:c>
    </x:row>
    <x:row r="11">
      <x:c r="A11" s="607" t="str">
        <x:v>HRC-007</x:v>
      </x:c>
      <x:c r="B11" s="114" t="str">
        <x:v>Override handling</x:v>
      </x:c>
      <x:c r="C11" s="114" t="str">
        <x:v>Reviewer can override AI/deterministic recommendation where evidence/context supports it.</x:v>
      </x:c>
      <x:c r="D11" s="114" t="str">
        <x:v>Review UI + reason code</x:v>
      </x:c>
      <x:c r="E11" s="114" t="str">
        <x:v>Human authority over AI inference.</x:v>
      </x:c>
      <x:c r="F11" s="114" t="str">
        <x:v>Override itself audited and reviewable.</x:v>
      </x:c>
      <x:c r="G11" s="114" t="str">
        <x:v>High</x:v>
      </x:c>
      <x:c r="H11" s="608" t="str">
        <x:v>Draft Complete</x:v>
      </x:c>
    </x:row>
    <x:row r="12">
      <x:c r="A12" s="612" t="str">
        <x:v>HRC-008</x:v>
      </x:c>
      <x:c r="B12" s="613" t="str">
        <x:v>Appeal/escalation</x:v>
      </x:c>
      <x:c r="C12" s="613" t="str">
        <x:v>Employee or manager can escalate unresolved or high-impact disputes.</x:v>
      </x:c>
      <x:c r="D12" s="613" t="str">
        <x:v>Workflow route</x:v>
      </x:c>
      <x:c r="E12" s="613" t="str">
        <x:v>Due process and quality control.</x:v>
      </x:c>
      <x:c r="F12" s="613" t="str">
        <x:v>Legal/HR path for consequential cases.</x:v>
      </x:c>
      <x:c r="G12" s="613" t="str">
        <x:v>High</x:v>
      </x:c>
      <x:c r="H12" s="614" t="str">
        <x:v>Draft Complete</x:v>
      </x:c>
    </x:row>
    <x:row r="13">
      <x:c r="A13" s="607" t="str">
        <x:v>HRC-009</x:v>
      </x:c>
      <x:c r="B13" s="114" t="str">
        <x:v>Assessment revision</x:v>
      </x:c>
      <x:c r="C13" s="114" t="str">
        <x:v>Correction/review creates new assessment version and supersedes prior public report.</x:v>
      </x:c>
      <x:c r="D13" s="114" t="str">
        <x:v>Versioned TaskAssessment</x:v>
      </x:c>
      <x:c r="E13" s="114" t="str">
        <x:v>Prevents silent overwrites.</x:v>
      </x:c>
      <x:c r="F13" s="114" t="str">
        <x:v>Historical lineage retained.</x:v>
      </x:c>
      <x:c r="G13" s="114" t="str">
        <x:v>Critical</x:v>
      </x:c>
      <x:c r="H13" s="608" t="str">
        <x:v>Draft Complete</x:v>
      </x:c>
    </x:row>
    <x:row r="14">
      <x:c r="A14" s="612" t="str">
        <x:v>HRC-010</x:v>
      </x:c>
      <x:c r="B14" s="613" t="str">
        <x:v>Employee response in manager view</x:v>
      </x:c>
      <x:c r="C14" s="613" t="str">
        <x:v>Manager report displays material employee explanation/correction status.</x:v>
      </x:c>
      <x:c r="D14" s="613" t="str">
        <x:v>Reporting service</x:v>
      </x:c>
      <x:c r="E14" s="613" t="str">
        <x:v>Context fairness.</x:v>
      </x:c>
      <x:c r="F14" s="613" t="str">
        <x:v>Private/excluded data remains protected.</x:v>
      </x:c>
      <x:c r="G14" s="613" t="str">
        <x:v>High</x:v>
      </x:c>
      <x:c r="H14" s="614" t="str">
        <x:v>Draft Complete</x:v>
      </x:c>
    </x:row>
    <x:row r="15">
      <x:c r="A15" s="607" t="str">
        <x:v>HRC-011</x:v>
      </x:c>
      <x:c r="B15" s="114" t="str">
        <x:v>SLA</x:v>
      </x:c>
      <x:c r="C15" s="114" t="str">
        <x:v>Define response times for correction, dispute, raw access and review by severity.</x:v>
      </x:c>
      <x:c r="D15" s="114" t="str">
        <x:v>Governance policy</x:v>
      </x:c>
      <x:c r="E15" s="114" t="str">
        <x:v>Operational trust.</x:v>
      </x:c>
      <x:c r="F15" s="114" t="str">
        <x:v>Pilot SLA should be conservative.</x:v>
      </x:c>
      <x:c r="G15" s="114" t="str">
        <x:v>Medium</x:v>
      </x:c>
      <x:c r="H15" s="608" t="str">
        <x:v>Draft Complete</x:v>
      </x:c>
    </x:row>
    <x:row r="16">
      <x:c r="A16" s="615" t="str">
        <x:v>HRC-012</x:v>
      </x:c>
      <x:c r="B16" s="616" t="str">
        <x:v>Review metrics</x:v>
      </x:c>
      <x:c r="C16" s="616" t="str">
        <x:v>Track reviewer agreement, overturn rate, appeal rate, confidence calibration and time to resolution.</x:v>
      </x:c>
      <x:c r="D16" s="616" t="str">
        <x:v>Analytics/evaluator monitoring</x:v>
      </x:c>
      <x:c r="E16" s="616" t="str">
        <x:v>Improve system quality.</x:v>
      </x:c>
      <x:c r="F16" s="616" t="str">
        <x:v>No punitive employee metric.</x:v>
      </x:c>
      <x:c r="G16" s="616" t="str">
        <x:v>High</x:v>
      </x:c>
      <x:c r="H16" s="617"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105.xml><?xml version="1.0" encoding="utf-8"?>
<x:worksheet xmlns:x="http://schemas.openxmlformats.org/spreadsheetml/2006/main">
  <x:sheetFormatPr defaultRowHeight="15"/>
  <x:cols>
    <x:col min="1" max="1" width="14" hidden="0" customWidth="1"/>
    <x:col min="2" max="2" width="42" hidden="0" customWidth="1"/>
    <x:col min="3" max="3" width="46" hidden="0" customWidth="1"/>
    <x:col min="4" max="4" width="32" hidden="0" customWidth="1"/>
    <x:col min="5" max="5" width="36" hidden="0" customWidth="1"/>
    <x:col min="6" max="6" width="38" hidden="0" customWidth="1"/>
    <x:col min="7" max="7" width="36" hidden="0" customWidth="1"/>
    <x:col min="8" max="8" width="54" hidden="0" customWidth="1"/>
    <x:col min="9" max="9" width="12" hidden="0" customWidth="1"/>
    <x:col min="10" max="10" width="12" hidden="0" customWidth="1"/>
    <x:col min="11" max="11" width="18" hidden="0" customWidth="1"/>
  </x:cols>
  <x:sheetData>
    <x:row r="1" ht="30" customHeight="1">
      <x:c r="A1" s="569" t="str">
        <x:v>Stage 6–7 — APIs and Events</x:v>
      </x:c>
      <x:c r="B1" s="569"/>
      <x:c r="C1" s="569"/>
      <x:c r="D1" s="569"/>
      <x:c r="E1" s="569"/>
      <x:c r="F1" s="569"/>
      <x:c r="G1" s="569"/>
      <x:c r="H1" s="569"/>
      <x:c r="I1" s="569"/>
      <x:c r="J1" s="569"/>
      <x:c r="K1" s="569"/>
    </x:row>
    <x:row r="2" ht="36" customHeight="1">
      <x:c r="A2" s="573" t="str">
        <x:v>API and event contracts for adapter registration/normalisation, provenance correlation, work episodes, task assessments, criteria evidence, corrections and review.</x:v>
      </x:c>
      <x:c r="B2" s="573"/>
      <x:c r="C2" s="573"/>
      <x:c r="D2" s="573"/>
      <x:c r="E2" s="573"/>
      <x:c r="F2" s="573"/>
      <x:c r="G2" s="573"/>
      <x:c r="H2" s="573"/>
      <x:c r="I2" s="573"/>
      <x:c r="J2" s="573"/>
      <x:c r="K2" s="573"/>
    </x:row>
    <x:row r="4" ht="30" customHeight="1">
      <x:c r="A4" s="585" t="str">
        <x:v>ID</x:v>
      </x:c>
      <x:c r="B4" s="586" t="str">
        <x:v>Name / endpoint</x:v>
      </x:c>
      <x:c r="C4" s="586" t="str">
        <x:v>Purpose</x:v>
      </x:c>
      <x:c r="D4" s="586" t="str">
        <x:v>Caller / producer</x:v>
      </x:c>
      <x:c r="E4" s="586" t="str">
        <x:v>Owning service / consumer</x:v>
      </x:c>
      <x:c r="F4" s="586" t="str">
        <x:v>Input / payload</x:v>
      </x:c>
      <x:c r="G4" s="586" t="str">
        <x:v>Output / consumer</x:v>
      </x:c>
      <x:c r="H4" s="586" t="str">
        <x:v>Security / governance</x:v>
      </x:c>
      <x:c r="I4" s="586" t="str">
        <x:v>Stage</x:v>
      </x:c>
      <x:c r="J4" s="586" t="str">
        <x:v>Priority</x:v>
      </x:c>
      <x:c r="K4" s="587" t="str">
        <x:v>Status</x:v>
      </x:c>
    </x:row>
    <x:row r="5">
      <x:c r="A5" s="604" t="str">
        <x:v>S67-API-001</x:v>
      </x:c>
      <x:c r="B5" s="605" t="str">
        <x:v>POST /wi/v1/adapters/manifests</x:v>
      </x:c>
      <x:c r="C5" s="605" t="str">
        <x:v>Register adapter manifest/version.</x:v>
      </x:c>
      <x:c r="D5" s="605" t="str">
        <x:v>Adapter owner/CI</x:v>
      </x:c>
      <x:c r="E5" s="605" t="str">
        <x:v>Adapter Registry</x:v>
      </x:c>
      <x:c r="F5" s="605" t="str">
        <x:v>AdapterManifest</x:v>
      </x:c>
      <x:c r="G5" s="605" t="str">
        <x:v>AdapterVersion</x:v>
      </x:c>
      <x:c r="H5" s="605" t="str">
        <x:v>Requires signing, conformance suite and approval workflow.</x:v>
      </x:c>
      <x:c r="I5" s="605" t="str">
        <x:v>Stage 6</x:v>
      </x:c>
      <x:c r="J5" s="605" t="str">
        <x:v>Critical</x:v>
      </x:c>
      <x:c r="K5" s="606" t="str">
        <x:v>Draft Complete</x:v>
      </x:c>
    </x:row>
    <x:row r="6">
      <x:c r="A6" s="612" t="str">
        <x:v>S67-API-002</x:v>
      </x:c>
      <x:c r="B6" s="613" t="str">
        <x:v>GET /wi/v1/adapters/{adapterId}/coverage</x:v>
      </x:c>
      <x:c r="C6" s="613" t="str">
        <x:v>Retrieve adapter coverage/health.</x:v>
      </x:c>
      <x:c r="D6" s="613" t="str">
        <x:v>Services/Employee/Reviewer</x:v>
      </x:c>
      <x:c r="E6" s="613" t="str">
        <x:v>Adapter Hub</x:v>
      </x:c>
      <x:c r="F6" s="613" t="str">
        <x:v>adapterId, session/task filters</x:v>
      </x:c>
      <x:c r="G6" s="613" t="str">
        <x:v>Coverage report</x:v>
      </x:c>
      <x:c r="H6" s="613" t="str">
        <x:v>No raw evidence; coverage affects confidence.</x:v>
      </x:c>
      <x:c r="I6" s="613" t="str">
        <x:v>Stage 6</x:v>
      </x:c>
      <x:c r="J6" s="613" t="str">
        <x:v>High</x:v>
      </x:c>
      <x:c r="K6" s="614" t="str">
        <x:v>Draft Complete</x:v>
      </x:c>
    </x:row>
    <x:row r="7">
      <x:c r="A7" s="607" t="str">
        <x:v>S67-API-003</x:v>
      </x:c>
      <x:c r="B7" s="114" t="str">
        <x:v>POST /wi/v1/semantic-events</x:v>
      </x:c>
      <x:c r="C7" s="114" t="str">
        <x:v>Submit/provider-normalise semantic event from cloud connector.</x:v>
      </x:c>
      <x:c r="D7" s="114" t="str">
        <x:v>GitHub/CI/IDE/AI connector</x:v>
      </x:c>
      <x:c r="E7" s="114" t="str">
        <x:v>Semantic Event Normaliser</x:v>
      </x:c>
      <x:c r="F7" s="114" t="str">
        <x:v>ProviderEventEnvelope</x:v>
      </x:c>
      <x:c r="G7" s="114" t="str">
        <x:v>CanonicalSemanticEvent</x:v>
      </x:c>
      <x:c r="H7" s="114" t="str">
        <x:v>Policy, schema and content classification required.</x:v>
      </x:c>
      <x:c r="I7" s="114" t="str">
        <x:v>Stage 6</x:v>
      </x:c>
      <x:c r="J7" s="114" t="str">
        <x:v>Critical</x:v>
      </x:c>
      <x:c r="K7" s="608" t="str">
        <x:v>Draft Complete</x:v>
      </x:c>
    </x:row>
    <x:row r="8">
      <x:c r="A8" s="612" t="str">
        <x:v>S67-API-004</x:v>
      </x:c>
      <x:c r="B8" s="613" t="str">
        <x:v>POST /wi/v1/provenance/correlate</x:v>
      </x:c>
      <x:c r="C8" s="613" t="str">
        <x:v>Create/update provenance candidates for event range.</x:v>
      </x:c>
      <x:c r="D8" s="613" t="str">
        <x:v>Stage 7 worker</x:v>
      </x:c>
      <x:c r="E8" s="613" t="str">
        <x:v>Provenance Service</x:v>
      </x:c>
      <x:c r="F8" s="613" t="str">
        <x:v>CorrelationJobRequest</x:v>
      </x:c>
      <x:c r="G8" s="613" t="str">
        <x:v>CorrelationJob</x:v>
      </x:c>
      <x:c r="H8" s="613" t="str">
        <x:v>Idempotent; source events immutable.</x:v>
      </x:c>
      <x:c r="I8" s="613" t="str">
        <x:v>Stage 7</x:v>
      </x:c>
      <x:c r="J8" s="613" t="str">
        <x:v>Critical</x:v>
      </x:c>
      <x:c r="K8" s="614" t="str">
        <x:v>Draft Complete</x:v>
      </x:c>
    </x:row>
    <x:row r="9">
      <x:c r="A9" s="607" t="str">
        <x:v>S67-API-005</x:v>
      </x:c>
      <x:c r="B9" s="114" t="str">
        <x:v>GET /wi/v1/provenance/tasks/{taskId}</x:v>
      </x:c>
      <x:c r="C9" s="114" t="str">
        <x:v>Query provenance graph for a task.</x:v>
      </x:c>
      <x:c r="D9" s="114" t="str">
        <x:v>Task Assurance/Reviewer</x:v>
      </x:c>
      <x:c r="E9" s="114" t="str">
        <x:v>Provenance Service</x:v>
      </x:c>
      <x:c r="F9" s="114" t="str">
        <x:v>taskId, filters</x:v>
      </x:c>
      <x:c r="G9" s="114" t="str">
        <x:v>Graph subview</x:v>
      </x:c>
      <x:c r="H9" s="114" t="str">
        <x:v>Policy-filtered; evidence refs only.</x:v>
      </x:c>
      <x:c r="I9" s="114" t="str">
        <x:v>Stage 7</x:v>
      </x:c>
      <x:c r="J9" s="114" t="str">
        <x:v>High</x:v>
      </x:c>
      <x:c r="K9" s="608" t="str">
        <x:v>Draft Complete</x:v>
      </x:c>
    </x:row>
    <x:row r="10">
      <x:c r="A10" s="612" t="str">
        <x:v>S67-API-006</x:v>
      </x:c>
      <x:c r="B10" s="613" t="str">
        <x:v>POST /wi/v1/episodes/segment</x:v>
      </x:c>
      <x:c r="C10" s="613" t="str">
        <x:v>Request work-episode segmentation for session/task.</x:v>
      </x:c>
      <x:c r="D10" s="613" t="str">
        <x:v>Task Assurance</x:v>
      </x:c>
      <x:c r="E10" s="613" t="str">
        <x:v>Episode Evaluator</x:v>
      </x:c>
      <x:c r="F10" s="613" t="str">
        <x:v>Timeline refs</x:v>
      </x:c>
      <x:c r="G10" s="613" t="str">
        <x:v>Episode candidates</x:v>
      </x:c>
      <x:c r="H10" s="613" t="str">
        <x:v>Python recommendations only; versioned.</x:v>
      </x:c>
      <x:c r="I10" s="613" t="str">
        <x:v>Stage 7</x:v>
      </x:c>
      <x:c r="J10" s="613" t="str">
        <x:v>High</x:v>
      </x:c>
      <x:c r="K10" s="614" t="str">
        <x:v>Draft Complete</x:v>
      </x:c>
    </x:row>
    <x:row r="11">
      <x:c r="A11" s="607" t="str">
        <x:v>S67-API-007</x:v>
      </x:c>
      <x:c r="B11" s="114" t="str">
        <x:v>POST /wi/v1/tasks/{taskId}/assessments</x:v>
      </x:c>
      <x:c r="C11" s="114" t="str">
        <x:v>Create/update task assessment.</x:v>
      </x:c>
      <x:c r="D11" s="114" t="str">
        <x:v>Task Assurance</x:v>
      </x:c>
      <x:c r="E11" s="114" t="str">
        <x:v>Task Assurance Domain</x:v>
      </x:c>
      <x:c r="F11" s="114" t="str">
        <x:v>TaskAssessmentRequest</x:v>
      </x:c>
      <x:c r="G11" s="114" t="str">
        <x:v>TaskAssessment version</x:v>
      </x:c>
      <x:c r="H11" s="114" t="str">
        <x:v>Approved task contract required.</x:v>
      </x:c>
      <x:c r="I11" s="114" t="str">
        <x:v>Stage 7</x:v>
      </x:c>
      <x:c r="J11" s="114" t="str">
        <x:v>Critical</x:v>
      </x:c>
      <x:c r="K11" s="608" t="str">
        <x:v>Draft Complete</x:v>
      </x:c>
    </x:row>
    <x:row r="12">
      <x:c r="A12" s="612" t="str">
        <x:v>S67-API-008</x:v>
      </x:c>
      <x:c r="B12" s="613" t="str">
        <x:v>GET /wi/v1/tasks/{taskId}/assessments/current</x:v>
      </x:c>
      <x:c r="C12" s="613" t="str">
        <x:v>Retrieve current task assessment.</x:v>
      </x:c>
      <x:c r="D12" s="613" t="str">
        <x:v>Employee/Reviewer/Manager summary</x:v>
      </x:c>
      <x:c r="E12" s="613" t="str">
        <x:v>Task Assurance Domain</x:v>
      </x:c>
      <x:c r="F12" s="613" t="str">
        <x:v>taskId</x:v>
      </x:c>
      <x:c r="G12" s="613" t="str">
        <x:v>Assessment package</x:v>
      </x:c>
      <x:c r="H12" s="613" t="str">
        <x:v>Shows confidence, evidence, gaps, employee response.</x:v>
      </x:c>
      <x:c r="I12" s="613" t="str">
        <x:v>Stage 7</x:v>
      </x:c>
      <x:c r="J12" s="613" t="str">
        <x:v>Critical</x:v>
      </x:c>
      <x:c r="K12" s="614" t="str">
        <x:v>Draft Complete</x:v>
      </x:c>
    </x:row>
    <x:row r="13">
      <x:c r="A13" s="607" t="str">
        <x:v>S67-API-009</x:v>
      </x:c>
      <x:c r="B13" s="114" t="str">
        <x:v>POST /wi/v1/tasks/{taskId}/criteria/{criterionId}/evidence</x:v>
      </x:c>
      <x:c r="C13" s="114" t="str">
        <x:v>Attach/match evidence to criterion.</x:v>
      </x:c>
      <x:c r="D13" s="114" t="str">
        <x:v>Deterministic or reviewer flow</x:v>
      </x:c>
      <x:c r="E13" s="114" t="str">
        <x:v>Task Assurance Domain</x:v>
      </x:c>
      <x:c r="F13" s="114" t="str">
        <x:v>Evidence refs + method</x:v>
      </x:c>
      <x:c r="G13" s="114" t="str">
        <x:v>Criterion state update</x:v>
      </x:c>
      <x:c r="H13" s="114" t="str">
        <x:v>No raw content; evidence class stated.</x:v>
      </x:c>
      <x:c r="I13" s="114" t="str">
        <x:v>Stage 7</x:v>
      </x:c>
      <x:c r="J13" s="114" t="str">
        <x:v>High</x:v>
      </x:c>
      <x:c r="K13" s="608" t="str">
        <x:v>Draft Complete</x:v>
      </x:c>
    </x:row>
    <x:row r="14">
      <x:c r="A14" s="612" t="str">
        <x:v>S67-API-010</x:v>
      </x:c>
      <x:c r="B14" s="613" t="str">
        <x:v>POST /wi/v1/reviews/task-findings</x:v>
      </x:c>
      <x:c r="C14" s="613" t="str">
        <x:v>Create human review request for material finding.</x:v>
      </x:c>
      <x:c r="D14" s="613" t="str">
        <x:v>Task Assurance/Governance</x:v>
      </x:c>
      <x:c r="E14" s="613" t="str">
        <x:v>Workflow Runtime</x:v>
      </x:c>
      <x:c r="F14" s="613" t="str">
        <x:v>Finding package</x:v>
      </x:c>
      <x:c r="G14" s="613" t="str">
        <x:v>Review workflow ID</x:v>
      </x:c>
      <x:c r="H14" s="613" t="str">
        <x:v>Required for high-impact negative findings.</x:v>
      </x:c>
      <x:c r="I14" s="613" t="str">
        <x:v>Stage 7</x:v>
      </x:c>
      <x:c r="J14" s="613" t="str">
        <x:v>Critical</x:v>
      </x:c>
      <x:c r="K14" s="614" t="str">
        <x:v>Draft Complete</x:v>
      </x:c>
    </x:row>
    <x:row r="15">
      <x:c r="A15" s="607" t="str">
        <x:v>S67-API-011</x:v>
      </x:c>
      <x:c r="B15" s="114" t="str">
        <x:v>POST /wi/v1/corrections/task-assessment</x:v>
      </x:c>
      <x:c r="C15" s="114" t="str">
        <x:v>Employee/reviewer correction request.</x:v>
      </x:c>
      <x:c r="D15" s="114" t="str">
        <x:v>Employee/Reviewer</x:v>
      </x:c>
      <x:c r="E15" s="114" t="str">
        <x:v>Governance &amp; Review</x:v>
      </x:c>
      <x:c r="F15" s="114" t="str">
        <x:v>Correction request</x:v>
      </x:c>
      <x:c r="G15" s="114" t="str">
        <x:v>Correction record</x:v>
      </x:c>
      <x:c r="H15" s="114" t="str">
        <x:v>Original evidence remains immutable.</x:v>
      </x:c>
      <x:c r="I15" s="114" t="str">
        <x:v>Stage 7</x:v>
      </x:c>
      <x:c r="J15" s="114" t="str">
        <x:v>Critical</x:v>
      </x:c>
      <x:c r="K15" s="608" t="str">
        <x:v>Draft Complete</x:v>
      </x:c>
    </x:row>
    <x:row r="16">
      <x:c r="A16" s="612" t="str">
        <x:v>S67-EVT-001</x:v>
      </x:c>
      <x:c r="B16" s="613" t="str">
        <x:v>adapter.manifest.registered.v1</x:v>
      </x:c>
      <x:c r="C16" s="613" t="str">
        <x:v>Adapter version registered.</x:v>
      </x:c>
      <x:c r="D16" s="613" t="str">
        <x:v>Adapter Registry</x:v>
      </x:c>
      <x:c r="E16" s="613" t="str">
        <x:v>Event bus</x:v>
      </x:c>
      <x:c r="F16" s="613" t="str">
        <x:v>manifest metadata</x:v>
      </x:c>
      <x:c r="G16" s="613" t="str">
        <x:v>Stage 6</x:v>
      </x:c>
      <x:c r="H16" s="613" t="str">
        <x:v>No raw content.</x:v>
      </x:c>
      <x:c r="I16" s="613" t="str">
        <x:v>High</x:v>
      </x:c>
      <x:c r="J16" s="613" t="str">
        <x:v>Draft Complete</x:v>
      </x:c>
      <x:c r="K16" s="614"/>
    </x:row>
    <x:row r="17">
      <x:c r="A17" s="607" t="str">
        <x:v>S67-EVT-002</x:v>
      </x:c>
      <x:c r="B17" s="114" t="str">
        <x:v>adapter.coverage.updated.v1</x:v>
      </x:c>
      <x:c r="C17" s="114" t="str">
        <x:v>Coverage/health changed.</x:v>
      </x:c>
      <x:c r="D17" s="114" t="str">
        <x:v>Adapter Hub</x:v>
      </x:c>
      <x:c r="E17" s="114" t="str">
        <x:v>Evidence/Task Assurance</x:v>
      </x:c>
      <x:c r="F17" s="114" t="str">
        <x:v>coverage state</x:v>
      </x:c>
      <x:c r="G17" s="114" t="str">
        <x:v>Stage 6</x:v>
      </x:c>
      <x:c r="H17" s="114" t="str">
        <x:v>Downstream confidence update.</x:v>
      </x:c>
      <x:c r="I17" s="114" t="str">
        <x:v>High</x:v>
      </x:c>
      <x:c r="J17" s="114" t="str">
        <x:v>Draft Complete</x:v>
      </x:c>
      <x:c r="K17" s="608"/>
    </x:row>
    <x:row r="18">
      <x:c r="A18" s="612" t="str">
        <x:v>S67-EVT-003</x:v>
      </x:c>
      <x:c r="B18" s="613" t="str">
        <x:v>semantic.event.normalised.v1</x:v>
      </x:c>
      <x:c r="C18" s="613" t="str">
        <x:v>Provider event normalised.</x:v>
      </x:c>
      <x:c r="D18" s="613" t="str">
        <x:v>Semantic Normaliser</x:v>
      </x:c>
      <x:c r="E18" s="613" t="str">
        <x:v>Evidence/Provenance</x:v>
      </x:c>
      <x:c r="F18" s="613" t="str">
        <x:v>canonical event</x:v>
      </x:c>
      <x:c r="G18" s="613" t="str">
        <x:v>Stage 6</x:v>
      </x:c>
      <x:c r="H18" s="613" t="str">
        <x:v>Provider lineage preserved.</x:v>
      </x:c>
      <x:c r="I18" s="613" t="str">
        <x:v>Critical</x:v>
      </x:c>
      <x:c r="J18" s="613" t="str">
        <x:v>Draft Complete</x:v>
      </x:c>
      <x:c r="K18" s="614"/>
    </x:row>
    <x:row r="19">
      <x:c r="A19" s="607" t="str">
        <x:v>S67-EVT-004</x:v>
      </x:c>
      <x:c r="B19" s="114" t="str">
        <x:v>provenance.edge.candidate.v1</x:v>
      </x:c>
      <x:c r="C19" s="114" t="str">
        <x:v>Provenance candidate created.</x:v>
      </x:c>
      <x:c r="D19" s="114" t="str">
        <x:v>Correlation Engine</x:v>
      </x:c>
      <x:c r="E19" s="114" t="str">
        <x:v>Provenance store</x:v>
      </x:c>
      <x:c r="F19" s="114" t="str">
        <x:v>edge + confidence</x:v>
      </x:c>
      <x:c r="G19" s="114" t="str">
        <x:v>Stage 7</x:v>
      </x:c>
      <x:c r="H19" s="114" t="str">
        <x:v>Candidate, not final allegation.</x:v>
      </x:c>
      <x:c r="I19" s="114" t="str">
        <x:v>Critical</x:v>
      </x:c>
      <x:c r="J19" s="114" t="str">
        <x:v>Draft Complete</x:v>
      </x:c>
      <x:c r="K19" s="608"/>
    </x:row>
    <x:row r="20">
      <x:c r="A20" s="612" t="str">
        <x:v>S67-EVT-005</x:v>
      </x:c>
      <x:c r="B20" s="613" t="str">
        <x:v>work.episode.created.v1</x:v>
      </x:c>
      <x:c r="C20" s="613" t="str">
        <x:v>Episode candidate created.</x:v>
      </x:c>
      <x:c r="D20" s="613" t="str">
        <x:v>Episode Segmenter</x:v>
      </x:c>
      <x:c r="E20" s="613" t="str">
        <x:v>Task Assurance</x:v>
      </x:c>
      <x:c r="F20" s="613" t="str">
        <x:v>episode + alternatives</x:v>
      </x:c>
      <x:c r="G20" s="613" t="str">
        <x:v>Stage 7</x:v>
      </x:c>
      <x:c r="H20" s="613" t="str">
        <x:v>Challengeable derived state.</x:v>
      </x:c>
      <x:c r="I20" s="613" t="str">
        <x:v>High</x:v>
      </x:c>
      <x:c r="J20" s="613" t="str">
        <x:v>Draft Complete</x:v>
      </x:c>
      <x:c r="K20" s="614"/>
    </x:row>
    <x:row r="21">
      <x:c r="A21" s="607" t="str">
        <x:v>S67-EVT-006</x:v>
      </x:c>
      <x:c r="B21" s="114" t="str">
        <x:v>task.alignment.updated.v1</x:v>
      </x:c>
      <x:c r="C21" s="114" t="str">
        <x:v>Task alignment state updated.</x:v>
      </x:c>
      <x:c r="D21" s="114" t="str">
        <x:v>Task Assurance</x:v>
      </x:c>
      <x:c r="E21" s="114" t="str">
        <x:v>Reports/Review</x:v>
      </x:c>
      <x:c r="F21" s="114" t="str">
        <x:v>alignment + confidence</x:v>
      </x:c>
      <x:c r="G21" s="114" t="str">
        <x:v>Stage 7</x:v>
      </x:c>
      <x:c r="H21" s="114" t="str">
        <x:v>Employee correction available.</x:v>
      </x:c>
      <x:c r="I21" s="114" t="str">
        <x:v>Critical</x:v>
      </x:c>
      <x:c r="J21" s="114" t="str">
        <x:v>Draft Complete</x:v>
      </x:c>
      <x:c r="K21" s="608"/>
    </x:row>
    <x:row r="22">
      <x:c r="A22" s="612" t="str">
        <x:v>S67-EVT-007</x:v>
      </x:c>
      <x:c r="B22" s="613" t="str">
        <x:v>task.criterion.state.updated.v1</x:v>
      </x:c>
      <x:c r="C22" s="613" t="str">
        <x:v>Criterion state changed.</x:v>
      </x:c>
      <x:c r="D22" s="613" t="str">
        <x:v>Task Assurance</x:v>
      </x:c>
      <x:c r="E22" s="613" t="str">
        <x:v>Reports/Review/Capability later</x:v>
      </x:c>
      <x:c r="F22" s="613" t="str">
        <x:v>criterion state</x:v>
      </x:c>
      <x:c r="G22" s="613" t="str">
        <x:v>Stage 7</x:v>
      </x:c>
      <x:c r="H22" s="613" t="str">
        <x:v>Evidence refs and method required.</x:v>
      </x:c>
      <x:c r="I22" s="613" t="str">
        <x:v>Critical</x:v>
      </x:c>
      <x:c r="J22" s="613" t="str">
        <x:v>Draft Complete</x:v>
      </x:c>
      <x:c r="K22" s="614"/>
    </x:row>
    <x:row r="23">
      <x:c r="A23" s="607" t="str">
        <x:v>S67-EVT-008</x:v>
      </x:c>
      <x:c r="B23" s="114" t="str">
        <x:v>task.assessment.version.created.v1</x:v>
      </x:c>
      <x:c r="C23" s="114" t="str">
        <x:v>New assessment version created.</x:v>
      </x:c>
      <x:c r="D23" s="114" t="str">
        <x:v>Task Assurance</x:v>
      </x:c>
      <x:c r="E23" s="114" t="str">
        <x:v>Reports/Review</x:v>
      </x:c>
      <x:c r="F23" s="114" t="str">
        <x:v>assessment metadata</x:v>
      </x:c>
      <x:c r="G23" s="114" t="str">
        <x:v>Stage 7</x:v>
      </x:c>
      <x:c r="H23" s="114" t="str">
        <x:v>Supersedes previous but preserves lineage.</x:v>
      </x:c>
      <x:c r="I23" s="114" t="str">
        <x:v>Critical</x:v>
      </x:c>
      <x:c r="J23" s="114" t="str">
        <x:v>Draft Complete</x:v>
      </x:c>
      <x:c r="K23" s="608"/>
    </x:row>
    <x:row r="24">
      <x:c r="A24" s="612" t="str">
        <x:v>S67-EVT-009</x:v>
      </x:c>
      <x:c r="B24" s="613" t="str">
        <x:v>task.assessment.disputed.v1</x:v>
      </x:c>
      <x:c r="C24" s="613" t="str">
        <x:v>Employee/reviewer disputes finding.</x:v>
      </x:c>
      <x:c r="D24" s="613" t="str">
        <x:v>Governance</x:v>
      </x:c>
      <x:c r="E24" s="613" t="str">
        <x:v>Task Assurance/Reports</x:v>
      </x:c>
      <x:c r="F24" s="613" t="str">
        <x:v>dispute metadata</x:v>
      </x:c>
      <x:c r="G24" s="613" t="str">
        <x:v>Stage 7</x:v>
      </x:c>
      <x:c r="H24" s="613" t="str">
        <x:v>Material reports show unresolved status.</x:v>
      </x:c>
      <x:c r="I24" s="613" t="str">
        <x:v>Critical</x:v>
      </x:c>
      <x:c r="J24" s="613" t="str">
        <x:v>Draft Complete</x:v>
      </x:c>
      <x:c r="K24" s="614"/>
    </x:row>
    <x:row r="25">
      <x:c r="A25" s="609" t="str">
        <x:v>S67-EVT-010</x:v>
      </x:c>
      <x:c r="B25" s="610" t="str">
        <x:v>review.decision.recorded.v1</x:v>
      </x:c>
      <x:c r="C25" s="610" t="str">
        <x:v>Human review decision recorded.</x:v>
      </x:c>
      <x:c r="D25" s="610" t="str">
        <x:v>Workflow/Governance</x:v>
      </x:c>
      <x:c r="E25" s="610" t="str">
        <x:v>Task Assurance/Capability later</x:v>
      </x:c>
      <x:c r="F25" s="610" t="str">
        <x:v>decision metadata</x:v>
      </x:c>
      <x:c r="G25" s="610" t="str">
        <x:v>Stage 7</x:v>
      </x:c>
      <x:c r="H25" s="610" t="str">
        <x:v>Reviewer rationale and evidence refs required.</x:v>
      </x:c>
      <x:c r="I25" s="610" t="str">
        <x:v>Critical</x:v>
      </x:c>
      <x:c r="J25" s="610" t="str">
        <x:v>Draft Complete</x:v>
      </x:c>
      <x:c r="K25" s="611"/>
    </x:row>
  </x:sheetData>
  <x:mergeCells>
    <x:mergeCell ref="A1:K1"/>
    <x:mergeCell ref="A2:K2"/>
  </x:mergeCells>
  <x:dataValidations count="3">
    <x:dataValidation type="list" sqref="I5:I25">
      <x:formula1>"Stage 6,Stage 7"</x:formula1>
    </x:dataValidation>
    <x:dataValidation type="list" sqref="J5:J25">
      <x:formula1>"Critical,High,Medium,Low"</x:formula1>
    </x:dataValidation>
    <x:dataValidation type="list" sqref="K5:K25">
      <x:formula1>"Draft Complete,Needs Review,Approved,Deferred"</x:formula1>
    </x:dataValidation>
  </x:dataValidations>
  <x:pageMargins left="0.7" right="0.7" top="0.75" bottom="0.75" header="0.3" footer="0.3"/>
</x:worksheet>
</file>

<file path=xl/worksheets/sheet106.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6 — Semantic Adapter Backlog</x:v>
      </x:c>
      <x:c r="B1" s="569"/>
      <x:c r="C1" s="569"/>
      <x:c r="D1" s="569"/>
      <x:c r="E1" s="569"/>
      <x:c r="F1" s="569"/>
      <x:c r="G1" s="569"/>
      <x:c r="H1" s="569"/>
      <x:c r="I1" s="569"/>
      <x:c r="J1" s="569"/>
      <x:c r="K1" s="569"/>
      <x:c r="L1" s="569"/>
      <x:c r="M1" s="569"/>
      <x:c r="N1" s="569"/>
      <x:c r="O1" s="569"/>
    </x:row>
    <x:row r="2" ht="36" customHeight="1">
      <x:c r="A2" s="573" t="str">
        <x:v>Implementation backlog for provider/tool adapters, adapter governance, semantic normalisation, conformance and coverage.</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S6-BL-001</x:v>
      </x:c>
      <x:c r="B5" s="605" t="str">
        <x:v>Adapter Hub</x:v>
      </x:c>
      <x:c r="C5" s="605" t="str">
        <x:v>Implement adapter registry and manifest schema</x:v>
      </x:c>
      <x:c r="D5" s="605" t="str">
        <x:v>Java/Spring registry and JSON Schema for signed adapter manifests.</x:v>
      </x:c>
      <x:c r="E5" s="605" t="str">
        <x:v>Adapter Platform Lead</x:v>
      </x:c>
      <x:c r="F5" s="605" t="str">
        <x:v>Backend/Security</x:v>
      </x:c>
      <x:c r="G5" s="605" t="str">
        <x:v>Stage 3/4/5 contracts</x:v>
      </x:c>
      <x:c r="H5" s="605" t="str">
        <x:v>Critical</x:v>
      </x:c>
      <x:c r="I5" s="605" t="str">
        <x:v>Not Started</x:v>
      </x:c>
      <x:c r="J5" s="618" t="n">
        <x:f>IF(I5="Approved",1,IF(I5="Draft Complete",0.8,IF(I5="In Review",0.6,IF(I5="In Progress",0.4,IF(I5="Blocked",0,0)))))</x:f>
        <x:v>0</x:v>
      </x:c>
      <x:c r="K5" s="605" t="n">
        <x:v>8</x:v>
      </x:c>
      <x:c r="L5" s="605" t="str">
        <x:v>Adapter registry</x:v>
      </x:c>
      <x:c r="M5" s="605" t="str">
        <x:v>Manifest registration, approval status and versioning work.</x:v>
      </x:c>
      <x:c r="N5" s="605" t="str">
        <x:v>Signed/approved adapters only.</x:v>
      </x:c>
      <x:c r="O5" s="606" t="str">
        <x:v>Adapter SDK Contract</x:v>
      </x:c>
    </x:row>
    <x:row r="6">
      <x:c r="A6" s="612" t="str">
        <x:v>S6-BL-002</x:v>
      </x:c>
      <x:c r="B6" s="613" t="str">
        <x:v>SDK</x:v>
      </x:c>
      <x:c r="C6" s="613" t="str">
        <x:v>Build local adapter SDK v1</x:v>
      </x:c>
      <x:c r="D6" s="613" t="str">
        <x:v>Rust/TypeScript/Python/Java SDK conventions for local/cloud adapters.</x:v>
      </x:c>
      <x:c r="E6" s="613" t="str">
        <x:v>Adapter SDK Lead</x:v>
      </x:c>
      <x:c r="F6" s="613" t="str">
        <x:v>Desktop/AI/Browser</x:v>
      </x:c>
      <x:c r="G6" s="613" t="str">
        <x:v>S6-BL-001</x:v>
      </x:c>
      <x:c r="H6" s="613" t="str">
        <x:v>Critical</x:v>
      </x:c>
      <x:c r="I6" s="613" t="str">
        <x:v>Not Started</x:v>
      </x:c>
      <x:c r="J6" s="619" t="n">
        <x:f>IF(I6="Approved",1,IF(I6="Draft Complete",0.8,IF(I6="In Review",0.6,IF(I6="In Progress",0.4,IF(I6="Blocked",0,0)))))</x:f>
        <x:v>0</x:v>
      </x:c>
      <x:c r="K6" s="613" t="n">
        <x:v>12</x:v>
      </x:c>
      <x:c r="L6" s="613" t="str">
        <x:v>SDK package</x:v>
      </x:c>
      <x:c r="M6" s="613" t="str">
        <x:v>Adapters cannot bypass policy/redaction/journal path.</x:v>
      </x:c>
      <x:c r="N6" s="613" t="str">
        <x:v>Policy first.</x:v>
      </x:c>
      <x:c r="O6" s="614" t="str">
        <x:v>Semantic Adapter Architecture</x:v>
      </x:c>
    </x:row>
    <x:row r="7">
      <x:c r="A7" s="607" t="str">
        <x:v>S6-BL-003</x:v>
      </x:c>
      <x:c r="B7" s="114" t="str">
        <x:v>Browser</x:v>
      </x:c>
      <x:c r="C7" s="114" t="str">
        <x:v>Implement Chrome/Edge browser adapter</x:v>
      </x:c>
      <x:c r="D7" s="114" t="str">
        <x:v>Tabs/native messaging, title/domain/navigation and allowlisted page events.</x:v>
      </x:c>
      <x:c r="E7" s="114" t="str">
        <x:v>Browser Lead</x:v>
      </x:c>
      <x:c r="F7" s="114" t="str">
        <x:v>Desktop/Security</x:v>
      </x:c>
      <x:c r="G7" s="114" t="str">
        <x:v>S6-BL-002</x:v>
      </x:c>
      <x:c r="H7" s="114" t="str">
        <x:v>High</x:v>
      </x:c>
      <x:c r="I7" s="114" t="str">
        <x:v>Not Started</x:v>
      </x:c>
      <x:c r="J7" s="135" t="n">
        <x:f>IF(I7="Approved",1,IF(I7="Draft Complete",0.8,IF(I7="In Review",0.6,IF(I7="In Progress",0.4,IF(I7="Blocked",0,0)))))</x:f>
        <x:v>0</x:v>
      </x:c>
      <x:c r="K7" s="114" t="n">
        <x:v>10</x:v>
      </x:c>
      <x:c r="L7" s="114" t="str">
        <x:v>Browser adapter</x:v>
      </x:c>
      <x:c r="M7" s="114" t="str">
        <x:v>Active tab accuracy, exclusions and native-host tests pass.</x:v>
      </x:c>
      <x:c r="N7" s="114" t="str">
        <x:v>URL minimisation.</x:v>
      </x:c>
      <x:c r="O7" s="608" t="str">
        <x:v>Browser Adapter</x:v>
      </x:c>
    </x:row>
    <x:row r="8">
      <x:c r="A8" s="612" t="str">
        <x:v>S6-BL-004</x:v>
      </x:c>
      <x:c r="B8" s="613" t="str">
        <x:v>Shell</x:v>
      </x:c>
      <x:c r="C8" s="613" t="str">
        <x:v>Implement PowerShell/bash/zsh adapter</x:v>
      </x:c>
      <x:c r="D8" s="613" t="str">
        <x:v>Command start/completion, cwd, exit code, output refs and redaction.</x:v>
      </x:c>
      <x:c r="E8" s="613" t="str">
        <x:v>Shell Lead</x:v>
      </x:c>
      <x:c r="F8" s="613" t="str">
        <x:v>Desktop/Security</x:v>
      </x:c>
      <x:c r="G8" s="613" t="str">
        <x:v>S6-BL-002</x:v>
      </x:c>
      <x:c r="H8" s="613" t="str">
        <x:v>Critical</x:v>
      </x:c>
      <x:c r="I8" s="613" t="str">
        <x:v>Not Started</x:v>
      </x:c>
      <x:c r="J8" s="619" t="n">
        <x:f>IF(I8="Approved",1,IF(I8="Draft Complete",0.8,IF(I8="In Review",0.6,IF(I8="In Progress",0.4,IF(I8="Blocked",0,0)))))</x:f>
        <x:v>0</x:v>
      </x:c>
      <x:c r="K8" s="613" t="n">
        <x:v>14</x:v>
      </x:c>
      <x:c r="L8" s="613" t="str">
        <x:v>Shell adapter</x:v>
      </x:c>
      <x:c r="M8" s="613" t="str">
        <x:v>≥95% command capture and secret tests pass.</x:v>
      </x:c>
      <x:c r="N8" s="613" t="str">
        <x:v>Secret/env redaction.</x:v>
      </x:c>
      <x:c r="O8" s="614" t="str">
        <x:v>Shell and Process Adapter</x:v>
      </x:c>
    </x:row>
    <x:row r="9">
      <x:c r="A9" s="607" t="str">
        <x:v>S6-BL-005</x:v>
      </x:c>
      <x:c r="B9" s="114" t="str">
        <x:v>Git/GitHub</x:v>
      </x:c>
      <x:c r="C9" s="114" t="str">
        <x:v>Implement Git local and GitHub App connector</x:v>
      </x:c>
      <x:c r="D9" s="114" t="str">
        <x:v>Repo/branch/diff/commit/PR/review/check/workflow events.</x:v>
      </x:c>
      <x:c r="E9" s="114" t="str">
        <x:v>Git Integrations Lead</x:v>
      </x:c>
      <x:c r="F9" s="114" t="str">
        <x:v>Security/Data</x:v>
      </x:c>
      <x:c r="G9" s="114" t="str">
        <x:v>S6-BL-002</x:v>
      </x:c>
      <x:c r="H9" s="114" t="str">
        <x:v>Critical</x:v>
      </x:c>
      <x:c r="I9" s="114" t="str">
        <x:v>Not Started</x:v>
      </x:c>
      <x:c r="J9" s="135" t="n">
        <x:f>IF(I9="Approved",1,IF(I9="Draft Complete",0.8,IF(I9="In Review",0.6,IF(I9="In Progress",0.4,IF(I9="Blocked",0,0)))))</x:f>
        <x:v>0</x:v>
      </x:c>
      <x:c r="K9" s="114" t="n">
        <x:v>16</x:v>
      </x:c>
      <x:c r="L9" s="114" t="str">
        <x:v>Git/GitHub adapter</x:v>
      </x:c>
      <x:c r="M9" s="114" t="str">
        <x:v>GitHub fixtures and least-permission tests pass.</x:v>
      </x:c>
      <x:c r="N9" s="114" t="str">
        <x:v>No source content in logs.</x:v>
      </x:c>
      <x:c r="O9" s="608" t="str">
        <x:v>Git CI and IDE Adapters</x:v>
      </x:c>
    </x:row>
    <x:row r="10">
      <x:c r="A10" s="612" t="str">
        <x:v>S6-BL-006</x:v>
      </x:c>
      <x:c r="B10" s="613" t="str">
        <x:v>CI/build/test</x:v>
      </x:c>
      <x:c r="C10" s="613" t="str">
        <x:v>Implement CI/test/build semantic events</x:v>
      </x:c>
      <x:c r="D10" s="613" t="str">
        <x:v>GitHub Actions/checks and local build/test lifecycle mapping.</x:v>
      </x:c>
      <x:c r="E10" s="613" t="str">
        <x:v>CI Adapter Lead</x:v>
      </x:c>
      <x:c r="F10" s="613" t="str">
        <x:v>QA/Data</x:v>
      </x:c>
      <x:c r="G10" s="613" t="str">
        <x:v>S6-BL-005</x:v>
      </x:c>
      <x:c r="H10" s="613" t="str">
        <x:v>Critical</x:v>
      </x:c>
      <x:c r="I10" s="613" t="str">
        <x:v>Not Started</x:v>
      </x:c>
      <x:c r="J10" s="619" t="n">
        <x:f>IF(I10="Approved",1,IF(I10="Draft Complete",0.8,IF(I10="In Review",0.6,IF(I10="In Progress",0.4,IF(I10="Blocked",0,0)))))</x:f>
        <x:v>0</x:v>
      </x:c>
      <x:c r="K10" s="613" t="n">
        <x:v>12</x:v>
      </x:c>
      <x:c r="L10" s="613" t="str">
        <x:v>CI/test adapter</x:v>
      </x:c>
      <x:c r="M10" s="613" t="str">
        <x:v>Pass/fail/duration/artefact refs normalise correctly.</x:v>
      </x:c>
      <x:c r="N10" s="613" t="str">
        <x:v>Authoritative quality evidence.</x:v>
      </x:c>
      <x:c r="O10" s="614" t="str">
        <x:v>GitHub Checks/Actions</x:v>
      </x:c>
    </x:row>
    <x:row r="11">
      <x:c r="A11" s="607" t="str">
        <x:v>S6-BL-007</x:v>
      </x:c>
      <x:c r="B11" s="114" t="str">
        <x:v>IDE</x:v>
      </x:c>
      <x:c r="C11" s="114" t="str">
        <x:v>Implement VS Code extension adapter</x:v>
      </x:c>
      <x:c r="D11" s="114" t="str">
        <x:v>Document/task/terminal/diagnostics/debug events where APIs support them.</x:v>
      </x:c>
      <x:c r="E11" s="114" t="str">
        <x:v>IDE Lead</x:v>
      </x:c>
      <x:c r="F11" s="114" t="str">
        <x:v>VS Code Engineer/QA</x:v>
      </x:c>
      <x:c r="G11" s="114" t="str">
        <x:v>S6-BL-002</x:v>
      </x:c>
      <x:c r="H11" s="114" t="str">
        <x:v>High</x:v>
      </x:c>
      <x:c r="I11" s="114" t="str">
        <x:v>Not Started</x:v>
      </x:c>
      <x:c r="J11" s="135" t="n">
        <x:f>IF(I11="Approved",1,IF(I11="Draft Complete",0.8,IF(I11="In Review",0.6,IF(I11="In Progress",0.4,IF(I11="Blocked",0,0)))))</x:f>
        <x:v>0</x:v>
      </x:c>
      <x:c r="K11" s="114" t="n">
        <x:v>14</x:v>
      </x:c>
      <x:c r="L11" s="114" t="str">
        <x:v>VS Code adapter</x:v>
      </x:c>
      <x:c r="M11" s="114" t="str">
        <x:v>Supported events conform and unsupported events emit coverage gaps.</x:v>
      </x:c>
      <x:c r="N11" s="114" t="str">
        <x:v>Content refs only.</x:v>
      </x:c>
      <x:c r="O11" s="608" t="str">
        <x:v>VS Code API</x:v>
      </x:c>
    </x:row>
    <x:row r="12">
      <x:c r="A12" s="612" t="str">
        <x:v>S6-BL-008</x:v>
      </x:c>
      <x:c r="B12" s="613" t="str">
        <x:v>IDE</x:v>
      </x:c>
      <x:c r="C12" s="613" t="str">
        <x:v>Design JetBrains/Xcode/Android adapter plan</x:v>
      </x:c>
      <x:c r="D12" s="613" t="str">
        <x:v>Plugin/API matrix and initial conformance plan for non-VS Code IDEs.</x:v>
      </x:c>
      <x:c r="E12" s="613" t="str">
        <x:v>IDE Lead</x:v>
      </x:c>
      <x:c r="F12" s="613" t="str">
        <x:v>JetBrains/Mobile Leads</x:v>
      </x:c>
      <x:c r="G12" s="613" t="str">
        <x:v>S6-BL-002</x:v>
      </x:c>
      <x:c r="H12" s="613" t="str">
        <x:v>High</x:v>
      </x:c>
      <x:c r="I12" s="613" t="str">
        <x:v>Not Started</x:v>
      </x:c>
      <x:c r="J12" s="619" t="n">
        <x:f>IF(I12="Approved",1,IF(I12="Draft Complete",0.8,IF(I12="In Review",0.6,IF(I12="In Progress",0.4,IF(I12="Blocked",0,0)))))</x:f>
        <x:v>0</x:v>
      </x:c>
      <x:c r="K12" s="613" t="n">
        <x:v>8</x:v>
      </x:c>
      <x:c r="L12" s="613" t="str">
        <x:v>IDE adapter plan</x:v>
      </x:c>
      <x:c r="M12" s="613" t="str">
        <x:v>Coverage and risk matrix accepted.</x:v>
      </x:c>
      <x:c r="N12" s="613" t="str">
        <x:v>No parity claims.</x:v>
      </x:c>
      <x:c r="O12" s="614" t="str">
        <x:v>JetBrains/Xcode/Android refs</x:v>
      </x:c>
    </x:row>
    <x:row r="13">
      <x:c r="A13" s="607" t="str">
        <x:v>S6-BL-009</x:v>
      </x:c>
      <x:c r="B13" s="114" t="str">
        <x:v>AI agents</x:v>
      </x:c>
      <x:c r="C13" s="114" t="str">
        <x:v>Implement Codex and Claude Code adapter prototypes</x:v>
      </x:c>
      <x:c r="D13" s="114" t="str">
        <x:v>Prompt/tool/permission/file/process/stop events through provider hooks.</x:v>
      </x:c>
      <x:c r="E13" s="114" t="str">
        <x:v>AI Adapter Lead</x:v>
      </x:c>
      <x:c r="F13" s="114" t="str">
        <x:v>Python/Java/Security</x:v>
      </x:c>
      <x:c r="G13" s="114" t="str">
        <x:v>S6-BL-002</x:v>
      </x:c>
      <x:c r="H13" s="114" t="str">
        <x:v>Critical</x:v>
      </x:c>
      <x:c r="I13" s="114" t="str">
        <x:v>Not Started</x:v>
      </x:c>
      <x:c r="J13" s="135" t="n">
        <x:f>IF(I13="Approved",1,IF(I13="Draft Complete",0.8,IF(I13="In Review",0.6,IF(I13="In Progress",0.4,IF(I13="Blocked",0,0)))))</x:f>
        <x:v>0</x:v>
      </x:c>
      <x:c r="K13" s="114" t="n">
        <x:v>16</x:v>
      </x:c>
      <x:c r="L13" s="114" t="str">
        <x:v>AI adapter prototypes</x:v>
      </x:c>
      <x:c r="M13" s="114" t="str">
        <x:v>Provider hook fixture suite passes.</x:v>
      </x:c>
      <x:c r="N13" s="114" t="str">
        <x:v>Prompt/tool content protected.</x:v>
      </x:c>
      <x:c r="O13" s="608" t="str">
        <x:v>Codex/Claude hooks</x:v>
      </x:c>
    </x:row>
    <x:row r="14">
      <x:c r="A14" s="612" t="str">
        <x:v>S6-BL-010</x:v>
      </x:c>
      <x:c r="B14" s="613" t="str">
        <x:v>Conformance</x:v>
      </x:c>
      <x:c r="C14" s="613" t="str">
        <x:v>Build adapter fixture and conformance suite</x:v>
      </x:c>
      <x:c r="D14" s="613" t="str">
        <x:v>Manifest, policy, lineage, redaction, idempotency, drift and fallback tests.</x:v>
      </x:c>
      <x:c r="E14" s="613" t="str">
        <x:v>QA Lead</x:v>
      </x:c>
      <x:c r="F14" s="613" t="str">
        <x:v>All adapter owners</x:v>
      </x:c>
      <x:c r="G14" s="613" t="str">
        <x:v>S6-BL-003:S6-BL-009</x:v>
      </x:c>
      <x:c r="H14" s="613" t="str">
        <x:v>Critical</x:v>
      </x:c>
      <x:c r="I14" s="613" t="str">
        <x:v>Not Started</x:v>
      </x:c>
      <x:c r="J14" s="619" t="n">
        <x:f>IF(I14="Approved",1,IF(I14="Draft Complete",0.8,IF(I14="In Review",0.6,IF(I14="In Progress",0.4,IF(I14="Blocked",0,0)))))</x:f>
        <x:v>0</x:v>
      </x:c>
      <x:c r="K14" s="613" t="n">
        <x:v>12</x:v>
      </x:c>
      <x:c r="L14" s="613" t="str">
        <x:v>Conformance test harness</x:v>
      </x:c>
      <x:c r="M14" s="613" t="str">
        <x:v>All required adapters pass before activation.</x:v>
      </x:c>
      <x:c r="N14" s="613" t="str">
        <x:v>Synthetic secrets only.</x:v>
      </x:c>
      <x:c r="O14" s="614" t="str">
        <x:v>Adapter Conformance Tests</x:v>
      </x:c>
    </x:row>
    <x:row r="15">
      <x:c r="A15" s="607" t="str">
        <x:v>S6-BL-011</x:v>
      </x:c>
      <x:c r="B15" s="114" t="str">
        <x:v>Coverage</x:v>
      </x:c>
      <x:c r="C15" s="114" t="str">
        <x:v>Implement adapter coverage model</x:v>
      </x:c>
      <x:c r="D15" s="114" t="str">
        <x:v>Session/task/provider coverage scoring and gap events.</x:v>
      </x:c>
      <x:c r="E15" s="114" t="str">
        <x:v>Data Lead</x:v>
      </x:c>
      <x:c r="F15" s="114" t="str">
        <x:v>Adapter/SRE</x:v>
      </x:c>
      <x:c r="G15" s="114" t="str">
        <x:v>S6-BL-003:S6-BL-010</x:v>
      </x:c>
      <x:c r="H15" s="114" t="str">
        <x:v>High</x:v>
      </x:c>
      <x:c r="I15" s="114" t="str">
        <x:v>Not Started</x:v>
      </x:c>
      <x:c r="J15" s="135" t="n">
        <x:f>IF(I15="Approved",1,IF(I15="Draft Complete",0.8,IF(I15="In Review",0.6,IF(I15="In Progress",0.4,IF(I15="Blocked",0,0)))))</x:f>
        <x:v>0</x:v>
      </x:c>
      <x:c r="K15" s="114" t="n">
        <x:v>8</x:v>
      </x:c>
      <x:c r="L15" s="114" t="str">
        <x:v>Coverage model</x:v>
      </x:c>
      <x:c r="M15" s="114" t="str">
        <x:v>Coverage indicators feed Stage 7 confidence.</x:v>
      </x:c>
      <x:c r="N15" s="114" t="str">
        <x:v>Missing data not inactivity.</x:v>
      </x:c>
      <x:c r="O15" s="608" t="str">
        <x:v>Provider Event Matrix</x:v>
      </x:c>
    </x:row>
    <x:row r="16">
      <x:c r="A16" s="615" t="str">
        <x:v>S6-BL-012</x:v>
      </x:c>
      <x:c r="B16" s="616" t="str">
        <x:v>Documentation</x:v>
      </x:c>
      <x:c r="C16" s="616" t="str">
        <x:v>Complete Stage 6 package</x:v>
      </x:c>
      <x:c r="D16" s="616" t="str">
        <x:v>Architecture, contracts, adapters, tests, risks, ADRs and gate evidence.</x:v>
      </x:c>
      <x:c r="E16" s="616" t="str">
        <x:v>Programme Lead</x:v>
      </x:c>
      <x:c r="F16" s="616" t="str">
        <x:v>All owners</x:v>
      </x:c>
      <x:c r="G16" s="616" t="str">
        <x:v>S6-BL-001:S6-BL-011</x:v>
      </x:c>
      <x:c r="H16" s="616" t="str">
        <x:v>High</x:v>
      </x:c>
      <x:c r="I16" s="616" t="str">
        <x:v>Not Started</x:v>
      </x:c>
      <x:c r="J16" s="620" t="n">
        <x:f>IF(I16="Approved",1,IF(I16="Draft Complete",0.8,IF(I16="In Review",0.6,IF(I16="In Progress",0.4,IF(I16="Blocked",0,0)))))</x:f>
        <x:v>0</x:v>
      </x:c>
      <x:c r="K16" s="616" t="n">
        <x:v>4</x:v>
      </x:c>
      <x:c r="L16" s="616" t="str">
        <x:v>Stage 6 package</x:v>
      </x:c>
      <x:c r="M16" s="616" t="str">
        <x:v>Ready for adapter gate review.</x:v>
      </x:c>
      <x:c r="N16" s="616" t="str">
        <x:v>Source traceability.</x:v>
      </x:c>
      <x:c r="O16" s="617" t="str">
        <x:v>Stage 6 Gate</x:v>
      </x:c>
    </x:row>
  </x:sheetData>
  <x:mergeCells>
    <x:mergeCell ref="A1:O1"/>
    <x:mergeCell ref="A2:O2"/>
  </x:mergeCells>
  <x:dataValidations count="2">
    <x:dataValidation type="list" sqref="H5:H16">
      <x:formula1>"Critical,High,Medium,Low"</x:formula1>
    </x:dataValidation>
    <x:dataValidation type="list" sqref="I5:I16">
      <x:formula1>"Not Started,In Progress,Draft Complete,In Review,Approved,Blocked,Deferred"</x:formula1>
    </x:dataValidation>
  </x:dataValidations>
  <x:pageMargins left="0.7" right="0.7" top="0.75" bottom="0.75" header="0.3" footer="0.3"/>
</x:worksheet>
</file>

<file path=xl/worksheets/sheet107.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7 — Provenance and Task Assurance Backlog</x:v>
      </x:c>
      <x:c r="B1" s="569"/>
      <x:c r="C1" s="569"/>
      <x:c r="D1" s="569"/>
      <x:c r="E1" s="569"/>
      <x:c r="F1" s="569"/>
      <x:c r="G1" s="569"/>
      <x:c r="H1" s="569"/>
      <x:c r="I1" s="569"/>
      <x:c r="J1" s="569"/>
      <x:c r="K1" s="569"/>
      <x:c r="L1" s="569"/>
      <x:c r="M1" s="569"/>
      <x:c r="N1" s="569"/>
      <x:c r="O1" s="569"/>
    </x:row>
    <x:row r="2" ht="36" customHeight="1">
      <x:c r="A2" s="573" t="str">
        <x:v>Implementation backlog for provenance graph, correlation, work episodes, task alignment, acceptance criteria, quality/blockers, evaluators, review and APIs.</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S7-BL-001</x:v>
      </x:c>
      <x:c r="B5" s="605" t="str">
        <x:v>Provenance</x:v>
      </x:c>
      <x:c r="C5" s="605" t="str">
        <x:v>Implement provenance graph schema</x:v>
      </x:c>
      <x:c r="D5" s="605" t="str">
        <x:v>PostgreSQL relational edges, node refs and graph query API.</x:v>
      </x:c>
      <x:c r="E5" s="605" t="str">
        <x:v>Data Architect</x:v>
      </x:c>
      <x:c r="F5" s="605" t="str">
        <x:v>Backend/AI</x:v>
      </x:c>
      <x:c r="G5" s="605" t="str">
        <x:v>Stage 4 storage; Stage 6 events</x:v>
      </x:c>
      <x:c r="H5" s="605" t="str">
        <x:v>Critical</x:v>
      </x:c>
      <x:c r="I5" s="605" t="str">
        <x:v>Not Started</x:v>
      </x:c>
      <x:c r="J5" s="618" t="n">
        <x:f>IF(I5="Approved",1,IF(I5="Draft Complete",0.8,IF(I5="In Review",0.6,IF(I5="In Progress",0.4,IF(I5="Blocked",0,0)))))</x:f>
        <x:v>0</x:v>
      </x:c>
      <x:c r="K5" s="605" t="n">
        <x:v>12</x:v>
      </x:c>
      <x:c r="L5" s="605" t="str">
        <x:v>Provenance schema/API</x:v>
      </x:c>
      <x:c r="M5" s="605" t="str">
        <x:v>Edges carry source/confidence/version and support replay.</x:v>
      </x:c>
      <x:c r="N5" s="605" t="str">
        <x:v>No raw content in edges.</x:v>
      </x:c>
      <x:c r="O5" s="606" t="str">
        <x:v>Provenance Graph Model</x:v>
      </x:c>
    </x:row>
    <x:row r="6">
      <x:c r="A6" s="612" t="str">
        <x:v>S7-BL-002</x:v>
      </x:c>
      <x:c r="B6" s="613" t="str">
        <x:v>Correlation</x:v>
      </x:c>
      <x:c r="C6" s="613" t="str">
        <x:v>Build correlation engine v1</x:v>
      </x:c>
      <x:c r="D6" s="613" t="str">
        <x:v>Temporal/session/process/agent/file/text/visual/Git/CI correlation rules.</x:v>
      </x:c>
      <x:c r="E6" s="613" t="str">
        <x:v>Provenance Lead</x:v>
      </x:c>
      <x:c r="F6" s="613" t="str">
        <x:v>Data/AI/Desktop</x:v>
      </x:c>
      <x:c r="G6" s="613" t="str">
        <x:v>S7-BL-001</x:v>
      </x:c>
      <x:c r="H6" s="613" t="str">
        <x:v>Critical</x:v>
      </x:c>
      <x:c r="I6" s="613" t="str">
        <x:v>Not Started</x:v>
      </x:c>
      <x:c r="J6" s="619" t="n">
        <x:f>IF(I6="Approved",1,IF(I6="Draft Complete",0.8,IF(I6="In Review",0.6,IF(I6="In Progress",0.4,IF(I6="Blocked",0,0)))))</x:f>
        <x:v>0</x:v>
      </x:c>
      <x:c r="K6" s="613" t="n">
        <x:v>16</x:v>
      </x:c>
      <x:c r="L6" s="613" t="str">
        <x:v>Correlation engine</x:v>
      </x:c>
      <x:c r="M6" s="613" t="str">
        <x:v>Candidate edges created with alternatives and confidence.</x:v>
      </x:c>
      <x:c r="N6" s="613" t="str">
        <x:v>UNKNOWN/MIXED supported.</x:v>
      </x:c>
      <x:c r="O6" s="614" t="str">
        <x:v>Correlation Engine</x:v>
      </x:c>
    </x:row>
    <x:row r="7">
      <x:c r="A7" s="607" t="str">
        <x:v>S7-BL-003</x:v>
      </x:c>
      <x:c r="B7" s="114" t="str">
        <x:v>Episodes</x:v>
      </x:c>
      <x:c r="C7" s="114" t="str">
        <x:v>Implement work-episode segmentation</x:v>
      </x:c>
      <x:c r="D7" s="114" t="str">
        <x:v>Python evaluator + Java state for episode candidates and alternatives.</x:v>
      </x:c>
      <x:c r="E7" s="114" t="str">
        <x:v>AI Evaluation Lead</x:v>
      </x:c>
      <x:c r="F7" s="114" t="str">
        <x:v>Backend/Product</x:v>
      </x:c>
      <x:c r="G7" s="114" t="str">
        <x:v>S7-BL-002</x:v>
      </x:c>
      <x:c r="H7" s="114" t="str">
        <x:v>Critical</x:v>
      </x:c>
      <x:c r="I7" s="114" t="str">
        <x:v>Not Started</x:v>
      </x:c>
      <x:c r="J7" s="135" t="n">
        <x:f>IF(I7="Approved",1,IF(I7="Draft Complete",0.8,IF(I7="In Review",0.6,IF(I7="In Progress",0.4,IF(I7="Blocked",0,0)))))</x:f>
        <x:v>0</x:v>
      </x:c>
      <x:c r="K7" s="114" t="n">
        <x:v>14</x:v>
      </x:c>
      <x:c r="L7" s="114" t="str">
        <x:v>Episode segmenter</x:v>
      </x:c>
      <x:c r="M7" s="114" t="str">
        <x:v>Evaluation dataset passes baseline thresholds.</x:v>
      </x:c>
      <x:c r="N7" s="114" t="str">
        <x:v>Challengeable derived state.</x:v>
      </x:c>
      <x:c r="O7" s="608" t="str">
        <x:v>Work Episode Model</x:v>
      </x:c>
    </x:row>
    <x:row r="8">
      <x:c r="A8" s="612" t="str">
        <x:v>S7-BL-004</x:v>
      </x:c>
      <x:c r="B8" s="613" t="str">
        <x:v>Task alignment</x:v>
      </x:c>
      <x:c r="C8" s="613" t="str">
        <x:v>Implement task-alignment evaluator</x:v>
      </x:c>
      <x:c r="D8" s="613" t="str">
        <x:v>Classify episodes using task contract, evidence, coverage and alternatives.</x:v>
      </x:c>
      <x:c r="E8" s="613" t="str">
        <x:v>AI/Product Lead</x:v>
      </x:c>
      <x:c r="F8" s="613" t="str">
        <x:v>DPO/QA</x:v>
      </x:c>
      <x:c r="G8" s="613" t="str">
        <x:v>S7-BL-003</x:v>
      </x:c>
      <x:c r="H8" s="613" t="str">
        <x:v>Critical</x:v>
      </x:c>
      <x:c r="I8" s="613" t="str">
        <x:v>Not Started</x:v>
      </x:c>
      <x:c r="J8" s="619" t="n">
        <x:f>IF(I8="Approved",1,IF(I8="Draft Complete",0.8,IF(I8="In Review",0.6,IF(I8="In Progress",0.4,IF(I8="Blocked",0,0)))))</x:f>
        <x:v>0</x:v>
      </x:c>
      <x:c r="K8" s="613" t="n">
        <x:v>14</x:v>
      </x:c>
      <x:c r="L8" s="613" t="str">
        <x:v>Task alignment engine</x:v>
      </x:c>
      <x:c r="M8" s="613" t="str">
        <x:v>Supports all alignment states and does not force unknown.</x:v>
      </x:c>
      <x:c r="N8" s="613" t="str">
        <x:v>No negative inference from gaps.</x:v>
      </x:c>
      <x:c r="O8" s="614" t="str">
        <x:v>Task Alignment Model</x:v>
      </x:c>
    </x:row>
    <x:row r="9">
      <x:c r="A9" s="607" t="str">
        <x:v>S7-BL-005</x:v>
      </x:c>
      <x:c r="B9" s="114" t="str">
        <x:v>Criteria</x:v>
      </x:c>
      <x:c r="C9" s="114" t="str">
        <x:v>Implement acceptance-criteria engine</x:v>
      </x:c>
      <x:c r="D9" s="114" t="str">
        <x:v>Criterion states, quality gates, missing evidence and completion recommendations.</x:v>
      </x:c>
      <x:c r="E9" s="114" t="str">
        <x:v>Task Assurance Lead</x:v>
      </x:c>
      <x:c r="F9" s="114" t="str">
        <x:v>Backend/QA/Domain Experts</x:v>
      </x:c>
      <x:c r="G9" s="114" t="str">
        <x:v>S7-BL-001,S7-BL-004</x:v>
      </x:c>
      <x:c r="H9" s="114" t="str">
        <x:v>Critical</x:v>
      </x:c>
      <x:c r="I9" s="114" t="str">
        <x:v>Not Started</x:v>
      </x:c>
      <x:c r="J9" s="135" t="n">
        <x:f>IF(I9="Approved",1,IF(I9="Draft Complete",0.8,IF(I9="In Review",0.6,IF(I9="In Progress",0.4,IF(I9="Blocked",0,0)))))</x:f>
        <x:v>0</x:v>
      </x:c>
      <x:c r="K9" s="114" t="n">
        <x:v>16</x:v>
      </x:c>
      <x:c r="L9" s="114" t="str">
        <x:v>Criteria engine</x:v>
      </x:c>
      <x:c r="M9" s="114" t="str">
        <x:v>Task assessment traces to approved contract and evidence.</x:v>
      </x:c>
      <x:c r="N9" s="114" t="str">
        <x:v>AI recommendation separated.</x:v>
      </x:c>
      <x:c r="O9" s="608" t="str">
        <x:v>Acceptance Criteria Engine</x:v>
      </x:c>
    </x:row>
    <x:row r="10">
      <x:c r="A10" s="612" t="str">
        <x:v>S7-BL-006</x:v>
      </x:c>
      <x:c r="B10" s="613" t="str">
        <x:v>Quality/blocker</x:v>
      </x:c>
      <x:c r="C10" s="613" t="str">
        <x:v>Implement blocker and quality classifier</x:v>
      </x:c>
      <x:c r="D10" s="613" t="str">
        <x:v>Requirement/access/environment/dependency/knowledge/tool/security/scope/rework taxonomy.</x:v>
      </x:c>
      <x:c r="E10" s="613" t="str">
        <x:v>Product/AI Lead</x:v>
      </x:c>
      <x:c r="F10" s="613" t="str">
        <x:v>Domain Reviewers/HR</x:v>
      </x:c>
      <x:c r="G10" s="613" t="str">
        <x:v>S7-BL-004,S7-BL-005</x:v>
      </x:c>
      <x:c r="H10" s="613" t="str">
        <x:v>High</x:v>
      </x:c>
      <x:c r="I10" s="613" t="str">
        <x:v>Not Started</x:v>
      </x:c>
      <x:c r="J10" s="619" t="n">
        <x:f>IF(I10="Approved",1,IF(I10="Draft Complete",0.8,IF(I10="In Review",0.6,IF(I10="In Progress",0.4,IF(I10="Blocked",0,0)))))</x:f>
        <x:v>0</x:v>
      </x:c>
      <x:c r="K10" s="613" t="n">
        <x:v>12</x:v>
      </x:c>
      <x:c r="L10" s="613" t="str">
        <x:v>Blocker model</x:v>
      </x:c>
      <x:c r="M10" s="613" t="str">
        <x:v>Environmental blockers do not become capability gaps automatically.</x:v>
      </x:c>
      <x:c r="N10" s="613" t="str">
        <x:v>Fairness-critical.</x:v>
      </x:c>
      <x:c r="O10" s="614" t="str">
        <x:v>Quality and Blocker Model</x:v>
      </x:c>
    </x:row>
    <x:row r="11">
      <x:c r="A11" s="607" t="str">
        <x:v>S7-BL-007</x:v>
      </x:c>
      <x:c r="B11" s="114" t="str">
        <x:v>Deterministic evaluators</x:v>
      </x:c>
      <x:c r="C11" s="114" t="str">
        <x:v>Build Git/CI/test/gate/completeness deterministic evaluators</x:v>
      </x:c>
      <x:c r="D11" s="114" t="str">
        <x:v>Rules for source-system evidence, quality gates and coverage.</x:v>
      </x:c>
      <x:c r="E11" s="114" t="str">
        <x:v>Backend Lead</x:v>
      </x:c>
      <x:c r="F11" s="114" t="str">
        <x:v>Data/QA</x:v>
      </x:c>
      <x:c r="G11" s="114" t="str">
        <x:v>S7-BL-005</x:v>
      </x:c>
      <x:c r="H11" s="114" t="str">
        <x:v>Critical</x:v>
      </x:c>
      <x:c r="I11" s="114" t="str">
        <x:v>Not Started</x:v>
      </x:c>
      <x:c r="J11" s="135" t="n">
        <x:f>IF(I11="Approved",1,IF(I11="Draft Complete",0.8,IF(I11="In Review",0.6,IF(I11="In Progress",0.4,IF(I11="Blocked",0,0)))))</x:f>
        <x:v>0</x:v>
      </x:c>
      <x:c r="K11" s="114" t="n">
        <x:v>14</x:v>
      </x:c>
      <x:c r="L11" s="114" t="str">
        <x:v>Deterministic evaluator set</x:v>
      </x:c>
      <x:c r="M11" s="114" t="str">
        <x:v>Authoritative results override lower evidence.</x:v>
      </x:c>
      <x:c r="N11" s="114" t="str">
        <x:v>No visual overrule.</x:v>
      </x:c>
      <x:c r="O11" s="608" t="str">
        <x:v>Evaluator Architecture</x:v>
      </x:c>
    </x:row>
    <x:row r="12">
      <x:c r="A12" s="612" t="str">
        <x:v>S7-BL-008</x:v>
      </x:c>
      <x:c r="B12" s="613" t="str">
        <x:v>AI evaluators</x:v>
      </x:c>
      <x:c r="C12" s="613" t="str">
        <x:v>Build Python task/episode/blocker/evidence sufficiency evaluators</x:v>
      </x:c>
      <x:c r="D12" s="613" t="str">
        <x:v>Versioned LLM/ML prompts, model routing, eval harness and evidence grounding.</x:v>
      </x:c>
      <x:c r="E12" s="613" t="str">
        <x:v>AI Lead</x:v>
      </x:c>
      <x:c r="F12" s="613" t="str">
        <x:v>Model Gateway/DPO</x:v>
      </x:c>
      <x:c r="G12" s="613" t="str">
        <x:v>S7-BL-003:S7-BL-007</x:v>
      </x:c>
      <x:c r="H12" s="613" t="str">
        <x:v>Critical</x:v>
      </x:c>
      <x:c r="I12" s="613" t="str">
        <x:v>Not Started</x:v>
      </x:c>
      <x:c r="J12" s="619" t="n">
        <x:f>IF(I12="Approved",1,IF(I12="Draft Complete",0.8,IF(I12="In Review",0.6,IF(I12="In Progress",0.4,IF(I12="Blocked",0,0)))))</x:f>
        <x:v>0</x:v>
      </x:c>
      <x:c r="K12" s="613" t="n">
        <x:v>18</x:v>
      </x:c>
      <x:c r="L12" s="613" t="str">
        <x:v>AI evaluator set</x:v>
      </x:c>
      <x:c r="M12" s="613" t="str">
        <x:v>Every finding includes refs, confidence and missing evidence.</x:v>
      </x:c>
      <x:c r="N12" s="613" t="str">
        <x:v>No direct final high-impact writes.</x:v>
      </x:c>
      <x:c r="O12" s="614" t="str">
        <x:v>Evaluator Architecture</x:v>
      </x:c>
    </x:row>
    <x:row r="13">
      <x:c r="A13" s="607" t="str">
        <x:v>S7-BL-009</x:v>
      </x:c>
      <x:c r="B13" s="114" t="str">
        <x:v>Evaluation data</x:v>
      </x:c>
      <x:c r="C13" s="114" t="str">
        <x:v>Create labelled evaluation set and calibration workflow</x:v>
      </x:c>
      <x:c r="D13" s="114" t="str">
        <x:v>Synthetic plus consented pilot examples with reviewer labels.</x:v>
      </x:c>
      <x:c r="E13" s="114" t="str">
        <x:v>AI Evaluation Lead</x:v>
      </x:c>
      <x:c r="F13" s="114" t="str">
        <x:v>Domain Experts/HR/DPO</x:v>
      </x:c>
      <x:c r="G13" s="114" t="str">
        <x:v>S7-BL-003:S7-BL-008</x:v>
      </x:c>
      <x:c r="H13" s="114" t="str">
        <x:v>Critical</x:v>
      </x:c>
      <x:c r="I13" s="114" t="str">
        <x:v>Not Started</x:v>
      </x:c>
      <x:c r="J13" s="135" t="n">
        <x:f>IF(I13="Approved",1,IF(I13="Draft Complete",0.8,IF(I13="In Review",0.6,IF(I13="In Progress",0.4,IF(I13="Blocked",0,0)))))</x:f>
        <x:v>0</x:v>
      </x:c>
      <x:c r="K13" s="114" t="n">
        <x:v>16</x:v>
      </x:c>
      <x:c r="L13" s="114" t="str">
        <x:v>Evaluation dataset</x:v>
      </x:c>
      <x:c r="M13" s="114" t="str">
        <x:v>Covers all required cases and measures overturn/calibration.</x:v>
      </x:c>
      <x:c r="N13" s="114" t="str">
        <x:v>No real secrets/sensitive data.</x:v>
      </x:c>
      <x:c r="O13" s="608" t="str">
        <x:v>Evaluation Dataset</x:v>
      </x:c>
    </x:row>
    <x:row r="14">
      <x:c r="A14" s="612" t="str">
        <x:v>S7-BL-010</x:v>
      </x:c>
      <x:c r="B14" s="613" t="str">
        <x:v>Human review</x:v>
      </x:c>
      <x:c r="C14" s="613" t="str">
        <x:v>Implement finding package and review workflow</x:v>
      </x:c>
      <x:c r="D14" s="613" t="str">
        <x:v>Task finding review, correction, dispute, appeal and assessment versioning.</x:v>
      </x:c>
      <x:c r="E14" s="613" t="str">
        <x:v>Governance Product Owner</x:v>
      </x:c>
      <x:c r="F14" s="613" t="str">
        <x:v>Workflow/Backend/HR</x:v>
      </x:c>
      <x:c r="G14" s="613" t="str">
        <x:v>S7-BL-005:S7-BL-009</x:v>
      </x:c>
      <x:c r="H14" s="613" t="str">
        <x:v>Critical</x:v>
      </x:c>
      <x:c r="I14" s="613" t="str">
        <x:v>Not Started</x:v>
      </x:c>
      <x:c r="J14" s="619" t="n">
        <x:f>IF(I14="Approved",1,IF(I14="Draft Complete",0.8,IF(I14="In Review",0.6,IF(I14="In Progress",0.4,IF(I14="Blocked",0,0)))))</x:f>
        <x:v>0</x:v>
      </x:c>
      <x:c r="K14" s="613" t="n">
        <x:v>14</x:v>
      </x:c>
      <x:c r="L14" s="613" t="str">
        <x:v>Review workflow</x:v>
      </x:c>
      <x:c r="M14" s="613" t="str">
        <x:v>Material negative findings require review; employee corrections visible.</x:v>
      </x:c>
      <x:c r="N14" s="613" t="str">
        <x:v>Meaningful human review.</x:v>
      </x:c>
      <x:c r="O14" s="614" t="str">
        <x:v>Human Review and Correction</x:v>
      </x:c>
    </x:row>
    <x:row r="15">
      <x:c r="A15" s="607" t="str">
        <x:v>S7-BL-011</x:v>
      </x:c>
      <x:c r="B15" s="114" t="str">
        <x:v>APIs/events</x:v>
      </x:c>
      <x:c r="C15" s="114" t="str">
        <x:v>Implement Stage 6–7 APIs and events</x:v>
      </x:c>
      <x:c r="D15" s="114" t="str">
        <x:v>Task assessment, provenance, episode, correction and review APIs/events.</x:v>
      </x:c>
      <x:c r="E15" s="114" t="str">
        <x:v>Backend Lead</x:v>
      </x:c>
      <x:c r="F15" s="114" t="str">
        <x:v>Data/Workflow</x:v>
      </x:c>
      <x:c r="G15" s="114" t="str">
        <x:v>S7-BL-001:S7-BL-010</x:v>
      </x:c>
      <x:c r="H15" s="114" t="str">
        <x:v>High</x:v>
      </x:c>
      <x:c r="I15" s="114" t="str">
        <x:v>Not Started</x:v>
      </x:c>
      <x:c r="J15" s="135" t="n">
        <x:f>IF(I15="Approved",1,IF(I15="Draft Complete",0.8,IF(I15="In Review",0.6,IF(I15="In Progress",0.4,IF(I15="Blocked",0,0)))))</x:f>
        <x:v>0</x:v>
      </x:c>
      <x:c r="K15" s="114" t="n">
        <x:v>10</x:v>
      </x:c>
      <x:c r="L15" s="114" t="str">
        <x:v>API/event package</x:v>
      </x:c>
      <x:c r="M15" s="114" t="str">
        <x:v>Contracts validate and replay deterministically.</x:v>
      </x:c>
      <x:c r="N15" s="114" t="str">
        <x:v>Evidence refs only.</x:v>
      </x:c>
      <x:c r="O15" s="608" t="str">
        <x:v>Stage 6-7 APIs and Events</x:v>
      </x:c>
    </x:row>
    <x:row r="16">
      <x:c r="A16" s="612" t="str">
        <x:v>S7-BL-012</x:v>
      </x:c>
      <x:c r="B16" s="613" t="str">
        <x:v>Reporting handoff</x:v>
      </x:c>
      <x:c r="C16" s="613" t="str">
        <x:v>Produce Stage 7 assessment package for Stage 10 dashboards</x:v>
      </x:c>
      <x:c r="D16" s="613" t="str">
        <x:v>Employee/manager/reviewer report payloads with confidence, evidence and corrections.</x:v>
      </x:c>
      <x:c r="E16" s="613" t="str">
        <x:v>Product/Reporting Lead</x:v>
      </x:c>
      <x:c r="F16" s="613" t="str">
        <x:v>Backend/UX</x:v>
      </x:c>
      <x:c r="G16" s="613" t="str">
        <x:v>S7-BL-010,S7-BL-011</x:v>
      </x:c>
      <x:c r="H16" s="613" t="str">
        <x:v>High</x:v>
      </x:c>
      <x:c r="I16" s="613" t="str">
        <x:v>Not Started</x:v>
      </x:c>
      <x:c r="J16" s="619" t="n">
        <x:f>IF(I16="Approved",1,IF(I16="Draft Complete",0.8,IF(I16="In Review",0.6,IF(I16="In Progress",0.4,IF(I16="Blocked",0,0)))))</x:f>
        <x:v>0</x:v>
      </x:c>
      <x:c r="K16" s="613" t="n">
        <x:v>8</x:v>
      </x:c>
      <x:c r="L16" s="613" t="str">
        <x:v>Assessment package contract</x:v>
      </x:c>
      <x:c r="M16" s="613" t="str">
        <x:v>No raw manager view; summary/evidence controls preserved.</x:v>
      </x:c>
      <x:c r="N16" s="613" t="str">
        <x:v>Governed access.</x:v>
      </x:c>
      <x:c r="O16" s="614" t="str">
        <x:v>Human Review and Correction</x:v>
      </x:c>
    </x:row>
    <x:row r="17">
      <x:c r="A17" s="607" t="str">
        <x:v>S7-BL-013</x:v>
      </x:c>
      <x:c r="B17" s="114" t="str">
        <x:v>Validation</x:v>
      </x:c>
      <x:c r="C17" s="114" t="str">
        <x:v>Run Stage 7 validation suite</x:v>
      </x:c>
      <x:c r="D17" s="114" t="str">
        <x:v>Evaluate episode/alignment/criteria/blocker/provenance/review workflows.</x:v>
      </x:c>
      <x:c r="E17" s="114" t="str">
        <x:v>QA Lead</x:v>
      </x:c>
      <x:c r="F17" s="114" t="str">
        <x:v>All owners</x:v>
      </x:c>
      <x:c r="G17" s="114" t="str">
        <x:v>S7-BL-001:S7-BL-012</x:v>
      </x:c>
      <x:c r="H17" s="114" t="str">
        <x:v>Critical</x:v>
      </x:c>
      <x:c r="I17" s="114" t="str">
        <x:v>Not Started</x:v>
      </x:c>
      <x:c r="J17" s="135" t="n">
        <x:f>IF(I17="Approved",1,IF(I17="Draft Complete",0.8,IF(I17="In Review",0.6,IF(I17="In Progress",0.4,IF(I17="Blocked",0,0)))))</x:f>
        <x:v>0</x:v>
      </x:c>
      <x:c r="K17" s="114" t="n">
        <x:v>16</x:v>
      </x:c>
      <x:c r="L17" s="114" t="str">
        <x:v>Validation report</x:v>
      </x:c>
      <x:c r="M17" s="114" t="str">
        <x:v>All gate thresholds pass or Stage 7 holds.</x:v>
      </x:c>
      <x:c r="N17" s="114" t="str">
        <x:v>Fairness and evidence tests.</x:v>
      </x:c>
      <x:c r="O17" s="608" t="str">
        <x:v>Stage 7 Gate</x:v>
      </x:c>
    </x:row>
    <x:row r="18">
      <x:c r="A18" s="615" t="str">
        <x:v>S7-BL-014</x:v>
      </x:c>
      <x:c r="B18" s="616" t="str">
        <x:v>Documentation</x:v>
      </x:c>
      <x:c r="C18" s="616" t="str">
        <x:v>Complete Stage 7 package</x:v>
      </x:c>
      <x:c r="D18" s="616" t="str">
        <x:v>Consolidate graph, rules, evaluators, dataset, review, backlog, risks, ADRs and gate evidence.</x:v>
      </x:c>
      <x:c r="E18" s="616" t="str">
        <x:v>Programme Lead</x:v>
      </x:c>
      <x:c r="F18" s="616" t="str">
        <x:v>All owners</x:v>
      </x:c>
      <x:c r="G18" s="616" t="str">
        <x:v>S7-BL-001:S7-BL-013</x:v>
      </x:c>
      <x:c r="H18" s="616" t="str">
        <x:v>High</x:v>
      </x:c>
      <x:c r="I18" s="616" t="str">
        <x:v>Not Started</x:v>
      </x:c>
      <x:c r="J18" s="620" t="n">
        <x:f>IF(I18="Approved",1,IF(I18="Draft Complete",0.8,IF(I18="In Review",0.6,IF(I18="In Progress",0.4,IF(I18="Blocked",0,0)))))</x:f>
        <x:v>0</x:v>
      </x:c>
      <x:c r="K18" s="616" t="n">
        <x:v>4</x:v>
      </x:c>
      <x:c r="L18" s="616" t="str">
        <x:v>Stage 7 package</x:v>
      </x:c>
      <x:c r="M18" s="616" t="str">
        <x:v>Ready for Stage 8 handoff.</x:v>
      </x:c>
      <x:c r="N18" s="616" t="str">
        <x:v>Source traceability.</x:v>
      </x:c>
      <x:c r="O18" s="617" t="str">
        <x:v>Stage 7 Gate</x:v>
      </x:c>
    </x:row>
  </x:sheetData>
  <x:mergeCells>
    <x:mergeCell ref="A1:O1"/>
    <x:mergeCell ref="A2:O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108.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569" t="str">
        <x:v>Stage 6–7 — Risk Register</x:v>
      </x:c>
      <x:c r="B1" s="569"/>
      <x:c r="C1" s="569"/>
      <x:c r="D1" s="569"/>
      <x:c r="E1" s="569"/>
      <x:c r="F1" s="569"/>
      <x:c r="G1" s="569"/>
      <x:c r="H1" s="569"/>
      <x:c r="I1" s="569"/>
      <x:c r="J1" s="569"/>
    </x:row>
    <x:row r="2" ht="36" customHeight="1">
      <x:c r="A2" s="573" t="str">
        <x:v>Semantic adapter, provenance, task-assurance, AI-evaluator and review risks.</x:v>
      </x:c>
      <x:c r="B2" s="573"/>
      <x:c r="C2" s="573"/>
      <x:c r="D2" s="573"/>
      <x:c r="E2" s="573"/>
      <x:c r="F2" s="573"/>
      <x:c r="G2" s="573"/>
      <x:c r="H2" s="573"/>
      <x:c r="I2" s="573"/>
      <x:c r="J2" s="573"/>
    </x:row>
    <x:row r="4" ht="30" customHeight="1">
      <x:c r="A4" s="585" t="str">
        <x:v>Risk ID</x:v>
      </x:c>
      <x:c r="B4" s="586" t="str">
        <x:v>Risk</x:v>
      </x:c>
      <x:c r="C4" s="586" t="str">
        <x:v>Category</x:v>
      </x:c>
      <x:c r="D4" s="586" t="str">
        <x:v>Likelihood</x:v>
      </x:c>
      <x:c r="E4" s="586" t="str">
        <x:v>Impact</x:v>
      </x:c>
      <x:c r="F4" s="586" t="str">
        <x:v>Score</x:v>
      </x:c>
      <x:c r="G4" s="586" t="str">
        <x:v>Mitigation</x:v>
      </x:c>
      <x:c r="H4" s="586" t="str">
        <x:v>Owner</x:v>
      </x:c>
      <x:c r="I4" s="586" t="str">
        <x:v>Status</x:v>
      </x:c>
      <x:c r="J4" s="587" t="str">
        <x:v>Notes</x:v>
      </x:c>
    </x:row>
    <x:row r="5">
      <x:c r="A5" s="604" t="str">
        <x:v>S67-R-001</x:v>
      </x:c>
      <x:c r="B5" s="605" t="str">
        <x:v>Adapter emits raw prompt/source/terminal content into logs, traces or health.</x:v>
      </x:c>
      <x:c r="C5" s="605" t="str">
        <x:v>Privacy/Security</x:v>
      </x:c>
      <x:c r="D5" s="605" t="n">
        <x:v>3</x:v>
      </x:c>
      <x:c r="E5" s="605" t="n">
        <x:v>5</x:v>
      </x:c>
      <x:c r="F5" s="605" t="n">
        <x:f>D5*E5</x:f>
        <x:v>15</x:v>
      </x:c>
      <x:c r="G5" s="605" t="str">
        <x:v>Content refs, OTel allowlist, conformance secret tests and adapter review.</x:v>
      </x:c>
      <x:c r="H5" s="605" t="str">
        <x:v>CISO/SRE/Adapter Lead</x:v>
      </x:c>
      <x:c r="I5" s="605" t="str">
        <x:v>Open</x:v>
      </x:c>
      <x:c r="J5" s="606" t="str">
        <x:v>Blocking.</x:v>
      </x:c>
    </x:row>
    <x:row r="6">
      <x:c r="A6" s="612" t="str">
        <x:v>S67-R-002</x:v>
      </x:c>
      <x:c r="B6" s="613" t="str">
        <x:v>Provider API/hook changes silently reduce event coverage.</x:v>
      </x:c>
      <x:c r="C6" s="613" t="str">
        <x:v>Adapter reliability</x:v>
      </x:c>
      <x:c r="D6" s="613" t="n">
        <x:v>4</x:v>
      </x:c>
      <x:c r="E6" s="613" t="n">
        <x:v>4</x:v>
      </x:c>
      <x:c r="F6" s="613" t="n">
        <x:f>D6*E6</x:f>
        <x:v>16</x:v>
      </x:c>
      <x:c r="G6" s="613" t="str">
        <x:v>Provider drift monitor, conformance fixtures and coverage gaps.</x:v>
      </x:c>
      <x:c r="H6" s="613" t="str">
        <x:v>Adapter Platform</x:v>
      </x:c>
      <x:c r="I6" s="613" t="str">
        <x:v>Open</x:v>
      </x:c>
      <x:c r="J6" s="614" t="str"/>
    </x:row>
    <x:row r="7">
      <x:c r="A7" s="607" t="str">
        <x:v>S67-R-003</x:v>
      </x:c>
      <x:c r="B7" s="114" t="str">
        <x:v>Local Git hooks are altered and treated as authoritative.</x:v>
      </x:c>
      <x:c r="C7" s="114" t="str">
        <x:v>Integrity</x:v>
      </x:c>
      <x:c r="D7" s="114" t="n">
        <x:v>3</x:v>
      </x:c>
      <x:c r="E7" s="114" t="n">
        <x:v>4</x:v>
      </x:c>
      <x:c r="F7" s="114" t="n">
        <x:f>D7*E7</x:f>
        <x:v>12</x:v>
      </x:c>
      <x:c r="G7" s="114" t="str">
        <x:v>Corroborate with Git state/GitHub events; mark mutable source reliability.</x:v>
      </x:c>
      <x:c r="H7" s="114" t="str">
        <x:v>Data/Git Lead</x:v>
      </x:c>
      <x:c r="I7" s="114" t="str">
        <x:v>Open</x:v>
      </x:c>
      <x:c r="J7" s="608" t="str"/>
    </x:row>
    <x:row r="8">
      <x:c r="A8" s="612" t="str">
        <x:v>S67-R-004</x:v>
      </x:c>
      <x:c r="B8" s="613" t="str">
        <x:v>AI-agent output is credited to human manual skill without review context.</x:v>
      </x:c>
      <x:c r="C8" s="613" t="str">
        <x:v>Capability fairness</x:v>
      </x:c>
      <x:c r="D8" s="613" t="n">
        <x:v>4</x:v>
      </x:c>
      <x:c r="E8" s="613" t="n">
        <x:v>5</x:v>
      </x:c>
      <x:c r="F8" s="613" t="n">
        <x:f>D8*E8</x:f>
        <x:v>20</x:v>
      </x:c>
      <x:c r="G8" s="613" t="str">
        <x:v>Human/AI/automation provenance and review-action modelling.</x:v>
      </x:c>
      <x:c r="H8" s="613" t="str">
        <x:v>AI Governance/Capability</x:v>
      </x:c>
      <x:c r="I8" s="613" t="str">
        <x:v>Open</x:v>
      </x:c>
      <x:c r="J8" s="614" t="str">
        <x:v>Blocking for Stage 8.</x:v>
      </x:c>
    </x:row>
    <x:row r="9">
      <x:c r="A9" s="607" t="str">
        <x:v>S67-R-005</x:v>
      </x:c>
      <x:c r="B9" s="114" t="str">
        <x:v>Prompt/tool count becomes productivity metric.</x:v>
      </x:c>
      <x:c r="C9" s="114" t="str">
        <x:v>Product misuse</x:v>
      </x:c>
      <x:c r="D9" s="114" t="n">
        <x:v>3</x:v>
      </x:c>
      <x:c r="E9" s="114" t="n">
        <x:v>5</x:v>
      </x:c>
      <x:c r="F9" s="114" t="n">
        <x:f>D9*E9</x:f>
        <x:v>15</x:v>
      </x:c>
      <x:c r="G9" s="114" t="str">
        <x:v>Metric deny-list, report review and governance tests.</x:v>
      </x:c>
      <x:c r="H9" s="114" t="str">
        <x:v>Product/HR/DPO</x:v>
      </x:c>
      <x:c r="I9" s="114" t="str">
        <x:v>Open</x:v>
      </x:c>
      <x:c r="J9" s="608" t="str">
        <x:v>Blocking.</x:v>
      </x:c>
    </x:row>
    <x:row r="10">
      <x:c r="A10" s="612" t="str">
        <x:v>S67-R-006</x:v>
      </x:c>
      <x:c r="B10" s="613" t="str">
        <x:v>Task alignment falsely marks valid research/reading/review as unrelated.</x:v>
      </x:c>
      <x:c r="C10" s="613" t="str">
        <x:v>Fairness/AI</x:v>
      </x:c>
      <x:c r="D10" s="613" t="n">
        <x:v>4</x:v>
      </x:c>
      <x:c r="E10" s="613" t="n">
        <x:v>5</x:v>
      </x:c>
      <x:c r="F10" s="613" t="n">
        <x:f>D10*E10</x:f>
        <x:v>20</x:v>
      </x:c>
      <x:c r="G10" s="613" t="str">
        <x:v>Episode classes, supporting-task state, employee correction and labelled dataset.</x:v>
      </x:c>
      <x:c r="H10" s="613" t="str">
        <x:v>AI Evaluation/Product</x:v>
      </x:c>
      <x:c r="I10" s="613" t="str">
        <x:v>Open</x:v>
      </x:c>
      <x:c r="J10" s="614" t="str">
        <x:v>Blocking.</x:v>
      </x:c>
    </x:row>
    <x:row r="11">
      <x:c r="A11" s="607" t="str">
        <x:v>S67-R-007</x:v>
      </x:c>
      <x:c r="B11" s="114" t="str">
        <x:v>Incomplete telemetry is interpreted as inactivity.</x:v>
      </x:c>
      <x:c r="C11" s="114" t="str">
        <x:v>Fairness</x:v>
      </x:c>
      <x:c r="D11" s="114" t="n">
        <x:v>4</x:v>
      </x:c>
      <x:c r="E11" s="114" t="n">
        <x:v>5</x:v>
      </x:c>
      <x:c r="F11" s="114" t="n">
        <x:f>D11*E11</x:f>
        <x:v>20</x:v>
      </x:c>
      <x:c r="G11" s="114" t="str">
        <x:v>Coverage/completeness model and insufficient-evidence state.</x:v>
      </x:c>
      <x:c r="H11" s="114" t="str">
        <x:v>Data/AI Governance</x:v>
      </x:c>
      <x:c r="I11" s="114" t="str">
        <x:v>Open</x:v>
      </x:c>
      <x:c r="J11" s="608" t="str">
        <x:v>Blocking.</x:v>
      </x:c>
    </x:row>
    <x:row r="12">
      <x:c r="A12" s="612" t="str">
        <x:v>S67-R-008</x:v>
      </x:c>
      <x:c r="B12" s="613" t="str">
        <x:v>Provenance graph overclaims causality from temporal proximity.</x:v>
      </x:c>
      <x:c r="C12" s="613" t="str">
        <x:v>Accuracy</x:v>
      </x:c>
      <x:c r="D12" s="613" t="n">
        <x:v>4</x:v>
      </x:c>
      <x:c r="E12" s="613" t="n">
        <x:v>4</x:v>
      </x:c>
      <x:c r="F12" s="613" t="n">
        <x:f>D12*E12</x:f>
        <x:v>16</x:v>
      </x:c>
      <x:c r="G12" s="613" t="str">
        <x:v>Multiple evidence rules, alternatives and confidence; UNKNOWN/MIXED allowed.</x:v>
      </x:c>
      <x:c r="H12" s="613" t="str">
        <x:v>Provenance Lead</x:v>
      </x:c>
      <x:c r="I12" s="613" t="str">
        <x:v>Open</x:v>
      </x:c>
      <x:c r="J12" s="614" t="str"/>
    </x:row>
    <x:row r="13">
      <x:c r="A13" s="607" t="str">
        <x:v>S67-R-009</x:v>
      </x:c>
      <x:c r="B13" s="114" t="str">
        <x:v>Visual inference overrides source-system evidence.</x:v>
      </x:c>
      <x:c r="C13" s="114" t="str">
        <x:v>Accuracy</x:v>
      </x:c>
      <x:c r="D13" s="114" t="n">
        <x:v>3</x:v>
      </x:c>
      <x:c r="E13" s="114" t="n">
        <x:v>5</x:v>
      </x:c>
      <x:c r="F13" s="114" t="n">
        <x:f>D13*E13</x:f>
        <x:v>15</x:v>
      </x:c>
      <x:c r="G13" s="114" t="str">
        <x:v>Evidence hierarchy enforced in evaluator and reports.</x:v>
      </x:c>
      <x:c r="H13" s="114" t="str">
        <x:v>Task Assurance Lead</x:v>
      </x:c>
      <x:c r="I13" s="114" t="str">
        <x:v>Open</x:v>
      </x:c>
      <x:c r="J13" s="608" t="str">
        <x:v>Blocking.</x:v>
      </x:c>
    </x:row>
    <x:row r="14">
      <x:c r="A14" s="612" t="str">
        <x:v>S67-R-010</x:v>
      </x:c>
      <x:c r="B14" s="613" t="str">
        <x:v>Task Assurance evaluates task without approved task contract.</x:v>
      </x:c>
      <x:c r="C14" s="613" t="str">
        <x:v>Governance</x:v>
      </x:c>
      <x:c r="D14" s="613" t="n">
        <x:v>3</x:v>
      </x:c>
      <x:c r="E14" s="613" t="n">
        <x:v>5</x:v>
      </x:c>
      <x:c r="F14" s="613" t="n">
        <x:f>D14*E14</x:f>
        <x:v>15</x:v>
      </x:c>
      <x:c r="G14" s="613" t="str">
        <x:v>TaskContract validator blocks assessment or marks insufficient contract.</x:v>
      </x:c>
      <x:c r="H14" s="613" t="str">
        <x:v>Task Product Lead</x:v>
      </x:c>
      <x:c r="I14" s="613" t="str">
        <x:v>Open</x:v>
      </x:c>
      <x:c r="J14" s="614" t="str">
        <x:v>Blocking.</x:v>
      </x:c>
    </x:row>
    <x:row r="15">
      <x:c r="A15" s="607" t="str">
        <x:v>S67-R-011</x:v>
      </x:c>
      <x:c r="B15" s="114" t="str">
        <x:v>Reviewer rubber-stamps AI finding.</x:v>
      </x:c>
      <x:c r="C15" s="114" t="str">
        <x:v>Human review</x:v>
      </x:c>
      <x:c r="D15" s="114" t="n">
        <x:v>3</x:v>
      </x:c>
      <x:c r="E15" s="114" t="n">
        <x:v>5</x:v>
      </x:c>
      <x:c r="F15" s="114" t="n">
        <x:f>D15*E15</x:f>
        <x:v>15</x:v>
      </x:c>
      <x:c r="G15" s="114" t="str">
        <x:v>Reviewer qualifications, rationale, alternative evidence, override rights and audit metrics.</x:v>
      </x:c>
      <x:c r="H15" s="114" t="str">
        <x:v>HR/DPO/Governance</x:v>
      </x:c>
      <x:c r="I15" s="114" t="str">
        <x:v>Open</x:v>
      </x:c>
      <x:c r="J15" s="608" t="str">
        <x:v>Blocking for high-impact use.</x:v>
      </x:c>
    </x:row>
    <x:row r="16">
      <x:c r="A16" s="612" t="str">
        <x:v>S67-R-012</x:v>
      </x:c>
      <x:c r="B16" s="613" t="str">
        <x:v>Evaluation dataset lacks edge cases and creates biased model confidence.</x:v>
      </x:c>
      <x:c r="C16" s="613" t="str">
        <x:v>Evaluation</x:v>
      </x:c>
      <x:c r="D16" s="613" t="n">
        <x:v>4</x:v>
      </x:c>
      <x:c r="E16" s="613" t="n">
        <x:v>4</x:v>
      </x:c>
      <x:c r="F16" s="613" t="n">
        <x:f>D16*E16</x:f>
        <x:v>16</x:v>
      </x:c>
      <x:c r="G16" s="613" t="str">
        <x:v>Required dataset cases, reviewer agreement, calibration and subgroup/coverage analysis.</x:v>
      </x:c>
      <x:c r="H16" s="613" t="str">
        <x:v>AI Evaluation Lead</x:v>
      </x:c>
      <x:c r="I16" s="613" t="str">
        <x:v>Open</x:v>
      </x:c>
      <x:c r="J16" s="614" t="str"/>
    </x:row>
    <x:row r="17">
      <x:c r="A17" s="607" t="str">
        <x:v>S67-R-013</x:v>
      </x:c>
      <x:c r="B17" s="114" t="str">
        <x:v>Graph queries become too slow in PostgreSQL relational model.</x:v>
      </x:c>
      <x:c r="C17" s="114" t="str">
        <x:v>Scalability</x:v>
      </x:c>
      <x:c r="D17" s="114" t="n">
        <x:v>3</x:v>
      </x:c>
      <x:c r="E17" s="114" t="n">
        <x:v>4</x:v>
      </x:c>
      <x:c r="F17" s="114" t="n">
        <x:f>D17*E17</x:f>
        <x:v>12</x:v>
      </x:c>
      <x:c r="G17" s="114" t="str">
        <x:v>Query benchmarks and possible graph projection only after evidence.</x:v>
      </x:c>
      <x:c r="H17" s="114" t="str">
        <x:v>Data Architect</x:v>
      </x:c>
      <x:c r="I17" s="114" t="str">
        <x:v>Open</x:v>
      </x:c>
      <x:c r="J17" s="608" t="str"/>
    </x:row>
    <x:row r="18">
      <x:c r="A18" s="612" t="str">
        <x:v>S67-R-014</x:v>
      </x:c>
      <x:c r="B18" s="613" t="str">
        <x:v>Employee corrections are hidden from manager/task reports.</x:v>
      </x:c>
      <x:c r="C18" s="613" t="str">
        <x:v>Trust/Fairness</x:v>
      </x:c>
      <x:c r="D18" s="613" t="n">
        <x:v>3</x:v>
      </x:c>
      <x:c r="E18" s="613" t="n">
        <x:v>5</x:v>
      </x:c>
      <x:c r="F18" s="613" t="n">
        <x:f>D18*E18</x:f>
        <x:v>15</x:v>
      </x:c>
      <x:c r="G18" s="613" t="str">
        <x:v>Reports surface correction/dispute state and employee response.</x:v>
      </x:c>
      <x:c r="H18" s="613" t="str">
        <x:v>Product/Governance</x:v>
      </x:c>
      <x:c r="I18" s="613" t="str">
        <x:v>Open</x:v>
      </x:c>
      <x:c r="J18" s="614" t="str">
        <x:v>Blocking.</x:v>
      </x:c>
    </x:row>
    <x:row r="19">
      <x:c r="A19" s="609" t="str">
        <x:v>S67-R-015</x:v>
      </x:c>
      <x:c r="B19" s="610" t="str">
        <x:v>Adapters require excessive permissions or unstable local integrations.</x:v>
      </x:c>
      <x:c r="C19" s="610" t="str">
        <x:v>Security/Delivery</x:v>
      </x:c>
      <x:c r="D19" s="610" t="n">
        <x:v>3</x:v>
      </x:c>
      <x:c r="E19" s="610" t="n">
        <x:v>4</x:v>
      </x:c>
      <x:c r="F19" s="610" t="n">
        <x:f>D19*E19</x:f>
        <x:v>12</x:v>
      </x:c>
      <x:c r="G19" s="610" t="str">
        <x:v>Least privilege, manifest permission review, fallback evidence and phased rollout.</x:v>
      </x:c>
      <x:c r="H19" s="610" t="str">
        <x:v>Adapter Platform/CISO</x:v>
      </x:c>
      <x:c r="I19" s="610" t="str">
        <x:v>Open</x:v>
      </x:c>
      <x:c r="J19" s="611" t="str"/>
    </x:row>
  </x:sheetData>
  <x:mergeCells>
    <x:mergeCell ref="A1:J1"/>
    <x:mergeCell ref="A2:J2"/>
  </x:mergeCells>
  <x:conditionalFormatting sqref="F5:F19">
    <x:cfRule type="colorScale" priority="1">
      <x:colorScale>
        <x:cfvo type="min"/>
        <x:cfvo type="percentile" val="50"/>
        <x:cfvo type="max"/>
        <x:color rgb="FFE2F0D9"/>
        <x:color rgb="FFFFF2CC"/>
        <x:color rgb="FFFCE4D6"/>
      </x:colorScale>
    </x:cfRule>
  </x:conditionalFormatting>
  <x:dataValidations count="1">
    <x:dataValidation type="list" sqref="I5:I19">
      <x:formula1>"Open,Mitigating,Accepted,Closed,Blocked"</x:formula1>
    </x:dataValidation>
  </x:dataValidations>
  <x:pageMargins left="0.7" right="0.7" top="0.75" bottom="0.75" header="0.3" footer="0.3"/>
</x:worksheet>
</file>

<file path=xl/worksheets/sheet109.xml><?xml version="1.0" encoding="utf-8"?>
<x:worksheet xmlns:x="http://schemas.openxmlformats.org/spreadsheetml/2006/main">
  <x:sheetFormatPr defaultRowHeight="15"/>
  <x:cols>
    <x:col min="1" max="1" width="14" hidden="0" customWidth="1"/>
    <x:col min="2" max="2" width="36" hidden="0" customWidth="1"/>
    <x:col min="3" max="3" width="20" hidden="0" customWidth="1"/>
    <x:col min="4" max="4" width="50" hidden="0" customWidth="1"/>
    <x:col min="5" max="5" width="60" hidden="0" customWidth="1"/>
    <x:col min="6" max="6" width="38" hidden="0" customWidth="1"/>
    <x:col min="7" max="7" width="42" hidden="0" customWidth="1"/>
    <x:col min="8" max="8" width="42" hidden="0" customWidth="1"/>
    <x:col min="9" max="9" width="34" hidden="0" customWidth="1"/>
    <x:col min="10" max="10" width="26" hidden="0" customWidth="1"/>
    <x:col min="11" max="11" width="32" hidden="0" customWidth="1"/>
  </x:cols>
  <x:sheetData>
    <x:row r="1" ht="30" customHeight="1">
      <x:c r="A1" s="569" t="str">
        <x:v>Stage 6–7 — Architecture and Product Decisions</x:v>
      </x:c>
      <x:c r="B1" s="569"/>
      <x:c r="C1" s="569"/>
      <x:c r="D1" s="569"/>
      <x:c r="E1" s="569"/>
      <x:c r="F1" s="569"/>
      <x:c r="G1" s="569"/>
      <x:c r="H1" s="569"/>
      <x:c r="I1" s="569"/>
      <x:c r="J1" s="569"/>
      <x:c r="K1" s="569"/>
    </x:row>
    <x:row r="2" ht="36" customHeight="1">
      <x:c r="A2" s="573" t="str">
        <x:v>Combined decision register for semantic adapters, provenance graph, Task Assurance and human-review boundaries.</x:v>
      </x:c>
      <x:c r="B2" s="573"/>
      <x:c r="C2" s="573"/>
      <x:c r="D2" s="573"/>
      <x:c r="E2" s="573"/>
      <x:c r="F2" s="573"/>
      <x:c r="G2" s="573"/>
      <x:c r="H2" s="573"/>
      <x:c r="I2" s="573"/>
      <x:c r="J2" s="573"/>
      <x:c r="K2" s="573"/>
    </x:row>
    <x:row r="4" ht="30" customHeight="1">
      <x:c r="A4" s="585" t="str">
        <x:v>ADR</x:v>
      </x:c>
      <x:c r="B4" s="586" t="str">
        <x:v>Decision title</x:v>
      </x:c>
      <x:c r="C4" s="586" t="str">
        <x:v>Status</x:v>
      </x:c>
      <x:c r="D4" s="586" t="str">
        <x:v>Context</x:v>
      </x:c>
      <x:c r="E4" s="586" t="str">
        <x:v>Decision</x:v>
      </x:c>
      <x:c r="F4" s="586" t="str">
        <x:v>Alternatives</x:v>
      </x:c>
      <x:c r="G4" s="586" t="str">
        <x:v>Positive consequences</x:v>
      </x:c>
      <x:c r="H4" s="586" t="str">
        <x:v>Risk / trade-off</x:v>
      </x:c>
      <x:c r="I4" s="586" t="str">
        <x:v>Validation</x:v>
      </x:c>
      <x:c r="J4" s="586" t="str">
        <x:v>Owner</x:v>
      </x:c>
      <x:c r="K4" s="587" t="str">
        <x:v>Source</x:v>
      </x:c>
    </x:row>
    <x:row r="5">
      <x:c r="A5" s="604" t="str">
        <x:v>S67-ADR-001</x:v>
      </x:c>
      <x:c r="B5" s="605" t="str">
        <x:v>Provider-neutral Adapter Hub</x:v>
      </x:c>
      <x:c r="C5" s="605" t="str">
        <x:v>Accepted in principle</x:v>
      </x:c>
      <x:c r="D5" s="605" t="str">
        <x:v>Multiple IDEs, shells, browsers, AI agents and CI systems emit different event shapes.</x:v>
      </x:c>
      <x:c r="E5" s="605" t="str">
        <x:v>Use provider-specific adapters behind one HumanOS semantic event contract.</x:v>
      </x:c>
      <x:c r="F5" s="605" t="str">
        <x:v>Ad-hoc provider events in Task Assurance.</x:v>
      </x:c>
      <x:c r="G5" s="605" t="str">
        <x:v>Extensible and testable.</x:v>
      </x:c>
      <x:c r="H5" s="605" t="str">
        <x:v>Adapter mapping cost.</x:v>
      </x:c>
      <x:c r="I5" s="605" t="str">
        <x:v>Conformance suite.</x:v>
      </x:c>
      <x:c r="J5" s="605" t="str">
        <x:v>Architecture Board</x:v>
      </x:c>
      <x:c r="K5" s="606" t="str">
        <x:v>Stage 6 architecture</x:v>
      </x:c>
    </x:row>
    <x:row r="6">
      <x:c r="A6" s="612" t="str">
        <x:v>S67-ADR-002</x:v>
      </x:c>
      <x:c r="B6" s="613" t="str">
        <x:v>Official semantic events outrank visual inference</x:v>
      </x:c>
      <x:c r="C6" s="613" t="str">
        <x:v>Accepted</x:v>
      </x:c>
      <x:c r="D6" s="613" t="str">
        <x:v>Provider/tool events are more reliable than screen interpretation.</x:v>
      </x:c>
      <x:c r="E6" s="613" t="str">
        <x:v>Evidence hierarchy: source-system/semantic events outrank visual/OCR/AI inference.</x:v>
      </x:c>
      <x:c r="F6" s="613" t="str">
        <x:v>Pixel-first interpretation.</x:v>
      </x:c>
      <x:c r="G6" s="613" t="str">
        <x:v>Higher accuracy and auditability.</x:v>
      </x:c>
      <x:c r="H6" s="613" t="str">
        <x:v>Adapters become important dependency.</x:v>
      </x:c>
      <x:c r="I6" s="613" t="str">
        <x:v>Contradiction tests.</x:v>
      </x:c>
      <x:c r="J6" s="613" t="str">
        <x:v>Task Assurance Lead</x:v>
      </x:c>
      <x:c r="K6" s="614" t="str">
        <x:v>Stage 2 evidence hierarchy</x:v>
      </x:c>
    </x:row>
    <x:row r="7">
      <x:c r="A7" s="607" t="str">
        <x:v>S67-ADR-003</x:v>
      </x:c>
      <x:c r="B7" s="114" t="str">
        <x:v>Adapters produce evidence, not assessments</x:v>
      </x:c>
      <x:c r="C7" s="114" t="str">
        <x:v>Accepted</x:v>
      </x:c>
      <x:c r="D7" s="114" t="str">
        <x:v>Adapter authors cannot own employment/capability conclusions.</x:v>
      </x:c>
      <x:c r="E7" s="114" t="str">
        <x:v>Adapters emit events/coverage; Stage 7 evaluates; humans review high-impact findings.</x:v>
      </x:c>
      <x:c r="F7" s="114" t="str">
        <x:v>Adapter directly flags productivity/performance.</x:v>
      </x:c>
      <x:c r="G7" s="114" t="str">
        <x:v>Separation of concerns and fairness.</x:v>
      </x:c>
      <x:c r="H7" s="114" t="str">
        <x:v>More pipeline complexity.</x:v>
      </x:c>
      <x:c r="I7" s="114" t="str">
        <x:v>Contract tests.</x:v>
      </x:c>
      <x:c r="J7" s="114" t="str">
        <x:v>Product/DPO</x:v>
      </x:c>
      <x:c r="K7" s="608" t="str">
        <x:v>Non-negotiable rules</x:v>
      </x:c>
    </x:row>
    <x:row r="8">
      <x:c r="A8" s="612" t="str">
        <x:v>S67-ADR-004</x:v>
      </x:c>
      <x:c r="B8" s="613" t="str">
        <x:v>PostgreSQL provenance first</x:v>
      </x:c>
      <x:c r="C8" s="613" t="str">
        <x:v>Accepted in principle</x:v>
      </x:c>
      <x:c r="D8" s="613" t="str">
        <x:v>Provenance graph requirements are real but early query scale is unknown.</x:v>
      </x:c>
      <x:c r="E8" s="613" t="str">
        <x:v>Use relational provenance edges and materialised views first; benchmark before graph DB.</x:v>
      </x:c>
      <x:c r="F8" s="613" t="str">
        <x:v>Graph database immediately.</x:v>
      </x:c>
      <x:c r="G8" s="613" t="str">
        <x:v>Lower operations burden.</x:v>
      </x:c>
      <x:c r="H8" s="613" t="str">
        <x:v>May migrate later.</x:v>
      </x:c>
      <x:c r="I8" s="613" t="str">
        <x:v>Stage 7 query benchmarks.</x:v>
      </x:c>
      <x:c r="J8" s="613" t="str">
        <x:v>Data Architect</x:v>
      </x:c>
      <x:c r="K8" s="614" t="str">
        <x:v>Stage 1 ADR</x:v>
      </x:c>
    </x:row>
    <x:row r="9">
      <x:c r="A9" s="607" t="str">
        <x:v>S67-ADR-005</x:v>
      </x:c>
      <x:c r="B9" s="114" t="str">
        <x:v>UNKNOWN and MIXED are first-class actor classes</x:v>
      </x:c>
      <x:c r="C9" s="114" t="str">
        <x:v>Accepted</x:v>
      </x:c>
      <x:c r="D9" s="114" t="str">
        <x:v>Evidence often cannot perfectly attribute human/AI/automation origin.</x:v>
      </x:c>
      <x:c r="E9" s="114" t="str">
        <x:v>Preserve UNKNOWN/MIXED instead of forcing weak conclusions.</x:v>
      </x:c>
      <x:c r="F9" s="114" t="str">
        <x:v>Always pick likely actor.</x:v>
      </x:c>
      <x:c r="G9" s="114" t="str">
        <x:v>Reduces false claims.</x:v>
      </x:c>
      <x:c r="H9" s="114" t="str">
        <x:v>Reports more nuanced.</x:v>
      </x:c>
      <x:c r="I9" s="114" t="str">
        <x:v>Provenance eval dataset.</x:v>
      </x:c>
      <x:c r="J9" s="114" t="str">
        <x:v>AI Governance</x:v>
      </x:c>
      <x:c r="K9" s="608" t="str">
        <x:v>Prompt rule</x:v>
      </x:c>
    </x:row>
    <x:row r="10">
      <x:c r="A10" s="612" t="str">
        <x:v>S67-ADR-006</x:v>
      </x:c>
      <x:c r="B10" s="613" t="str">
        <x:v>Task Assurance requires approved contract</x:v>
      </x:c>
      <x:c r="C10" s="613" t="str">
        <x:v>Accepted</x:v>
      </x:c>
      <x:c r="D10" s="613" t="str">
        <x:v>Without criteria, evaluation is unfair and vague.</x:v>
      </x:c>
      <x:c r="E10" s="613" t="str">
        <x:v>Block or mark insufficient contract when no approved Task Execution Contract exists.</x:v>
      </x:c>
      <x:c r="F10" s="613" t="str">
        <x:v>Free-form AI task judgment.</x:v>
      </x:c>
      <x:c r="G10" s="613" t="str">
        <x:v>Fairness and explainability.</x:v>
      </x:c>
      <x:c r="H10" s="613" t="str">
        <x:v>Managers must define better tasks.</x:v>
      </x:c>
      <x:c r="I10" s="613" t="str">
        <x:v>Task-contract validation.</x:v>
      </x:c>
      <x:c r="J10" s="613" t="str">
        <x:v>Product/HR</x:v>
      </x:c>
      <x:c r="K10" s="614" t="str">
        <x:v>Stage 2 Task Contract</x:v>
      </x:c>
    </x:row>
    <x:row r="11">
      <x:c r="A11" s="607" t="str">
        <x:v>S67-ADR-007</x:v>
      </x:c>
      <x:c r="B11" s="114" t="str">
        <x:v>Criterion state is versioned</x:v>
      </x:c>
      <x:c r="C11" s="114" t="str">
        <x:v>Accepted</x:v>
      </x:c>
      <x:c r="D11" s="114" t="str">
        <x:v>Late evidence, corrections and reviews can change assessment.</x:v>
      </x:c>
      <x:c r="E11" s="114" t="str">
        <x:v>Create assessment versions rather than overwriting state silently.</x:v>
      </x:c>
      <x:c r="F11" s="114" t="str">
        <x:v>Update in place.</x:v>
      </x:c>
      <x:c r="G11" s="114" t="str">
        <x:v>Auditability and challenge rights.</x:v>
      </x:c>
      <x:c r="H11" s="114" t="str">
        <x:v>More reporting complexity.</x:v>
      </x:c>
      <x:c r="I11" s="114" t="str">
        <x:v>Replay/correction tests.</x:v>
      </x:c>
      <x:c r="J11" s="114" t="str">
        <x:v>Data/Governance</x:v>
      </x:c>
      <x:c r="K11" s="608" t="str">
        <x:v>Stage 4 replay</x:v>
      </x:c>
    </x:row>
    <x:row r="12">
      <x:c r="A12" s="612" t="str">
        <x:v>S67-ADR-008</x:v>
      </x:c>
      <x:c r="B12" s="613" t="str">
        <x:v>Deterministic rules before AI</x:v>
      </x:c>
      <x:c r="C12" s="613" t="str">
        <x:v>Accepted</x:v>
      </x:c>
      <x:c r="D12" s="613" t="str">
        <x:v>Tests, reviews, commits and policy gates have clearer semantics.</x:v>
      </x:c>
      <x:c r="E12" s="613" t="str">
        <x:v>Run deterministic evaluators before AI recommendations; AI fills interpretation gaps.</x:v>
      </x:c>
      <x:c r="F12" s="613" t="str">
        <x:v>LLM-first assessment.</x:v>
      </x:c>
      <x:c r="G12" s="613" t="str">
        <x:v>Reliability and cost control.</x:v>
      </x:c>
      <x:c r="H12" s="613" t="str">
        <x:v>Rule maintenance.</x:v>
      </x:c>
      <x:c r="I12" s="613" t="str">
        <x:v>Evaluator unit tests.</x:v>
      </x:c>
      <x:c r="J12" s="613" t="str">
        <x:v>AI/Backend</x:v>
      </x:c>
      <x:c r="K12" s="614" t="str">
        <x:v>Evaluator architecture</x:v>
      </x:c>
    </x:row>
    <x:row r="13">
      <x:c r="A13" s="607" t="str">
        <x:v>S67-ADR-009</x:v>
      </x:c>
      <x:c r="B13" s="114" t="str">
        <x:v>AI findings require evidence package</x:v>
      </x:c>
      <x:c r="C13" s="114" t="str">
        <x:v>Accepted</x:v>
      </x:c>
      <x:c r="D13" s="114" t="str">
        <x:v>Narrative without evidence is harmful.</x:v>
      </x:c>
      <x:c r="E13" s="114" t="str">
        <x:v>Every AI finding includes evidence refs, missing evidence, confidence and model/skill version.</x:v>
      </x:c>
      <x:c r="F13" s="114" t="str">
        <x:v>Summary-only AI reports.</x:v>
      </x:c>
      <x:c r="G13" s="114" t="str">
        <x:v>Trust and reviewability.</x:v>
      </x:c>
      <x:c r="H13" s="114" t="str">
        <x:v>Prompt/schema complexity.</x:v>
      </x:c>
      <x:c r="I13" s="114" t="str">
        <x:v>Grounding tests.</x:v>
      </x:c>
      <x:c r="J13" s="114" t="str">
        <x:v>AI Governance</x:v>
      </x:c>
      <x:c r="K13" s="608" t="str">
        <x:v>NIST AI RMF</x:v>
      </x:c>
    </x:row>
    <x:row r="14">
      <x:c r="A14" s="612" t="str">
        <x:v>S67-ADR-010</x:v>
      </x:c>
      <x:c r="B14" s="613" t="str">
        <x:v>Material negative findings require human review</x:v>
      </x:c>
      <x:c r="C14" s="613" t="str">
        <x:v>Accepted</x:v>
      </x:c>
      <x:c r="D14" s="613" t="str">
        <x:v>Employment and capability impact risk is high.</x:v>
      </x:c>
      <x:c r="E14" s="613" t="str">
        <x:v>Route material negative or disputed findings to qualified reviewer workflow.</x:v>
      </x:c>
      <x:c r="F14" s="613" t="str">
        <x:v>Auto-finalise finding.</x:v>
      </x:c>
      <x:c r="G14" s="613" t="str">
        <x:v>Fairness and regulatory alignment.</x:v>
      </x:c>
      <x:c r="H14" s="613" t="str">
        <x:v>Operational overhead.</x:v>
      </x:c>
      <x:c r="I14" s="613" t="str">
        <x:v>Review SLA metrics.</x:v>
      </x:c>
      <x:c r="J14" s="613" t="str">
        <x:v>HR/DPO</x:v>
      </x:c>
      <x:c r="K14" s="614" t="str">
        <x:v>ICO human review</x:v>
      </x:c>
    </x:row>
    <x:row r="15">
      <x:c r="A15" s="607" t="str">
        <x:v>S67-ADR-011</x:v>
      </x:c>
      <x:c r="B15" s="114" t="str">
        <x:v>Coverage-aware confidence</x:v>
      </x:c>
      <x:c r="C15" s="114" t="str">
        <x:v>Accepted</x:v>
      </x:c>
      <x:c r="D15" s="114" t="str">
        <x:v>Different tools/OSes/adapters expose different evidence.</x:v>
      </x:c>
      <x:c r="E15" s="114" t="str">
        <x:v>All assessments include coverage/completeness; comparison requires comparable coverage.</x:v>
      </x:c>
      <x:c r="F15" s="114" t="str">
        <x:v>Ignore coverage differences.</x:v>
      </x:c>
      <x:c r="G15" s="114" t="str">
        <x:v>Reduces unfair comparisons.</x:v>
      </x:c>
      <x:c r="H15" s="114" t="str">
        <x:v>More nuanced UX.</x:v>
      </x:c>
      <x:c r="I15" s="114" t="str">
        <x:v>Coverage calibration.</x:v>
      </x:c>
      <x:c r="J15" s="114" t="str">
        <x:v>Product/AI</x:v>
      </x:c>
      <x:c r="K15" s="608" t="str">
        <x:v>Stage 5 coverage model</x:v>
      </x:c>
    </x:row>
    <x:row r="16">
      <x:c r="A16" s="615" t="str">
        <x:v>S67-ADR-012</x:v>
      </x:c>
      <x:c r="B16" s="616" t="str">
        <x:v>Evaluation data must include corrections and edge cases</x:v>
      </x:c>
      <x:c r="C16" s="616" t="str">
        <x:v>Accepted in principle</x:v>
      </x:c>
      <x:c r="D16" s="616" t="str">
        <x:v>Model accuracy depends on challenging examples.</x:v>
      </x:c>
      <x:c r="E16" s="616" t="str">
        <x:v>Dataset must include blockers, accommodations, AI overreach, false idle and employee correction.</x:v>
      </x:c>
      <x:c r="F16" s="616" t="str">
        <x:v>Positive-completion-only dataset.</x:v>
      </x:c>
      <x:c r="G16" s="616" t="str">
        <x:v>Better calibration and fairness.</x:v>
      </x:c>
      <x:c r="H16" s="616" t="str">
        <x:v>Labelling effort.</x:v>
      </x:c>
      <x:c r="I16" s="616" t="str">
        <x:v>Dataset coverage report.</x:v>
      </x:c>
      <x:c r="J16" s="616" t="str">
        <x:v>AI Evaluation Lead</x:v>
      </x:c>
      <x:c r="K16" s="617" t="str">
        <x:v>Stage 7 dataset</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110.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6 — Adapter Gate</x:v>
      </x:c>
      <x:c r="B1" s="569"/>
      <x:c r="C1" s="569"/>
      <x:c r="D1" s="569"/>
      <x:c r="E1" s="569"/>
      <x:c r="F1" s="569"/>
      <x:c r="G1" s="569"/>
      <x:c r="H1" s="569"/>
      <x:c r="I1" s="569"/>
    </x:row>
    <x:row r="2" ht="36" customHeight="1">
      <x:c r="A2" s="573" t="str">
        <x:v>Readiness criteria for semantic adapters. Gate approval authorises adapter implementation, not final task or employment conclusions.</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S6-G-001</x:v>
      </x:c>
      <x:c r="B5" s="605" t="str">
        <x:v>Adapter architecture</x:v>
      </x:c>
      <x:c r="C5" s="605" t="str">
        <x:v>Yes</x:v>
      </x:c>
      <x:c r="D5" s="605" t="str">
        <x:v>Adapter Hub, local/cloud boundary, manifest, registry, coverage and governance are defined.</x:v>
      </x:c>
      <x:c r="E5" s="605" t="str">
        <x:v>Semantic Adapter Architecture</x:v>
      </x:c>
      <x:c r="F5" s="605" t="str">
        <x:v>Draft Ready</x:v>
      </x:c>
      <x:c r="G5" s="618" t="n">
        <x:f>IF(F5="Met",1,IF(F5="Draft Ready",0.8,IF(F5="In Review",0.6,IF(F5="Owner Input",0.3,IF(F5="Blocked",0,0)))))</x:f>
        <x:v>0.8</x:v>
      </x:c>
      <x:c r="H5" s="605" t="str">
        <x:v>No provider-neutral adapter model.</x:v>
      </x:c>
      <x:c r="I5" s="606" t="str">
        <x:v>CTO/Architecture</x:v>
      </x:c>
      <x:c r="K5" s="604" t="str">
        <x:v>Stage 6 readiness</x:v>
      </x:c>
      <x:c r="L5" s="621" t="n">
        <x:f>AVERAGE(G5:G14)</x:f>
        <x:v>0.72</x:v>
      </x:c>
    </x:row>
    <x:row r="6">
      <x:c r="A6" s="612" t="str">
        <x:v>S6-G-002</x:v>
      </x:c>
      <x:c r="B6" s="613" t="str">
        <x:v>SDK contract</x:v>
      </x:c>
      <x:c r="C6" s="613" t="str">
        <x:v>Yes</x:v>
      </x:c>
      <x:c r="D6" s="613" t="str">
        <x:v>Adapter SDK fields, content policy, lineage, health and fallback are specified.</x:v>
      </x:c>
      <x:c r="E6" s="613" t="str">
        <x:v>Adapter SDK Contract</x:v>
      </x:c>
      <x:c r="F6" s="613" t="str">
        <x:v>Draft Ready</x:v>
      </x:c>
      <x:c r="G6" s="619" t="n">
        <x:f>IF(F6="Met",1,IF(F6="Draft Ready",0.8,IF(F6="In Review",0.6,IF(F6="Owner Input",0.3,IF(F6="Blocked",0,0)))))</x:f>
        <x:v>0.8</x:v>
      </x:c>
      <x:c r="H6" s="613" t="str">
        <x:v>Adapters can bypass policy or lose lineage.</x:v>
      </x:c>
      <x:c r="I6" s="614" t="str">
        <x:v>Adapter Platform/CISO</x:v>
      </x:c>
      <x:c r="K6" s="607" t="str">
        <x:v>Mandatory not started/blocked</x:v>
      </x:c>
      <x:c r="L6" s="608" t="n">
        <x:f>COUNTIFS(C5:C14,"Yes",F5:F14,"Not Started")+COUNTIFS(C5:C14,"Yes",F5:F14,"Blocked")</x:f>
        <x:v>1</x:v>
      </x:c>
    </x:row>
    <x:row r="7">
      <x:c r="A7" s="607" t="str">
        <x:v>S6-G-003</x:v>
      </x:c>
      <x:c r="B7" s="114" t="str">
        <x:v>Provider matrix</x:v>
      </x:c>
      <x:c r="C7" s="114" t="str">
        <x:v>Yes</x:v>
      </x:c>
      <x:c r="D7" s="114" t="str">
        <x:v>Provider/tool events, source mechanisms and coverage are documented.</x:v>
      </x:c>
      <x:c r="E7" s="114" t="str">
        <x:v>Provider Event Matrix</x:v>
      </x:c>
      <x:c r="F7" s="114" t="str">
        <x:v>Draft Ready</x:v>
      </x:c>
      <x:c r="G7" s="135" t="n">
        <x:f>IF(F7="Met",1,IF(F7="Draft Ready",0.8,IF(F7="In Review",0.6,IF(F7="Owner Input",0.3,IF(F7="Blocked",0,0)))))</x:f>
        <x:v>0.8</x:v>
      </x:c>
      <x:c r="H7" s="114" t="str">
        <x:v>Unsupported provider assumed complete.</x:v>
      </x:c>
      <x:c r="I7" s="608" t="str">
        <x:v>Product/Integrations</x:v>
      </x:c>
      <x:c r="K7" s="607" t="str">
        <x:v>Draft-ready/met items</x:v>
      </x:c>
      <x:c r="L7" s="608" t="n">
        <x:f>COUNTIF(F5:F14,"Met")+COUNTIF(F5:F14,"Draft Ready")</x:f>
        <x:v>9</x:v>
      </x:c>
    </x:row>
    <x:row r="8">
      <x:c r="A8" s="612" t="str">
        <x:v>S6-G-004</x:v>
      </x:c>
      <x:c r="B8" s="613" t="str">
        <x:v>Browser adapter</x:v>
      </x:c>
      <x:c r="C8" s="613" t="str">
        <x:v>Yes</x:v>
      </x:c>
      <x:c r="D8" s="613" t="str">
        <x:v>Browser tab/navigation/domain rules and privacy boundaries are defined.</x:v>
      </x:c>
      <x:c r="E8" s="613" t="str">
        <x:v>Browser Adapter</x:v>
      </x:c>
      <x:c r="F8" s="613" t="str">
        <x:v>Draft Ready</x:v>
      </x:c>
      <x:c r="G8" s="619" t="n">
        <x:f>IF(F8="Met",1,IF(F8="Draft Ready",0.8,IF(F8="In Review",0.6,IF(F8="Owner Input",0.3,IF(F8="Blocked",0,0)))))</x:f>
        <x:v>0.8</x:v>
      </x:c>
      <x:c r="H8" s="613" t="str">
        <x:v>Browser history/content overcapture.</x:v>
      </x:c>
      <x:c r="I8" s="614" t="str">
        <x:v>Browser/DPO</x:v>
      </x:c>
      <x:c r="K8" s="609" t="str">
        <x:v>Formal decision count</x:v>
      </x:c>
      <x:c r="L8" s="611" t="n">
        <x:v>0</x:v>
      </x:c>
    </x:row>
    <x:row r="9">
      <x:c r="A9" s="607" t="str">
        <x:v>S6-G-005</x:v>
      </x:c>
      <x:c r="B9" s="114" t="str">
        <x:v>Shell/process adapter</x:v>
      </x:c>
      <x:c r="C9" s="114" t="str">
        <x:v>Yes</x:v>
      </x:c>
      <x:c r="D9" s="114" t="str">
        <x:v>Command/process lifecycle and secret redaction rules are defined.</x:v>
      </x:c>
      <x:c r="E9" s="114" t="str">
        <x:v>Shell and Process Adapter</x:v>
      </x:c>
      <x:c r="F9" s="114" t="str">
        <x:v>Draft Ready</x:v>
      </x:c>
      <x:c r="G9" s="135" t="n">
        <x:f>IF(F9="Met",1,IF(F9="Draft Ready",0.8,IF(F9="In Review",0.6,IF(F9="Owner Input",0.3,IF(F9="Blocked",0,0)))))</x:f>
        <x:v>0.8</x:v>
      </x:c>
      <x:c r="H9" s="114" t="str">
        <x:v>Command/output secrets retained.</x:v>
      </x:c>
      <x:c r="I9" s="608" t="str">
        <x:v>Shell/CISO</x:v>
      </x:c>
    </x:row>
    <x:row r="10">
      <x:c r="A10" s="612" t="str">
        <x:v>S6-G-006</x:v>
      </x:c>
      <x:c r="B10" s="613" t="str">
        <x:v>Git/CI/IDE adapters</x:v>
      </x:c>
      <x:c r="C10" s="613" t="str">
        <x:v>Yes</x:v>
      </x:c>
      <x:c r="D10" s="613" t="str">
        <x:v>GitHub/CI/IDE event model and limitations are defined.</x:v>
      </x:c>
      <x:c r="E10" s="613" t="str">
        <x:v>Git CI and IDE Adapters</x:v>
      </x:c>
      <x:c r="F10" s="613" t="str">
        <x:v>Draft Ready</x:v>
      </x:c>
      <x:c r="G10" s="619" t="n">
        <x:f>IF(F10="Met",1,IF(F10="Draft Ready",0.8,IF(F10="In Review",0.6,IF(F10="Owner Input",0.3,IF(F10="Blocked",0,0)))))</x:f>
        <x:v>0.8</x:v>
      </x:c>
      <x:c r="H10" s="613" t="str">
        <x:v>Tool semantics not captured or overclaimed.</x:v>
      </x:c>
      <x:c r="I10" s="614" t="str">
        <x:v>Dev Platform</x:v>
      </x:c>
    </x:row>
    <x:row r="11">
      <x:c r="A11" s="607" t="str">
        <x:v>S6-G-007</x:v>
      </x:c>
      <x:c r="B11" s="114" t="str">
        <x:v>AI Agent Hub</x:v>
      </x:c>
      <x:c r="C11" s="114" t="str">
        <x:v>Yes</x:v>
      </x:c>
      <x:c r="D11" s="114" t="str">
        <x:v>Codex/Claude/future agent event model preserves prompts/tools/permissions/review.</x:v>
      </x:c>
      <x:c r="E11" s="114" t="str">
        <x:v>AI Agent Adapter Hub</x:v>
      </x:c>
      <x:c r="F11" s="114" t="str">
        <x:v>Draft Ready</x:v>
      </x:c>
      <x:c r="G11" s="135" t="n">
        <x:f>IF(F11="Met",1,IF(F11="Draft Ready",0.8,IF(F11="In Review",0.6,IF(F11="Owner Input",0.3,IF(F11="Blocked",0,0)))))</x:f>
        <x:v>0.8</x:v>
      </x:c>
      <x:c r="H11" s="114" t="str">
        <x:v>AI output attributed incorrectly.</x:v>
      </x:c>
      <x:c r="I11" s="608" t="str">
        <x:v>AI Platform/DPO</x:v>
      </x:c>
    </x:row>
    <x:row r="12">
      <x:c r="A12" s="612" t="str">
        <x:v>S6-G-008</x:v>
      </x:c>
      <x:c r="B12" s="613" t="str">
        <x:v>Conformance tests</x:v>
      </x:c>
      <x:c r="C12" s="613" t="str">
        <x:v>Yes</x:v>
      </x:c>
      <x:c r="D12" s="613" t="str">
        <x:v>Manifest, policy, redaction, lineage, drift, fallback and no-raw-telemetry tests are defined.</x:v>
      </x:c>
      <x:c r="E12" s="613" t="str">
        <x:v>Adapter Conformance Tests</x:v>
      </x:c>
      <x:c r="F12" s="613" t="str">
        <x:v>Draft Ready</x:v>
      </x:c>
      <x:c r="G12" s="619" t="n">
        <x:f>IF(F12="Met",1,IF(F12="Draft Ready",0.8,IF(F12="In Review",0.6,IF(F12="Owner Input",0.3,IF(F12="Blocked",0,0)))))</x:f>
        <x:v>0.8</x:v>
      </x:c>
      <x:c r="H12" s="613" t="str">
        <x:v>Adapters activate without tests.</x:v>
      </x:c>
      <x:c r="I12" s="614" t="str">
        <x:v>QA/CISO</x:v>
      </x:c>
    </x:row>
    <x:row r="13">
      <x:c r="A13" s="607" t="str">
        <x:v>S6-G-009</x:v>
      </x:c>
      <x:c r="B13" s="114" t="str">
        <x:v>Backlog</x:v>
      </x:c>
      <x:c r="C13" s="114" t="str">
        <x:v>Yes</x:v>
      </x:c>
      <x:c r="D13" s="114" t="str">
        <x:v>Stage 6 backlog has owners, dependencies, effort, deliverables and security impact.</x:v>
      </x:c>
      <x:c r="E13" s="114" t="str">
        <x:v>Stage 6 Backlog</x:v>
      </x:c>
      <x:c r="F13" s="114" t="str">
        <x:v>Draft Ready</x:v>
      </x:c>
      <x:c r="G13" s="135" t="n">
        <x:f>IF(F13="Met",1,IF(F13="Draft Ready",0.8,IF(F13="In Review",0.6,IF(F13="Owner Input",0.3,IF(F13="Blocked",0,0)))))</x:f>
        <x:v>0.8</x:v>
      </x:c>
      <x:c r="H13" s="114" t="str">
        <x:v>No executable adapter plan.</x:v>
      </x:c>
      <x:c r="I13" s="608" t="str">
        <x:v>Programme</x:v>
      </x:c>
    </x:row>
    <x:row r="14">
      <x:c r="A14" s="615" t="str">
        <x:v>S6-G-010</x:v>
      </x:c>
      <x:c r="B14" s="616" t="str">
        <x:v>Formal decision</x:v>
      </x:c>
      <x:c r="C14" s="616" t="str">
        <x:v>Yes</x:v>
      </x:c>
      <x:c r="D14" s="616" t="str">
        <x:v>CTO, Architecture, CISO, DPO, Product, Integrations and QA record Stage 6 gate decision.</x:v>
      </x:c>
      <x:c r="E14" s="616" t="str">
        <x:v>Review minutes and decision</x:v>
      </x:c>
      <x:c r="F14" s="616" t="str">
        <x:v>Not Started</x:v>
      </x:c>
      <x:c r="G14" s="620" t="n">
        <x:f>IF(F14="Met",1,IF(F14="Draft Ready",0.8,IF(F14="In Review",0.6,IF(F14="Owner Input",0.3,IF(F14="Blocked",0,0)))))</x:f>
        <x:v>0</x:v>
      </x:c>
      <x:c r="H14" s="616" t="str">
        <x:v>No formal gate decision.</x:v>
      </x:c>
      <x:c r="I14" s="617" t="str">
        <x:v>Executive Sponsor/CTO</x:v>
      </x:c>
    </x:row>
  </x:sheetData>
  <x:mergeCells>
    <x:mergeCell ref="A1:I1"/>
    <x:mergeCell ref="A2:I2"/>
  </x:mergeCells>
  <x:dataValidations count="1">
    <x:dataValidation type="list" sqref="F5:F14">
      <x:formula1>"Met,Draft Ready,In Review,Owner Input,Not Started,Blocked"</x:formula1>
    </x:dataValidation>
  </x:dataValidations>
  <x:pageMargins left="0.7" right="0.7" top="0.75" bottom="0.75" header="0.3" footer="0.3"/>
</x:worksheet>
</file>

<file path=xl/worksheets/sheet11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7 — Provenance and Task Assurance Gate</x:v>
      </x:c>
      <x:c r="B1" s="569"/>
      <x:c r="C1" s="569"/>
      <x:c r="D1" s="569"/>
      <x:c r="E1" s="569"/>
      <x:c r="F1" s="569"/>
      <x:c r="G1" s="569"/>
      <x:c r="H1" s="569"/>
      <x:c r="I1" s="569"/>
    </x:row>
    <x:row r="2" ht="36" customHeight="1">
      <x:c r="A2" s="573" t="str">
        <x:v>Readiness criteria for provenance graph, work episodes, task alignment, acceptance criteria, quality/blocker model, evaluators and human review.</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S7-G-001</x:v>
      </x:c>
      <x:c r="B5" s="605" t="str">
        <x:v>Provenance graph</x:v>
      </x:c>
      <x:c r="C5" s="605" t="str">
        <x:v>Yes</x:v>
      </x:c>
      <x:c r="D5" s="605" t="str">
        <x:v>Graph nodes, relationships and governance guardrails are defined.</x:v>
      </x:c>
      <x:c r="E5" s="605" t="str">
        <x:v>Provenance Graph Model / Relationship Rules</x:v>
      </x:c>
      <x:c r="F5" s="605" t="str">
        <x:v>Draft Ready</x:v>
      </x:c>
      <x:c r="G5" s="618" t="n">
        <x:f>IF(F5="Met",1,IF(F5="Draft Ready",0.8,IF(F5="In Review",0.6,IF(F5="Owner Input",0.3,IF(F5="Blocked",0,0)))))</x:f>
        <x:v>0.8</x:v>
      </x:c>
      <x:c r="H5" s="605" t="str">
        <x:v>No explainable provenance model.</x:v>
      </x:c>
      <x:c r="I5" s="606" t="str">
        <x:v>Data/Architecture</x:v>
      </x:c>
      <x:c r="K5" s="604" t="str">
        <x:v>Stage 7 readiness</x:v>
      </x:c>
      <x:c r="L5" s="621" t="n">
        <x:f>AVERAGE(G5:G16)</x:f>
        <x:v>0.7333333333333333</x:v>
      </x:c>
    </x:row>
    <x:row r="6">
      <x:c r="A6" s="612" t="str">
        <x:v>S7-G-002</x:v>
      </x:c>
      <x:c r="B6" s="613" t="str">
        <x:v>Correlation engine</x:v>
      </x:c>
      <x:c r="C6" s="613" t="str">
        <x:v>Yes</x:v>
      </x:c>
      <x:c r="D6" s="613" t="str">
        <x:v>Temporal, task, process, agent, file, text, visual, Git/CI and ambiguity rules are defined.</x:v>
      </x:c>
      <x:c r="E6" s="613" t="str">
        <x:v>Correlation Engine</x:v>
      </x:c>
      <x:c r="F6" s="613" t="str">
        <x:v>Draft Ready</x:v>
      </x:c>
      <x:c r="G6" s="619" t="n">
        <x:f>IF(F6="Met",1,IF(F6="Draft Ready",0.8,IF(F6="In Review",0.6,IF(F6="Owner Input",0.3,IF(F6="Blocked",0,0)))))</x:f>
        <x:v>0.8</x:v>
      </x:c>
      <x:c r="H6" s="613" t="str">
        <x:v>Causality overclaimed.</x:v>
      </x:c>
      <x:c r="I6" s="614" t="str">
        <x:v>Provenance Lead</x:v>
      </x:c>
      <x:c r="K6" s="607" t="str">
        <x:v>Mandatory not started/blocked</x:v>
      </x:c>
      <x:c r="L6" s="608" t="n">
        <x:f>COUNTIFS(C5:C16,"Yes",F5:F16,"Not Started")+COUNTIFS(C5:C16,"Yes",F5:F16,"Blocked")</x:f>
        <x:v>1</x:v>
      </x:c>
    </x:row>
    <x:row r="7">
      <x:c r="A7" s="607" t="str">
        <x:v>S7-G-003</x:v>
      </x:c>
      <x:c r="B7" s="114" t="str">
        <x:v>Episode model</x:v>
      </x:c>
      <x:c r="C7" s="114" t="str">
        <x:v>Yes</x:v>
      </x:c>
      <x:c r="D7" s="114" t="str">
        <x:v>Episode classes include work, research, review, AI execution, waits, blockers, private and insufficient evidence.</x:v>
      </x:c>
      <x:c r="E7" s="114" t="str">
        <x:v>Work Episode Model</x:v>
      </x:c>
      <x:c r="F7" s="114" t="str">
        <x:v>Draft Ready</x:v>
      </x:c>
      <x:c r="G7" s="135" t="n">
        <x:f>IF(F7="Met",1,IF(F7="Draft Ready",0.8,IF(F7="In Review",0.6,IF(F7="Owner Input",0.3,IF(F7="Blocked",0,0)))))</x:f>
        <x:v>0.8</x:v>
      </x:c>
      <x:c r="H7" s="114" t="str">
        <x:v>False idle/off-task findings likely.</x:v>
      </x:c>
      <x:c r="I7" s="608" t="str">
        <x:v>AI/Product/DPO</x:v>
      </x:c>
      <x:c r="K7" s="607" t="str">
        <x:v>Draft-ready/met items</x:v>
      </x:c>
      <x:c r="L7" s="608" t="n">
        <x:f>COUNTIF(F5:F16,"Met")+COUNTIF(F5:F16,"Draft Ready")</x:f>
        <x:v>11</x:v>
      </x:c>
    </x:row>
    <x:row r="8">
      <x:c r="A8" s="612" t="str">
        <x:v>S7-G-004</x:v>
      </x:c>
      <x:c r="B8" s="613" t="str">
        <x:v>Task alignment</x:v>
      </x:c>
      <x:c r="C8" s="613" t="str">
        <x:v>Yes</x:v>
      </x:c>
      <x:c r="D8" s="613" t="str">
        <x:v>All task-alignment states are defined with guardrails.</x:v>
      </x:c>
      <x:c r="E8" s="613" t="str">
        <x:v>Task Alignment Model</x:v>
      </x:c>
      <x:c r="F8" s="613" t="str">
        <x:v>Draft Ready</x:v>
      </x:c>
      <x:c r="G8" s="619" t="n">
        <x:f>IF(F8="Met",1,IF(F8="Draft Ready",0.8,IF(F8="In Review",0.6,IF(F8="Owner Input",0.3,IF(F8="Blocked",0,0)))))</x:f>
        <x:v>0.8</x:v>
      </x:c>
      <x:c r="H8" s="613" t="str">
        <x:v>Unknown/ambiguous states forced into negative class.</x:v>
      </x:c>
      <x:c r="I8" s="614" t="str">
        <x:v>Task Product</x:v>
      </x:c>
      <x:c r="K8" s="609" t="str">
        <x:v>Formal decision count</x:v>
      </x:c>
      <x:c r="L8" s="611" t="n">
        <x:v>0</x:v>
      </x:c>
    </x:row>
    <x:row r="9">
      <x:c r="A9" s="607" t="str">
        <x:v>S7-G-005</x:v>
      </x:c>
      <x:c r="B9" s="114" t="str">
        <x:v>Acceptance criteria</x:v>
      </x:c>
      <x:c r="C9" s="114" t="str">
        <x:v>Yes</x:v>
      </x:c>
      <x:c r="D9" s="114" t="str">
        <x:v>Criterion, quality gate and completion states are defined and versioned.</x:v>
      </x:c>
      <x:c r="E9" s="114" t="str">
        <x:v>Acceptance Criteria Engine</x:v>
      </x:c>
      <x:c r="F9" s="114" t="str">
        <x:v>Draft Ready</x:v>
      </x:c>
      <x:c r="G9" s="135" t="n">
        <x:f>IF(F9="Met",1,IF(F9="Draft Ready",0.8,IF(F9="In Review",0.6,IF(F9="Owner Input",0.3,IF(F9="Blocked",0,0)))))</x:f>
        <x:v>0.8</x:v>
      </x:c>
      <x:c r="H9" s="114" t="str">
        <x:v>Claimed completion treated as verified completion.</x:v>
      </x:c>
      <x:c r="I9" s="608" t="str">
        <x:v>Task Assurance</x:v>
      </x:c>
    </x:row>
    <x:row r="10">
      <x:c r="A10" s="612" t="str">
        <x:v>S7-G-006</x:v>
      </x:c>
      <x:c r="B10" s="613" t="str">
        <x:v>Quality/blocker model</x:v>
      </x:c>
      <x:c r="C10" s="613" t="str">
        <x:v>Yes</x:v>
      </x:c>
      <x:c r="D10" s="613" t="str">
        <x:v>Blockers and quality issues are classified without automatically becoming employee gaps.</x:v>
      </x:c>
      <x:c r="E10" s="613" t="str">
        <x:v>Quality and Blocker Model</x:v>
      </x:c>
      <x:c r="F10" s="613" t="str">
        <x:v>Draft Ready</x:v>
      </x:c>
      <x:c r="G10" s="619" t="n">
        <x:f>IF(F10="Met",1,IF(F10="Draft Ready",0.8,IF(F10="In Review",0.6,IF(F10="Owner Input",0.3,IF(F10="Blocked",0,0)))))</x:f>
        <x:v>0.8</x:v>
      </x:c>
      <x:c r="H10" s="613" t="str">
        <x:v>Environmental blocker penalises employee.</x:v>
      </x:c>
      <x:c r="I10" s="614" t="str">
        <x:v>Product/HR</x:v>
      </x:c>
    </x:row>
    <x:row r="11">
      <x:c r="A11" s="607" t="str">
        <x:v>S7-G-007</x:v>
      </x:c>
      <x:c r="B11" s="114" t="str">
        <x:v>Evaluator separation</x:v>
      </x:c>
      <x:c r="C11" s="114" t="str">
        <x:v>Yes</x:v>
      </x:c>
      <x:c r="D11" s="114" t="str">
        <x:v>Deterministic, AI-assisted and human-reviewed evaluators are separated.</x:v>
      </x:c>
      <x:c r="E11" s="114" t="str">
        <x:v>Evaluator Architecture</x:v>
      </x:c>
      <x:c r="F11" s="114" t="str">
        <x:v>Draft Ready</x:v>
      </x:c>
      <x:c r="G11" s="135" t="n">
        <x:f>IF(F11="Met",1,IF(F11="Draft Ready",0.8,IF(F11="In Review",0.6,IF(F11="Owner Input",0.3,IF(F11="Blocked",0,0)))))</x:f>
        <x:v>0.8</x:v>
      </x:c>
      <x:c r="H11" s="114" t="str">
        <x:v>AI writes final high-impact states.</x:v>
      </x:c>
      <x:c r="I11" s="608" t="str">
        <x:v>AI Governance</x:v>
      </x:c>
    </x:row>
    <x:row r="12">
      <x:c r="A12" s="612" t="str">
        <x:v>S7-G-008</x:v>
      </x:c>
      <x:c r="B12" s="613" t="str">
        <x:v>Evaluation dataset</x:v>
      </x:c>
      <x:c r="C12" s="613" t="str">
        <x:v>Yes</x:v>
      </x:c>
      <x:c r="D12" s="613" t="str">
        <x:v>Required positive/negative/edge cases are specified.</x:v>
      </x:c>
      <x:c r="E12" s="613" t="str">
        <x:v>Evaluation Dataset</x:v>
      </x:c>
      <x:c r="F12" s="613" t="str">
        <x:v>Draft Ready</x:v>
      </x:c>
      <x:c r="G12" s="619" t="n">
        <x:f>IF(F12="Met",1,IF(F12="Draft Ready",0.8,IF(F12="In Review",0.6,IF(F12="Owner Input",0.3,IF(F12="Blocked",0,0)))))</x:f>
        <x:v>0.8</x:v>
      </x:c>
      <x:c r="H12" s="613" t="str">
        <x:v>No edge cases or calibration basis.</x:v>
      </x:c>
      <x:c r="I12" s="614" t="str">
        <x:v>AI Evaluation</x:v>
      </x:c>
    </x:row>
    <x:row r="13">
      <x:c r="A13" s="607" t="str">
        <x:v>S7-G-009</x:v>
      </x:c>
      <x:c r="B13" s="114" t="str">
        <x:v>Human review</x:v>
      </x:c>
      <x:c r="C13" s="114" t="str">
        <x:v>Yes</x:v>
      </x:c>
      <x:c r="D13" s="114" t="str">
        <x:v>Finding package, employee correction, dispute, appeal, review and assessment versioning are defined.</x:v>
      </x:c>
      <x:c r="E13" s="114" t="str">
        <x:v>Human Review and Correction</x:v>
      </x:c>
      <x:c r="F13" s="114" t="str">
        <x:v>Draft Ready</x:v>
      </x:c>
      <x:c r="G13" s="135" t="n">
        <x:f>IF(F13="Met",1,IF(F13="Draft Ready",0.8,IF(F13="In Review",0.6,IF(F13="Owner Input",0.3,IF(F13="Blocked",0,0)))))</x:f>
        <x:v>0.8</x:v>
      </x:c>
      <x:c r="H13" s="114" t="str">
        <x:v>Employee cannot challenge material finding.</x:v>
      </x:c>
      <x:c r="I13" s="608" t="str">
        <x:v>DPO/HR</x:v>
      </x:c>
    </x:row>
    <x:row r="14">
      <x:c r="A14" s="612" t="str">
        <x:v>S7-G-010</x:v>
      </x:c>
      <x:c r="B14" s="613" t="str">
        <x:v>APIs/events</x:v>
      </x:c>
      <x:c r="C14" s="613" t="str">
        <x:v>Yes</x:v>
      </x:c>
      <x:c r="D14" s="613" t="str">
        <x:v>Provenance, episode, task-assessment, criteria, correction and review APIs/events are specified.</x:v>
      </x:c>
      <x:c r="E14" s="613" t="str">
        <x:v>Stage 6-7 APIs and Events</x:v>
      </x:c>
      <x:c r="F14" s="613" t="str">
        <x:v>Draft Ready</x:v>
      </x:c>
      <x:c r="G14" s="619" t="n">
        <x:f>IF(F14="Met",1,IF(F14="Draft Ready",0.8,IF(F14="In Review",0.6,IF(F14="Owner Input",0.3,IF(F14="Blocked",0,0)))))</x:f>
        <x:v>0.8</x:v>
      </x:c>
      <x:c r="H14" s="613" t="str">
        <x:v>No implementable service contract.</x:v>
      </x:c>
      <x:c r="I14" s="614" t="str">
        <x:v>Backend/Data</x:v>
      </x:c>
    </x:row>
    <x:row r="15">
      <x:c r="A15" s="607" t="str">
        <x:v>S7-G-011</x:v>
      </x:c>
      <x:c r="B15" s="114" t="str">
        <x:v>Backlog</x:v>
      </x:c>
      <x:c r="C15" s="114" t="str">
        <x:v>Yes</x:v>
      </x:c>
      <x:c r="D15" s="114" t="str">
        <x:v>Stage 7 backlog has owners, dependencies, effort, deliverables, tests and privacy impact.</x:v>
      </x:c>
      <x:c r="E15" s="114" t="str">
        <x:v>Stage 7 Backlog</x:v>
      </x:c>
      <x:c r="F15" s="114" t="str">
        <x:v>Draft Ready</x:v>
      </x:c>
      <x:c r="G15" s="135" t="n">
        <x:f>IF(F15="Met",1,IF(F15="Draft Ready",0.8,IF(F15="In Review",0.6,IF(F15="Owner Input",0.3,IF(F15="Blocked",0,0)))))</x:f>
        <x:v>0.8</x:v>
      </x:c>
      <x:c r="H15" s="114" t="str">
        <x:v>No executable Task Assurance plan.</x:v>
      </x:c>
      <x:c r="I15" s="608" t="str">
        <x:v>Programme</x:v>
      </x:c>
    </x:row>
    <x:row r="16">
      <x:c r="A16" s="615" t="str">
        <x:v>S7-G-012</x:v>
      </x:c>
      <x:c r="B16" s="616" t="str">
        <x:v>Formal decision</x:v>
      </x:c>
      <x:c r="C16" s="616" t="str">
        <x:v>Yes</x:v>
      </x:c>
      <x:c r="D16" s="616" t="str">
        <x:v>CTO, Architecture, DPO, HR, Product, AI Governance and QA record Stage 7 gate decision.</x:v>
      </x:c>
      <x:c r="E16" s="616" t="str">
        <x:v>Review minutes and decision</x:v>
      </x:c>
      <x:c r="F16" s="616" t="str">
        <x:v>Not Started</x:v>
      </x:c>
      <x:c r="G16" s="620" t="n">
        <x:f>IF(F16="Met",1,IF(F16="Draft Ready",0.8,IF(F16="In Review",0.6,IF(F16="Owner Input",0.3,IF(F16="Blocked",0,0)))))</x:f>
        <x:v>0</x:v>
      </x:c>
      <x:c r="H16" s="616" t="str">
        <x:v>No formal gate decision.</x:v>
      </x:c>
      <x:c r="I16" s="617" t="str">
        <x:v>Executive Sponsor/CTO</x:v>
      </x:c>
    </x:row>
  </x:sheetData>
  <x:mergeCells>
    <x:mergeCell ref="A1:I1"/>
    <x:mergeCell ref="A2:I2"/>
  </x:mergeCells>
  <x:dataValidations count="1">
    <x:dataValidation type="list" sqref="F5:F16">
      <x:formula1>"Met,Draft Ready,In Review,Owner Input,Not Started,Blocked"</x:formula1>
    </x:dataValidation>
  </x:dataValidations>
  <x:pageMargins left="0.7" right="0.7" top="0.75" bottom="0.75" header="0.3" footer="0.3"/>
</x:worksheet>
</file>

<file path=xl/worksheets/sheet11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569" t="str">
        <x:v>Stage 6–7 — Source Register</x:v>
      </x:c>
      <x:c r="B1" s="569"/>
      <x:c r="C1" s="569"/>
      <x:c r="D1" s="569"/>
      <x:c r="E1" s="569"/>
      <x:c r="F1" s="569"/>
      <x:c r="G1" s="569"/>
    </x:row>
    <x:row r="2" ht="36" customHeight="1">
      <x:c r="A2" s="573" t="str">
        <x:v>Sources and standards for semantic adapters, AI-agent hooks, GitHub/CI/IDE events, provenance, task assurance, AI evaluation and human review.</x:v>
      </x:c>
      <x:c r="B2" s="573"/>
      <x:c r="C2" s="573"/>
      <x:c r="D2" s="573"/>
      <x:c r="E2" s="573"/>
      <x:c r="F2" s="573"/>
      <x:c r="G2" s="573"/>
    </x:row>
    <x:row r="4" ht="30" customHeight="1">
      <x:c r="A4" s="585" t="str">
        <x:v>Source ID</x:v>
      </x:c>
      <x:c r="B4" s="586" t="str">
        <x:v>Source</x:v>
      </x:c>
      <x:c r="C4" s="586" t="str">
        <x:v>Type</x:v>
      </x:c>
      <x:c r="D4" s="586" t="str">
        <x:v>Supports</x:v>
      </x:c>
      <x:c r="E4" s="586" t="str">
        <x:v>Source URL</x:v>
      </x:c>
      <x:c r="F4" s="586" t="str">
        <x:v>Priority</x:v>
      </x:c>
      <x:c r="G4" s="587" t="str">
        <x:v>Use / note</x:v>
      </x:c>
    </x:row>
    <x:row r="5">
      <x:c r="A5" s="604" t="str">
        <x:v>S67-SRC-001</x:v>
      </x:c>
      <x:c r="B5" s="605" t="str">
        <x:v>OpenAI Codex Hooks</x:v>
      </x:c>
      <x:c r="C5" s="605" t="str">
        <x:v>Official documentation</x:v>
      </x:c>
      <x:c r="D5" s="605" t="str">
        <x:v>Codex lifecycle hooks for prompt, tool, permission and session events.</x:v>
      </x:c>
      <x:c r="E5" s="605" t="str">
        <x:v>https://developers.openai.com/codex/hooks</x:v>
      </x:c>
      <x:c r="F5" s="605" t="str">
        <x:v>Critical</x:v>
      </x:c>
      <x:c r="G5" s="606" t="str">
        <x:v>Codex AI-agent adapter.</x:v>
      </x:c>
    </x:row>
    <x:row r="6">
      <x:c r="A6" s="612" t="str">
        <x:v>S67-SRC-002</x:v>
      </x:c>
      <x:c r="B6" s="613" t="str">
        <x:v>Claude Code Hooks Reference</x:v>
      </x:c>
      <x:c r="C6" s="613" t="str">
        <x:v>Official documentation</x:v>
      </x:c>
      <x:c r="D6" s="613" t="str">
        <x:v>Claude Code hook lifecycle including SessionStart, UserPromptSubmit, PreToolUse, PermissionRequest, PostToolUse and Stop.</x:v>
      </x:c>
      <x:c r="E6" s="613" t="str">
        <x:v>https://code.claude.com/docs/en/hooks</x:v>
      </x:c>
      <x:c r="F6" s="613" t="str">
        <x:v>Critical</x:v>
      </x:c>
      <x:c r="G6" s="614" t="str">
        <x:v>Claude Code AI-agent adapter.</x:v>
      </x:c>
    </x:row>
    <x:row r="7">
      <x:c r="A7" s="607" t="str">
        <x:v>S67-SRC-003</x:v>
      </x:c>
      <x:c r="B7" s="114" t="str">
        <x:v>Claude Agent SDK Hooks</x:v>
      </x:c>
      <x:c r="C7" s="114" t="str">
        <x:v>Official documentation</x:v>
      </x:c>
      <x:c r="D7" s="114" t="str">
        <x:v>SDK hook availability across Python and TypeScript.</x:v>
      </x:c>
      <x:c r="E7" s="114" t="str">
        <x:v>https://code.claude.com/docs/en/agent-sdk/hooks</x:v>
      </x:c>
      <x:c r="F7" s="114" t="str">
        <x:v>High</x:v>
      </x:c>
      <x:c r="G7" s="608" t="str">
        <x:v>Provider-version and SDK coverage.</x:v>
      </x:c>
    </x:row>
    <x:row r="8">
      <x:c r="A8" s="612" t="str">
        <x:v>S67-SRC-004</x:v>
      </x:c>
      <x:c r="B8" s="613" t="str">
        <x:v>VS Code API Reference</x:v>
      </x:c>
      <x:c r="C8" s="613" t="str">
        <x:v>Official documentation</x:v>
      </x:c>
      <x:c r="D8" s="613" t="str">
        <x:v>Tasks, terminal shell integration, diagnostics, filesystem watcher and extension APIs.</x:v>
      </x:c>
      <x:c r="E8" s="613" t="str">
        <x:v>https://code.visualstudio.com/api/references/vscode-api</x:v>
      </x:c>
      <x:c r="F8" s="613" t="str">
        <x:v>High</x:v>
      </x:c>
      <x:c r="G8" s="614" t="str">
        <x:v>VS Code adapter.</x:v>
      </x:c>
    </x:row>
    <x:row r="9">
      <x:c r="A9" s="607" t="str">
        <x:v>S67-SRC-005</x:v>
      </x:c>
      <x:c r="B9" s="114" t="str">
        <x:v>IntelliJ PSI Docs</x:v>
      </x:c>
      <x:c r="C9" s="114" t="str">
        <x:v>Official documentation</x:v>
      </x:c>
      <x:c r="D9" s="114" t="str">
        <x:v>Program Structure Interface for code structure and plugin semantics.</x:v>
      </x:c>
      <x:c r="E9" s="114" t="str">
        <x:v>https://plugins.jetbrains.com/docs/intellij/psi.html</x:v>
      </x:c>
      <x:c r="F9" s="114" t="str">
        <x:v>Medium</x:v>
      </x:c>
      <x:c r="G9" s="608" t="str">
        <x:v>JetBrains adapter.</x:v>
      </x:c>
    </x:row>
    <x:row r="10">
      <x:c r="A10" s="612" t="str">
        <x:v>S67-SRC-006</x:v>
      </x:c>
      <x:c r="B10" s="613" t="str">
        <x:v>GitHub Webhook Events</x:v>
      </x:c>
      <x:c r="C10" s="613" t="str">
        <x:v>Official documentation</x:v>
      </x:c>
      <x:c r="D10" s="613" t="str">
        <x:v>check_run, workflow_run, workflow_job, pull_request and related webhook payloads.</x:v>
      </x:c>
      <x:c r="E10" s="613" t="str">
        <x:v>https://docs.github.com/en/enterprise-cloud@latest/webhooks/webhook-events-and-payloads</x:v>
      </x:c>
      <x:c r="F10" s="613" t="str">
        <x:v>High</x:v>
      </x:c>
      <x:c r="G10" s="614" t="str">
        <x:v>GitHub/GitHub Actions adapter.</x:v>
      </x:c>
    </x:row>
    <x:row r="11">
      <x:c r="A11" s="607" t="str">
        <x:v>S67-SRC-007</x:v>
      </x:c>
      <x:c r="B11" s="114" t="str">
        <x:v>GitHub Checks API</x:v>
      </x:c>
      <x:c r="C11" s="114" t="str">
        <x:v>Official documentation</x:v>
      </x:c>
      <x:c r="D11" s="114" t="str">
        <x:v>Check runs/suites, statuses and conclusions.</x:v>
      </x:c>
      <x:c r="E11" s="114" t="str">
        <x:v>https://docs.github.com/en/rest/checks/runs</x:v>
      </x:c>
      <x:c r="F11" s="114" t="str">
        <x:v>High</x:v>
      </x:c>
      <x:c r="G11" s="608" t="str">
        <x:v>Quality-gate and CI evidence.</x:v>
      </x:c>
    </x:row>
    <x:row r="12">
      <x:c r="A12" s="612" t="str">
        <x:v>S67-SRC-008</x:v>
      </x:c>
      <x:c r="B12" s="613" t="str">
        <x:v>Git githooks</x:v>
      </x:c>
      <x:c r="C12" s="613" t="str">
        <x:v>Official documentation</x:v>
      </x:c>
      <x:c r="D12" s="613" t="str">
        <x:v>Client/server Git hook lifecycle and limitations.</x:v>
      </x:c>
      <x:c r="E12" s="613" t="str">
        <x:v>https://git-scm.com/docs/githooks</x:v>
      </x:c>
      <x:c r="F12" s="613" t="str">
        <x:v>Medium</x:v>
      </x:c>
      <x:c r="G12" s="614" t="str">
        <x:v>Git local adapter caveats.</x:v>
      </x:c>
    </x:row>
    <x:row r="13">
      <x:c r="A13" s="607" t="str">
        <x:v>S67-SRC-009</x:v>
      </x:c>
      <x:c r="B13" s="114" t="str">
        <x:v>Docker Engine API v1.50</x:v>
      </x:c>
      <x:c r="C13" s="114" t="str">
        <x:v>Official documentation</x:v>
      </x:c>
      <x:c r="D13" s="114" t="str">
        <x:v>Docker events API for containers/images/volumes/networks.</x:v>
      </x:c>
      <x:c r="E13" s="114" t="str">
        <x:v>https://docs.docker.com/reference/api/engine/version/v1.50/</x:v>
      </x:c>
      <x:c r="F13" s="114" t="str">
        <x:v>Medium</x:v>
      </x:c>
      <x:c r="G13" s="608" t="str">
        <x:v>Docker/container workflow adapter.</x:v>
      </x:c>
    </x:row>
    <x:row r="14">
      <x:c r="A14" s="612" t="str">
        <x:v>S67-SRC-010</x:v>
      </x:c>
      <x:c r="B14" s="613" t="str">
        <x:v>Chrome Native Messaging</x:v>
      </x:c>
      <x:c r="C14" s="613" t="str">
        <x:v>Official documentation</x:v>
      </x:c>
      <x:c r="D14" s="613" t="str">
        <x:v>Browser extension to native application communication.</x:v>
      </x:c>
      <x:c r="E14" s="613" t="str">
        <x:v>https://developer.chrome.com/docs/extensions/develop/concepts/native-messaging</x:v>
      </x:c>
      <x:c r="F14" s="613" t="str">
        <x:v>High</x:v>
      </x:c>
      <x:c r="G14" s="614" t="str">
        <x:v>Browser adapter.</x:v>
      </x:c>
    </x:row>
    <x:row r="15">
      <x:c r="A15" s="607" t="str">
        <x:v>S67-SRC-011</x:v>
      </x:c>
      <x:c r="B15" s="114" t="str">
        <x:v>OpenTelemetry GenAI SemConv</x:v>
      </x:c>
      <x:c r="C15" s="114" t="str">
        <x:v>Official documentation</x:v>
      </x:c>
      <x:c r="D15" s="114" t="str">
        <x:v>GenAI/model/agent/tool semantic conventions for operational telemetry.</x:v>
      </x:c>
      <x:c r="E15" s="114" t="str">
        <x:v>https://opentelemetry.io/docs/specs/semconv/registry/attributes/gen-ai/</x:v>
      </x:c>
      <x:c r="F15" s="114" t="str">
        <x:v>High</x:v>
      </x:c>
      <x:c r="G15" s="608" t="str">
        <x:v>Provider-neutral operational telemetry; not raw evidence store.</x:v>
      </x:c>
    </x:row>
    <x:row r="16">
      <x:c r="A16" s="612" t="str">
        <x:v>S67-SRC-012</x:v>
      </x:c>
      <x:c r="B16" s="613" t="str">
        <x:v>CloudEvents</x:v>
      </x:c>
      <x:c r="C16" s="613" t="str">
        <x:v>CNCF standard</x:v>
      </x:c>
      <x:c r="D16" s="613" t="str">
        <x:v>Event envelope and context metadata.</x:v>
      </x:c>
      <x:c r="E16" s="613" t="str">
        <x:v>https://cloudevents.io/</x:v>
      </x:c>
      <x:c r="F16" s="613" t="str">
        <x:v>High</x:v>
      </x:c>
      <x:c r="G16" s="614" t="str">
        <x:v>Semantic event contracts.</x:v>
      </x:c>
    </x:row>
    <x:row r="17">
      <x:c r="A17" s="607" t="str">
        <x:v>S67-SRC-013</x:v>
      </x:c>
      <x:c r="B17" s="114" t="str">
        <x:v>OpenAPI 3.1.1</x:v>
      </x:c>
      <x:c r="C17" s="114" t="str">
        <x:v>Standard</x:v>
      </x:c>
      <x:c r="D17" s="114" t="str">
        <x:v>REST API contract standard.</x:v>
      </x:c>
      <x:c r="E17" s="114" t="str">
        <x:v>https://spec.openapis.org/oas/v3.1.1.html</x:v>
      </x:c>
      <x:c r="F17" s="114" t="str">
        <x:v>High</x:v>
      </x:c>
      <x:c r="G17" s="608" t="str">
        <x:v>Stage 6/7 APIs.</x:v>
      </x:c>
    </x:row>
    <x:row r="18">
      <x:c r="A18" s="612" t="str">
        <x:v>S67-SRC-014</x:v>
      </x:c>
      <x:c r="B18" s="613" t="str">
        <x:v>JSON Schema 2020-12</x:v>
      </x:c>
      <x:c r="C18" s="613" t="str">
        <x:v>Standard</x:v>
      </x:c>
      <x:c r="D18" s="613" t="str">
        <x:v>Manifest, payload and contract validation.</x:v>
      </x:c>
      <x:c r="E18" s="613" t="str">
        <x:v>https://json-schema.org/draft/2020-12/json-schema-validation</x:v>
      </x:c>
      <x:c r="F18" s="613" t="str">
        <x:v>High</x:v>
      </x:c>
      <x:c r="G18" s="614" t="str">
        <x:v>Adapter and task-assessment schemas.</x:v>
      </x:c>
    </x:row>
    <x:row r="19">
      <x:c r="A19" s="607" t="str">
        <x:v>S67-SRC-015</x:v>
      </x:c>
      <x:c r="B19" s="114" t="str">
        <x:v>NIST AI RMF</x:v>
      </x:c>
      <x:c r="C19" s="114" t="str">
        <x:v>AI governance</x:v>
      </x:c>
      <x:c r="D19" s="114" t="str">
        <x:v>AI risk, measurement, governance and monitoring.</x:v>
      </x:c>
      <x:c r="E19" s="114" t="str">
        <x:v>https://www.nist.gov/itl/ai-risk-management-framework</x:v>
      </x:c>
      <x:c r="F19" s="114" t="str">
        <x:v>High</x:v>
      </x:c>
      <x:c r="G19" s="608" t="str">
        <x:v>Evaluator governance and calibration.</x:v>
      </x:c>
    </x:row>
    <x:row r="20">
      <x:c r="A20" s="615" t="str">
        <x:v>S67-SRC-016</x:v>
      </x:c>
      <x:c r="B20" s="616" t="str">
        <x:v>ICO Human Review Guidance</x:v>
      </x:c>
      <x:c r="C20" s="616" t="str">
        <x:v>Regulator guidance</x:v>
      </x:c>
      <x:c r="D20" s="616" t="str">
        <x:v>Meaningful human review requirements for AI-supported decisions.</x:v>
      </x:c>
      <x:c r="E20" s="616" t="str">
        <x:v>https://ico.org.uk/for-organisations/advice-and-services/audits/data-protection-audit-framework/toolkits/artificial-intelligence/human-review/</x:v>
      </x:c>
      <x:c r="F20" s="616" t="str">
        <x:v>Critical</x:v>
      </x:c>
      <x:c r="G20" s="617" t="str">
        <x:v>Task-assurance review boundary.</x:v>
      </x:c>
    </x:row>
  </x:sheetData>
  <x:mergeCells>
    <x:mergeCell ref="A1:G1"/>
    <x:mergeCell ref="A2:G2"/>
  </x:mergeCells>
  <x:dataValidations count="1">
    <x:dataValidation type="list" sqref="F5:F20">
      <x:formula1>"Critical,High,Medium,Low"</x:formula1>
    </x:dataValidation>
  </x:dataValidations>
  <x:pageMargins left="0.7" right="0.7" top="0.75" bottom="0.75" header="0.3" footer="0.3"/>
</x:worksheet>
</file>

<file path=xl/worksheets/sheet113.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687" t="str">
        <x:v>Stage 8–9 Dashboard — Capability Development and Growth Coach</x:v>
      </x:c>
      <x:c r="B1" s="687"/>
      <x:c r="C1" s="687"/>
      <x:c r="D1" s="687"/>
      <x:c r="E1" s="687"/>
      <x:c r="F1" s="687"/>
      <x:c r="G1" s="687"/>
      <x:c r="H1" s="687"/>
      <x:c r="I1" s="687"/>
      <x:c r="J1" s="687"/>
    </x:row>
    <x:row r="2" ht="36" customHeight="1">
      <x:c r="A2" s="691" t="str">
        <x:v>Specification status for Stage 8 Capability Graph/Baseline Assessment and Stage 9 Growth Coach/Learning Loop. Implementation backlogs remain unstarted until separate gates and resourcing are approved.</x:v>
      </x:c>
      <x:c r="B2" s="691"/>
      <x:c r="C2" s="691"/>
      <x:c r="D2" s="691"/>
      <x:c r="E2" s="691"/>
      <x:c r="F2" s="691"/>
      <x:c r="G2" s="691"/>
      <x:c r="H2" s="691"/>
      <x:c r="I2" s="691"/>
      <x:c r="J2" s="691"/>
    </x:row>
    <x:row r="4" ht="30" customHeight="1">
      <x:c r="A4" s="703" t="str">
        <x:v>Metric</x:v>
      </x:c>
      <x:c r="B4" s="705" t="str">
        <x:v>Value</x:v>
      </x:c>
      <x:c r="D4" s="703" t="str">
        <x:v>Workstream</x:v>
      </x:c>
      <x:c r="E4" s="705" t="str">
        <x:v>Readiness %</x:v>
      </x:c>
    </x:row>
    <x:row r="5">
      <x:c r="A5" s="722" t="str">
        <x:v>Stage 8 gate readiness</x:v>
      </x:c>
      <x:c r="B5" s="743" t="n">
        <x:f>'Stage 8 Gate'!L5</x:f>
        <x:v>0.7285714285714285</x:v>
      </x:c>
      <x:c r="D5" s="722" t="str">
        <x:v>Stage 8 gate</x:v>
      </x:c>
      <x:c r="E5" s="751" t="n">
        <x:f>B5*100</x:f>
        <x:v>72.85714285714285</x:v>
      </x:c>
    </x:row>
    <x:row r="6">
      <x:c r="A6" s="725" t="str">
        <x:v>Stage 9 gate readiness</x:v>
      </x:c>
      <x:c r="B6" s="744" t="n">
        <x:f>'Stage 9 Gate'!L5</x:f>
        <x:v>0.7428571428571429</x:v>
      </x:c>
      <x:c r="D6" s="725" t="str">
        <x:v>Stage 9 gate</x:v>
      </x:c>
      <x:c r="E6" s="752" t="n">
        <x:f>B6*100</x:f>
        <x:v>74.28571428571429</x:v>
      </x:c>
    </x:row>
    <x:row r="7">
      <x:c r="A7" s="725" t="str">
        <x:v>Stage 8 backlog maturity</x:v>
      </x:c>
      <x:c r="B7" s="744" t="n">
        <x:f>AVERAGE('Stage 8 Backlog'!J5:J21)</x:f>
        <x:v>0</x:v>
      </x:c>
      <x:c r="D7" s="725" t="str">
        <x:v>Stage 8 backlog</x:v>
      </x:c>
      <x:c r="E7" s="752" t="n">
        <x:f>B7*100</x:f>
        <x:v>0</x:v>
      </x:c>
    </x:row>
    <x:row r="8">
      <x:c r="A8" s="725" t="str">
        <x:v>Stage 9 backlog maturity</x:v>
      </x:c>
      <x:c r="B8" s="744" t="n">
        <x:f>AVERAGE('Stage 9 Backlog'!J5:J23)</x:f>
        <x:v>0</x:v>
      </x:c>
      <x:c r="D8" s="727" t="str">
        <x:v>Stage 9 backlog</x:v>
      </x:c>
      <x:c r="E8" s="753" t="n">
        <x:f>B8*100</x:f>
        <x:v>0</x:v>
      </x:c>
    </x:row>
    <x:row r="9">
      <x:c r="A9" s="725" t="str">
        <x:v>Stage 8 mandatory not started/blocked</x:v>
      </x:c>
      <x:c r="B9" s="726" t="n">
        <x:f>'Stage 8 Gate'!L6</x:f>
        <x:v>1</x:v>
      </x:c>
    </x:row>
    <x:row r="10">
      <x:c r="A10" s="725" t="str">
        <x:v>Stage 9 mandatory not started/blocked</x:v>
      </x:c>
      <x:c r="B10" s="726" t="n">
        <x:f>'Stage 9 Gate'!L6</x:f>
        <x:v>1</x:v>
      </x:c>
    </x:row>
    <x:row r="11">
      <x:c r="A11" s="725" t="str">
        <x:v>Stage 8–9 risks open</x:v>
      </x:c>
      <x:c r="B11" s="726" t="n">
        <x:f>COUNTIF('Stage 8-9 Risks'!I5:I25,"Open")+COUNTIF('Stage 8-9 Risks'!I5:I25,"Mitigating")</x:f>
        <x:v>21</x:v>
      </x:c>
    </x:row>
    <x:row r="12">
      <x:c r="A12" s="725" t="str">
        <x:v>Stage 8–9 source count</x:v>
      </x:c>
      <x:c r="B12" s="726" t="n">
        <x:f>COUNTA('Stage 8-9 Sources'!A5:A100)</x:f>
        <x:v>23</x:v>
      </x:c>
    </x:row>
    <x:row r="13">
      <x:c r="A13" s="725" t="str">
        <x:v>Stage 8–9 ADRs accepted/in principle</x:v>
      </x:c>
      <x:c r="B13" s="726" t="n">
        <x:f>COUNTIF('Stage 8-9 ADRs'!C5:C17,"Accepted in principle")+COUNTIF('Stage 8-9 ADRs'!C5:C17,"Accepted")</x:f>
        <x:v>13</x:v>
      </x:c>
    </x:row>
    <x:row r="14">
      <x:c r="A14" s="725" t="str">
        <x:v>Capability evidence fields/rules</x:v>
      </x:c>
      <x:c r="B14" s="726" t="n">
        <x:f>COUNTA('Capability Evidence Model'!A5:A100)</x:f>
        <x:v>28</x:v>
      </x:c>
    </x:row>
    <x:row r="15">
      <x:c r="A15" s="725" t="str">
        <x:v>Claim workflow states</x:v>
      </x:c>
      <x:c r="B15" s="726" t="n">
        <x:f>COUNTA('Claim Discrepancy Workflow'!A5:A100)</x:f>
        <x:v>18</x:v>
      </x:c>
    </x:row>
    <x:row r="16">
      <x:c r="A16" s="725" t="str">
        <x:v>Coaching modes and triggers</x:v>
      </x:c>
      <x:c r="B16" s="726" t="n">
        <x:f>COUNTA('Coaching Modes and Triggers'!A5:A100)</x:f>
        <x:v>20</x:v>
      </x:c>
    </x:row>
    <x:row r="17">
      <x:c r="A17" s="725" t="str">
        <x:v>Learning loop states</x:v>
      </x:c>
      <x:c r="B17" s="726" t="n">
        <x:f>COUNTA('Learning Loop Model'!A5:A100)</x:f>
        <x:v>22</x:v>
      </x:c>
    </x:row>
    <x:row r="18">
      <x:c r="A18" s="727" t="str">
        <x:v>Effectiveness metrics</x:v>
      </x:c>
      <x:c r="B18" s="729" t="n">
        <x:f>COUNTA('Coaching Effectiveness Metrics'!A5:A100)</x:f>
        <x:v>22</x:v>
      </x:c>
    </x:row>
    <x:row r="21" ht="24" customHeight="1">
      <x:c r="A21" s="755" t="str">
        <x:v>Current interpretation</x:v>
      </x:c>
      <x:c r="B21" s="755"/>
      <x:c r="C21" s="755"/>
      <x:c r="D21" s="755"/>
      <x:c r="E21" s="755"/>
      <x:c r="F21" s="755"/>
      <x:c r="G21" s="755"/>
      <x:c r="H21" s="755"/>
      <x:c r="I21" s="755"/>
      <x:c r="J21" s="755"/>
    </x:row>
    <x:row r="22" ht="30" customHeight="1">
      <x:c r="A22" s="703" t="str">
        <x:v>#</x:v>
      </x:c>
      <x:c r="B22" s="705" t="str">
        <x:v>Interpretation</x:v>
      </x:c>
    </x:row>
    <x:row r="23">
      <x:c r="A23" s="722" t="str">
        <x:v>1</x:v>
      </x:c>
      <x:c r="B23" s="724" t="str">
        <x:v>Stage 8 is specification-complete: capability architecture, evidence qualification, multidimensional scoring, claim reconciliation, baseline assessment, role readiness, review/audit, APIs, backlog, risks, ADRs and gate criteria.</x:v>
      </x:c>
      <x:c r="C23" s="279"/>
      <x:c r="D23" s="279"/>
      <x:c r="E23" s="279"/>
      <x:c r="F23" s="279"/>
      <x:c r="G23" s="279"/>
      <x:c r="H23" s="279"/>
      <x:c r="I23" s="279"/>
      <x:c r="J23" s="279"/>
    </x:row>
    <x:row r="24">
      <x:c r="A24" s="725" t="str">
        <x:v>2</x:v>
      </x:c>
      <x:c r="B24" s="726" t="str">
        <x:v>Stage 9 is specification-complete: coach architecture, modes/triggers, intervention policy, learning loop, artefacts, effectiveness metrics, manager/L&amp;D reporting, APIs, backlog, risks, ADRs and gate criteria.</x:v>
      </x:c>
      <x:c r="C24" s="279"/>
      <x:c r="D24" s="279"/>
      <x:c r="E24" s="279"/>
      <x:c r="F24" s="279"/>
      <x:c r="G24" s="279"/>
      <x:c r="H24" s="279"/>
      <x:c r="I24" s="279"/>
      <x:c r="J24" s="279"/>
    </x:row>
    <x:row r="25">
      <x:c r="A25" s="725" t="str">
        <x:v>3</x:v>
      </x:c>
      <x:c r="B25" s="726" t="str">
        <x:v>Capability level, evidence confidence and role readiness are separate; no single task, claim, title or activity-volume metric can determine capability.</x:v>
      </x:c>
      <x:c r="C25" s="279"/>
      <x:c r="D25" s="279"/>
      <x:c r="E25" s="279"/>
      <x:c r="F25" s="279"/>
      <x:c r="G25" s="279"/>
      <x:c r="H25" s="279"/>
      <x:c r="I25" s="279"/>
      <x:c r="J25" s="279"/>
    </x:row>
    <x:row r="26">
      <x:c r="A26" s="725" t="str">
        <x:v>4</x:v>
      </x:c>
      <x:c r="B26" s="726" t="str">
        <x:v>Learning completion is separated from practice, applied real-work evidence and reviewed capability change.</x:v>
      </x:c>
      <x:c r="C26" s="279"/>
      <x:c r="D26" s="279"/>
      <x:c r="E26" s="279"/>
      <x:c r="F26" s="279"/>
      <x:c r="G26" s="279"/>
      <x:c r="H26" s="279"/>
      <x:c r="I26" s="279"/>
      <x:c r="J26" s="279"/>
    </x:row>
    <x:row r="27">
      <x:c r="A27" s="727" t="str">
        <x:v>5</x:v>
      </x:c>
      <x:c r="B27" s="729" t="str">
        <x:v>The next execution package is one combined prompt for Stages 10 and 11: Employee/Manager Experiences plus Skill Forge and governed self-improvement.</x:v>
      </x:c>
      <x:c r="C27" s="279"/>
      <x:c r="D27" s="279"/>
      <x:c r="E27" s="279"/>
      <x:c r="F27" s="279"/>
      <x:c r="G27" s="279"/>
      <x:c r="H27" s="279"/>
      <x:c r="I27" s="279"/>
      <x:c r="J27" s="279"/>
    </x:row>
  </x:sheetData>
  <x:mergeCells>
    <x:mergeCell ref="A1:J1"/>
    <x:mergeCell ref="A2:J2"/>
    <x:mergeCell ref="A21:J21"/>
    <x:mergeCell ref="B23:J23"/>
    <x:mergeCell ref="B24:J24"/>
    <x:mergeCell ref="B25:J25"/>
    <x:mergeCell ref="B26:J26"/>
    <x:mergeCell ref="B27:J27"/>
  </x:mergeCells>
  <x:conditionalFormatting sqref="B5:B8">
    <x:cfRule type="dataBar" priority="1">
      <x:dataBar>
        <x:cfvo type="min"/>
        <x:cfvo type="max"/>
        <x:color rgb="FFA02B93"/>
      </x:dataBar>
      <x:extLst>
        <x:ext xmlns:x14="http://schemas.microsoft.com/office/spreadsheetml/2009/9/main" uri="{B025F937-C7B1-47D3-B67F-A62EFF666E3E}">
          <x14:id>{981D2403-CD71-FFEF-6C84-3268CEE9B3C3}</x14:id>
        </x:ext>
      </x:extLst>
    </x:cfRule>
  </x:conditionalFormatting>
  <x:pageMargins left="0.7" right="0.7" top="0.75" bottom="0.75" header="0.3" footer="0.3"/>
  <x:drawing xmlns:r="http://schemas.openxmlformats.org/officeDocument/2006/relationships" r:id="Rc3d6088d64544275"/>
  <x:extLst>
    <x:ext xmlns:x14="http://schemas.microsoft.com/office/spreadsheetml/2009/9/main" xmlns:xm="http://schemas.microsoft.com/office/excel/2006/main" uri="{78C0D931-6437-407d-A8EE-F0AAD7539E65}">
      <x14:conditionalFormattings>
        <x14:conditionalFormatting>
          <x14:cfRule type="dataBar" priority="1" id="{981D2403-CD71-FFEF-6C84-3268CEE9B3C3}">
            <x14:dataBar gradient="1">
              <x14:cfvo type="min"/>
              <x14:cfvo type="max"/>
              <x14:fillColor rgb="FFA02B93"/>
            </x14:dataBar>
          </x14:cfRule>
          <xm:sqref>B5:B8</xm:sqref>
        </x14:conditionalFormatting>
      </x14:conditionalFormattings>
    </x:ext>
  </x:extLst>
</x:worksheet>
</file>

<file path=xl/worksheets/sheet114.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0" hidden="0" customWidth="1"/>
    <x:col min="5" max="5" width="34" hidden="0" customWidth="1"/>
    <x:col min="6" max="6" width="46" hidden="0" customWidth="1"/>
    <x:col min="7" max="7" width="38" hidden="0" customWidth="1"/>
    <x:col min="8" max="8" width="58" hidden="0" customWidth="1"/>
    <x:col min="9" max="9" width="12" hidden="0" customWidth="1"/>
    <x:col min="10" max="10" width="18" hidden="0" customWidth="1"/>
    <x:col min="11" max="11" width="32" hidden="0" customWidth="1"/>
  </x:cols>
  <x:sheetData>
    <x:row r="1" ht="30" customHeight="1">
      <x:c r="A1" s="687" t="str">
        <x:v>Stage 8 — Capability Graph Architecture</x:v>
      </x:c>
      <x:c r="B1" s="687"/>
      <x:c r="C1" s="687"/>
      <x:c r="D1" s="687"/>
      <x:c r="E1" s="687"/>
      <x:c r="F1" s="687"/>
      <x:c r="G1" s="687"/>
      <x:c r="H1" s="687"/>
      <x:c r="I1" s="687"/>
      <x:c r="J1" s="687"/>
      <x:c r="K1" s="687"/>
    </x:row>
    <x:row r="2" ht="36" customHeight="1">
      <x:c r="A2" s="691" t="str">
        <x:v>HumanOS architecture for capability definitions, role contracts, claims, reviewed evidence, multidimensional scoring recommendations, person capability state, role readiness, reassessment and review.</x:v>
      </x:c>
      <x:c r="B2" s="691"/>
      <x:c r="C2" s="691"/>
      <x:c r="D2" s="691"/>
      <x:c r="E2" s="691"/>
      <x:c r="F2" s="691"/>
      <x:c r="G2" s="691"/>
      <x:c r="H2" s="691"/>
      <x:c r="I2" s="691"/>
      <x:c r="J2" s="691"/>
      <x:c r="K2" s="691"/>
    </x:row>
    <x:row r="4" ht="30" customHeight="1">
      <x:c r="A4" s="703" t="str">
        <x:v>ID</x:v>
      </x:c>
      <x:c r="B4" s="704" t="str">
        <x:v>Component</x:v>
      </x:c>
      <x:c r="C4" s="704" t="str">
        <x:v>Responsibility</x:v>
      </x:c>
      <x:c r="D4" s="704" t="str">
        <x:v>Runtime / implementation</x:v>
      </x:c>
      <x:c r="E4" s="704" t="str">
        <x:v>Data / state</x:v>
      </x:c>
      <x:c r="F4" s="704" t="str">
        <x:v>Consumes / integrates</x:v>
      </x:c>
      <x:c r="G4" s="704" t="str">
        <x:v>Publishes / exposes</x:v>
      </x:c>
      <x:c r="H4" s="704" t="str">
        <x:v>Security / governance rule</x:v>
      </x:c>
      <x:c r="I4" s="704" t="str">
        <x:v>Priority</x:v>
      </x:c>
      <x:c r="J4" s="704" t="str">
        <x:v>Status</x:v>
      </x:c>
      <x:c r="K4" s="705" t="str">
        <x:v>Source / basis</x:v>
      </x:c>
    </x:row>
    <x:row r="5">
      <x:c r="A5" s="722" t="str">
        <x:v>S8-ARC-001</x:v>
      </x:c>
      <x:c r="B5" s="723" t="str">
        <x:v>Capability Catalogue</x:v>
      </x:c>
      <x:c r="C5" s="723" t="str">
        <x:v>Own canonical capability definitions, versions, aliases, hierarchy and external mappings.</x:v>
      </x:c>
      <x:c r="D5" s="723" t="str">
        <x:v>Java/Spring Boot module inside Capability Domain</x:v>
      </x:c>
      <x:c r="E5" s="723" t="str">
        <x:v>PostgreSQL</x:v>
      </x:c>
      <x:c r="F5" s="723" t="str">
        <x:v>Stage 2 Capability/Level definitions; SFIA/NICE/ESCO/O*NET mappings</x:v>
      </x:c>
      <x:c r="G5" s="723" t="str">
        <x:v>capability.definition.versioned.v1</x:v>
      </x:c>
      <x:c r="H5" s="723" t="str">
        <x:v>External frameworks are references/mappings, not employee evidence.</x:v>
      </x:c>
      <x:c r="I5" s="723" t="str">
        <x:v>Critical</x:v>
      </x:c>
      <x:c r="J5" s="723" t="str">
        <x:v>Draft Complete</x:v>
      </x:c>
      <x:c r="K5" s="724"/>
    </x:row>
    <x:row r="6">
      <x:c r="A6" s="730" t="str">
        <x:v>S8-ARC-002</x:v>
      </x:c>
      <x:c r="B6" s="731" t="str">
        <x:v>Role Capability Contract Registry</x:v>
      </x:c>
      <x:c r="C6" s="731" t="str">
        <x:v>Own approved RoleVersion requirements, critical capabilities, target levels and evidence rubrics.</x:v>
      </x:c>
      <x:c r="D6" s="731" t="str">
        <x:v>Java/Spring Boot</x:v>
      </x:c>
      <x:c r="E6" s="731" t="str">
        <x:v>PostgreSQL</x:v>
      </x:c>
      <x:c r="F6" s="731" t="str">
        <x:v>HumanOS Organisation/Role; Stage 2 RoleVersion</x:v>
      </x:c>
      <x:c r="G6" s="731" t="str">
        <x:v>role.capability.contract.activated.v1</x:v>
      </x:c>
      <x:c r="H6" s="731" t="str">
        <x:v>Assessment uses the role version active at evidence/task time.</x:v>
      </x:c>
      <x:c r="I6" s="731" t="str">
        <x:v>Critical</x:v>
      </x:c>
      <x:c r="J6" s="731" t="str">
        <x:v>Draft Complete</x:v>
      </x:c>
      <x:c r="K6" s="732"/>
    </x:row>
    <x:row r="7">
      <x:c r="A7" s="725" t="str">
        <x:v>S8-ARC-003</x:v>
      </x:c>
      <x:c r="B7" s="114" t="str">
        <x:v>Claim Intake</x:v>
      </x:c>
      <x:c r="C7" s="114" t="str">
        <x:v>Capture employee self-declarations, CV/interview claims, certifications and stated development goals.</x:v>
      </x:c>
      <x:c r="D7" s="114" t="str">
        <x:v>Java/Spring Boot</x:v>
      </x:c>
      <x:c r="E7" s="114" t="str">
        <x:v>PostgreSQL</x:v>
      </x:c>
      <x:c r="F7" s="114" t="str">
        <x:v>HumanOS Identity/HR integrations; employee portal</x:v>
      </x:c>
      <x:c r="G7" s="114" t="str">
        <x:v>employee.capability.claim.created.v1</x:v>
      </x:c>
      <x:c r="H7" s="114" t="str">
        <x:v>Claim remains a claim; neutral status and employee visibility.</x:v>
      </x:c>
      <x:c r="I7" s="114" t="str">
        <x:v>Critical</x:v>
      </x:c>
      <x:c r="J7" s="114" t="str">
        <x:v>Draft Complete</x:v>
      </x:c>
      <x:c r="K7" s="726"/>
    </x:row>
    <x:row r="8">
      <x:c r="A8" s="730" t="str">
        <x:v>S8-ARC-004</x:v>
      </x:c>
      <x:c r="B8" s="731" t="str">
        <x:v>Evidence Qualifier</x:v>
      </x:c>
      <x:c r="C8" s="731" t="str">
        <x:v>Convert reviewed Stage 7 task assessments, artefacts and reviewer evidence into capability-evidence candidates.</x:v>
      </x:c>
      <x:c r="D8" s="731" t="str">
        <x:v>Java/Spring Boot rules</x:v>
      </x:c>
      <x:c r="E8" s="731" t="str">
        <x:v>PostgreSQL + evidence references</x:v>
      </x:c>
      <x:c r="F8" s="731" t="str">
        <x:v>Stage 7 TaskAssessment/ReviewDecision; Stage 4 Evidence</x:v>
      </x:c>
      <x:c r="G8" s="731" t="str">
        <x:v>capability.evidence.candidate.created.v1</x:v>
      </x:c>
      <x:c r="H8" s="731" t="str">
        <x:v>Raw activity volume is never capability evidence.</x:v>
      </x:c>
      <x:c r="I8" s="731" t="str">
        <x:v>Critical</x:v>
      </x:c>
      <x:c r="J8" s="731" t="str">
        <x:v>Draft Complete</x:v>
      </x:c>
      <x:c r="K8" s="732"/>
    </x:row>
    <x:row r="9">
      <x:c r="A9" s="725" t="str">
        <x:v>S8-ARC-005</x:v>
      </x:c>
      <x:c r="B9" s="114" t="str">
        <x:v>Evidence Context Resolver</x:v>
      </x:c>
      <x:c r="C9" s="114" t="str">
        <x:v>Attach task difficulty, role/task version, guidance, blockers, tool/context and accommodation-safe context.</x:v>
      </x:c>
      <x:c r="D9" s="114" t="str">
        <x:v>Java/Spring Boot</x:v>
      </x:c>
      <x:c r="E9" s="114" t="str">
        <x:v>PostgreSQL/read models</x:v>
      </x:c>
      <x:c r="F9" s="114" t="str">
        <x:v>Task contracts, blockers, review and employee corrections</x:v>
      </x:c>
      <x:c r="G9" s="114" t="str">
        <x:v>capability.evidence.context.resolved.v1</x:v>
      </x:c>
      <x:c r="H9" s="114" t="str">
        <x:v>Known blockers and insufficient evidence cannot become negative capability evidence.</x:v>
      </x:c>
      <x:c r="I9" s="114" t="str">
        <x:v>Critical</x:v>
      </x:c>
      <x:c r="J9" s="114" t="str">
        <x:v>Draft Complete</x:v>
      </x:c>
      <x:c r="K9" s="726"/>
    </x:row>
    <x:row r="10">
      <x:c r="A10" s="730" t="str">
        <x:v>S8-ARC-006</x:v>
      </x:c>
      <x:c r="B10" s="731" t="str">
        <x:v>Capability Scoring Recommender</x:v>
      </x:c>
      <x:c r="C10" s="731" t="str">
        <x:v>Produce multidimensional evidence and level-change recommendations.</x:v>
      </x:c>
      <x:c r="D10" s="731" t="str">
        <x:v>Python/FastAPI workers</x:v>
      </x:c>
      <x:c r="E10" s="731" t="str">
        <x:v>Evaluation/model artefact store</x:v>
      </x:c>
      <x:c r="F10" s="731" t="str">
        <x:v>Qualified evidence vectors; current state; rubric</x:v>
      </x:c>
      <x:c r="G10" s="731" t="str">
        <x:v>capability.scoring.recommendation.created.v1</x:v>
      </x:c>
      <x:c r="H10" s="731" t="str">
        <x:v>Recommendation only; no direct high-impact state write.</x:v>
      </x:c>
      <x:c r="I10" s="731" t="str">
        <x:v>Critical</x:v>
      </x:c>
      <x:c r="J10" s="731" t="str">
        <x:v>Draft Complete</x:v>
      </x:c>
      <x:c r="K10" s="732"/>
    </x:row>
    <x:row r="11">
      <x:c r="A11" s="725" t="str">
        <x:v>S8-ARC-007</x:v>
      </x:c>
      <x:c r="B11" s="114" t="str">
        <x:v>Person Capability State</x:v>
      </x:c>
      <x:c r="C11" s="114" t="str">
        <x:v>Own current level, confidence, consistency, recency, transfer, evidence coverage and lifecycle status.</x:v>
      </x:c>
      <x:c r="D11" s="114" t="str">
        <x:v>Java/Spring Boot aggregate</x:v>
      </x:c>
      <x:c r="E11" s="114" t="str">
        <x:v>PostgreSQL</x:v>
      </x:c>
      <x:c r="F11" s="114" t="str">
        <x:v>Approved capability evidence; review decisions</x:v>
      </x:c>
      <x:c r="G11" s="114" t="str">
        <x:v>person.capability.state.updated.v1</x:v>
      </x:c>
      <x:c r="H11" s="114" t="str">
        <x:v>Every update is versioned, evidence-linked and challengeable.</x:v>
      </x:c>
      <x:c r="I11" s="114" t="str">
        <x:v>Critical</x:v>
      </x:c>
      <x:c r="J11" s="114" t="str">
        <x:v>Draft Complete</x:v>
      </x:c>
      <x:c r="K11" s="726"/>
    </x:row>
    <x:row r="12">
      <x:c r="A12" s="730" t="str">
        <x:v>S8-ARC-008</x:v>
      </x:c>
      <x:c r="B12" s="731" t="str">
        <x:v>Claim-Evidence Reconciliation</x:v>
      </x:c>
      <x:c r="C12" s="731" t="str">
        <x:v>Compare claim with observed evidence without making dishonesty conclusions.</x:v>
      </x:c>
      <x:c r="D12" s="731" t="str">
        <x:v>Java workflow + Python matching support</x:v>
      </x:c>
      <x:c r="E12" s="731" t="str">
        <x:v>PostgreSQL/workflow state</x:v>
      </x:c>
      <x:c r="F12" s="731" t="str">
        <x:v>Claims, capability state, employee response, reviewer decision</x:v>
      </x:c>
      <x:c r="G12" s="731" t="str">
        <x:v>claim.evidence.discrepancy.opened/resolved.v1</x:v>
      </x:c>
      <x:c r="H12" s="731" t="str">
        <x:v>Use neutral discrepancy states and human review.</x:v>
      </x:c>
      <x:c r="I12" s="731" t="str">
        <x:v>Critical</x:v>
      </x:c>
      <x:c r="J12" s="731" t="str">
        <x:v>Draft Complete</x:v>
      </x:c>
      <x:c r="K12" s="732"/>
    </x:row>
    <x:row r="13">
      <x:c r="A13" s="725" t="str">
        <x:v>S8-ARC-009</x:v>
      </x:c>
      <x:c r="B13" s="114" t="str">
        <x:v>Baseline Assessment Orchestrator</x:v>
      </x:c>
      <x:c r="C13" s="114" t="str">
        <x:v>Coordinate self-assessment, diagnostics, simulations, supervised tasks, review and initial learning plan.</x:v>
      </x:c>
      <x:c r="D13" s="114" t="str">
        <x:v>Java/Spring + HumanOS Workflow Runtime</x:v>
      </x:c>
      <x:c r="E13" s="114" t="str">
        <x:v>PostgreSQL + evidence refs</x:v>
      </x:c>
      <x:c r="F13" s="114" t="str">
        <x:v>Role contract, task templates, Model Gateway, reviewers</x:v>
      </x:c>
      <x:c r="G13" s="114" t="str">
        <x:v>baseline.assessment.state.changed.v1</x:v>
      </x:c>
      <x:c r="H13" s="114" t="str">
        <x:v>Baseline is provisional and time-limited.</x:v>
      </x:c>
      <x:c r="I13" s="114" t="str">
        <x:v>High</x:v>
      </x:c>
      <x:c r="J13" s="114" t="str">
        <x:v>Draft Complete</x:v>
      </x:c>
      <x:c r="K13" s="726"/>
    </x:row>
    <x:row r="14">
      <x:c r="A14" s="730" t="str">
        <x:v>S8-ARC-010</x:v>
      </x:c>
      <x:c r="B14" s="731" t="str">
        <x:v>Role Readiness Evaluator</x:v>
      </x:c>
      <x:c r="C14" s="731" t="str">
        <x:v>Compare evidence-backed capability states with a target RoleVersion.</x:v>
      </x:c>
      <x:c r="D14" s="731" t="str">
        <x:v>Java rules + Python recommendation</x:v>
      </x:c>
      <x:c r="E14" s="731" t="str">
        <x:v>PostgreSQL read model</x:v>
      </x:c>
      <x:c r="F14" s="731" t="str">
        <x:v>Role requirements, capability states, critical-gap rules</x:v>
      </x:c>
      <x:c r="G14" s="731" t="str">
        <x:v>role.readiness.assessed.v1</x:v>
      </x:c>
      <x:c r="H14" s="731" t="str">
        <x:v>Readiness is developmental; not automatic hiring/pay/promotion decision.</x:v>
      </x:c>
      <x:c r="I14" s="731" t="str">
        <x:v>Critical</x:v>
      </x:c>
      <x:c r="J14" s="731" t="str">
        <x:v>Draft Complete</x:v>
      </x:c>
      <x:c r="K14" s="732"/>
    </x:row>
    <x:row r="15">
      <x:c r="A15" s="725" t="str">
        <x:v>S8-ARC-011</x:v>
      </x:c>
      <x:c r="B15" s="114" t="str">
        <x:v>Gap Classifier</x:v>
      </x:c>
      <x:c r="C15" s="114" t="str">
        <x:v>Identify evidence-backed knowledge, execution, autonomy, verification, transfer or tool-use gaps.</x:v>
      </x:c>
      <x:c r="D15" s="114" t="str">
        <x:v>Python recommendation + Java durable state</x:v>
      </x:c>
      <x:c r="E15" s="114" t="str">
        <x:v>PostgreSQL</x:v>
      </x:c>
      <x:c r="F15" s="114" t="str">
        <x:v>Task blockers, capability evidence, role requirements</x:v>
      </x:c>
      <x:c r="G15" s="114" t="str">
        <x:v>capability.gap.candidate.created.v1</x:v>
      </x:c>
      <x:c r="H15" s="114" t="str">
        <x:v>Environmental/requirement blockers remain separate from person gaps.</x:v>
      </x:c>
      <x:c r="I15" s="114" t="str">
        <x:v>High</x:v>
      </x:c>
      <x:c r="J15" s="114" t="str">
        <x:v>Draft Complete</x:v>
      </x:c>
      <x:c r="K15" s="726"/>
    </x:row>
    <x:row r="16">
      <x:c r="A16" s="730" t="str">
        <x:v>S8-ARC-012</x:v>
      </x:c>
      <x:c r="B16" s="731" t="str">
        <x:v>Reassessment and Expiry Monitor</x:v>
      </x:c>
      <x:c r="C16" s="731" t="str">
        <x:v>Flag stale evidence, role/tool changes, contradictory evidence and reassessment requirements.</x:v>
      </x:c>
      <x:c r="D16" s="731" t="str">
        <x:v>Java scheduled/event workers</x:v>
      </x:c>
      <x:c r="E16" s="731" t="str">
        <x:v>PostgreSQL</x:v>
      </x:c>
      <x:c r="F16" s="731" t="str">
        <x:v>Capability state, taxonomy/role versions, evidence dates</x:v>
      </x:c>
      <x:c r="G16" s="731" t="str">
        <x:v>capability.reassessment.required.v1</x:v>
      </x:c>
      <x:c r="H16" s="731" t="str">
        <x:v>Old evidence is downweighted or marked stale, not deleted without policy.</x:v>
      </x:c>
      <x:c r="I16" s="731" t="str">
        <x:v>High</x:v>
      </x:c>
      <x:c r="J16" s="731" t="str">
        <x:v>Draft Complete</x:v>
      </x:c>
      <x:c r="K16" s="732"/>
    </x:row>
    <x:row r="17">
      <x:c r="A17" s="725" t="str">
        <x:v>S8-ARC-013</x:v>
      </x:c>
      <x:c r="B17" s="114" t="str">
        <x:v>External Framework Mapping</x:v>
      </x:c>
      <x:c r="C17" s="114" t="str">
        <x:v>Map HumanOS capability IDs to SFIA, NICE, ESCO and O*NET concepts/versions.</x:v>
      </x:c>
      <x:c r="D17" s="114" t="str">
        <x:v>Java/Spring mapping module</x:v>
      </x:c>
      <x:c r="E17" s="114" t="str">
        <x:v>PostgreSQL mapping tables</x:v>
      </x:c>
      <x:c r="F17" s="114" t="str">
        <x:v>External framework datasets/API imports</x:v>
      </x:c>
      <x:c r="G17" s="114" t="str">
        <x:v>capability.mapping.versioned.v1</x:v>
      </x:c>
      <x:c r="H17" s="114" t="str">
        <x:v>Mappings support interoperability; HumanOS semantics remain authoritative.</x:v>
      </x:c>
      <x:c r="I17" s="114" t="str">
        <x:v>Medium</x:v>
      </x:c>
      <x:c r="J17" s="114" t="str">
        <x:v>Draft Complete</x:v>
      </x:c>
      <x:c r="K17" s="726"/>
    </x:row>
    <x:row r="18">
      <x:c r="A18" s="730" t="str">
        <x:v>S8-ARC-014</x:v>
      </x:c>
      <x:c r="B18" s="731" t="str">
        <x:v>Capability Review and Appeal</x:v>
      </x:c>
      <x:c r="C18" s="731" t="str">
        <x:v>Route level changes, discrepancies, disputes, reassessments and role-readiness reviews.</x:v>
      </x:c>
      <x:c r="D18" s="731" t="str">
        <x:v>HumanOS Workflow Runtime + Java domain service</x:v>
      </x:c>
      <x:c r="E18" s="731" t="str">
        <x:v>PostgreSQL + Audit</x:v>
      </x:c>
      <x:c r="F18" s="731" t="str">
        <x:v>Employee portal, HR/L&amp;D, domain reviewers</x:v>
      </x:c>
      <x:c r="G18" s="731" t="str">
        <x:v>capability.review.decision.recorded.v1</x:v>
      </x:c>
      <x:c r="H18" s="731" t="str">
        <x:v>Meaningful reviewer authority and employee appeal.</x:v>
      </x:c>
      <x:c r="I18" s="731" t="str">
        <x:v>Critical</x:v>
      </x:c>
      <x:c r="J18" s="731" t="str">
        <x:v>Draft Complete</x:v>
      </x:c>
      <x:c r="K18" s="732"/>
    </x:row>
    <x:row r="19">
      <x:c r="A19" s="725" t="str">
        <x:v>S8-ARC-015</x:v>
      </x:c>
      <x:c r="B19" s="114" t="str">
        <x:v>Capability Employee View</x:v>
      </x:c>
      <x:c r="C19" s="114" t="str">
        <x:v>Show claims, evidence summaries, current state, confidence, freshness, gaps and progress.</x:v>
      </x:c>
      <x:c r="D19" s="114" t="str">
        <x:v>Java APIs + HumanOS frontend</x:v>
      </x:c>
      <x:c r="E19" s="114" t="str">
        <x:v>Read model</x:v>
      </x:c>
      <x:c r="F19" s="114" t="str">
        <x:v>Capability state, review, learning plan</x:v>
      </x:c>
      <x:c r="G19" s="114" t="str">
        <x:v>Employee-facing APIs</x:v>
      </x:c>
      <x:c r="H19" s="114" t="str">
        <x:v>Employee sees evidence and can correct/challenge.</x:v>
      </x:c>
      <x:c r="I19" s="114" t="str">
        <x:v>Critical</x:v>
      </x:c>
      <x:c r="J19" s="114" t="str">
        <x:v>Draft Complete</x:v>
      </x:c>
      <x:c r="K19" s="726"/>
    </x:row>
    <x:row r="20">
      <x:c r="A20" s="730" t="str">
        <x:v>S8-ARC-016</x:v>
      </x:c>
      <x:c r="B20" s="731" t="str">
        <x:v>Manager/HR Development View</x:v>
      </x:c>
      <x:c r="C20" s="731" t="str">
        <x:v>Provide role requirement coverage, support needs and reviewed development findings.</x:v>
      </x:c>
      <x:c r="D20" s="731" t="str">
        <x:v>Java reporting/read model</x:v>
      </x:c>
      <x:c r="E20" s="731" t="str">
        <x:v>PostgreSQL read models</x:v>
      </x:c>
      <x:c r="F20" s="731" t="str">
        <x:v>Reviewed capability/readiness data</x:v>
      </x:c>
      <x:c r="G20" s="731" t="str">
        <x:v>Development summary API</x:v>
      </x:c>
      <x:c r="H20" s="731" t="str">
        <x:v>No raw activity or private coaching content by default.</x:v>
      </x:c>
      <x:c r="I20" s="731" t="str">
        <x:v>High</x:v>
      </x:c>
      <x:c r="J20" s="731" t="str">
        <x:v>Draft Complete</x:v>
      </x:c>
      <x:c r="K20" s="732"/>
    </x:row>
    <x:row r="21">
      <x:c r="A21" s="725" t="str">
        <x:v>S8-ARC-017</x:v>
      </x:c>
      <x:c r="B21" s="114" t="str">
        <x:v>Capability Audit and Lineage</x:v>
      </x:c>
      <x:c r="C21" s="114" t="str">
        <x:v>Record source assessment version, evidence refs, scorer/model version, review and state transition.</x:v>
      </x:c>
      <x:c r="D21" s="114" t="str">
        <x:v>HumanOS Audit extension</x:v>
      </x:c>
      <x:c r="E21" s="114" t="str">
        <x:v>Append-only audit</x:v>
      </x:c>
      <x:c r="F21" s="114" t="str">
        <x:v>All capability components</x:v>
      </x:c>
      <x:c r="G21" s="114" t="str">
        <x:v>Audit records/reports</x:v>
      </x:c>
      <x:c r="H21" s="114" t="str">
        <x:v>State must be reproducible from approved evidence and rules.</x:v>
      </x:c>
      <x:c r="I21" s="114" t="str">
        <x:v>Critical</x:v>
      </x:c>
      <x:c r="J21" s="114" t="str">
        <x:v>Draft Complete</x:v>
      </x:c>
      <x:c r="K21" s="726"/>
    </x:row>
    <x:row r="22">
      <x:c r="A22" s="733" t="str">
        <x:v>S8-ARC-018</x:v>
      </x:c>
      <x:c r="B22" s="734" t="str">
        <x:v>Domain Extension Pack</x:v>
      </x:c>
      <x:c r="C22" s="734" t="str">
        <x:v>Allow future HumanOS verticals to add capabilities, tasks, evidence rubrics and reviewers without replacing core model.</x:v>
      </x:c>
      <x:c r="D22" s="734" t="str">
        <x:v>Schema/config + Java extension points</x:v>
      </x:c>
      <x:c r="E22" s="734" t="str">
        <x:v>Capability catalogue and package registry</x:v>
      </x:c>
      <x:c r="F22" s="734" t="str">
        <x:v>Vertical product teams</x:v>
      </x:c>
      <x:c r="G22" s="734" t="str">
        <x:v>capability.pack.activated.v1</x:v>
      </x:c>
      <x:c r="H22" s="734" t="str">
        <x:v>Core identity/state/evidence semantics remain consistent.</x:v>
      </x:c>
      <x:c r="I22" s="734" t="str">
        <x:v>High</x:v>
      </x:c>
      <x:c r="J22" s="734" t="str">
        <x:v>Draft Complete</x:v>
      </x:c>
      <x:c r="K22" s="735"/>
    </x:row>
  </x:sheetData>
  <x:mergeCells>
    <x:mergeCell ref="A1:K1"/>
    <x:mergeCell ref="A2:K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15.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22" hidden="0" customWidth="1"/>
    <x:col min="5" max="5" width="24" hidden="0" customWidth="1"/>
    <x:col min="6" max="6" width="36" hidden="0" customWidth="1"/>
    <x:col min="7" max="7" width="30" hidden="0" customWidth="1"/>
    <x:col min="8" max="8" width="58" hidden="0" customWidth="1"/>
    <x:col min="9" max="9" width="18" hidden="0" customWidth="1"/>
  </x:cols>
  <x:sheetData>
    <x:row r="1" ht="30" customHeight="1">
      <x:c r="A1" s="687" t="str">
        <x:v>Stage 8 — Capability Evidence Model</x:v>
      </x:c>
      <x:c r="B1" s="687"/>
      <x:c r="C1" s="687"/>
      <x:c r="D1" s="687"/>
      <x:c r="E1" s="687"/>
      <x:c r="F1" s="687"/>
      <x:c r="G1" s="687"/>
      <x:c r="H1" s="687"/>
      <x:c r="I1" s="687"/>
    </x:row>
    <x:row r="2" ht="36" customHeight="1">
      <x:c r="A2" s="691" t="str">
        <x:v>Qualification model for converting reviewed task outcomes and context into challengeable capability evidence. Unknown, blocked and low-coverage evidence are explicitly represented.</x:v>
      </x:c>
      <x:c r="B2" s="691"/>
      <x:c r="C2" s="691"/>
      <x:c r="D2" s="691"/>
      <x:c r="E2" s="691"/>
      <x:c r="F2" s="691"/>
      <x:c r="G2" s="691"/>
      <x:c r="H2" s="691"/>
      <x:c r="I2" s="691"/>
    </x:row>
    <x:row r="4" ht="30" customHeight="1">
      <x:c r="A4" s="703" t="str">
        <x:v>ID</x:v>
      </x:c>
      <x:c r="B4" s="704" t="str">
        <x:v>Field / rule</x:v>
      </x:c>
      <x:c r="C4" s="704" t="str">
        <x:v>Definition</x:v>
      </x:c>
      <x:c r="D4" s="704" t="str">
        <x:v>Type</x:v>
      </x:c>
      <x:c r="E4" s="704" t="str">
        <x:v>Requirement</x:v>
      </x:c>
      <x:c r="F4" s="704" t="str">
        <x:v>Purpose</x:v>
      </x:c>
      <x:c r="G4" s="704" t="str">
        <x:v>Owner / source</x:v>
      </x:c>
      <x:c r="H4" s="704" t="str">
        <x:v>Validation / guardrail</x:v>
      </x:c>
      <x:c r="I4" s="705" t="str">
        <x:v>Status</x:v>
      </x:c>
    </x:row>
    <x:row r="5">
      <x:c r="A5" s="722" t="str">
        <x:v>CEV-001</x:v>
      </x:c>
      <x:c r="B5" s="723" t="str">
        <x:v>capability_evidence_id</x:v>
      </x:c>
      <x:c r="C5" s="723" t="str">
        <x:v>Unique immutable evidence candidate/approved evidence identifier.</x:v>
      </x:c>
      <x:c r="D5" s="723" t="str">
        <x:v>string</x:v>
      </x:c>
      <x:c r="E5" s="723" t="str">
        <x:v>Required</x:v>
      </x:c>
      <x:c r="F5" s="723" t="str">
        <x:v>Identity and audit.</x:v>
      </x:c>
      <x:c r="G5" s="723" t="str">
        <x:v>Capability Domain</x:v>
      </x:c>
      <x:c r="H5" s="723" t="str">
        <x:v>Stable across retries; new version for material change.</x:v>
      </x:c>
      <x:c r="I5" s="724" t="str">
        <x:v>Draft Complete</x:v>
      </x:c>
    </x:row>
    <x:row r="6">
      <x:c r="A6" s="730" t="str">
        <x:v>CEV-002</x:v>
      </x:c>
      <x:c r="B6" s="731" t="str">
        <x:v>person_id</x:v>
      </x:c>
      <x:c r="C6" s="731" t="str">
        <x:v>Employee/person to whom evidence relates.</x:v>
      </x:c>
      <x:c r="D6" s="731" t="str">
        <x:v>internal ref</x:v>
      </x:c>
      <x:c r="E6" s="731" t="str">
        <x:v>Required</x:v>
      </x:c>
      <x:c r="F6" s="731" t="str">
        <x:v>Capability state linkage.</x:v>
      </x:c>
      <x:c r="G6" s="731" t="str">
        <x:v>IAM/Capability</x:v>
      </x:c>
      <x:c r="H6" s="731" t="str">
        <x:v>No copied HR profile; tenant/person access controls.</x:v>
      </x:c>
      <x:c r="I6" s="732" t="str">
        <x:v>Draft Complete</x:v>
      </x:c>
    </x:row>
    <x:row r="7">
      <x:c r="A7" s="725" t="str">
        <x:v>CEV-003</x:v>
      </x:c>
      <x:c r="B7" s="114" t="str">
        <x:v>capability_id/version</x:v>
      </x:c>
      <x:c r="C7" s="114" t="str">
        <x:v>Canonical HumanOS capability and version.</x:v>
      </x:c>
      <x:c r="D7" s="114" t="str">
        <x:v>ref</x:v>
      </x:c>
      <x:c r="E7" s="114" t="str">
        <x:v>Required</x:v>
      </x:c>
      <x:c r="F7" s="114" t="str">
        <x:v>Taxonomy linkage.</x:v>
      </x:c>
      <x:c r="G7" s="114" t="str">
        <x:v>Capability Catalogue</x:v>
      </x:c>
      <x:c r="H7" s="114" t="str">
        <x:v>Evidence remains linked to original capability version and migration lineage.</x:v>
      </x:c>
      <x:c r="I7" s="726" t="str">
        <x:v>Draft Complete</x:v>
      </x:c>
    </x:row>
    <x:row r="8">
      <x:c r="A8" s="730" t="str">
        <x:v>CEV-004</x:v>
      </x:c>
      <x:c r="B8" s="731" t="str">
        <x:v>role_version_id</x:v>
      </x:c>
      <x:c r="C8" s="731" t="str">
        <x:v>Role contract active when evidence was produced.</x:v>
      </x:c>
      <x:c r="D8" s="731" t="str">
        <x:v>ref</x:v>
      </x:c>
      <x:c r="E8" s="731" t="str">
        <x:v>Recommended</x:v>
      </x:c>
      <x:c r="F8" s="731" t="str">
        <x:v>Context and expected level.</x:v>
      </x:c>
      <x:c r="G8" s="731" t="str">
        <x:v>Role Registry</x:v>
      </x:c>
      <x:c r="H8" s="731" t="str">
        <x:v>Role change does not rewrite historical evidence.</x:v>
      </x:c>
      <x:c r="I8" s="732" t="str">
        <x:v>Draft Complete</x:v>
      </x:c>
    </x:row>
    <x:row r="9">
      <x:c r="A9" s="725" t="str">
        <x:v>CEV-005</x:v>
      </x:c>
      <x:c r="B9" s="114" t="str">
        <x:v>task_contract_id/version</x:v>
      </x:c>
      <x:c r="C9" s="114" t="str">
        <x:v>Approved task contract that exercised the capability.</x:v>
      </x:c>
      <x:c r="D9" s="114" t="str">
        <x:v>ref</x:v>
      </x:c>
      <x:c r="E9" s="114" t="str">
        <x:v>Required for live-task evidence</x:v>
      </x:c>
      <x:c r="F9" s="114" t="str">
        <x:v>Traceability.</x:v>
      </x:c>
      <x:c r="G9" s="114" t="str">
        <x:v>Task Assurance</x:v>
      </x:c>
      <x:c r="H9" s="114" t="str">
        <x:v>No live-task capability evidence without approved task contract.</x:v>
      </x:c>
      <x:c r="I9" s="726" t="str">
        <x:v>Draft Complete</x:v>
      </x:c>
    </x:row>
    <x:row r="10">
      <x:c r="A10" s="730" t="str">
        <x:v>CEV-006</x:v>
      </x:c>
      <x:c r="B10" s="731" t="str">
        <x:v>task_assessment_id/version</x:v>
      </x:c>
      <x:c r="C10" s="731" t="str">
        <x:v>Reviewed/current task assessment supplying the evidence.</x:v>
      </x:c>
      <x:c r="D10" s="731" t="str">
        <x:v>ref</x:v>
      </x:c>
      <x:c r="E10" s="731" t="str">
        <x:v>Required</x:v>
      </x:c>
      <x:c r="F10" s="731" t="str">
        <x:v>Stage 7 source.</x:v>
      </x:c>
      <x:c r="G10" s="731" t="str">
        <x:v>Task Assurance</x:v>
      </x:c>
      <x:c r="H10" s="731" t="str">
        <x:v>Use approved/review-eligible assessment version only.</x:v>
      </x:c>
      <x:c r="I10" s="732" t="str">
        <x:v>Draft Complete</x:v>
      </x:c>
    </x:row>
    <x:row r="11">
      <x:c r="A11" s="725" t="str">
        <x:v>CEV-007</x:v>
      </x:c>
      <x:c r="B11" s="114" t="str">
        <x:v>evidence_refs</x:v>
      </x:c>
      <x:c r="C11" s="114" t="str">
        <x:v>Artefact, criterion, quality-gate, review and provenance references.</x:v>
      </x:c>
      <x:c r="D11" s="114" t="str">
        <x:v>array</x:v>
      </x:c>
      <x:c r="E11" s="114" t="str">
        <x:v>Required</x:v>
      </x:c>
      <x:c r="F11" s="114" t="str">
        <x:v>Inspectable support.</x:v>
      </x:c>
      <x:c r="G11" s="114" t="str">
        <x:v>Stage 4/7 Evidence</x:v>
      </x:c>
      <x:c r="H11" s="114" t="str">
        <x:v>References rather than copied raw content.</x:v>
      </x:c>
      <x:c r="I11" s="726" t="str">
        <x:v>Draft Complete</x:v>
      </x:c>
    </x:row>
    <x:row r="12">
      <x:c r="A12" s="730" t="str">
        <x:v>CEV-008</x:v>
      </x:c>
      <x:c r="B12" s="731" t="str">
        <x:v>evidence_polarity</x:v>
      </x:c>
      <x:c r="C12" s="731" t="str">
        <x:v>Positive, negative, neutral, contradictory or contextual.</x:v>
      </x:c>
      <x:c r="D12" s="731" t="str">
        <x:v>enum</x:v>
      </x:c>
      <x:c r="E12" s="731" t="str">
        <x:v>Required</x:v>
      </x:c>
      <x:c r="F12" s="731" t="str">
        <x:v>Interpretation.</x:v>
      </x:c>
      <x:c r="G12" s="731" t="str">
        <x:v>Capability Domain</x:v>
      </x:c>
      <x:c r="H12" s="731" t="str">
        <x:v>Negative requires fairness preconditions; contextual does not change level alone.</x:v>
      </x:c>
      <x:c r="I12" s="732" t="str">
        <x:v>Draft Complete</x:v>
      </x:c>
    </x:row>
    <x:row r="13">
      <x:c r="A13" s="725" t="str">
        <x:v>CEV-009</x:v>
      </x:c>
      <x:c r="B13" s="114" t="str">
        <x:v>source_class</x:v>
      </x:c>
      <x:c r="C13" s="114" t="str">
        <x:v>Authoritative artefact, semantic tool event, OS event, UI/visual, human review or AI recommendation.</x:v>
      </x:c>
      <x:c r="D13" s="114" t="str">
        <x:v>enum</x:v>
      </x:c>
      <x:c r="E13" s="114" t="str">
        <x:v>Required</x:v>
      </x:c>
      <x:c r="F13" s="114" t="str">
        <x:v>Reliability weighting.</x:v>
      </x:c>
      <x:c r="G13" s="114" t="str">
        <x:v>Evidence Ontology</x:v>
      </x:c>
      <x:c r="H13" s="114" t="str">
        <x:v>Source class follows Stage 2 hierarchy.</x:v>
      </x:c>
      <x:c r="I13" s="726" t="str">
        <x:v>Draft Complete</x:v>
      </x:c>
    </x:row>
    <x:row r="14">
      <x:c r="A14" s="730" t="str">
        <x:v>CEV-010</x:v>
      </x:c>
      <x:c r="B14" s="731" t="str">
        <x:v>dimension_vector</x:v>
      </x:c>
      <x:c r="C14" s="731" t="str">
        <x:v>Knowledge, execution, autonomy, complexity, quality, transfer, recovery and mentoring observations.</x:v>
      </x:c>
      <x:c r="D14" s="731" t="str">
        <x:v>object</x:v>
      </x:c>
      <x:c r="E14" s="731" t="str">
        <x:v>Required</x:v>
      </x:c>
      <x:c r="F14" s="731" t="str">
        <x:v>Multidimensional state.</x:v>
      </x:c>
      <x:c r="G14" s="731" t="str">
        <x:v>Capability Scoring</x:v>
      </x:c>
      <x:c r="H14" s="731" t="str">
        <x:v>Unset dimension remains unknown rather than zero.</x:v>
      </x:c>
      <x:c r="I14" s="732" t="str">
        <x:v>Draft Complete</x:v>
      </x:c>
    </x:row>
    <x:row r="15">
      <x:c r="A15" s="725" t="str">
        <x:v>CEV-011</x:v>
      </x:c>
      <x:c r="B15" s="114" t="str">
        <x:v>task_difficulty</x:v>
      </x:c>
      <x:c r="C15" s="114" t="str">
        <x:v>Low/medium/high/novel plus domain-specific difficulty attributes.</x:v>
      </x:c>
      <x:c r="D15" s="114" t="str">
        <x:v>object</x:v>
      </x:c>
      <x:c r="E15" s="114" t="str">
        <x:v>Required</x:v>
      </x:c>
      <x:c r="F15" s="114" t="str">
        <x:v>Evidence strength.</x:v>
      </x:c>
      <x:c r="G15" s="114" t="str">
        <x:v>Task Contract/Reviewer</x:v>
      </x:c>
      <x:c r="H15" s="114" t="str">
        <x:v>Difficulty requires task rubric or reviewer rationale.</x:v>
      </x:c>
      <x:c r="I15" s="726" t="str">
        <x:v>Draft Complete</x:v>
      </x:c>
    </x:row>
    <x:row r="16">
      <x:c r="A16" s="730" t="str">
        <x:v>CEV-012</x:v>
      </x:c>
      <x:c r="B16" s="731" t="str">
        <x:v>outcome_quality</x:v>
      </x:c>
      <x:c r="C16" s="731" t="str">
        <x:v>Verified complete, partial, failed with useful diagnosis, failed without evidence, or not assessable.</x:v>
      </x:c>
      <x:c r="D16" s="731" t="str">
        <x:v>enum/vector</x:v>
      </x:c>
      <x:c r="E16" s="731" t="str">
        <x:v>Required</x:v>
      </x:c>
      <x:c r="F16" s="731" t="str">
        <x:v>Outcome weighting.</x:v>
      </x:c>
      <x:c r="G16" s="731" t="str">
        <x:v>Task Assurance</x:v>
      </x:c>
      <x:c r="H16" s="731" t="str">
        <x:v>Not assessable evidence cannot reduce capability.</x:v>
      </x:c>
      <x:c r="I16" s="732" t="str">
        <x:v>Draft Complete</x:v>
      </x:c>
    </x:row>
    <x:row r="17">
      <x:c r="A17" s="725" t="str">
        <x:v>CEV-013</x:v>
      </x:c>
      <x:c r="B17" s="114" t="str">
        <x:v>independence_level</x:v>
      </x:c>
      <x:c r="C17" s="114" t="str">
        <x:v>Directed, assisted, independent, advanced coordination or unknown.</x:v>
      </x:c>
      <x:c r="D17" s="114" t="str">
        <x:v>enum</x:v>
      </x:c>
      <x:c r="E17" s="114" t="str">
        <x:v>Required</x:v>
      </x:c>
      <x:c r="F17" s="114" t="str">
        <x:v>Autonomy evidence.</x:v>
      </x:c>
      <x:c r="G17" s="114" t="str">
        <x:v>Task/Reviewer</x:v>
      </x:c>
      <x:c r="H17" s="114" t="str">
        <x:v>Use expected role support; support use is not failure by itself.</x:v>
      </x:c>
      <x:c r="I17" s="726" t="str">
        <x:v>Draft Complete</x:v>
      </x:c>
    </x:row>
    <x:row r="18">
      <x:c r="A18" s="730" t="str">
        <x:v>CEV-014</x:v>
      </x:c>
      <x:c r="B18" s="731" t="str">
        <x:v>guidance_profile</x:v>
      </x:c>
      <x:c r="C18" s="731" t="str">
        <x:v>Type, amount, source and repetition of guidance.</x:v>
      </x:c>
      <x:c r="D18" s="731" t="str">
        <x:v>object</x:v>
      </x:c>
      <x:c r="E18" s="731" t="str">
        <x:v>Recommended</x:v>
      </x:c>
      <x:c r="F18" s="731" t="str">
        <x:v>Assistance context.</x:v>
      </x:c>
      <x:c r="G18" s="731" t="str">
        <x:v>Coach/Reviewer/Task</x:v>
      </x:c>
      <x:c r="H18" s="731" t="str">
        <x:v>AI assistance is separated from human review and step-by-step direction.</x:v>
      </x:c>
      <x:c r="I18" s="732" t="str">
        <x:v>Draft Complete</x:v>
      </x:c>
    </x:row>
    <x:row r="19">
      <x:c r="A19" s="725" t="str">
        <x:v>CEV-015</x:v>
      </x:c>
      <x:c r="B19" s="114" t="str">
        <x:v>evidence_reliability</x:v>
      </x:c>
      <x:c r="C19" s="114" t="str">
        <x:v>Reliability score/vector based on source, completeness and corroboration.</x:v>
      </x:c>
      <x:c r="D19" s="114" t="str">
        <x:v>number/object</x:v>
      </x:c>
      <x:c r="E19" s="114" t="str">
        <x:v>Required</x:v>
      </x:c>
      <x:c r="F19" s="114" t="str">
        <x:v>Scoring confidence.</x:v>
      </x:c>
      <x:c r="G19" s="114" t="str">
        <x:v>Capability Scoring</x:v>
      </x:c>
      <x:c r="H19" s="114" t="str">
        <x:v>Not equivalent to capability confidence.</x:v>
      </x:c>
      <x:c r="I19" s="726" t="str">
        <x:v>Draft Complete</x:v>
      </x:c>
    </x:row>
    <x:row r="20">
      <x:c r="A20" s="730" t="str">
        <x:v>CEV-016</x:v>
      </x:c>
      <x:c r="B20" s="731" t="str">
        <x:v>coverage_completeness</x:v>
      </x:c>
      <x:c r="C20" s="731" t="str">
        <x:v>Sensor/adapter/task-evidence coverage and known gaps.</x:v>
      </x:c>
      <x:c r="D20" s="731" t="str">
        <x:v>number/object</x:v>
      </x:c>
      <x:c r="E20" s="731" t="str">
        <x:v>Required</x:v>
      </x:c>
      <x:c r="F20" s="731" t="str">
        <x:v>Fairness.</x:v>
      </x:c>
      <x:c r="G20" s="731" t="str">
        <x:v>Stage 4/6/7</x:v>
      </x:c>
      <x:c r="H20" s="731" t="str">
        <x:v>Low coverage prevents strong negative inference.</x:v>
      </x:c>
      <x:c r="I20" s="732" t="str">
        <x:v>Draft Complete</x:v>
      </x:c>
    </x:row>
    <x:row r="21">
      <x:c r="A21" s="725" t="str">
        <x:v>CEV-017</x:v>
      </x:c>
      <x:c r="B21" s="114" t="str">
        <x:v>blocker_exclusions</x:v>
      </x:c>
      <x:c r="C21" s="114" t="str">
        <x:v>Requirement, access, environment, dependency or other blockers excluded from negative evidence.</x:v>
      </x:c>
      <x:c r="D21" s="114" t="str">
        <x:v>array/object</x:v>
      </x:c>
      <x:c r="E21" s="114" t="str">
        <x:v>Required</x:v>
      </x:c>
      <x:c r="F21" s="114" t="str">
        <x:v>Fairness filter.</x:v>
      </x:c>
      <x:c r="G21" s="114" t="str">
        <x:v>Stage 7 Blocker Model</x:v>
      </x:c>
      <x:c r="H21" s="114" t="str">
        <x:v>Any unresolved external blocker blocks negative capability weighting.</x:v>
      </x:c>
      <x:c r="I21" s="726" t="str">
        <x:v>Draft Complete</x:v>
      </x:c>
    </x:row>
    <x:row r="22">
      <x:c r="A22" s="730" t="str">
        <x:v>CEV-018</x:v>
      </x:c>
      <x:c r="B22" s="731" t="str">
        <x:v>accommodation_context</x:v>
      </x:c>
      <x:c r="C22" s="731" t="str">
        <x:v>Protected, access-controlled flag/reference that different workflow/input/timing is an approved accommodation.</x:v>
      </x:c>
      <x:c r="D22" s="731" t="str">
        <x:v>restricted ref</x:v>
      </x:c>
      <x:c r="E22" s="731" t="str">
        <x:v>Conditional</x:v>
      </x:c>
      <x:c r="F22" s="731" t="str">
        <x:v>Fair assessment.</x:v>
      </x:c>
      <x:c r="G22" s="731" t="str">
        <x:v>HR/DPO</x:v>
      </x:c>
      <x:c r="H22" s="731" t="str">
        <x:v>Do not expose details to scoring model; use only to prevent invalid comparisons.</x:v>
      </x:c>
      <x:c r="I22" s="732" t="str">
        <x:v>Draft Complete</x:v>
      </x:c>
    </x:row>
    <x:row r="23">
      <x:c r="A23" s="725" t="str">
        <x:v>CEV-019</x:v>
      </x:c>
      <x:c r="B23" s="114" t="str">
        <x:v>transfer_context</x:v>
      </x:c>
      <x:c r="C23" s="114" t="str">
        <x:v>New tool/domain/project/team context compared with prior evidence.</x:v>
      </x:c>
      <x:c r="D23" s="114" t="str">
        <x:v>object</x:v>
      </x:c>
      <x:c r="E23" s="114" t="str">
        <x:v>Recommended</x:v>
      </x:c>
      <x:c r="F23" s="114" t="str">
        <x:v>Transfer dimension.</x:v>
      </x:c>
      <x:c r="G23" s="114" t="str">
        <x:v>Capability Scoring</x:v>
      </x:c>
      <x:c r="H23" s="114" t="str">
        <x:v>Only count transfer when context difference is material.</x:v>
      </x:c>
      <x:c r="I23" s="726" t="str">
        <x:v>Draft Complete</x:v>
      </x:c>
    </x:row>
    <x:row r="24">
      <x:c r="A24" s="730" t="str">
        <x:v>CEV-020</x:v>
      </x:c>
      <x:c r="B24" s="731" t="str">
        <x:v>recovery_observation</x:v>
      </x:c>
      <x:c r="C24" s="731" t="str">
        <x:v>Whether employee detected, explained and recovered from error.</x:v>
      </x:c>
      <x:c r="D24" s="731" t="str">
        <x:v>object</x:v>
      </x:c>
      <x:c r="E24" s="731" t="str">
        <x:v>Optional</x:v>
      </x:c>
      <x:c r="F24" s="731" t="str">
        <x:v>Recovery dimension.</x:v>
      </x:c>
      <x:c r="G24" s="731" t="str">
        <x:v>Reviewer/Task Assurance</x:v>
      </x:c>
      <x:c r="H24" s="731" t="str">
        <x:v>Rework can be positive recovery evidence.</x:v>
      </x:c>
      <x:c r="I24" s="732" t="str">
        <x:v>Draft Complete</x:v>
      </x:c>
    </x:row>
    <x:row r="25">
      <x:c r="A25" s="725" t="str">
        <x:v>CEV-021</x:v>
      </x:c>
      <x:c r="B25" s="114" t="str">
        <x:v>recency_class/observed_at</x:v>
      </x:c>
      <x:c r="C25" s="114" t="str">
        <x:v>Evidence date and recency classification.</x:v>
      </x:c>
      <x:c r="D25" s="114" t="str">
        <x:v>date-time + enum</x:v>
      </x:c>
      <x:c r="E25" s="114" t="str">
        <x:v>Required</x:v>
      </x:c>
      <x:c r="F25" s="114" t="str">
        <x:v>Time awareness.</x:v>
      </x:c>
      <x:c r="G25" s="114" t="str">
        <x:v>Capability Domain</x:v>
      </x:c>
      <x:c r="H25" s="114" t="str">
        <x:v>Recency thresholds vary by capability/tool volatility.</x:v>
      </x:c>
      <x:c r="I25" s="726" t="str">
        <x:v>Draft Complete</x:v>
      </x:c>
    </x:row>
    <x:row r="26">
      <x:c r="A26" s="730" t="str">
        <x:v>CEV-022</x:v>
      </x:c>
      <x:c r="B26" s="731" t="str">
        <x:v>consistency_group</x:v>
      </x:c>
      <x:c r="C26" s="731" t="str">
        <x:v>Comparable task/evidence cohort used to assess repeated performance.</x:v>
      </x:c>
      <x:c r="D26" s="731" t="str">
        <x:v>ref/object</x:v>
      </x:c>
      <x:c r="E26" s="731" t="str">
        <x:v>Recommended</x:v>
      </x:c>
      <x:c r="F26" s="731" t="str">
        <x:v>Consistency.</x:v>
      </x:c>
      <x:c r="G26" s="731" t="str">
        <x:v>Capability Scoring</x:v>
      </x:c>
      <x:c r="H26" s="731" t="str">
        <x:v>Avoid averaging unrelated task types.</x:v>
      </x:c>
      <x:c r="I26" s="732" t="str">
        <x:v>Draft Complete</x:v>
      </x:c>
    </x:row>
    <x:row r="27">
      <x:c r="A27" s="725" t="str">
        <x:v>CEV-023</x:v>
      </x:c>
      <x:c r="B27" s="114" t="str">
        <x:v>contradiction_refs</x:v>
      </x:c>
      <x:c r="C27" s="114" t="str">
        <x:v>Evidence that conflicts with this evidence or current state.</x:v>
      </x:c>
      <x:c r="D27" s="114" t="str">
        <x:v>array</x:v>
      </x:c>
      <x:c r="E27" s="114" t="str">
        <x:v>Conditional</x:v>
      </x:c>
      <x:c r="F27" s="114" t="str">
        <x:v>Review routing.</x:v>
      </x:c>
      <x:c r="G27" s="114" t="str">
        <x:v>Capability Domain</x:v>
      </x:c>
      <x:c r="H27" s="114" t="str">
        <x:v>Contradictions are reviewed, not blindly averaged.</x:v>
      </x:c>
      <x:c r="I27" s="726" t="str">
        <x:v>Draft Complete</x:v>
      </x:c>
    </x:row>
    <x:row r="28">
      <x:c r="A28" s="730" t="str">
        <x:v>CEV-024</x:v>
      </x:c>
      <x:c r="B28" s="731" t="str">
        <x:v>score_recommendation_ref</x:v>
      </x:c>
      <x:c r="C28" s="731" t="str">
        <x:v>Versioned Python scoring recommendation.</x:v>
      </x:c>
      <x:c r="D28" s="731" t="str">
        <x:v>ref</x:v>
      </x:c>
      <x:c r="E28" s="731" t="str">
        <x:v>Optional</x:v>
      </x:c>
      <x:c r="F28" s="731" t="str">
        <x:v>Explainability.</x:v>
      </x:c>
      <x:c r="G28" s="731" t="str">
        <x:v>Capability Scoring</x:v>
      </x:c>
      <x:c r="H28" s="731" t="str">
        <x:v>Java state service may accept, modify or reject after rules/review.</x:v>
      </x:c>
      <x:c r="I28" s="732" t="str">
        <x:v>Draft Complete</x:v>
      </x:c>
    </x:row>
    <x:row r="29">
      <x:c r="A29" s="725" t="str">
        <x:v>CEV-025</x:v>
      </x:c>
      <x:c r="B29" s="114" t="str">
        <x:v>review_status</x:v>
      </x:c>
      <x:c r="C29" s="114" t="str">
        <x:v>Candidate, pending review, approved, modified, rejected, disputed or expired.</x:v>
      </x:c>
      <x:c r="D29" s="114" t="str">
        <x:v>enum</x:v>
      </x:c>
      <x:c r="E29" s="114" t="str">
        <x:v>Required</x:v>
      </x:c>
      <x:c r="F29" s="114" t="str">
        <x:v>Lifecycle.</x:v>
      </x:c>
      <x:c r="G29" s="114" t="str">
        <x:v>Capability Review</x:v>
      </x:c>
      <x:c r="H29" s="114" t="str">
        <x:v>Only approved evidence changes stable state.</x:v>
      </x:c>
      <x:c r="I29" s="726" t="str">
        <x:v>Draft Complete</x:v>
      </x:c>
    </x:row>
    <x:row r="30">
      <x:c r="A30" s="730" t="str">
        <x:v>CEV-026</x:v>
      </x:c>
      <x:c r="B30" s="731" t="str">
        <x:v>review_decision_id</x:v>
      </x:c>
      <x:c r="C30" s="731" t="str">
        <x:v>Human review decision and rationale.</x:v>
      </x:c>
      <x:c r="D30" s="731" t="str">
        <x:v>ref</x:v>
      </x:c>
      <x:c r="E30" s="731" t="str">
        <x:v>Conditional</x:v>
      </x:c>
      <x:c r="F30" s="731" t="str">
        <x:v>High-impact audit.</x:v>
      </x:c>
      <x:c r="G30" s="731" t="str">
        <x:v>Governance</x:v>
      </x:c>
      <x:c r="H30" s="731" t="str">
        <x:v>Required for negative/stable level change under policy.</x:v>
      </x:c>
      <x:c r="I30" s="732" t="str">
        <x:v>Draft Complete</x:v>
      </x:c>
    </x:row>
    <x:row r="31">
      <x:c r="A31" s="725" t="str">
        <x:v>CEV-027</x:v>
      </x:c>
      <x:c r="B31" s="114" t="str">
        <x:v>privacy_class/retention</x:v>
      </x:c>
      <x:c r="C31" s="114" t="str">
        <x:v>Classification, retention policy and access scope.</x:v>
      </x:c>
      <x:c r="D31" s="114" t="str">
        <x:v>object</x:v>
      </x:c>
      <x:c r="E31" s="114" t="str">
        <x:v>Required</x:v>
      </x:c>
      <x:c r="F31" s="114" t="str">
        <x:v>Data governance.</x:v>
      </x:c>
      <x:c r="G31" s="114" t="str">
        <x:v>DPO/Data</x:v>
      </x:c>
      <x:c r="H31" s="114" t="str">
        <x:v>Capability evidence retention is separate from raw evidence retention.</x:v>
      </x:c>
      <x:c r="I31" s="726" t="str">
        <x:v>Draft Complete</x:v>
      </x:c>
    </x:row>
    <x:row r="32">
      <x:c r="A32" s="733" t="str">
        <x:v>CEV-028</x:v>
      </x:c>
      <x:c r="B32" s="734" t="str">
        <x:v>lineage</x:v>
      </x:c>
      <x:c r="C32" s="734" t="str">
        <x:v>Source versions, rule/model versions, mappings and corrections.</x:v>
      </x:c>
      <x:c r="D32" s="734" t="str">
        <x:v>object</x:v>
      </x:c>
      <x:c r="E32" s="734" t="str">
        <x:v>Required</x:v>
      </x:c>
      <x:c r="F32" s="734" t="str">
        <x:v>Reproducibility.</x:v>
      </x:c>
      <x:c r="G32" s="734" t="str">
        <x:v>Audit</x:v>
      </x:c>
      <x:c r="H32" s="734" t="str">
        <x:v>State must be reproducible from lineage.</x:v>
      </x:c>
      <x:c r="I32" s="735" t="str">
        <x:v>Draft Complete</x:v>
      </x:c>
    </x:row>
  </x:sheetData>
  <x:mergeCells>
    <x:mergeCell ref="A1:I1"/>
    <x:mergeCell ref="A2:I2"/>
  </x:mergeCells>
  <x:dataValidations count="1">
    <x:dataValidation type="list" sqref="I5:I32">
      <x:formula1>"Draft Complete,Needs Review,Approved,Deferred"</x:formula1>
    </x:dataValidation>
  </x:dataValidations>
  <x:pageMargins left="0.7" right="0.7" top="0.75" bottom="0.75" header="0.3" footer="0.3"/>
</x:worksheet>
</file>

<file path=xl/worksheets/sheet116.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6" hidden="0" customWidth="1"/>
    <x:col min="5" max="5" width="62" hidden="0" customWidth="1"/>
    <x:col min="6" max="6" width="54" hidden="0" customWidth="1"/>
    <x:col min="7" max="7" width="26" hidden="0" customWidth="1"/>
    <x:col min="8" max="8" width="18" hidden="0" customWidth="1"/>
  </x:cols>
  <x:sheetData>
    <x:row r="1" ht="30" customHeight="1">
      <x:c r="A1" s="687" t="str">
        <x:v>Stage 8 — Capability Scoring Model</x:v>
      </x:c>
      <x:c r="B1" s="687"/>
      <x:c r="C1" s="687"/>
      <x:c r="D1" s="687"/>
      <x:c r="E1" s="687"/>
      <x:c r="F1" s="687"/>
      <x:c r="G1" s="687"/>
      <x:c r="H1" s="687"/>
    </x:row>
    <x:row r="2" ht="36" customHeight="1">
      <x:c r="A2" s="691" t="str">
        <x:v>Multidimensional, uncertainty-aware scoring model. Default weights are planning hypotheses to be calibrated; capability level, confidence and role readiness remain separate concepts.</x:v>
      </x:c>
      <x:c r="B2" s="691"/>
      <x:c r="C2" s="691"/>
      <x:c r="D2" s="691"/>
      <x:c r="E2" s="691"/>
      <x:c r="F2" s="691"/>
      <x:c r="G2" s="691"/>
      <x:c r="H2" s="691"/>
    </x:row>
    <x:row r="4" ht="30" customHeight="1">
      <x:c r="A4" s="703" t="str">
        <x:v>ID</x:v>
      </x:c>
      <x:c r="B4" s="704" t="str">
        <x:v>Area</x:v>
      </x:c>
      <x:c r="C4" s="704" t="str">
        <x:v>Rule / factor</x:v>
      </x:c>
      <x:c r="D4" s="704" t="str">
        <x:v>Default weight</x:v>
      </x:c>
      <x:c r="E4" s="704" t="str">
        <x:v>Definition / formula</x:v>
      </x:c>
      <x:c r="F4" s="704" t="str">
        <x:v>Guardrail</x:v>
      </x:c>
      <x:c r="G4" s="704" t="str">
        <x:v>Owner</x:v>
      </x:c>
      <x:c r="H4" s="705" t="str">
        <x:v>Status</x:v>
      </x:c>
    </x:row>
    <x:row r="5">
      <x:c r="A5" s="722" t="str">
        <x:v>CSM-001</x:v>
      </x:c>
      <x:c r="B5" s="723" t="str">
        <x:v>Scoring principle</x:v>
      </x:c>
      <x:c r="C5" s="723" t="str">
        <x:v>Vector before score</x:v>
      </x:c>
      <x:c r="D5" s="736"/>
      <x:c r="E5" s="723" t="str">
        <x:v>Maintain separate knowledge, execution, autonomy, complexity, quality, transfer, recovery and mentoring evidence.</x:v>
      </x:c>
      <x:c r="F5" s="723" t="str">
        <x:v>Avoid one opaque talent score.</x:v>
      </x:c>
      <x:c r="G5" s="723" t="str">
        <x:v>Capability Scoring</x:v>
      </x:c>
      <x:c r="H5" s="724" t="str">
        <x:v>Draft Complete</x:v>
      </x:c>
    </x:row>
    <x:row r="6">
      <x:c r="A6" s="730" t="str">
        <x:v>CSM-002</x:v>
      </x:c>
      <x:c r="B6" s="731" t="str">
        <x:v>Eligibility gate</x:v>
      </x:c>
      <x:c r="C6" s="731" t="str">
        <x:v>Approved evidence only</x:v>
      </x:c>
      <x:c r="D6" s="737"/>
      <x:c r="E6" s="731" t="str">
        <x:v>Stable capability state consumes only approved capability evidence.</x:v>
      </x:c>
      <x:c r="F6" s="731" t="str">
        <x:v>Candidate/pending evidence may appear as emerging evidence but cannot set stable level.</x:v>
      </x:c>
      <x:c r="G6" s="731" t="str">
        <x:v>Capability Domain</x:v>
      </x:c>
      <x:c r="H6" s="732" t="str">
        <x:v>Draft Complete</x:v>
      </x:c>
    </x:row>
    <x:row r="7">
      <x:c r="A7" s="725" t="str">
        <x:v>CSM-003</x:v>
      </x:c>
      <x:c r="B7" s="114" t="str">
        <x:v>Eligibility gate</x:v>
      </x:c>
      <x:c r="C7" s="114" t="str">
        <x:v>Task contract required</x:v>
      </x:c>
      <x:c r="D7" s="345"/>
      <x:c r="E7" s="114" t="str">
        <x:v>Live-task evidence must trace to approved Task Execution Contract.</x:v>
      </x:c>
      <x:c r="F7" s="114" t="str">
        <x:v>Free-form activity cannot become task capability evidence.</x:v>
      </x:c>
      <x:c r="G7" s="114" t="str">
        <x:v>Task Assurance</x:v>
      </x:c>
      <x:c r="H7" s="726" t="str">
        <x:v>Draft Complete</x:v>
      </x:c>
    </x:row>
    <x:row r="8">
      <x:c r="A8" s="730" t="str">
        <x:v>CSM-004</x:v>
      </x:c>
      <x:c r="B8" s="731" t="str">
        <x:v>Eligibility gate</x:v>
      </x:c>
      <x:c r="C8" s="731" t="str">
        <x:v>Negative evidence fairness precondition</x:v>
      </x:c>
      <x:c r="D8" s="737"/>
      <x:c r="E8" s="731" t="str">
        <x:v>Negative evidence eligible only when requirements are clear, access/resources available, task exercises capability, coverage sufficient and blockers excluded.</x:v>
      </x:c>
      <x:c r="F8" s="731" t="str">
        <x:v>Prevents unfair gap conclusions.</x:v>
      </x:c>
      <x:c r="G8" s="731" t="str">
        <x:v>DPO/Capability</x:v>
      </x:c>
      <x:c r="H8" s="732" t="str">
        <x:v>Draft Complete</x:v>
      </x:c>
    </x:row>
    <x:row r="9">
      <x:c r="A9" s="725" t="str">
        <x:v>CSM-005</x:v>
      </x:c>
      <x:c r="B9" s="114" t="str">
        <x:v>Evidence factor</x:v>
      </x:c>
      <x:c r="C9" s="114" t="str">
        <x:v>Source reliability</x:v>
      </x:c>
      <x:c r="D9" s="345" t="n">
        <x:v>0.2</x:v>
      </x:c>
      <x:c r="E9" s="114" t="str">
        <x:v>Weight authoritative artefacts and reviewed outcomes above semantic/visual/AI inference.</x:v>
      </x:c>
      <x:c r="F9" s="114" t="str">
        <x:v>Stage 2 evidence hierarchy.</x:v>
      </x:c>
      <x:c r="G9" s="114" t="str">
        <x:v>Data/Capability</x:v>
      </x:c>
      <x:c r="H9" s="726" t="str">
        <x:v>Draft Complete</x:v>
      </x:c>
    </x:row>
    <x:row r="10">
      <x:c r="A10" s="730" t="str">
        <x:v>CSM-006</x:v>
      </x:c>
      <x:c r="B10" s="731" t="str">
        <x:v>Evidence factor</x:v>
      </x:c>
      <x:c r="C10" s="731" t="str">
        <x:v>Outcome quality</x:v>
      </x:c>
      <x:c r="D10" s="737" t="n">
        <x:v>0.2</x:v>
      </x:c>
      <x:c r="E10" s="731" t="str">
        <x:v>Verified complete &gt; partial &gt; useful diagnosis &gt; failed without evidence; not assessable has zero negative effect.</x:v>
      </x:c>
      <x:c r="F10" s="731" t="str">
        <x:v>Outcome over activity.</x:v>
      </x:c>
      <x:c r="G10" s="731" t="str">
        <x:v>Task Assurance</x:v>
      </x:c>
      <x:c r="H10" s="732" t="str">
        <x:v>Draft Complete</x:v>
      </x:c>
    </x:row>
    <x:row r="11">
      <x:c r="A11" s="725" t="str">
        <x:v>CSM-007</x:v>
      </x:c>
      <x:c r="B11" s="114" t="str">
        <x:v>Evidence factor</x:v>
      </x:c>
      <x:c r="C11" s="114" t="str">
        <x:v>Independence</x:v>
      </x:c>
      <x:c r="D11" s="345" t="n">
        <x:v>0.15</x:v>
      </x:c>
      <x:c r="E11" s="114" t="str">
        <x:v>Compare guidance required with target role/capability level.</x:v>
      </x:c>
      <x:c r="F11" s="114" t="str">
        <x:v>Using normal tools/AI is not dependence by itself.</x:v>
      </x:c>
      <x:c r="G11" s="114" t="str">
        <x:v>Capability Lead</x:v>
      </x:c>
      <x:c r="H11" s="726" t="str">
        <x:v>Draft Complete</x:v>
      </x:c>
    </x:row>
    <x:row r="12">
      <x:c r="A12" s="730" t="str">
        <x:v>CSM-008</x:v>
      </x:c>
      <x:c r="B12" s="731" t="str">
        <x:v>Evidence factor</x:v>
      </x:c>
      <x:c r="C12" s="731" t="str">
        <x:v>Task difficulty/complexity</x:v>
      </x:c>
      <x:c r="D12" s="737" t="n">
        <x:v>0.1</x:v>
      </x:c>
      <x:c r="E12" s="731" t="str">
        <x:v>Higher-difficulty evidence has more progression value when quality is high.</x:v>
      </x:c>
      <x:c r="F12" s="731" t="str">
        <x:v>Difficulty cannot magnify poor/invalid evidence.</x:v>
      </x:c>
      <x:c r="G12" s="731" t="str">
        <x:v>Domain Reviewer</x:v>
      </x:c>
      <x:c r="H12" s="732" t="str">
        <x:v>Draft Complete</x:v>
      </x:c>
    </x:row>
    <x:row r="13">
      <x:c r="A13" s="725" t="str">
        <x:v>CSM-009</x:v>
      </x:c>
      <x:c r="B13" s="114" t="str">
        <x:v>Evidence factor</x:v>
      </x:c>
      <x:c r="C13" s="114" t="str">
        <x:v>Evidence completeness</x:v>
      </x:c>
      <x:c r="D13" s="345" t="n">
        <x:v>0.1</x:v>
      </x:c>
      <x:c r="E13" s="114" t="str">
        <x:v>Account for telemetry/adapters, criterion evidence and contradictions.</x:v>
      </x:c>
      <x:c r="F13" s="114" t="str">
        <x:v>Low coverage caps confidence and blocks strong negative states.</x:v>
      </x:c>
      <x:c r="G13" s="114" t="str">
        <x:v>Data/AI Governance</x:v>
      </x:c>
      <x:c r="H13" s="726" t="str">
        <x:v>Draft Complete</x:v>
      </x:c>
    </x:row>
    <x:row r="14">
      <x:c r="A14" s="730" t="str">
        <x:v>CSM-010</x:v>
      </x:c>
      <x:c r="B14" s="731" t="str">
        <x:v>Evidence factor</x:v>
      </x:c>
      <x:c r="C14" s="731" t="str">
        <x:v>Recency</x:v>
      </x:c>
      <x:c r="D14" s="737" t="n">
        <x:v>0.1</x:v>
      </x:c>
      <x:c r="E14" s="731" t="str">
        <x:v>Downweight stale evidence according to capability volatility.</x:v>
      </x:c>
      <x:c r="F14" s="731" t="str">
        <x:v>Technology-specific thresholds; stable interpersonal/process skills may decay slower.</x:v>
      </x:c>
      <x:c r="G14" s="731" t="str">
        <x:v>Capability Domain</x:v>
      </x:c>
      <x:c r="H14" s="732" t="str">
        <x:v>Draft Complete</x:v>
      </x:c>
    </x:row>
    <x:row r="15">
      <x:c r="A15" s="725" t="str">
        <x:v>CSM-011</x:v>
      </x:c>
      <x:c r="B15" s="114" t="str">
        <x:v>Evidence factor</x:v>
      </x:c>
      <x:c r="C15" s="114" t="str">
        <x:v>Consistency</x:v>
      </x:c>
      <x:c r="D15" s="345" t="n">
        <x:v>0.1</x:v>
      </x:c>
      <x:c r="E15" s="114" t="str">
        <x:v>Require repeated comparable evidence across tasks/contexts for stable state.</x:v>
      </x:c>
      <x:c r="F15" s="114" t="str">
        <x:v>One task remains emerging evidence.</x:v>
      </x:c>
      <x:c r="G15" s="114" t="str">
        <x:v>Capability Domain</x:v>
      </x:c>
      <x:c r="H15" s="726" t="str">
        <x:v>Draft Complete</x:v>
      </x:c>
    </x:row>
    <x:row r="16">
      <x:c r="A16" s="730" t="str">
        <x:v>CSM-012</x:v>
      </x:c>
      <x:c r="B16" s="731" t="str">
        <x:v>Evidence factor</x:v>
      </x:c>
      <x:c r="C16" s="731" t="str">
        <x:v>Transfer/recovery bonus</x:v>
      </x:c>
      <x:c r="D16" s="737" t="n">
        <x:v>0.05</x:v>
      </x:c>
      <x:c r="E16" s="731" t="str">
        <x:v>Recognise successful transfer to a new context and effective error recovery.</x:v>
      </x:c>
      <x:c r="F16" s="731" t="str">
        <x:v>Bonus cannot overcome missing core execution/quality evidence.</x:v>
      </x:c>
      <x:c r="G16" s="731" t="str">
        <x:v>Capability Lead</x:v>
      </x:c>
      <x:c r="H16" s="732" t="str">
        <x:v>Draft Complete</x:v>
      </x:c>
    </x:row>
    <x:row r="17">
      <x:c r="A17" s="725" t="str">
        <x:v>CSM-013</x:v>
      </x:c>
      <x:c r="B17" s="114" t="str">
        <x:v>Strength formula</x:v>
      </x:c>
      <x:c r="C17" s="114" t="str">
        <x:v>Qualified evidence strength</x:v>
      </x:c>
      <x:c r="D17" s="345"/>
      <x:c r="E17" s="114" t="str">
        <x:v>Reliability × outcome × independence × completeness × recency; difficulty and transfer adjust within capped ranges.</x:v>
      </x:c>
      <x:c r="F17" s="114" t="str">
        <x:v>Multiplicative core prevents one strong factor masking a zero/invalid factor.</x:v>
      </x:c>
      <x:c r="G17" s="114" t="str">
        <x:v>Python Scoring</x:v>
      </x:c>
      <x:c r="H17" s="726" t="str">
        <x:v>Draft Complete</x:v>
      </x:c>
    </x:row>
    <x:row r="18">
      <x:c r="A18" s="730" t="str">
        <x:v>CSM-014</x:v>
      </x:c>
      <x:c r="B18" s="731" t="str">
        <x:v>Confidence formula</x:v>
      </x:c>
      <x:c r="C18" s="731" t="str">
        <x:v>Capability confidence</x:v>
      </x:c>
      <x:c r="D18" s="737"/>
      <x:c r="E18" s="731" t="str">
        <x:v>Function of effective evidence count, source diversity, consistency, recency, coverage and reviewer agreement.</x:v>
      </x:c>
      <x:c r="F18" s="731" t="str">
        <x:v>Confidence is separate from capability level.</x:v>
      </x:c>
      <x:c r="G18" s="731" t="str">
        <x:v>Python Scoring</x:v>
      </x:c>
      <x:c r="H18" s="732" t="str">
        <x:v>Draft Complete</x:v>
      </x:c>
    </x:row>
    <x:row r="19">
      <x:c r="A19" s="725" t="str">
        <x:v>CSM-015</x:v>
      </x:c>
      <x:c r="B19" s="114" t="str">
        <x:v>Evidence count rule</x:v>
      </x:c>
      <x:c r="C19" s="114" t="str">
        <x:v>Effective evidence count</x:v>
      </x:c>
      <x:c r="D19" s="345"/>
      <x:c r="E19" s="114" t="str">
        <x:v>Correlated artefacts from the same task count as one evidence episode unless they demonstrate different dimensions.</x:v>
      </x:c>
      <x:c r="F19" s="114" t="str">
        <x:v>Prevents evidence inflation.</x:v>
      </x:c>
      <x:c r="G19" s="114" t="str">
        <x:v>Capability Domain</x:v>
      </x:c>
      <x:c r="H19" s="726" t="str">
        <x:v>Draft Complete</x:v>
      </x:c>
    </x:row>
    <x:row r="20">
      <x:c r="A20" s="730" t="str">
        <x:v>CSM-016</x:v>
      </x:c>
      <x:c r="B20" s="731" t="str">
        <x:v>Positive transition</x:v>
      </x:c>
      <x:c r="C20" s="731" t="str">
        <x:v>Emerging level evidence</x:v>
      </x:c>
      <x:c r="D20" s="737"/>
      <x:c r="E20" s="731" t="str">
        <x:v>One or two qualified positive items can mark emerging/partially demonstrated but not stable level increase.</x:v>
      </x:c>
      <x:c r="F20" s="731" t="str">
        <x:v>Visible development without overclaiming.</x:v>
      </x:c>
      <x:c r="G20" s="731" t="str">
        <x:v>Capability Domain</x:v>
      </x:c>
      <x:c r="H20" s="732" t="str">
        <x:v>Draft Complete</x:v>
      </x:c>
    </x:row>
    <x:row r="21">
      <x:c r="A21" s="725" t="str">
        <x:v>CSM-017</x:v>
      </x:c>
      <x:c r="B21" s="114" t="str">
        <x:v>Positive transition</x:v>
      </x:c>
      <x:c r="C21" s="114" t="str">
        <x:v>Stable level increase candidate</x:v>
      </x:c>
      <x:c r="D21" s="345"/>
      <x:c r="E21" s="114" t="str">
        <x:v>At least three qualified positive evidence episodes, relevant difficulty, independence compatible with target level, sufficient coverage and no unresolved contradiction.</x:v>
      </x:c>
      <x:c r="F21" s="114" t="str">
        <x:v>Create review request; do not auto-finalise high-impact change.</x:v>
      </x:c>
      <x:c r="G21" s="114" t="str">
        <x:v>Capability Domain</x:v>
      </x:c>
      <x:c r="H21" s="726" t="str">
        <x:v>Draft Complete</x:v>
      </x:c>
    </x:row>
    <x:row r="22">
      <x:c r="A22" s="730" t="str">
        <x:v>CSM-018</x:v>
      </x:c>
      <x:c r="B22" s="731" t="str">
        <x:v>Positive transition</x:v>
      </x:c>
      <x:c r="C22" s="731" t="str">
        <x:v>Advanced/mastery increase</x:v>
      </x:c>
      <x:c r="D22" s="737"/>
      <x:c r="E22" s="731" t="str">
        <x:v>Require varied contexts, complex outcomes, organisational impact, transfer and mentoring/standard-setting evidence.</x:v>
      </x:c>
      <x:c r="F22" s="731" t="str">
        <x:v>Title or tenure alone cannot establish advanced/mastery.</x:v>
      </x:c>
      <x:c r="G22" s="731" t="str">
        <x:v>Capability Review</x:v>
      </x:c>
      <x:c r="H22" s="732" t="str">
        <x:v>Draft Complete</x:v>
      </x:c>
    </x:row>
    <x:row r="23">
      <x:c r="A23" s="725" t="str">
        <x:v>CSM-019</x:v>
      </x:c>
      <x:c r="B23" s="114" t="str">
        <x:v>Negative transition</x:v>
      </x:c>
      <x:c r="C23" s="114" t="str">
        <x:v>Gap candidate</x:v>
      </x:c>
      <x:c r="D23" s="345"/>
      <x:c r="E23" s="114" t="str">
        <x:v>Repeated comparable misses after adequate context/support, no external blockers, clear criterion evidence and human review.</x:v>
      </x:c>
      <x:c r="F23" s="114" t="str">
        <x:v>Trigger support/training first.</x:v>
      </x:c>
      <x:c r="G23" s="114" t="str">
        <x:v>Capability Domain</x:v>
      </x:c>
      <x:c r="H23" s="726" t="str">
        <x:v>Draft Complete</x:v>
      </x:c>
    </x:row>
    <x:row r="24">
      <x:c r="A24" s="730" t="str">
        <x:v>CSM-020</x:v>
      </x:c>
      <x:c r="B24" s="731" t="str">
        <x:v>Negative transition</x:v>
      </x:c>
      <x:c r="C24" s="731" t="str">
        <x:v>Below required level</x:v>
      </x:c>
      <x:c r="D24" s="737"/>
      <x:c r="E24" s="731" t="str">
        <x:v>Role requirement gap is reviewed and confirmed; capability state remains time-bound and challengeable.</x:v>
      </x:c>
      <x:c r="F24" s="731" t="str">
        <x:v>Not equivalent to misconduct or dishonesty.</x:v>
      </x:c>
      <x:c r="G24" s="731" t="str">
        <x:v>HR/Capability Review</x:v>
      </x:c>
      <x:c r="H24" s="732" t="str">
        <x:v>Draft Complete</x:v>
      </x:c>
    </x:row>
    <x:row r="25">
      <x:c r="A25" s="725" t="str">
        <x:v>CSM-021</x:v>
      </x:c>
      <x:c r="B25" s="114" t="str">
        <x:v>Contradiction rule</x:v>
      </x:c>
      <x:c r="C25" s="114" t="str">
        <x:v>Mixed/contradictory evidence</x:v>
      </x:c>
      <x:c r="D25" s="345"/>
      <x:c r="E25" s="114" t="str">
        <x:v>Open review; preserve context differences; avoid averaging unrelated or incomparable evidence.</x:v>
      </x:c>
      <x:c r="F25" s="114" t="str">
        <x:v>May produce Context Insufficient or Requires Reassessment.</x:v>
      </x:c>
      <x:c r="G25" s="114" t="str">
        <x:v>Capability Review</x:v>
      </x:c>
      <x:c r="H25" s="726" t="str">
        <x:v>Draft Complete</x:v>
      </x:c>
    </x:row>
    <x:row r="26">
      <x:c r="A26" s="730" t="str">
        <x:v>CSM-022</x:v>
      </x:c>
      <x:c r="B26" s="731" t="str">
        <x:v>Blocker rule</x:v>
      </x:c>
      <x:c r="C26" s="731" t="str">
        <x:v>External blocker exclusion</x:v>
      </x:c>
      <x:c r="D26" s="737" t="n">
        <x:v>0</x:v>
      </x:c>
      <x:c r="E26" s="731" t="str">
        <x:v>Evidence affected by requirement/access/environment/dependency blocker cannot reduce capability.</x:v>
      </x:c>
      <x:c r="F26" s="731" t="str">
        <x:v>Can still demonstrate communication/escalation capability separately.</x:v>
      </x:c>
      <x:c r="G26" s="731" t="str">
        <x:v>DPO/Capability</x:v>
      </x:c>
      <x:c r="H26" s="732" t="str">
        <x:v>Draft Complete</x:v>
      </x:c>
    </x:row>
    <x:row r="27">
      <x:c r="A27" s="725" t="str">
        <x:v>CSM-023</x:v>
      </x:c>
      <x:c r="B27" s="114" t="str">
        <x:v>Accommodation rule</x:v>
      </x:c>
      <x:c r="C27" s="114" t="str">
        <x:v>Alternate workflow neutrality</x:v>
      </x:c>
      <x:c r="D27" s="345"/>
      <x:c r="E27" s="114" t="str">
        <x:v>Do not compare input speed, key volume or timing where accommodation/alternate method exists.</x:v>
      </x:c>
      <x:c r="F27" s="114" t="str">
        <x:v>Judge agreed outcome, quality and autonomy.</x:v>
      </x:c>
      <x:c r="G27" s="114" t="str">
        <x:v>HR/DPO</x:v>
      </x:c>
      <x:c r="H27" s="726" t="str">
        <x:v>Draft Complete</x:v>
      </x:c>
    </x:row>
    <x:row r="28">
      <x:c r="A28" s="730" t="str">
        <x:v>CSM-024</x:v>
      </x:c>
      <x:c r="B28" s="731" t="str">
        <x:v>AI-use rule</x:v>
      </x:c>
      <x:c r="C28" s="731" t="str">
        <x:v>AI tool use neutrality</x:v>
      </x:c>
      <x:c r="D28" s="737"/>
      <x:c r="E28" s="731" t="str">
        <x:v>AI generation does not reduce capability; evaluate task decomposition, review, rejection, verification and judgement.</x:v>
      </x:c>
      <x:c r="F28" s="731" t="str">
        <x:v>Manual typing is not the benchmark.</x:v>
      </x:c>
      <x:c r="G28" s="731" t="str">
        <x:v>AI Governance/Capability</x:v>
      </x:c>
      <x:c r="H28" s="732" t="str">
        <x:v>Draft Complete</x:v>
      </x:c>
    </x:row>
    <x:row r="29">
      <x:c r="A29" s="725" t="str">
        <x:v>CSM-025</x:v>
      </x:c>
      <x:c r="B29" s="114" t="str">
        <x:v>Recency class</x:v>
      </x:c>
      <x:c r="C29" s="114" t="str">
        <x:v>Current</x:v>
      </x:c>
      <x:c r="D29" s="345" t="n">
        <x:v>1</x:v>
      </x:c>
      <x:c r="E29" s="114" t="str">
        <x:v>Within capability-specific review period and tool/version still relevant.</x:v>
      </x:c>
      <x:c r="F29" s="114" t="str">
        <x:v>Full weight.</x:v>
      </x:c>
      <x:c r="G29" s="114" t="str">
        <x:v>Capability Domain</x:v>
      </x:c>
      <x:c r="H29" s="726" t="str">
        <x:v>Draft Complete</x:v>
      </x:c>
    </x:row>
    <x:row r="30">
      <x:c r="A30" s="730" t="str">
        <x:v>CSM-026</x:v>
      </x:c>
      <x:c r="B30" s="731" t="str">
        <x:v>Recency class</x:v>
      </x:c>
      <x:c r="C30" s="731" t="str">
        <x:v>Aging</x:v>
      </x:c>
      <x:c r="D30" s="737" t="n">
        <x:v>0.75</x:v>
      </x:c>
      <x:c r="E30" s="731" t="str">
        <x:v>Past preferred period but still relevant.</x:v>
      </x:c>
      <x:c r="F30" s="731" t="str">
        <x:v>May require fresh evidence before role-critical decision.</x:v>
      </x:c>
      <x:c r="G30" s="731" t="str">
        <x:v>Capability Domain</x:v>
      </x:c>
      <x:c r="H30" s="732" t="str">
        <x:v>Draft Complete</x:v>
      </x:c>
    </x:row>
    <x:row r="31">
      <x:c r="A31" s="725" t="str">
        <x:v>CSM-027</x:v>
      </x:c>
      <x:c r="B31" s="114" t="str">
        <x:v>Recency class</x:v>
      </x:c>
      <x:c r="C31" s="114" t="str">
        <x:v>Stale</x:v>
      </x:c>
      <x:c r="D31" s="345" t="n">
        <x:v>0.4</x:v>
      </x:c>
      <x:c r="E31" s="114" t="str">
        <x:v>Technology/tool or context materially changed or evidence is old.</x:v>
      </x:c>
      <x:c r="F31" s="114" t="str">
        <x:v>State becomes Requires Reassessment if critical.</x:v>
      </x:c>
      <x:c r="G31" s="114" t="str">
        <x:v>Capability Domain</x:v>
      </x:c>
      <x:c r="H31" s="726" t="str">
        <x:v>Draft Complete</x:v>
      </x:c>
    </x:row>
    <x:row r="32">
      <x:c r="A32" s="730" t="str">
        <x:v>CSM-028</x:v>
      </x:c>
      <x:c r="B32" s="731" t="str">
        <x:v>Recency class</x:v>
      </x:c>
      <x:c r="C32" s="731" t="str">
        <x:v>Expired</x:v>
      </x:c>
      <x:c r="D32" s="737" t="n">
        <x:v>0</x:v>
      </x:c>
      <x:c r="E32" s="731" t="str">
        <x:v>Evidence no longer supports current capability conclusion.</x:v>
      </x:c>
      <x:c r="F32" s="731" t="str">
        <x:v>Retain lineage according to policy; do not use for current level.</x:v>
      </x:c>
      <x:c r="G32" s="731" t="str">
        <x:v>Capability Domain</x:v>
      </x:c>
      <x:c r="H32" s="732" t="str">
        <x:v>Draft Complete</x:v>
      </x:c>
    </x:row>
    <x:row r="33">
      <x:c r="A33" s="725" t="str">
        <x:v>CSM-029</x:v>
      </x:c>
      <x:c r="B33" s="114" t="str">
        <x:v>State rule</x:v>
      </x:c>
      <x:c r="C33" s="114" t="str">
        <x:v>Critical capability floor</x:v>
      </x:c>
      <x:c r="D33" s="345"/>
      <x:c r="E33" s="114" t="str">
        <x:v>Role readiness cannot be Ready when a critical capability is below required level or lacks sufficient evidence.</x:v>
      </x:c>
      <x:c r="F33" s="114" t="str">
        <x:v>Readiness percent cannot hide critical gap.</x:v>
      </x:c>
      <x:c r="G33" s="114" t="str">
        <x:v>Role Readiness</x:v>
      </x:c>
      <x:c r="H33" s="726" t="str">
        <x:v>Draft Complete</x:v>
      </x:c>
    </x:row>
    <x:row r="34">
      <x:c r="A34" s="730" t="str">
        <x:v>CSM-030</x:v>
      </x:c>
      <x:c r="B34" s="731" t="str">
        <x:v>State rule</x:v>
      </x:c>
      <x:c r="C34" s="731" t="str">
        <x:v>Confidence floor</x:v>
      </x:c>
      <x:c r="D34" s="737"/>
      <x:c r="E34" s="731" t="str">
        <x:v>Stable capability level requires minimum calibrated confidence and reviewer status appropriate to impact.</x:v>
      </x:c>
      <x:c r="F34" s="731" t="str">
        <x:v>Low-confidence state remains provisional.</x:v>
      </x:c>
      <x:c r="G34" s="731" t="str">
        <x:v>Capability Review</x:v>
      </x:c>
      <x:c r="H34" s="732" t="str">
        <x:v>Draft Complete</x:v>
      </x:c>
    </x:row>
    <x:row r="35">
      <x:c r="A35" s="725" t="str">
        <x:v>CSM-031</x:v>
      </x:c>
      <x:c r="B35" s="114" t="str">
        <x:v>State rule</x:v>
      </x:c>
      <x:c r="C35" s="114" t="str">
        <x:v>No automatic employment action</x:v>
      </x:c>
      <x:c r="D35" s="345"/>
      <x:c r="E35" s="114" t="str">
        <x:v>Scoring output cannot directly trigger dismissal, discipline, promotion, pay or probation.</x:v>
      </x:c>
      <x:c r="F35" s="114" t="str">
        <x:v>Meaningful human review and broader evidence required.</x:v>
      </x:c>
      <x:c r="G35" s="114" t="str">
        <x:v>HR/Legal</x:v>
      </x:c>
      <x:c r="H35" s="726" t="str">
        <x:v>Draft Complete</x:v>
      </x:c>
    </x:row>
    <x:row r="36">
      <x:c r="A36" s="733" t="str">
        <x:v>CSM-032</x:v>
      </x:c>
      <x:c r="B36" s="734" t="str">
        <x:v>Calibration</x:v>
      </x:c>
      <x:c r="C36" s="734" t="str">
        <x:v>Pilot calibration</x:v>
      </x:c>
      <x:c r="D36" s="738"/>
      <x:c r="E36" s="734" t="str">
        <x:v>Tune weights/thresholds using reviewer outcomes, corrections, task diversity and subgroup/coverage analysis.</x:v>
      </x:c>
      <x:c r="F36" s="734" t="str">
        <x:v>Default weights are hypotheses, not validated psychometrics.</x:v>
      </x:c>
      <x:c r="G36" s="734" t="str">
        <x:v>AI Evaluation</x:v>
      </x:c>
      <x:c r="H36" s="735" t="str">
        <x:v>Draft Complete</x:v>
      </x:c>
    </x:row>
  </x:sheetData>
  <x:mergeCells>
    <x:mergeCell ref="A1:H1"/>
    <x:mergeCell ref="A2:H2"/>
  </x:mergeCells>
  <x:dataValidations count="1">
    <x:dataValidation type="list" sqref="H5:H36">
      <x:formula1>"Draft Complete,Needs Review,Approved,Deferred"</x:formula1>
    </x:dataValidation>
  </x:dataValidations>
  <x:pageMargins left="0.7" right="0.7" top="0.75" bottom="0.75" header="0.3" footer="0.3"/>
</x:worksheet>
</file>

<file path=xl/worksheets/sheet117.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46" hidden="0" customWidth="1"/>
    <x:col min="5" max="5" width="54" hidden="0" customWidth="1"/>
    <x:col min="6" max="6" width="54" hidden="0" customWidth="1"/>
    <x:col min="7" max="7" width="44" hidden="0" customWidth="1"/>
    <x:col min="8" max="8" width="18" hidden="0" customWidth="1"/>
  </x:cols>
  <x:sheetData>
    <x:row r="1" ht="30" customHeight="1">
      <x:c r="A1" s="687" t="str">
        <x:v>Stage 8 — Claim-Evidence Discrepancy Workflow</x:v>
      </x:c>
      <x:c r="B1" s="687"/>
      <x:c r="C1" s="687"/>
      <x:c r="D1" s="687"/>
      <x:c r="E1" s="687"/>
      <x:c r="F1" s="687"/>
      <x:c r="G1" s="687"/>
      <x:c r="H1" s="687"/>
    </x:row>
    <x:row r="2" ht="36" customHeight="1">
      <x:c r="A2" s="691" t="str">
        <x:v>Neutral, evidence-based workflow for reconciling employee claims with observed capability evidence. The workflow does not infer dishonesty.</x:v>
      </x:c>
      <x:c r="B2" s="691"/>
      <x:c r="C2" s="691"/>
      <x:c r="D2" s="691"/>
      <x:c r="E2" s="691"/>
      <x:c r="F2" s="691"/>
      <x:c r="G2" s="691"/>
      <x:c r="H2" s="691"/>
    </x:row>
    <x:row r="4" ht="30" customHeight="1">
      <x:c r="A4" s="703" t="str">
        <x:v>ID</x:v>
      </x:c>
      <x:c r="B4" s="704" t="str">
        <x:v>State</x:v>
      </x:c>
      <x:c r="C4" s="704" t="str">
        <x:v>Definition</x:v>
      </x:c>
      <x:c r="D4" s="704" t="str">
        <x:v>Entry condition</x:v>
      </x:c>
      <x:c r="E4" s="704" t="str">
        <x:v>Permitted next states</x:v>
      </x:c>
      <x:c r="F4" s="704" t="str">
        <x:v>Employee/fairness control</x:v>
      </x:c>
      <x:c r="G4" s="704" t="str">
        <x:v>Required action</x:v>
      </x:c>
      <x:c r="H4" s="705" t="str">
        <x:v>Status</x:v>
      </x:c>
    </x:row>
    <x:row r="5">
      <x:c r="A5" s="722" t="str">
        <x:v>CDW-001</x:v>
      </x:c>
      <x:c r="B5" s="723" t="str">
        <x:v>DECLARED</x:v>
      </x:c>
      <x:c r="C5" s="723" t="str">
        <x:v>Employee/CV/interview claim recorded.</x:v>
      </x:c>
      <x:c r="D5" s="723" t="str">
        <x:v>Claim creation or import.</x:v>
      </x:c>
      <x:c r="E5" s="723" t="str">
        <x:v>NOT_YET_OBSERVED / EVIDENCE_SEARCHING</x:v>
      </x:c>
      <x:c r="F5" s="723" t="str">
        <x:v>Employee can view and correct wording/level.</x:v>
      </x:c>
      <x:c r="G5" s="723" t="str">
        <x:v>No capability conclusion.</x:v>
      </x:c>
      <x:c r="H5" s="724" t="str">
        <x:v>Draft Complete</x:v>
      </x:c>
    </x:row>
    <x:row r="6">
      <x:c r="A6" s="730" t="str">
        <x:v>CDW-002</x:v>
      </x:c>
      <x:c r="B6" s="731" t="str">
        <x:v>NOT_YET_OBSERVED</x:v>
      </x:c>
      <x:c r="C6" s="731" t="str">
        <x:v>No sufficient relevant evidence exists.</x:v>
      </x:c>
      <x:c r="D6" s="731" t="str">
        <x:v>Claim exists without qualified evidence.</x:v>
      </x:c>
      <x:c r="E6" s="731" t="str">
        <x:v>EVIDENCE_SEARCHING / ALIGNED / PARTIAL_ALIGNMENT</x:v>
      </x:c>
      <x:c r="F6" s="731" t="str">
        <x:v>No negative implication.</x:v>
      </x:c>
      <x:c r="G6" s="731" t="str">
        <x:v>Seek fair opportunities to demonstrate.</x:v>
      </x:c>
      <x:c r="H6" s="732" t="str">
        <x:v>Draft Complete</x:v>
      </x:c>
    </x:row>
    <x:row r="7">
      <x:c r="A7" s="725" t="str">
        <x:v>CDW-003</x:v>
      </x:c>
      <x:c r="B7" s="114" t="str">
        <x:v>EVIDENCE_SEARCHING</x:v>
      </x:c>
      <x:c r="C7" s="114" t="str">
        <x:v>System searches reviewed tasks/assessments for relevant evidence.</x:v>
      </x:c>
      <x:c r="D7" s="114" t="str">
        <x:v>New claim, role assignment or reassessment.</x:v>
      </x:c>
      <x:c r="E7" s="114" t="str">
        <x:v>ALIGNED / PARTIAL_ALIGNMENT / DISCREPANCY_CANDIDATE / CONTEXT_INSUFFICIENT</x:v>
      </x:c>
      <x:c r="F7" s="114" t="str">
        <x:v>Search only approved, purpose-compatible evidence.</x:v>
      </x:c>
      <x:c r="G7" s="114" t="str">
        <x:v>Record search coverage.</x:v>
      </x:c>
      <x:c r="H7" s="726" t="str">
        <x:v>Draft Complete</x:v>
      </x:c>
    </x:row>
    <x:row r="8">
      <x:c r="A8" s="730" t="str">
        <x:v>CDW-004</x:v>
      </x:c>
      <x:c r="B8" s="731" t="str">
        <x:v>ALIGNED</x:v>
      </x:c>
      <x:c r="C8" s="731" t="str">
        <x:v>Reviewed evidence supports claim at or near claimed level.</x:v>
      </x:c>
      <x:c r="D8" s="731" t="str">
        <x:v>Sufficient approved evidence.</x:v>
      </x:c>
      <x:c r="E8" s="731" t="str">
        <x:v>MONITORING / REASSESSMENT</x:v>
      </x:c>
      <x:c r="F8" s="731" t="str">
        <x:v>Claim remains separate from capability state.</x:v>
      </x:c>
      <x:c r="G8" s="731" t="str">
        <x:v>No further action except normal refresh.</x:v>
      </x:c>
      <x:c r="H8" s="732" t="str">
        <x:v>Draft Complete</x:v>
      </x:c>
    </x:row>
    <x:row r="9">
      <x:c r="A9" s="725" t="str">
        <x:v>CDW-005</x:v>
      </x:c>
      <x:c r="B9" s="114" t="str">
        <x:v>PARTIAL_ALIGNMENT</x:v>
      </x:c>
      <x:c r="C9" s="114" t="str">
        <x:v>Some dimensions or contexts support the claim; others are unobserved or below claimed level.</x:v>
      </x:c>
      <x:c r="D9" s="114" t="str">
        <x:v>Mixed evidence without material contradiction.</x:v>
      </x:c>
      <x:c r="E9" s="114" t="str">
        <x:v>EMPLOYEE_RESPONSE_PENDING / TRAINING_OR_PRACTICE / REASSESSMENT</x:v>
      </x:c>
      <x:c r="F9" s="114" t="str">
        <x:v>Use developmental language.</x:v>
      </x:c>
      <x:c r="G9" s="114" t="str">
        <x:v>Clarify scope and evidence gaps.</x:v>
      </x:c>
      <x:c r="H9" s="726" t="str">
        <x:v>Draft Complete</x:v>
      </x:c>
    </x:row>
    <x:row r="10">
      <x:c r="A10" s="730" t="str">
        <x:v>CDW-006</x:v>
      </x:c>
      <x:c r="B10" s="731" t="str">
        <x:v>DISCREPANCY_CANDIDATE</x:v>
      </x:c>
      <x:c r="C10" s="731" t="str">
        <x:v>Repeated comparable evidence appears materially below claim and fairness preconditions are met.</x:v>
      </x:c>
      <x:c r="D10" s="731" t="str">
        <x:v>Eligible negative evidence threshold reached.</x:v>
      </x:c>
      <x:c r="E10" s="731" t="str">
        <x:v>CONTEXT_REVIEW</x:v>
      </x:c>
      <x:c r="F10" s="731" t="str">
        <x:v>Do not use terms such as lied or dishonest.</x:v>
      </x:c>
      <x:c r="G10" s="731" t="str">
        <x:v>Human/context review required.</x:v>
      </x:c>
      <x:c r="H10" s="732" t="str">
        <x:v>Draft Complete</x:v>
      </x:c>
    </x:row>
    <x:row r="11">
      <x:c r="A11" s="725" t="str">
        <x:v>CDW-007</x:v>
      </x:c>
      <x:c r="B11" s="114" t="str">
        <x:v>CONTEXT_REVIEW</x:v>
      </x:c>
      <x:c r="C11" s="114" t="str">
        <x:v>Check requirements, access, environment, role exposure, accommodations, support and task comparability.</x:v>
      </x:c>
      <x:c r="D11" s="114" t="str">
        <x:v>Discrepancy candidate opened.</x:v>
      </x:c>
      <x:c r="E11" s="114" t="str">
        <x:v>CONTEXT_INSUFFICIENT / EMPLOYEE_RESPONSE_PENDING / DISCREPANCY_REVIEW</x:v>
      </x:c>
      <x:c r="F11" s="114" t="str">
        <x:v>External blockers can close the candidate.</x:v>
      </x:c>
      <x:c r="G11" s="114" t="str">
        <x:v>Reviewer records context findings.</x:v>
      </x:c>
      <x:c r="H11" s="726" t="str">
        <x:v>Draft Complete</x:v>
      </x:c>
    </x:row>
    <x:row r="12">
      <x:c r="A12" s="730" t="str">
        <x:v>CDW-008</x:v>
      </x:c>
      <x:c r="B12" s="731" t="str">
        <x:v>CONTEXT_INSUFFICIENT</x:v>
      </x:c>
      <x:c r="C12" s="731" t="str">
        <x:v>Evidence cannot fairly determine alignment.</x:v>
      </x:c>
      <x:c r="D12" s="731" t="str">
        <x:v>Coverage gaps, blockers, unclear requirements or incomparable tasks.</x:v>
      </x:c>
      <x:c r="E12" s="731" t="str">
        <x:v>EVIDENCE_SEARCHING / REASSESSMENT / CLOSED</x:v>
      </x:c>
      <x:c r="F12" s="731" t="str">
        <x:v>No negative role/capability inference.</x:v>
      </x:c>
      <x:c r="G12" s="731" t="str">
        <x:v>Create better assessment opportunity.</x:v>
      </x:c>
      <x:c r="H12" s="732" t="str">
        <x:v>Draft Complete</x:v>
      </x:c>
    </x:row>
    <x:row r="13">
      <x:c r="A13" s="725" t="str">
        <x:v>CDW-009</x:v>
      </x:c>
      <x:c r="B13" s="114" t="str">
        <x:v>EMPLOYEE_RESPONSE_PENDING</x:v>
      </x:c>
      <x:c r="C13" s="114" t="str">
        <x:v>Employee receives evidence summary and can explain or correct.</x:v>
      </x:c>
      <x:c r="D13" s="114" t="str">
        <x:v>Material partial/discrepancy finding.</x:v>
      </x:c>
      <x:c r="E13" s="114" t="str">
        <x:v>DISCREPANCY_REVIEW / DISPUTED / CONTEXT_INSUFFICIENT</x:v>
      </x:c>
      <x:c r="F13" s="114" t="str">
        <x:v>Reasonable response period and evidence access.</x:v>
      </x:c>
      <x:c r="G13" s="114" t="str">
        <x:v>Response shown to reviewer.</x:v>
      </x:c>
      <x:c r="H13" s="726" t="str">
        <x:v>Draft Complete</x:v>
      </x:c>
    </x:row>
    <x:row r="14">
      <x:c r="A14" s="730" t="str">
        <x:v>CDW-010</x:v>
      </x:c>
      <x:c r="B14" s="731" t="str">
        <x:v>DISCREPANCY_REVIEW</x:v>
      </x:c>
      <x:c r="C14" s="731" t="str">
        <x:v>Qualified reviewer evaluates claim, evidence, context and employee response.</x:v>
      </x:c>
      <x:c r="D14" s="731" t="str">
        <x:v>Response received/expired per policy.</x:v>
      </x:c>
      <x:c r="E14" s="731" t="str">
        <x:v>RESOLVED_ALIGNED / RESOLVED_GAP / TRAINING_OR_PRACTICE / REASSESSMENT / DISPUTED</x:v>
      </x:c>
      <x:c r="F14" s="731" t="str">
        <x:v>Reviewer can reject AI recommendation.</x:v>
      </x:c>
      <x:c r="G14" s="731" t="str">
        <x:v>Rationale required.</x:v>
      </x:c>
      <x:c r="H14" s="732" t="str">
        <x:v>Draft Complete</x:v>
      </x:c>
    </x:row>
    <x:row r="15">
      <x:c r="A15" s="725" t="str">
        <x:v>CDW-011</x:v>
      </x:c>
      <x:c r="B15" s="114" t="str">
        <x:v>TRAINING_OR_PRACTICE</x:v>
      </x:c>
      <x:c r="C15" s="114" t="str">
        <x:v>Developmental support or practice opportunity assigned.</x:v>
      </x:c>
      <x:c r="D15" s="114" t="str">
        <x:v>Review identifies learnable gap or insufficient exposure.</x:v>
      </x:c>
      <x:c r="E15" s="114" t="str">
        <x:v>REASSESSMENT / CLOSED</x:v>
      </x:c>
      <x:c r="F15" s="114" t="str">
        <x:v>Training is not punishment and completion is not proof.</x:v>
      </x:c>
      <x:c r="G15" s="114" t="str">
        <x:v>Employee agrees learning plan where possible.</x:v>
      </x:c>
      <x:c r="H15" s="726" t="str">
        <x:v>Draft Complete</x:v>
      </x:c>
    </x:row>
    <x:row r="16">
      <x:c r="A16" s="730" t="str">
        <x:v>CDW-012</x:v>
      </x:c>
      <x:c r="B16" s="731" t="str">
        <x:v>REASSESSMENT</x:v>
      </x:c>
      <x:c r="C16" s="731" t="str">
        <x:v>New representative assessment or live task evidence is scheduled.</x:v>
      </x:c>
      <x:c r="D16" s="731" t="str">
        <x:v>Training complete, evidence stale or context insufficient.</x:v>
      </x:c>
      <x:c r="E16" s="731" t="str">
        <x:v>ALIGNED / PARTIAL_ALIGNMENT / DISCREPANCY_CANDIDATE / RESOLVED_GAP</x:v>
      </x:c>
      <x:c r="F16" s="731" t="str">
        <x:v>Assessment must be role-relevant and accessible.</x:v>
      </x:c>
      <x:c r="G16" s="731" t="str">
        <x:v>New evidence versioned.</x:v>
      </x:c>
      <x:c r="H16" s="732" t="str">
        <x:v>Draft Complete</x:v>
      </x:c>
    </x:row>
    <x:row r="17">
      <x:c r="A17" s="725" t="str">
        <x:v>CDW-013</x:v>
      </x:c>
      <x:c r="B17" s="114" t="str">
        <x:v>RESOLVED_ALIGNED</x:v>
      </x:c>
      <x:c r="C17" s="114" t="str">
        <x:v>Claim is supported or appropriately narrowed/clarified.</x:v>
      </x:c>
      <x:c r="D17" s="114" t="str">
        <x:v>Review/reassessment supports alignment.</x:v>
      </x:c>
      <x:c r="E17" s="114" t="str">
        <x:v>MONITORING / CLOSED</x:v>
      </x:c>
      <x:c r="F17" s="114" t="str">
        <x:v>Employee sees resolution.</x:v>
      </x:c>
      <x:c r="G17" s="114" t="str">
        <x:v>Capability state updates separately.</x:v>
      </x:c>
      <x:c r="H17" s="726" t="str">
        <x:v>Draft Complete</x:v>
      </x:c>
    </x:row>
    <x:row r="18">
      <x:c r="A18" s="730" t="str">
        <x:v>CDW-014</x:v>
      </x:c>
      <x:c r="B18" s="731" t="str">
        <x:v>RESOLVED_GAP</x:v>
      </x:c>
      <x:c r="C18" s="731" t="str">
        <x:v>Reviewed evidence confirms a developmental gap relative to claim or role expectation.</x:v>
      </x:c>
      <x:c r="D18" s="731" t="str">
        <x:v>Human review confirms eligible evidence.</x:v>
      </x:c>
      <x:c r="E18" s="731" t="str">
        <x:v>TRAINING_OR_PRACTICE / ROLE_IMPACT_REVIEW / CLOSED</x:v>
      </x:c>
      <x:c r="F18" s="731" t="str">
        <x:v>Not proof of dishonesty.</x:v>
      </x:c>
      <x:c r="G18" s="731" t="str">
        <x:v>Role impact requires separate HR process.</x:v>
      </x:c>
      <x:c r="H18" s="732" t="str">
        <x:v>Draft Complete</x:v>
      </x:c>
    </x:row>
    <x:row r="19">
      <x:c r="A19" s="725" t="str">
        <x:v>CDW-015</x:v>
      </x:c>
      <x:c r="B19" s="114" t="str">
        <x:v>ROLE_IMPACT_REVIEW</x:v>
      </x:c>
      <x:c r="C19" s="114" t="str">
        <x:v>Authorised HR/manager review considers broader role support or reassignment implications.</x:v>
      </x:c>
      <x:c r="D19" s="114" t="str">
        <x:v>Confirmed critical gap and policy threshold.</x:v>
      </x:c>
      <x:c r="E19" s="114" t="str">
        <x:v>CLOSED / APPEAL</x:v>
      </x:c>
      <x:c r="F19" s="114" t="str">
        <x:v>No solely automated decision; broader evidence required.</x:v>
      </x:c>
      <x:c r="G19" s="114" t="str">
        <x:v>Meaningful human decision.</x:v>
      </x:c>
      <x:c r="H19" s="726" t="str">
        <x:v>Draft Complete</x:v>
      </x:c>
    </x:row>
    <x:row r="20">
      <x:c r="A20" s="730" t="str">
        <x:v>CDW-016</x:v>
      </x:c>
      <x:c r="B20" s="731" t="str">
        <x:v>DISPUTED</x:v>
      </x:c>
      <x:c r="C20" s="731" t="str">
        <x:v>Employee formally challenges discrepancy or review.</x:v>
      </x:c>
      <x:c r="D20" s="731" t="str">
        <x:v>Employee dispute.</x:v>
      </x:c>
      <x:c r="E20" s="731" t="str">
        <x:v>APPEAL / REASSESSMENT / CONTEXT_INSUFFICIENT</x:v>
      </x:c>
      <x:c r="F20" s="731" t="str">
        <x:v>Material use suspended or marked disputed.</x:v>
      </x:c>
      <x:c r="G20" s="731" t="str">
        <x:v>Independent reviewer where appropriate.</x:v>
      </x:c>
      <x:c r="H20" s="732" t="str">
        <x:v>Draft Complete</x:v>
      </x:c>
    </x:row>
    <x:row r="21">
      <x:c r="A21" s="725" t="str">
        <x:v>CDW-017</x:v>
      </x:c>
      <x:c r="B21" s="114" t="str">
        <x:v>APPEAL</x:v>
      </x:c>
      <x:c r="C21" s="114" t="str">
        <x:v>Second-level review of process/evidence/decision.</x:v>
      </x:c>
      <x:c r="D21" s="114" t="str">
        <x:v>Appeal accepted.</x:v>
      </x:c>
      <x:c r="E21" s="114" t="str">
        <x:v>RESOLVED_ALIGNED / RESOLVED_GAP / CONTEXT_INSUFFICIENT / CLOSED</x:v>
      </x:c>
      <x:c r="F21" s="114" t="str">
        <x:v>Reviewer independence and rationale required.</x:v>
      </x:c>
      <x:c r="G21" s="114" t="str">
        <x:v>Outcome and changes audited.</x:v>
      </x:c>
      <x:c r="H21" s="726" t="str">
        <x:v>Draft Complete</x:v>
      </x:c>
    </x:row>
    <x:row r="22">
      <x:c r="A22" s="733" t="str">
        <x:v>CDW-018</x:v>
      </x:c>
      <x:c r="B22" s="734" t="str">
        <x:v>CLOSED</x:v>
      </x:c>
      <x:c r="C22" s="734" t="str">
        <x:v>Workflow closed with reason and next review date.</x:v>
      </x:c>
      <x:c r="D22" s="734" t="str">
        <x:v>Resolved or no further purpose.</x:v>
      </x:c>
      <x:c r="E22" s="734" t="str">
        <x:v>Reopen only with new evidence or review trigger.</x:v>
      </x:c>
      <x:c r="F22" s="734" t="str">
        <x:v>Retention/deletion policy applies.</x:v>
      </x:c>
      <x:c r="G22" s="734" t="str">
        <x:v>Employee sees closure reason.</x:v>
      </x:c>
      <x:c r="H22" s="735" t="str">
        <x:v>Draft Complete</x:v>
      </x:c>
    </x:row>
  </x:sheetData>
  <x:mergeCells>
    <x:mergeCell ref="A1:H1"/>
    <x:mergeCell ref="A2:H2"/>
  </x:mergeCells>
  <x:dataValidations count="1">
    <x:dataValidation type="list" sqref="H5:H22">
      <x:formula1>"Draft Complete,Needs Review,Approved,Deferred"</x:formula1>
    </x:dataValidation>
  </x:dataValidations>
  <x:pageMargins left="0.7" right="0.7" top="0.75" bottom="0.75" header="0.3" footer="0.3"/>
</x:worksheet>
</file>

<file path=xl/worksheets/sheet118.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0" hidden="0" customWidth="1"/>
    <x:col min="5" max="5" width="40" hidden="0" customWidth="1"/>
    <x:col min="6" max="6" width="26" hidden="0" customWidth="1"/>
    <x:col min="7" max="7" width="58" hidden="0" customWidth="1"/>
    <x:col min="8" max="8" width="12" hidden="0" customWidth="1"/>
    <x:col min="9" max="9" width="18" hidden="0" customWidth="1"/>
  </x:cols>
  <x:sheetData>
    <x:row r="1" ht="30" customHeight="1">
      <x:c r="A1" s="687" t="str">
        <x:v>Stage 8 — Baseline Assessment Model</x:v>
      </x:c>
      <x:c r="B1" s="687"/>
      <x:c r="C1" s="687"/>
      <x:c r="D1" s="687"/>
      <x:c r="E1" s="687"/>
      <x:c r="F1" s="687"/>
      <x:c r="G1" s="687"/>
      <x:c r="H1" s="687"/>
      <x:c r="I1" s="687"/>
    </x:row>
    <x:row r="2" ht="36" customHeight="1">
      <x:c r="A2" s="691" t="str">
        <x:v>Structured onboarding and reassessment model combining self-assessment, knowledge diagnostics, representative tasks, supervised live work, AI-agent supervision, reviewer calibration and employee review.</x:v>
      </x:c>
      <x:c r="B2" s="691"/>
      <x:c r="C2" s="691"/>
      <x:c r="D2" s="691"/>
      <x:c r="E2" s="691"/>
      <x:c r="F2" s="691"/>
      <x:c r="G2" s="691"/>
      <x:c r="H2" s="691"/>
      <x:c r="I2" s="691"/>
    </x:row>
    <x:row r="4" ht="30" customHeight="1">
      <x:c r="A4" s="703" t="str">
        <x:v>ID</x:v>
      </x:c>
      <x:c r="B4" s="704" t="str">
        <x:v>Assessment component</x:v>
      </x:c>
      <x:c r="C4" s="704" t="str">
        <x:v>Definition</x:v>
      </x:c>
      <x:c r="D4" s="704" t="str">
        <x:v>Inputs / method</x:v>
      </x:c>
      <x:c r="E4" s="704" t="str">
        <x:v>Output</x:v>
      </x:c>
      <x:c r="F4" s="704" t="str">
        <x:v>Owner</x:v>
      </x:c>
      <x:c r="G4" s="704" t="str">
        <x:v>Fairness / governance rule</x:v>
      </x:c>
      <x:c r="H4" s="704" t="str">
        <x:v>Priority</x:v>
      </x:c>
      <x:c r="I4" s="705" t="str">
        <x:v>Status</x:v>
      </x:c>
    </x:row>
    <x:row r="5">
      <x:c r="A5" s="722" t="str">
        <x:v>BAM-001</x:v>
      </x:c>
      <x:c r="B5" s="723" t="str">
        <x:v>Assessment purpose</x:v>
      </x:c>
      <x:c r="C5" s="723" t="str">
        <x:v>Create an initial, provisional and evidence-backed capability profile for a specific RoleVersion.</x:v>
      </x:c>
      <x:c r="D5" s="723" t="str">
        <x:v>Onboarding, role change or reassessment trigger.</x:v>
      </x:c>
      <x:c r="E5" s="723" t="str">
        <x:v>Baseline plan approved.</x:v>
      </x:c>
      <x:c r="F5" s="723" t="str">
        <x:v>Capability/Product/HR</x:v>
      </x:c>
      <x:c r="G5" s="723" t="str">
        <x:v>Assessment must not become a permanent label.</x:v>
      </x:c>
      <x:c r="H5" s="723" t="str">
        <x:v>Critical</x:v>
      </x:c>
      <x:c r="I5" s="724" t="str">
        <x:v>Draft Complete</x:v>
      </x:c>
    </x:row>
    <x:row r="6">
      <x:c r="A6" s="730" t="str">
        <x:v>BAM-002</x:v>
      </x:c>
      <x:c r="B6" s="731" t="str">
        <x:v>Role/claim intake</x:v>
      </x:c>
      <x:c r="C6" s="731" t="str">
        <x:v>Load approved role contract, required capabilities, criticality and employee claims/goals.</x:v>
      </x:c>
      <x:c r="D6" s="731" t="str">
        <x:v>RoleVersion + EmployeeClaim.</x:v>
      </x:c>
      <x:c r="E6" s="731" t="str">
        <x:v>Assessment scope and gaps-to-observe.</x:v>
      </x:c>
      <x:c r="F6" s="731" t="str">
        <x:v>Capability Domain</x:v>
      </x:c>
      <x:c r="G6" s="731" t="str">
        <x:v>Claims guide evidence collection; they are not scored as proof.</x:v>
      </x:c>
      <x:c r="H6" s="731" t="str">
        <x:v>Critical</x:v>
      </x:c>
      <x:c r="I6" s="732" t="str">
        <x:v>Draft Complete</x:v>
      </x:c>
    </x:row>
    <x:row r="7">
      <x:c r="A7" s="725" t="str">
        <x:v>BAM-003</x:v>
      </x:c>
      <x:c r="B7" s="114" t="str">
        <x:v>Employee briefing</x:v>
      </x:c>
      <x:c r="C7" s="114" t="str">
        <x:v>Explain purpose, methods, data/evidence used, review, correction and limits.</x:v>
      </x:c>
      <x:c r="D7" s="114" t="str">
        <x:v>Assessment scope.</x:v>
      </x:c>
      <x:c r="E7" s="114" t="str">
        <x:v>Employee acknowledgement/queries.</x:v>
      </x:c>
      <x:c r="F7" s="114" t="str">
        <x:v>HR/DPO/Product</x:v>
      </x:c>
      <x:c r="G7" s="114" t="str">
        <x:v>Participation and accessibility arrangements recorded.</x:v>
      </x:c>
      <x:c r="H7" s="114" t="str">
        <x:v>Critical</x:v>
      </x:c>
      <x:c r="I7" s="726" t="str">
        <x:v>Draft Complete</x:v>
      </x:c>
    </x:row>
    <x:row r="8">
      <x:c r="A8" s="730" t="str">
        <x:v>BAM-004</x:v>
      </x:c>
      <x:c r="B8" s="731" t="str">
        <x:v>Self-assessment</x:v>
      </x:c>
      <x:c r="C8" s="731" t="str">
        <x:v>Employee rates confidence and provides examples/limitations.</x:v>
      </x:c>
      <x:c r="D8" s="731" t="str">
        <x:v>Structured role-specific questionnaire.</x:v>
      </x:c>
      <x:c r="E8" s="731" t="str">
        <x:v>Self-assessment evidence/context.</x:v>
      </x:c>
      <x:c r="F8" s="731" t="str">
        <x:v>Employee/Capability</x:v>
      </x:c>
      <x:c r="G8" s="731" t="str">
        <x:v>Used for planning and reflection, not as verified level.</x:v>
      </x:c>
      <x:c r="H8" s="731" t="str">
        <x:v>Medium</x:v>
      </x:c>
      <x:c r="I8" s="732" t="str">
        <x:v>Draft Complete</x:v>
      </x:c>
    </x:row>
    <x:row r="9">
      <x:c r="A9" s="725" t="str">
        <x:v>BAM-005</x:v>
      </x:c>
      <x:c r="B9" s="114" t="str">
        <x:v>Knowledge diagnostic</x:v>
      </x:c>
      <x:c r="C9" s="114" t="str">
        <x:v>Assess relevant concepts, risks and decision reasoning.</x:v>
      </x:c>
      <x:c r="D9" s="114" t="str">
        <x:v>Scenario questions, explanation tasks or knowledge checks.</x:v>
      </x:c>
      <x:c r="E9" s="114" t="str">
        <x:v>Knowledge-dimension evidence candidate.</x:v>
      </x:c>
      <x:c r="F9" s="114" t="str">
        <x:v>Domain Expert/L&amp;D</x:v>
      </x:c>
      <x:c r="G9" s="114" t="str">
        <x:v>Avoid trivia-only tests; accessibility and language accommodations.</x:v>
      </x:c>
      <x:c r="H9" s="114" t="str">
        <x:v>High</x:v>
      </x:c>
      <x:c r="I9" s="726" t="str">
        <x:v>Draft Complete</x:v>
      </x:c>
    </x:row>
    <x:row r="10">
      <x:c r="A10" s="730" t="str">
        <x:v>BAM-006</x:v>
      </x:c>
      <x:c r="B10" s="731" t="str">
        <x:v>Representative simulation</x:v>
      </x:c>
      <x:c r="C10" s="731" t="str">
        <x:v>Perform bounded tasks representing routine role work.</x:v>
      </x:c>
      <x:c r="D10" s="731" t="str">
        <x:v>Stage 2 TaskContract templates in sandbox.</x:v>
      </x:c>
      <x:c r="E10" s="731" t="str">
        <x:v>Execution/autonomy/quality evidence.</x:v>
      </x:c>
      <x:c r="F10" s="731" t="str">
        <x:v>Domain Reviewer/QA</x:v>
      </x:c>
      <x:c r="G10" s="731" t="str">
        <x:v>Sandbox tasks cannot alone prove live-work consistency.</x:v>
      </x:c>
      <x:c r="H10" s="731" t="str">
        <x:v>Critical</x:v>
      </x:c>
      <x:c r="I10" s="732" t="str">
        <x:v>Draft Complete</x:v>
      </x:c>
    </x:row>
    <x:row r="11">
      <x:c r="A11" s="725" t="str">
        <x:v>BAM-007</x:v>
      </x:c>
      <x:c r="B11" s="114" t="str">
        <x:v>Complexity/stretch simulation</x:v>
      </x:c>
      <x:c r="C11" s="114" t="str">
        <x:v>Optional task above routine level to identify emerging advanced capability.</x:v>
      </x:c>
      <x:c r="D11" s="114" t="str">
        <x:v>High-difficulty scenario.</x:v>
      </x:c>
      <x:c r="E11" s="114" t="str">
        <x:v>Complexity/recovery evidence candidate.</x:v>
      </x:c>
      <x:c r="F11" s="114" t="str">
        <x:v>Domain Reviewer</x:v>
      </x:c>
      <x:c r="G11" s="114" t="str">
        <x:v>Failure cannot reduce role baseline below evidence from standard tasks.</x:v>
      </x:c>
      <x:c r="H11" s="114" t="str">
        <x:v>Medium</x:v>
      </x:c>
      <x:c r="I11" s="726" t="str">
        <x:v>Draft Complete</x:v>
      </x:c>
    </x:row>
    <x:row r="12">
      <x:c r="A12" s="730" t="str">
        <x:v>BAM-008</x:v>
      </x:c>
      <x:c r="B12" s="731" t="str">
        <x:v>Supervised live task</x:v>
      </x:c>
      <x:c r="C12" s="731" t="str">
        <x:v>Observe one or more real tasks with approved Task Execution Contracts.</x:v>
      </x:c>
      <x:c r="D12" s="731" t="str">
        <x:v>Assigned task and monitoring policy.</x:v>
      </x:c>
      <x:c r="E12" s="731" t="str">
        <x:v>Live capability evidence candidate.</x:v>
      </x:c>
      <x:c r="F12" s="731" t="str">
        <x:v>Manager/Reviewer</x:v>
      </x:c>
      <x:c r="G12" s="731" t="str">
        <x:v>No adverse action from one live task; blockers excluded.</x:v>
      </x:c>
      <x:c r="H12" s="731" t="str">
        <x:v>Critical</x:v>
      </x:c>
      <x:c r="I12" s="732" t="str">
        <x:v>Draft Complete</x:v>
      </x:c>
    </x:row>
    <x:row r="13">
      <x:c r="A13" s="725" t="str">
        <x:v>BAM-009</x:v>
      </x:c>
      <x:c r="B13" s="114" t="str">
        <x:v>AI-agent supervision assessment</x:v>
      </x:c>
      <x:c r="C13" s="114" t="str">
        <x:v>Evaluate task decomposition, prompt boundaries, permission decisions, review, rejection and verification.</x:v>
      </x:c>
      <x:c r="D13" s="114" t="str">
        <x:v>Codex/Claude/agent task.</x:v>
      </x:c>
      <x:c r="E13" s="114" t="str">
        <x:v>AI-supervision dimension evidence.</x:v>
      </x:c>
      <x:c r="F13" s="114" t="str">
        <x:v>AI/Domain Reviewer</x:v>
      </x:c>
      <x:c r="G13" s="114" t="str">
        <x:v>Do not reward prompt volume or penalise legitimate agent use.</x:v>
      </x:c>
      <x:c r="H13" s="114" t="str">
        <x:v>High</x:v>
      </x:c>
      <x:c r="I13" s="726" t="str">
        <x:v>Draft Complete</x:v>
      </x:c>
    </x:row>
    <x:row r="14">
      <x:c r="A14" s="730" t="str">
        <x:v>BAM-010</x:v>
      </x:c>
      <x:c r="B14" s="731" t="str">
        <x:v>Tool/environment assessment</x:v>
      </x:c>
      <x:c r="C14" s="731" t="str">
        <x:v>Record tool familiarity separately from transferable capability.</x:v>
      </x:c>
      <x:c r="D14" s="731" t="str">
        <x:v>IDE/shell/Git/CI/tool usage.</x:v>
      </x:c>
      <x:c r="E14" s="731" t="str">
        <x:v>ToolEnvironment profile.</x:v>
      </x:c>
      <x:c r="F14" s="731" t="str">
        <x:v>Domain Reviewer</x:v>
      </x:c>
      <x:c r="G14" s="731" t="str">
        <x:v>Tool gap is not automatically capability gap.</x:v>
      </x:c>
      <x:c r="H14" s="731" t="str">
        <x:v>Medium</x:v>
      </x:c>
      <x:c r="I14" s="732" t="str">
        <x:v>Draft Complete</x:v>
      </x:c>
    </x:row>
    <x:row r="15">
      <x:c r="A15" s="725" t="str">
        <x:v>BAM-011</x:v>
      </x:c>
      <x:c r="B15" s="114" t="str">
        <x:v>Evidence qualification</x:v>
      </x:c>
      <x:c r="C15" s="114" t="str">
        <x:v>Convert reviewed assessment outputs into capability evidence with difficulty, quality, independence and context.</x:v>
      </x:c>
      <x:c r="D15" s="114" t="str">
        <x:v>Assessment tasks/reviews.</x:v>
      </x:c>
      <x:c r="E15" s="114" t="str">
        <x:v>CapabilityEvidence candidates.</x:v>
      </x:c>
      <x:c r="F15" s="114" t="str">
        <x:v>Capability Domain</x:v>
      </x:c>
      <x:c r="G15" s="114" t="str">
        <x:v>Only approved evidence affects stable state.</x:v>
      </x:c>
      <x:c r="H15" s="114" t="str">
        <x:v>Critical</x:v>
      </x:c>
      <x:c r="I15" s="726" t="str">
        <x:v>Draft Complete</x:v>
      </x:c>
    </x:row>
    <x:row r="16">
      <x:c r="A16" s="730" t="str">
        <x:v>BAM-012</x:v>
      </x:c>
      <x:c r="B16" s="731" t="str">
        <x:v>Reviewer calibration</x:v>
      </x:c>
      <x:c r="C16" s="731" t="str">
        <x:v>Two reviewers or benchmark cases align scoring for material capabilities.</x:v>
      </x:c>
      <x:c r="D16" s="731" t="str">
        <x:v>Rubrics and sample evidence.</x:v>
      </x:c>
      <x:c r="E16" s="731" t="str">
        <x:v>Calibration record.</x:v>
      </x:c>
      <x:c r="F16" s="731" t="str">
        <x:v>Assessment Lead/QA</x:v>
      </x:c>
      <x:c r="G16" s="731" t="str">
        <x:v>Measure disagreement and reconcile before high-impact use.</x:v>
      </x:c>
      <x:c r="H16" s="731" t="str">
        <x:v>High</x:v>
      </x:c>
      <x:c r="I16" s="732" t="str">
        <x:v>Draft Complete</x:v>
      </x:c>
    </x:row>
    <x:row r="17">
      <x:c r="A17" s="725" t="str">
        <x:v>BAM-013</x:v>
      </x:c>
      <x:c r="B17" s="114" t="str">
        <x:v>Initial capability state</x:v>
      </x:c>
      <x:c r="C17" s="114" t="str">
        <x:v>Create provisional PersonCapabilityState per capability.</x:v>
      </x:c>
      <x:c r="D17" s="114" t="str">
        <x:v>Approved baseline evidence.</x:v>
      </x:c>
      <x:c r="E17" s="114" t="str">
        <x:v>Initial states with confidence/freshness.</x:v>
      </x:c>
      <x:c r="F17" s="114" t="str">
        <x:v>Capability Domain</x:v>
      </x:c>
      <x:c r="G17" s="114" t="str">
        <x:v>Statuses may be Unverified, Partial or Demonstrated; not permanent.</x:v>
      </x:c>
      <x:c r="H17" s="114" t="str">
        <x:v>Critical</x:v>
      </x:c>
      <x:c r="I17" s="726" t="str">
        <x:v>Draft Complete</x:v>
      </x:c>
    </x:row>
    <x:row r="18">
      <x:c r="A18" s="730" t="str">
        <x:v>BAM-014</x:v>
      </x:c>
      <x:c r="B18" s="731" t="str">
        <x:v>Claim reconciliation</x:v>
      </x:c>
      <x:c r="C18" s="731" t="str">
        <x:v>Open only neutral alignment/discrepancy states where evidence supports it.</x:v>
      </x:c>
      <x:c r="D18" s="731" t="str">
        <x:v>Claims + provisional states.</x:v>
      </x:c>
      <x:c r="E18" s="731" t="str">
        <x:v>Claim workflow entries.</x:v>
      </x:c>
      <x:c r="F18" s="731" t="str">
        <x:v>Capability/HR</x:v>
      </x:c>
      <x:c r="G18" s="731" t="str">
        <x:v>Employee response and review required for material discrepancy.</x:v>
      </x:c>
      <x:c r="H18" s="731" t="str">
        <x:v>High</x:v>
      </x:c>
      <x:c r="I18" s="732" t="str">
        <x:v>Draft Complete</x:v>
      </x:c>
    </x:row>
    <x:row r="19">
      <x:c r="A19" s="725" t="str">
        <x:v>BAM-015</x:v>
      </x:c>
      <x:c r="B19" s="114" t="str">
        <x:v>Initial role readiness</x:v>
      </x:c>
      <x:c r="C19" s="114" t="str">
        <x:v>Compare provisional evidence with current role requirements.</x:v>
      </x:c>
      <x:c r="D19" s="114" t="str">
        <x:v>Role requirements + capability states.</x:v>
      </x:c>
      <x:c r="E19" s="114" t="str">
        <x:v>Developmental readiness report.</x:v>
      </x:c>
      <x:c r="F19" s="114" t="str">
        <x:v>Role Readiness Service</x:v>
      </x:c>
      <x:c r="G19" s="114" t="str">
        <x:v>Critical gaps shown; percentage is explanatory only.</x:v>
      </x:c>
      <x:c r="H19" s="114" t="str">
        <x:v>High</x:v>
      </x:c>
      <x:c r="I19" s="726" t="str">
        <x:v>Draft Complete</x:v>
      </x:c>
    </x:row>
    <x:row r="20">
      <x:c r="A20" s="730" t="str">
        <x:v>BAM-016</x:v>
      </x:c>
      <x:c r="B20" s="731" t="str">
        <x:v>Learning plan</x:v>
      </x:c>
      <x:c r="C20" s="731" t="str">
        <x:v>Recommend targeted practice, learning and support based on reviewed gaps.</x:v>
      </x:c>
      <x:c r="D20" s="731" t="str">
        <x:v>Reviewed capability/gap state.</x:v>
      </x:c>
      <x:c r="E20" s="731" t="str">
        <x:v>LearningPlan draft.</x:v>
      </x:c>
      <x:c r="F20" s="731" t="str">
        <x:v>L&amp;D/Growth Coach</x:v>
      </x:c>
      <x:c r="G20" s="731" t="str">
        <x:v>Employee goals/preferences included.</x:v>
      </x:c>
      <x:c r="H20" s="731" t="str">
        <x:v>High</x:v>
      </x:c>
      <x:c r="I20" s="732" t="str">
        <x:v>Draft Complete</x:v>
      </x:c>
    </x:row>
    <x:row r="21">
      <x:c r="A21" s="725" t="str">
        <x:v>BAM-017</x:v>
      </x:c>
      <x:c r="B21" s="114" t="str">
        <x:v>Employee review/correction</x:v>
      </x:c>
      <x:c r="C21" s="114" t="str">
        <x:v>Employee reviews profile, evidence, limitations and learning plan.</x:v>
      </x:c>
      <x:c r="D21" s="114" t="str">
        <x:v>Baseline report.</x:v>
      </x:c>
      <x:c r="E21" s="114" t="str">
        <x:v>Correction/dispute or acceptance.</x:v>
      </x:c>
      <x:c r="F21" s="114" t="str">
        <x:v>Governance/Employee</x:v>
      </x:c>
      <x:c r="G21" s="114" t="str">
        <x:v>Assessment remains disputed where unresolved.</x:v>
      </x:c>
      <x:c r="H21" s="114" t="str">
        <x:v>Critical</x:v>
      </x:c>
      <x:c r="I21" s="726" t="str">
        <x:v>Draft Complete</x:v>
      </x:c>
    </x:row>
    <x:row r="22">
      <x:c r="A22" s="733" t="str">
        <x:v>BAM-018</x:v>
      </x:c>
      <x:c r="B22" s="734" t="str">
        <x:v>Expiry/reassessment</x:v>
      </x:c>
      <x:c r="C22" s="734" t="str">
        <x:v>Assign evidence freshness and reassessment date.</x:v>
      </x:c>
      <x:c r="D22" s="734" t="str">
        <x:v>Capability volatility, role criticality and confidence.</x:v>
      </x:c>
      <x:c r="E22" s="734" t="str">
        <x:v>Review schedule.</x:v>
      </x:c>
      <x:c r="F22" s="734" t="str">
        <x:v>Capability Domain</x:v>
      </x:c>
      <x:c r="G22" s="734" t="str">
        <x:v>Baseline expires/downweights without later applied evidence.</x:v>
      </x:c>
      <x:c r="H22" s="734" t="str">
        <x:v>High</x:v>
      </x:c>
      <x:c r="I22" s="735" t="str">
        <x:v>Draft Complete</x:v>
      </x:c>
    </x:row>
  </x:sheetData>
  <x:mergeCells>
    <x:mergeCell ref="A1:I1"/>
    <x:mergeCell ref="A2:I2"/>
  </x:mergeCells>
  <x:dataValidations count="2">
    <x:dataValidation type="list" sqref="H5:H22">
      <x:formula1>"Critical,High,Medium,Low"</x:formula1>
    </x:dataValidation>
    <x:dataValidation type="list" sqref="I5:I22">
      <x:formula1>"Draft Complete,Needs Review,Approved,Deferred"</x:formula1>
    </x:dataValidation>
  </x:dataValidations>
  <x:pageMargins left="0.7" right="0.7" top="0.75" bottom="0.75" header="0.3" footer="0.3"/>
</x:worksheet>
</file>

<file path=xl/worksheets/sheet119.xml><?xml version="1.0" encoding="utf-8"?>
<x:worksheet xmlns:x="http://schemas.openxmlformats.org/spreadsheetml/2006/main">
  <x:sheetFormatPr defaultRowHeight="15"/>
  <x:cols>
    <x:col min="1" max="1" width="12" hidden="0" customWidth="1"/>
    <x:col min="2" max="2" width="30" hidden="0" customWidth="1"/>
    <x:col min="3" max="3" width="58" hidden="0" customWidth="1"/>
    <x:col min="4" max="4" width="54" hidden="0" customWidth="1"/>
    <x:col min="5" max="5" width="54" hidden="0" customWidth="1"/>
    <x:col min="6" max="6" width="26" hidden="0" customWidth="1"/>
    <x:col min="7" max="7" width="18" hidden="0" customWidth="1"/>
  </x:cols>
  <x:sheetData>
    <x:row r="1" ht="30" customHeight="1">
      <x:c r="A1" s="687" t="str">
        <x:v>Stage 8 — Role Readiness Model</x:v>
      </x:c>
      <x:c r="B1" s="687"/>
      <x:c r="C1" s="687"/>
      <x:c r="D1" s="687"/>
      <x:c r="E1" s="687"/>
      <x:c r="F1" s="687"/>
      <x:c r="G1" s="687"/>
    </x:row>
    <x:row r="2" ht="36" customHeight="1">
      <x:c r="A2" s="691" t="str">
        <x:v>Evidence-backed comparison of a person’s reviewed capability state with a specific RoleVersion. Critical capability floors, confidence, freshness and support requirements prevent a misleading single score.</x:v>
      </x:c>
      <x:c r="B2" s="691"/>
      <x:c r="C2" s="691"/>
      <x:c r="D2" s="691"/>
      <x:c r="E2" s="691"/>
      <x:c r="F2" s="691"/>
      <x:c r="G2" s="691"/>
    </x:row>
    <x:row r="4" ht="30" customHeight="1">
      <x:c r="A4" s="703" t="str">
        <x:v>ID</x:v>
      </x:c>
      <x:c r="B4" s="704" t="str">
        <x:v>Dimension / status</x:v>
      </x:c>
      <x:c r="C4" s="704" t="str">
        <x:v>Definition</x:v>
      </x:c>
      <x:c r="D4" s="704" t="str">
        <x:v>Inputs / logic</x:v>
      </x:c>
      <x:c r="E4" s="704" t="str">
        <x:v>Use / guardrail</x:v>
      </x:c>
      <x:c r="F4" s="704" t="str">
        <x:v>Owner</x:v>
      </x:c>
      <x:c r="G4" s="705" t="str">
        <x:v>Status</x:v>
      </x:c>
    </x:row>
    <x:row r="5">
      <x:c r="A5" s="722" t="str">
        <x:v>RRM-001</x:v>
      </x:c>
      <x:c r="B5" s="723" t="str">
        <x:v>Role version</x:v>
      </x:c>
      <x:c r="C5" s="723" t="str">
        <x:v>Readiness is calculated against one approved RoleVersion and effective date.</x:v>
      </x:c>
      <x:c r="D5" s="723" t="str">
        <x:v>RoleVersion ID/version/effective date.</x:v>
      </x:c>
      <x:c r="E5" s="723" t="str">
        <x:v>Prevents ambiguous or moving requirements.</x:v>
      </x:c>
      <x:c r="F5" s="723" t="str">
        <x:v>Capability/HR</x:v>
      </x:c>
      <x:c r="G5" s="724" t="str">
        <x:v>Draft Complete</x:v>
      </x:c>
    </x:row>
    <x:row r="6">
      <x:c r="A6" s="730" t="str">
        <x:v>RRM-002</x:v>
      </x:c>
      <x:c r="B6" s="731" t="str">
        <x:v>Required capabilities</x:v>
      </x:c>
      <x:c r="C6" s="731" t="str">
        <x:v>Each capability has required level, criticality, autonomy and evidence minimum.</x:v>
      </x:c>
      <x:c r="D6" s="731" t="str">
        <x:v>RoleCapabilityRequirement.</x:v>
      </x:c>
      <x:c r="E6" s="731" t="str">
        <x:v>Core comparison dimensions.</x:v>
      </x:c>
      <x:c r="F6" s="731" t="str">
        <x:v>Capability Domain</x:v>
      </x:c>
      <x:c r="G6" s="732" t="str">
        <x:v>Draft Complete</x:v>
      </x:c>
    </x:row>
    <x:row r="7">
      <x:c r="A7" s="725" t="str">
        <x:v>RRM-003</x:v>
      </x:c>
      <x:c r="B7" s="114" t="str">
        <x:v>Capability coverage</x:v>
      </x:c>
      <x:c r="C7" s="114" t="str">
        <x:v>Share of required capabilities with sufficient current evidence.</x:v>
      </x:c>
      <x:c r="D7" s="114" t="str">
        <x:v>Count/weight of evidenced requirements.</x:v>
      </x:c>
      <x:c r="E7" s="114" t="str">
        <x:v>Coverage is not level attainment.</x:v>
      </x:c>
      <x:c r="F7" s="114" t="str">
        <x:v>Role Readiness</x:v>
      </x:c>
      <x:c r="G7" s="726" t="str">
        <x:v>Draft Complete</x:v>
      </x:c>
    </x:row>
    <x:row r="8">
      <x:c r="A8" s="730" t="str">
        <x:v>RRM-004</x:v>
      </x:c>
      <x:c r="B8" s="731" t="str">
        <x:v>Level attainment</x:v>
      </x:c>
      <x:c r="C8" s="731" t="str">
        <x:v>Compare reviewed current level to required level per capability.</x:v>
      </x:c>
      <x:c r="D8" s="731" t="str">
        <x:v>PersonCapabilityState vs requirement.</x:v>
      </x:c>
      <x:c r="E8" s="731" t="str">
        <x:v>Shows met/above/developing/below/unknown.</x:v>
      </x:c>
      <x:c r="F8" s="731" t="str">
        <x:v>Role Readiness</x:v>
      </x:c>
      <x:c r="G8" s="732" t="str">
        <x:v>Draft Complete</x:v>
      </x:c>
    </x:row>
    <x:row r="9">
      <x:c r="A9" s="725" t="str">
        <x:v>RRM-005</x:v>
      </x:c>
      <x:c r="B9" s="114" t="str">
        <x:v>Confidence</x:v>
      </x:c>
      <x:c r="C9" s="114" t="str">
        <x:v>Readiness uses capability confidence and review status.</x:v>
      </x:c>
      <x:c r="D9" s="114" t="str">
        <x:v>Evidence confidence and reviewer state.</x:v>
      </x:c>
      <x:c r="E9" s="114" t="str">
        <x:v>Low confidence can cap readiness.</x:v>
      </x:c>
      <x:c r="F9" s="114" t="str">
        <x:v>Role Readiness</x:v>
      </x:c>
      <x:c r="G9" s="726" t="str">
        <x:v>Draft Complete</x:v>
      </x:c>
    </x:row>
    <x:row r="10">
      <x:c r="A10" s="730" t="str">
        <x:v>RRM-006</x:v>
      </x:c>
      <x:c r="B10" s="731" t="str">
        <x:v>Freshness</x:v>
      </x:c>
      <x:c r="C10" s="731" t="str">
        <x:v>Critical evidence must be current for capability/tool volatility.</x:v>
      </x:c>
      <x:c r="D10" s="731" t="str">
        <x:v>Recency/expiry classes.</x:v>
      </x:c>
      <x:c r="E10" s="731" t="str">
        <x:v>Stale evidence creates reassessment need.</x:v>
      </x:c>
      <x:c r="F10" s="731" t="str">
        <x:v>Capability Domain</x:v>
      </x:c>
      <x:c r="G10" s="732" t="str">
        <x:v>Draft Complete</x:v>
      </x:c>
    </x:row>
    <x:row r="11">
      <x:c r="A11" s="725" t="str">
        <x:v>RRM-007</x:v>
      </x:c>
      <x:c r="B11" s="114" t="str">
        <x:v>Critical capability floor</x:v>
      </x:c>
      <x:c r="C11" s="114" t="str">
        <x:v>A critical requirement below level or insufficiently evidenced prevents READY status.</x:v>
      </x:c>
      <x:c r="D11" s="114" t="str">
        <x:v>Criticality + state.</x:v>
      </x:c>
      <x:c r="E11" s="114" t="str">
        <x:v>Percentage cannot hide critical gap.</x:v>
      </x:c>
      <x:c r="F11" s="114" t="str">
        <x:v>Capability/HR</x:v>
      </x:c>
      <x:c r="G11" s="726" t="str">
        <x:v>Draft Complete</x:v>
      </x:c>
    </x:row>
    <x:row r="12">
      <x:c r="A12" s="730" t="str">
        <x:v>RRM-008</x:v>
      </x:c>
      <x:c r="B12" s="731" t="str">
        <x:v>Autonomy fit</x:v>
      </x:c>
      <x:c r="C12" s="731" t="str">
        <x:v>Current independence/guidance pattern must meet role expectation.</x:v>
      </x:c>
      <x:c r="D12" s="731" t="str">
        <x:v>Capability evidence autonomy vector.</x:v>
      </x:c>
      <x:c r="E12" s="731" t="str">
        <x:v>Support needs shown separately.</x:v>
      </x:c>
      <x:c r="F12" s="731" t="str">
        <x:v>Capability Domain</x:v>
      </x:c>
      <x:c r="G12" s="732" t="str">
        <x:v>Draft Complete</x:v>
      </x:c>
    </x:row>
    <x:row r="13">
      <x:c r="A13" s="725" t="str">
        <x:v>RRM-009</x:v>
      </x:c>
      <x:c r="B13" s="114" t="str">
        <x:v>Consistency</x:v>
      </x:c>
      <x:c r="C13" s="114" t="str">
        <x:v>Readiness requires repeated performance for critical role work.</x:v>
      </x:c>
      <x:c r="D13" s="114" t="str">
        <x:v>Comparable evidence groups.</x:v>
      </x:c>
      <x:c r="E13" s="114" t="str">
        <x:v>One task cannot establish readiness.</x:v>
      </x:c>
      <x:c r="F13" s="114" t="str">
        <x:v>Capability Domain</x:v>
      </x:c>
      <x:c r="G13" s="726" t="str">
        <x:v>Draft Complete</x:v>
      </x:c>
    </x:row>
    <x:row r="14">
      <x:c r="A14" s="730" t="str">
        <x:v>RRM-010</x:v>
      </x:c>
      <x:c r="B14" s="731" t="str">
        <x:v>Transfer breadth</x:v>
      </x:c>
      <x:c r="C14" s="731" t="str">
        <x:v>Advanced roles require evidence across varied projects/tools/contexts.</x:v>
      </x:c>
      <x:c r="D14" s="731" t="str">
        <x:v>Transfer context.</x:v>
      </x:c>
      <x:c r="E14" s="731" t="str">
        <x:v>Prevents narrow one-environment overclaim.</x:v>
      </x:c>
      <x:c r="F14" s="731" t="str">
        <x:v>Capability Domain</x:v>
      </x:c>
      <x:c r="G14" s="732" t="str">
        <x:v>Draft Complete</x:v>
      </x:c>
    </x:row>
    <x:row r="15">
      <x:c r="A15" s="725" t="str">
        <x:v>RRM-011</x:v>
      </x:c>
      <x:c r="B15" s="114" t="str">
        <x:v>Quality/verification</x:v>
      </x:c>
      <x:c r="C15" s="114" t="str">
        <x:v>Critical quality gates and review discipline must be demonstrated.</x:v>
      </x:c>
      <x:c r="D15" s="114" t="str">
        <x:v>Task quality evidence.</x:v>
      </x:c>
      <x:c r="E15" s="114" t="str">
        <x:v>Output volume cannot substitute.</x:v>
      </x:c>
      <x:c r="F15" s="114" t="str">
        <x:v>Task/Capability</x:v>
      </x:c>
      <x:c r="G15" s="726" t="str">
        <x:v>Draft Complete</x:v>
      </x:c>
    </x:row>
    <x:row r="16">
      <x:c r="A16" s="730" t="str">
        <x:v>RRM-012</x:v>
      </x:c>
      <x:c r="B16" s="731" t="str">
        <x:v>Blocker exclusion</x:v>
      </x:c>
      <x:c r="C16" s="731" t="str">
        <x:v>External blockers and incomplete contracts do not lower readiness.</x:v>
      </x:c>
      <x:c r="D16" s="731" t="str">
        <x:v>Stage 7 blocker/context data.</x:v>
      </x:c>
      <x:c r="E16" s="731" t="str">
        <x:v>Fairness control.</x:v>
      </x:c>
      <x:c r="F16" s="731" t="str">
        <x:v>DPO/Capability</x:v>
      </x:c>
      <x:c r="G16" s="732" t="str">
        <x:v>Draft Complete</x:v>
      </x:c>
    </x:row>
    <x:row r="17">
      <x:c r="A17" s="725" t="str">
        <x:v>RRM-013</x:v>
      </x:c>
      <x:c r="B17" s="114" t="str">
        <x:v>Readiness status</x:v>
      </x:c>
      <x:c r="C17" s="114" t="str">
        <x:v>INSUFFICIENT_EVIDENCE</x:v>
      </x:c>
      <x:c r="D17" s="114" t="str">
        <x:v>Too little or low-quality evidence to compare fairly.</x:v>
      </x:c>
      <x:c r="E17" s="114" t="str">
        <x:v>No negative conclusion; gather evidence.</x:v>
      </x:c>
      <x:c r="F17" s="114" t="str">
        <x:v>Role Readiness</x:v>
      </x:c>
      <x:c r="G17" s="726" t="str">
        <x:v>Draft Complete</x:v>
      </x:c>
    </x:row>
    <x:row r="18">
      <x:c r="A18" s="730" t="str">
        <x:v>RRM-014</x:v>
      </x:c>
      <x:c r="B18" s="731" t="str">
        <x:v>Readiness status</x:v>
      </x:c>
      <x:c r="C18" s="731" t="str">
        <x:v>DEVELOPING</x:v>
      </x:c>
      <x:c r="D18" s="731" t="str">
        <x:v>Some requirements met; material development remains.</x:v>
      </x:c>
      <x:c r="E18" s="731" t="str">
        <x:v>Create learning/support plan.</x:v>
      </x:c>
      <x:c r="F18" s="731" t="str">
        <x:v>Role Readiness</x:v>
      </x:c>
      <x:c r="G18" s="732" t="str">
        <x:v>Draft Complete</x:v>
      </x:c>
    </x:row>
    <x:row r="19">
      <x:c r="A19" s="725" t="str">
        <x:v>RRM-015</x:v>
      </x:c>
      <x:c r="B19" s="114" t="str">
        <x:v>Readiness status</x:v>
      </x:c>
      <x:c r="C19" s="114" t="str">
        <x:v>NEAR_READY</x:v>
      </x:c>
      <x:c r="D19" s="114" t="str">
        <x:v>Most requirements met; limited non-critical or confidence gaps remain.</x:v>
      </x:c>
      <x:c r="E19" s="114" t="str">
        <x:v>Targeted practice/reassessment.</x:v>
      </x:c>
      <x:c r="F19" s="114" t="str">
        <x:v>Role Readiness</x:v>
      </x:c>
      <x:c r="G19" s="726" t="str">
        <x:v>Draft Complete</x:v>
      </x:c>
    </x:row>
    <x:row r="20">
      <x:c r="A20" s="730" t="str">
        <x:v>RRM-016</x:v>
      </x:c>
      <x:c r="B20" s="731" t="str">
        <x:v>Readiness status</x:v>
      </x:c>
      <x:c r="C20" s="731" t="str">
        <x:v>READY_WITH_SUPPORT</x:v>
      </x:c>
      <x:c r="D20" s="731" t="str">
        <x:v>Meets core requirements with defined temporary support/mentoring.</x:v>
      </x:c>
      <x:c r="E20" s="731" t="str">
        <x:v>Support conditions visible and reviewed.</x:v>
      </x:c>
      <x:c r="F20" s="731" t="str">
        <x:v>Role Readiness</x:v>
      </x:c>
      <x:c r="G20" s="732" t="str">
        <x:v>Draft Complete</x:v>
      </x:c>
    </x:row>
    <x:row r="21">
      <x:c r="A21" s="725" t="str">
        <x:v>RRM-017</x:v>
      </x:c>
      <x:c r="B21" s="114" t="str">
        <x:v>Readiness status</x:v>
      </x:c>
      <x:c r="C21" s="114" t="str">
        <x:v>READY</x:v>
      </x:c>
      <x:c r="D21" s="114" t="str">
        <x:v>All critical requirements and evidence thresholds met at expected autonomy.</x:v>
      </x:c>
      <x:c r="E21" s="114" t="str">
        <x:v>Requires appropriate review for high-impact use.</x:v>
      </x:c>
      <x:c r="F21" s="114" t="str">
        <x:v>Role Readiness</x:v>
      </x:c>
      <x:c r="G21" s="726" t="str">
        <x:v>Draft Complete</x:v>
      </x:c>
    </x:row>
    <x:row r="22">
      <x:c r="A22" s="730" t="str">
        <x:v>RRM-018</x:v>
      </x:c>
      <x:c r="B22" s="731" t="str">
        <x:v>Readiness status</x:v>
      </x:c>
      <x:c r="C22" s="731" t="str">
        <x:v>EXCEEDS_CURRENT_ROLE</x:v>
      </x:c>
      <x:c r="D22" s="731" t="str">
        <x:v>Repeated evidence exceeds role requirements in relevant dimensions.</x:v>
      </x:c>
      <x:c r="E22" s="731" t="str">
        <x:v>Development/career discussion; not automatic promotion.</x:v>
      </x:c>
      <x:c r="F22" s="731" t="str">
        <x:v>Role Readiness</x:v>
      </x:c>
      <x:c r="G22" s="732" t="str">
        <x:v>Draft Complete</x:v>
      </x:c>
    </x:row>
    <x:row r="23">
      <x:c r="A23" s="725" t="str">
        <x:v>RRM-019</x:v>
      </x:c>
      <x:c r="B23" s="114" t="str">
        <x:v>Readiness status</x:v>
      </x:c>
      <x:c r="C23" s="114" t="str">
        <x:v>UNDER_REVIEW</x:v>
      </x:c>
      <x:c r="D23" s="114" t="str">
        <x:v>Material contradiction, claim discrepancy or reviewer process open.</x:v>
      </x:c>
      <x:c r="E23" s="114" t="str">
        <x:v>Do not finalise role-impact decision.</x:v>
      </x:c>
      <x:c r="F23" s="114" t="str">
        <x:v>Governance</x:v>
      </x:c>
      <x:c r="G23" s="726" t="str">
        <x:v>Draft Complete</x:v>
      </x:c>
    </x:row>
    <x:row r="24">
      <x:c r="A24" s="730" t="str">
        <x:v>RRM-020</x:v>
      </x:c>
      <x:c r="B24" s="731" t="str">
        <x:v>Readiness status</x:v>
      </x:c>
      <x:c r="C24" s="731" t="str">
        <x:v>DISPUTED</x:v>
      </x:c>
      <x:c r="D24" s="731" t="str">
        <x:v>Employee has challenged material readiness finding.</x:v>
      </x:c>
      <x:c r="E24" s="731" t="str">
        <x:v>Display dispute and suspend high-impact use per policy.</x:v>
      </x:c>
      <x:c r="F24" s="731" t="str">
        <x:v>Governance</x:v>
      </x:c>
      <x:c r="G24" s="732" t="str">
        <x:v>Draft Complete</x:v>
      </x:c>
    </x:row>
    <x:row r="25">
      <x:c r="A25" s="725" t="str">
        <x:v>RRM-021</x:v>
      </x:c>
      <x:c r="B25" s="114" t="str">
        <x:v>Readiness percentage</x:v>
      </x:c>
      <x:c r="C25" s="114" t="str">
        <x:v>Optional explanatory coverage indicator, not a decision score.</x:v>
      </x:c>
      <x:c r="D25" s="114" t="str">
        <x:v>Weighted requirement coverage with critical-floor rule.</x:v>
      </x:c>
      <x:c r="E25" s="114" t="str">
        <x:v>Must show missing evidence and capability detail.</x:v>
      </x:c>
      <x:c r="F25" s="114" t="str">
        <x:v>Product/HR</x:v>
      </x:c>
      <x:c r="G25" s="726" t="str">
        <x:v>Draft Complete</x:v>
      </x:c>
    </x:row>
    <x:row r="26">
      <x:c r="A26" s="730" t="str">
        <x:v>RRM-022</x:v>
      </x:c>
      <x:c r="B26" s="731" t="str">
        <x:v>Target role path</x:v>
      </x:c>
      <x:c r="C26" s="731" t="str">
        <x:v>Show gap-to-target by capability, evidence and practice requirement.</x:v>
      </x:c>
      <x:c r="D26" s="731" t="str">
        <x:v>Current vs target RoleVersion.</x:v>
      </x:c>
      <x:c r="E26" s="731" t="str">
        <x:v>Employee development roadmap.</x:v>
      </x:c>
      <x:c r="F26" s="731" t="str">
        <x:v>Capability/L&amp;D</x:v>
      </x:c>
      <x:c r="G26" s="732" t="str">
        <x:v>Draft Complete</x:v>
      </x:c>
    </x:row>
    <x:row r="27">
      <x:c r="A27" s="725" t="str">
        <x:v>RRM-023</x:v>
      </x:c>
      <x:c r="B27" s="114" t="str">
        <x:v>Review cadence</x:v>
      </x:c>
      <x:c r="C27" s="114" t="str">
        <x:v>Recalculate on approved evidence, role version change, expiry or correction—not continuously from raw activity.</x:v>
      </x:c>
      <x:c r="D27" s="114" t="str">
        <x:v>Domain events.</x:v>
      </x:c>
      <x:c r="E27" s="114" t="str">
        <x:v>Stable and auditable updates.</x:v>
      </x:c>
      <x:c r="F27" s="114" t="str">
        <x:v>Capability Domain</x:v>
      </x:c>
      <x:c r="G27" s="726" t="str">
        <x:v>Draft Complete</x:v>
      </x:c>
    </x:row>
    <x:row r="28">
      <x:c r="A28" s="733" t="str">
        <x:v>RRM-024</x:v>
      </x:c>
      <x:c r="B28" s="734" t="str">
        <x:v>Employment boundary</x:v>
      </x:c>
      <x:c r="C28" s="734" t="str">
        <x:v>Role readiness is advisory/developmental unless a separate authorised HR process uses it with human review and broader evidence.</x:v>
      </x:c>
      <x:c r="D28" s="734" t="str">
        <x:v>Policy and review decision.</x:v>
      </x:c>
      <x:c r="E28" s="734" t="str">
        <x:v>No automatic employment action.</x:v>
      </x:c>
      <x:c r="F28" s="734" t="str">
        <x:v>HR/Legal</x:v>
      </x:c>
      <x:c r="G28" s="735" t="str">
        <x:v>Draft Complete</x:v>
      </x:c>
    </x:row>
  </x:sheetData>
  <x:mergeCells>
    <x:mergeCell ref="A1:G1"/>
    <x:mergeCell ref="A2:G2"/>
  </x:mergeCells>
  <x:dataValidations count="1">
    <x:dataValidation type="list" sqref="G5:G28">
      <x:formula1>"Draft Complete,Needs Review,Approved,Deferred"</x:formula1>
    </x:dataValidation>
  </x:dataValidations>
  <x:pageMargins left="0.7" right="0.7" top="0.75" bottom="0.75" header="0.3" footer="0.3"/>
</x:worksheet>
</file>

<file path=xl/worksheets/sheet120.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6" hidden="0" customWidth="1"/>
    <x:col min="5" max="5" width="58" hidden="0" customWidth="1"/>
    <x:col min="6" max="6" width="12" hidden="0" customWidth="1"/>
    <x:col min="7" max="7" width="18" hidden="0" customWidth="1"/>
  </x:cols>
  <x:sheetData>
    <x:row r="1" ht="30" customHeight="1">
      <x:c r="A1" s="687" t="str">
        <x:v>Stage 8 — Capability Review and Audit</x:v>
      </x:c>
      <x:c r="B1" s="687"/>
      <x:c r="C1" s="687"/>
      <x:c r="D1" s="687"/>
      <x:c r="E1" s="687"/>
      <x:c r="F1" s="687"/>
      <x:c r="G1" s="687"/>
    </x:row>
    <x:row r="2" ht="36" customHeight="1">
      <x:c r="A2" s="691" t="str">
        <x:v>Meaningful human review, employee correction, state versioning, audit, retention and quality controls for capability and role-readiness conclusions.</x:v>
      </x:c>
      <x:c r="B2" s="691"/>
      <x:c r="C2" s="691"/>
      <x:c r="D2" s="691"/>
      <x:c r="E2" s="691"/>
      <x:c r="F2" s="691"/>
      <x:c r="G2" s="691"/>
    </x:row>
    <x:row r="4" ht="30" customHeight="1">
      <x:c r="A4" s="703" t="str">
        <x:v>ID</x:v>
      </x:c>
      <x:c r="B4" s="704" t="str">
        <x:v>Control / workflow</x:v>
      </x:c>
      <x:c r="C4" s="704" t="str">
        <x:v>Requirement</x:v>
      </x:c>
      <x:c r="D4" s="704" t="str">
        <x:v>Implementation</x:v>
      </x:c>
      <x:c r="E4" s="704" t="str">
        <x:v>Guardrail / purpose</x:v>
      </x:c>
      <x:c r="F4" s="704" t="str">
        <x:v>Priority</x:v>
      </x:c>
      <x:c r="G4" s="705" t="str">
        <x:v>Status</x:v>
      </x:c>
    </x:row>
    <x:row r="5">
      <x:c r="A5" s="722" t="str">
        <x:v>CRA-001</x:v>
      </x:c>
      <x:c r="B5" s="723" t="str">
        <x:v>Evidence package</x:v>
      </x:c>
      <x:c r="C5" s="723" t="str">
        <x:v>Material capability update includes capability/role/task versions, evidence refs, score vector, confidence, gaps, contradictions and employee response.</x:v>
      </x:c>
      <x:c r="D5" s="723" t="str">
        <x:v>Capability Domain + Evidence APIs</x:v>
      </x:c>
      <x:c r="E5" s="723" t="str">
        <x:v>Reviewer can inspect source and limitations.</x:v>
      </x:c>
      <x:c r="F5" s="723" t="str">
        <x:v>Critical</x:v>
      </x:c>
      <x:c r="G5" s="724" t="str">
        <x:v>Draft Complete</x:v>
      </x:c>
    </x:row>
    <x:row r="6">
      <x:c r="A6" s="730" t="str">
        <x:v>CRA-002</x:v>
      </x:c>
      <x:c r="B6" s="731" t="str">
        <x:v>Employee self-access</x:v>
      </x:c>
      <x:c r="C6" s="731" t="str">
        <x:v>Employee can see claims, capability states, readiness, evidence summaries and review status.</x:v>
      </x:c>
      <x:c r="D6" s="731" t="str">
        <x:v>Employee portal + Access Broker</x:v>
      </x:c>
      <x:c r="E6" s="731" t="str">
        <x:v>Raw evidence remains policy-filtered.</x:v>
      </x:c>
      <x:c r="F6" s="731" t="str">
        <x:v>Critical</x:v>
      </x:c>
      <x:c r="G6" s="732" t="str">
        <x:v>Draft Complete</x:v>
      </x:c>
    </x:row>
    <x:row r="7">
      <x:c r="A7" s="725" t="str">
        <x:v>CRA-003</x:v>
      </x:c>
      <x:c r="B7" s="114" t="str">
        <x:v>Correction request</x:v>
      </x:c>
      <x:c r="C7" s="114" t="str">
        <x:v>Employee can correct claim wording, task/context, evidence mapping or factual error.</x:v>
      </x:c>
      <x:c r="D7" s="114" t="str">
        <x:v>Governance workflow</x:v>
      </x:c>
      <x:c r="E7" s="114" t="str">
        <x:v>Original and corrected versions preserved.</x:v>
      </x:c>
      <x:c r="F7" s="114" t="str">
        <x:v>Critical</x:v>
      </x:c>
      <x:c r="G7" s="726" t="str">
        <x:v>Draft Complete</x:v>
      </x:c>
    </x:row>
    <x:row r="8">
      <x:c r="A8" s="730" t="str">
        <x:v>CRA-004</x:v>
      </x:c>
      <x:c r="B8" s="731" t="str">
        <x:v>Dispute request</x:v>
      </x:c>
      <x:c r="C8" s="731" t="str">
        <x:v>Employee can challenge capability, gap or readiness conclusion.</x:v>
      </x:c>
      <x:c r="D8" s="731" t="str">
        <x:v>Workflow Runtime</x:v>
      </x:c>
      <x:c r="E8" s="731" t="str">
        <x:v>High-impact use suspended/marked disputed until review.</x:v>
      </x:c>
      <x:c r="F8" s="731" t="str">
        <x:v>Critical</x:v>
      </x:c>
      <x:c r="G8" s="732" t="str">
        <x:v>Draft Complete</x:v>
      </x:c>
    </x:row>
    <x:row r="9">
      <x:c r="A9" s="725" t="str">
        <x:v>CRA-005</x:v>
      </x:c>
      <x:c r="B9" s="114" t="str">
        <x:v>Reviewer qualification</x:v>
      </x:c>
      <x:c r="C9" s="114" t="str">
        <x:v>Reviewer must have domain competence, authority, training and no material conflict.</x:v>
      </x:c>
      <x:c r="D9" s="114" t="str">
        <x:v>Organisation/role policy</x:v>
      </x:c>
      <x:c r="E9" s="114" t="str">
        <x:v>Reviewer assignment audited.</x:v>
      </x:c>
      <x:c r="F9" s="114" t="str">
        <x:v>Critical</x:v>
      </x:c>
      <x:c r="G9" s="726" t="str">
        <x:v>Draft Complete</x:v>
      </x:c>
    </x:row>
    <x:row r="10">
      <x:c r="A10" s="730" t="str">
        <x:v>CRA-006</x:v>
      </x:c>
      <x:c r="B10" s="731" t="str">
        <x:v>Independent review</x:v>
      </x:c>
      <x:c r="C10" s="731" t="str">
        <x:v>Appeal or serious discrepancy may require a different reviewer.</x:v>
      </x:c>
      <x:c r="D10" s="731" t="str">
        <x:v>Workflow routing</x:v>
      </x:c>
      <x:c r="E10" s="731" t="str">
        <x:v>Reduces confirmation bias.</x:v>
      </x:c>
      <x:c r="F10" s="731" t="str">
        <x:v>High</x:v>
      </x:c>
      <x:c r="G10" s="732" t="str">
        <x:v>Draft Complete</x:v>
      </x:c>
    </x:row>
    <x:row r="11">
      <x:c r="A11" s="725" t="str">
        <x:v>CRA-007</x:v>
      </x:c>
      <x:c r="B11" s="114" t="str">
        <x:v>Review decisions</x:v>
      </x:c>
      <x:c r="C11" s="114" t="str">
        <x:v>Approve, modify, reject, request evidence, mark context insufficient, assign reassessment or open role-impact review.</x:v>
      </x:c>
      <x:c r="D11" s="114" t="str">
        <x:v>ReviewDecision entity</x:v>
      </x:c>
      <x:c r="E11" s="114" t="str">
        <x:v>Rationale and evidence refs required.</x:v>
      </x:c>
      <x:c r="F11" s="114" t="str">
        <x:v>Critical</x:v>
      </x:c>
      <x:c r="G11" s="726" t="str">
        <x:v>Draft Complete</x:v>
      </x:c>
    </x:row>
    <x:row r="12">
      <x:c r="A12" s="730" t="str">
        <x:v>CRA-008</x:v>
      </x:c>
      <x:c r="B12" s="731" t="str">
        <x:v>State versioning</x:v>
      </x:c>
      <x:c r="C12" s="731" t="str">
        <x:v>Every PersonCapabilityState and RoleReadiness update creates a version.</x:v>
      </x:c>
      <x:c r="D12" s="731" t="str">
        <x:v>Java aggregate/version tables</x:v>
      </x:c>
      <x:c r="E12" s="731" t="str">
        <x:v>Historical state remains reproducible.</x:v>
      </x:c>
      <x:c r="F12" s="731" t="str">
        <x:v>Critical</x:v>
      </x:c>
      <x:c r="G12" s="732" t="str">
        <x:v>Draft Complete</x:v>
      </x:c>
    </x:row>
    <x:row r="13">
      <x:c r="A13" s="725" t="str">
        <x:v>CRA-009</x:v>
      </x:c>
      <x:c r="B13" s="114" t="str">
        <x:v>Model/rule lineage</x:v>
      </x:c>
      <x:c r="C13" s="114" t="str">
        <x:v>Record scoring model, weights, threshold, mapping framework and code version.</x:v>
      </x:c>
      <x:c r="D13" s="114" t="str">
        <x:v>Audit lineage</x:v>
      </x:c>
      <x:c r="E13" s="114" t="str">
        <x:v>Supports regression and challenge.</x:v>
      </x:c>
      <x:c r="F13" s="114" t="str">
        <x:v>High</x:v>
      </x:c>
      <x:c r="G13" s="726" t="str">
        <x:v>Draft Complete</x:v>
      </x:c>
    </x:row>
    <x:row r="14">
      <x:c r="A14" s="730" t="str">
        <x:v>CRA-010</x:v>
      </x:c>
      <x:c r="B14" s="731" t="str">
        <x:v>Framework mapping lineage</x:v>
      </x:c>
      <x:c r="C14" s="731" t="str">
        <x:v>Record SFIA/NICE/ESCO/O*NET version and mapping confidence.</x:v>
      </x:c>
      <x:c r="D14" s="731" t="str">
        <x:v>Capability mapping table</x:v>
      </x:c>
      <x:c r="E14" s="731" t="str">
        <x:v>External mapping changes do not silently rewrite internal state.</x:v>
      </x:c>
      <x:c r="F14" s="731" t="str">
        <x:v>Medium</x:v>
      </x:c>
      <x:c r="G14" s="732" t="str">
        <x:v>Draft Complete</x:v>
      </x:c>
    </x:row>
    <x:row r="15">
      <x:c r="A15" s="725" t="str">
        <x:v>CRA-011</x:v>
      </x:c>
      <x:c r="B15" s="114" t="str">
        <x:v>Evidence expiry audit</x:v>
      </x:c>
      <x:c r="C15" s="114" t="str">
        <x:v>Record why evidence became aging/stale/expired and resulting state effect.</x:v>
      </x:c>
      <x:c r="D15" s="114" t="str">
        <x:v>Reassessment monitor</x:v>
      </x:c>
      <x:c r="E15" s="114" t="str">
        <x:v>Employee sees reassessment reason.</x:v>
      </x:c>
      <x:c r="F15" s="114" t="str">
        <x:v>High</x:v>
      </x:c>
      <x:c r="G15" s="726" t="str">
        <x:v>Draft Complete</x:v>
      </x:c>
    </x:row>
    <x:row r="16">
      <x:c r="A16" s="730" t="str">
        <x:v>CRA-012</x:v>
      </x:c>
      <x:c r="B16" s="731" t="str">
        <x:v>Claim discrepancy audit</x:v>
      </x:c>
      <x:c r="C16" s="731" t="str">
        <x:v>Record neutral workflow transitions, evidence and employee response.</x:v>
      </x:c>
      <x:c r="D16" s="731" t="str">
        <x:v>Claim workflow</x:v>
      </x:c>
      <x:c r="E16" s="731" t="str">
        <x:v>No dishonesty label without separate process.</x:v>
      </x:c>
      <x:c r="F16" s="731" t="str">
        <x:v>Critical</x:v>
      </x:c>
      <x:c r="G16" s="732" t="str">
        <x:v>Draft Complete</x:v>
      </x:c>
    </x:row>
    <x:row r="17">
      <x:c r="A17" s="725" t="str">
        <x:v>CRA-013</x:v>
      </x:c>
      <x:c r="B17" s="114" t="str">
        <x:v>Role-impact separation</x:v>
      </x:c>
      <x:c r="C17" s="114" t="str">
        <x:v>Capability review and HR employment decision remain separate workflows and audit objects.</x:v>
      </x:c>
      <x:c r="D17" s="114" t="str">
        <x:v>Workflow/policy</x:v>
      </x:c>
      <x:c r="E17" s="114" t="str">
        <x:v>Capability reviewer cannot make unauthorised employment decision.</x:v>
      </x:c>
      <x:c r="F17" s="114" t="str">
        <x:v>Critical</x:v>
      </x:c>
      <x:c r="G17" s="726" t="str">
        <x:v>Draft Complete</x:v>
      </x:c>
    </x:row>
    <x:row r="18">
      <x:c r="A18" s="730" t="str">
        <x:v>CRA-014</x:v>
      </x:c>
      <x:c r="B18" s="731" t="str">
        <x:v>Access logging</x:v>
      </x:c>
      <x:c r="C18" s="731" t="str">
        <x:v>Every capability/readiness evidence access, export and reviewer action is audited.</x:v>
      </x:c>
      <x:c r="D18" s="731" t="str">
        <x:v>HumanOS Audit</x:v>
      </x:c>
      <x:c r="E18" s="731" t="str">
        <x:v>Purpose, scope and reason code required.</x:v>
      </x:c>
      <x:c r="F18" s="731" t="str">
        <x:v>Critical</x:v>
      </x:c>
      <x:c r="G18" s="732" t="str">
        <x:v>Draft Complete</x:v>
      </x:c>
    </x:row>
    <x:row r="19">
      <x:c r="A19" s="725" t="str">
        <x:v>CRA-015</x:v>
      </x:c>
      <x:c r="B19" s="114" t="str">
        <x:v>Retention</x:v>
      </x:c>
      <x:c r="C19" s="114" t="str">
        <x:v>Capability evidence/state retained only while relevant to employment/development and review obligations.</x:v>
      </x:c>
      <x:c r="D19" s="114" t="str">
        <x:v>Retention policy</x:v>
      </x:c>
      <x:c r="E19" s="114" t="str">
        <x:v>Raw evidence and capability records have different TTLs.</x:v>
      </x:c>
      <x:c r="F19" s="114" t="str">
        <x:v>High</x:v>
      </x:c>
      <x:c r="G19" s="726" t="str">
        <x:v>Draft Complete</x:v>
      </x:c>
    </x:row>
    <x:row r="20">
      <x:c r="A20" s="730" t="str">
        <x:v>CRA-016</x:v>
      </x:c>
      <x:c r="B20" s="731" t="str">
        <x:v>Deletion/correction propagation</x:v>
      </x:c>
      <x:c r="C20" s="731" t="str">
        <x:v>Approved corrections or deletion requests update read models/reports while preserving lawful audit lineage.</x:v>
      </x:c>
      <x:c r="D20" s="731" t="str">
        <x:v>Stage 4 retention/correction</x:v>
      </x:c>
      <x:c r="E20" s="731" t="str">
        <x:v>No ghost states in analytics.</x:v>
      </x:c>
      <x:c r="F20" s="731" t="str">
        <x:v>High</x:v>
      </x:c>
      <x:c r="G20" s="732" t="str">
        <x:v>Draft Complete</x:v>
      </x:c>
    </x:row>
    <x:row r="21">
      <x:c r="A21" s="725" t="str">
        <x:v>CRA-017</x:v>
      </x:c>
      <x:c r="B21" s="114" t="str">
        <x:v>Quality metrics</x:v>
      </x:c>
      <x:c r="C21" s="114" t="str">
        <x:v>Track reviewer agreement, overturn rate, dispute rate, stale evidence, calibration and subgroup/coverage differences.</x:v>
      </x:c>
      <x:c r="D21" s="114" t="str">
        <x:v>Analytics</x:v>
      </x:c>
      <x:c r="E21" s="114" t="str">
        <x:v>Metrics improve system, not rank employees.</x:v>
      </x:c>
      <x:c r="F21" s="114" t="str">
        <x:v>High</x:v>
      </x:c>
      <x:c r="G21" s="726" t="str">
        <x:v>Draft Complete</x:v>
      </x:c>
    </x:row>
    <x:row r="22">
      <x:c r="A22" s="733" t="str">
        <x:v>CRA-018</x:v>
      </x:c>
      <x:c r="B22" s="734" t="str">
        <x:v>Periodic governance review</x:v>
      </x:c>
      <x:c r="C22" s="734" t="str">
        <x:v>DPO/HR/Product/AI Governance review thresholds, fairness, retention and use cases.</x:v>
      </x:c>
      <x:c r="D22" s="734" t="str">
        <x:v>Quarterly/defined cadence</x:v>
      </x:c>
      <x:c r="E22" s="734" t="str">
        <x:v>Material changes require new policy/gate review.</x:v>
      </x:c>
      <x:c r="F22" s="734" t="str">
        <x:v>Critical</x:v>
      </x:c>
      <x:c r="G22" s="735" t="str">
        <x:v>Draft Complete</x:v>
      </x:c>
    </x:row>
  </x:sheetData>
  <x:mergeCells>
    <x:mergeCell ref="A1:G1"/>
    <x:mergeCell ref="A2:G2"/>
  </x:mergeCells>
  <x:dataValidations count="2">
    <x:dataValidation type="list" sqref="F5:F22">
      <x:formula1>"Critical,High,Medium,Low"</x:formula1>
    </x:dataValidation>
    <x:dataValidation type="list" sqref="G5:G22">
      <x:formula1>"Draft Complete,Needs Review,Approved,Deferred"</x:formula1>
    </x:dataValidation>
  </x:dataValidations>
  <x:pageMargins left="0.7" right="0.7" top="0.75" bottom="0.75" header="0.3" footer="0.3"/>
</x:worksheet>
</file>

<file path=xl/worksheets/sheet121.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0" hidden="0" customWidth="1"/>
    <x:col min="5" max="5" width="34" hidden="0" customWidth="1"/>
    <x:col min="6" max="6" width="46" hidden="0" customWidth="1"/>
    <x:col min="7" max="7" width="38" hidden="0" customWidth="1"/>
    <x:col min="8" max="8" width="58" hidden="0" customWidth="1"/>
    <x:col min="9" max="9" width="12" hidden="0" customWidth="1"/>
    <x:col min="10" max="10" width="18" hidden="0" customWidth="1"/>
    <x:col min="11" max="11" width="32" hidden="0" customWidth="1"/>
  </x:cols>
  <x:sheetData>
    <x:row r="1" ht="30" customHeight="1">
      <x:c r="A1" s="687" t="str">
        <x:v>Stage 9 — Growth Coach Architecture</x:v>
      </x:c>
      <x:c r="B1" s="687"/>
      <x:c r="C1" s="687"/>
      <x:c r="D1" s="687"/>
      <x:c r="E1" s="687"/>
      <x:c r="F1" s="687"/>
      <x:c r="G1" s="687"/>
      <x:c r="H1" s="687"/>
      <x:c r="I1" s="687"/>
      <x:c r="J1" s="687"/>
      <x:c r="K1" s="687"/>
    </x:row>
    <x:row r="2" ht="36" customHeight="1">
      <x:c r="A2" s="691" t="str">
        <x:v>Policy-controlled architecture for evidence-linked private coaching, learning plans, practice, mentor escalation, feedback and effectiveness evaluation.</x:v>
      </x:c>
      <x:c r="B2" s="691"/>
      <x:c r="C2" s="691"/>
      <x:c r="D2" s="691"/>
      <x:c r="E2" s="691"/>
      <x:c r="F2" s="691"/>
      <x:c r="G2" s="691"/>
      <x:c r="H2" s="691"/>
      <x:c r="I2" s="691"/>
      <x:c r="J2" s="691"/>
      <x:c r="K2" s="691"/>
    </x:row>
    <x:row r="4" ht="30" customHeight="1">
      <x:c r="A4" s="703" t="str">
        <x:v>ID</x:v>
      </x:c>
      <x:c r="B4" s="704" t="str">
        <x:v>Component</x:v>
      </x:c>
      <x:c r="C4" s="704" t="str">
        <x:v>Responsibility</x:v>
      </x:c>
      <x:c r="D4" s="704" t="str">
        <x:v>Runtime / implementation</x:v>
      </x:c>
      <x:c r="E4" s="704" t="str">
        <x:v>Data / state</x:v>
      </x:c>
      <x:c r="F4" s="704" t="str">
        <x:v>Consumes / integrates</x:v>
      </x:c>
      <x:c r="G4" s="704" t="str">
        <x:v>Publishes / exposes</x:v>
      </x:c>
      <x:c r="H4" s="704" t="str">
        <x:v>Security / governance rule</x:v>
      </x:c>
      <x:c r="I4" s="704" t="str">
        <x:v>Priority</x:v>
      </x:c>
      <x:c r="J4" s="704" t="str">
        <x:v>Status</x:v>
      </x:c>
      <x:c r="K4" s="705" t="str">
        <x:v>Source / basis</x:v>
      </x:c>
    </x:row>
    <x:row r="5">
      <x:c r="A5" s="722" t="str">
        <x:v>S9-ARC-001</x:v>
      </x:c>
      <x:c r="B5" s="723" t="str">
        <x:v>Coaching Policy Service</x:v>
      </x:c>
      <x:c r="C5" s="723" t="str">
        <x:v>Define allowed interventions by task, risk, jurisdiction, employee preference, role and evidence confidence.</x:v>
      </x:c>
      <x:c r="D5" s="723" t="str">
        <x:v>Java/Spring Boot + HumanOS Policy Service</x:v>
      </x:c>
      <x:c r="E5" s="723" t="str">
        <x:v>PostgreSQL/policy bundles</x:v>
      </x:c>
      <x:c r="F5" s="723" t="str">
        <x:v>Capability/Task state, employee preferences, DPO/HR rules</x:v>
      </x:c>
      <x:c r="G5" s="723" t="str">
        <x:v>coaching.policy.versioned.v1</x:v>
      </x:c>
      <x:c r="H5" s="723" t="str">
        <x:v>No coaching outside approved purpose or employee-visible policy.</x:v>
      </x:c>
      <x:c r="I5" s="723" t="str">
        <x:v>Critical</x:v>
      </x:c>
      <x:c r="J5" s="723" t="str">
        <x:v>Draft Complete</x:v>
      </x:c>
      <x:c r="K5" s="724"/>
    </x:row>
    <x:row r="6">
      <x:c r="A6" s="730" t="str">
        <x:v>S9-ARC-002</x:v>
      </x:c>
      <x:c r="B6" s="731" t="str">
        <x:v>Employee Coaching Preferences</x:v>
      </x:c>
      <x:c r="C6" s="731" t="str">
        <x:v>Store channel, language, accessibility, focus windows, interruption tolerance, snooze and mentor preferences.</x:v>
      </x:c>
      <x:c r="D6" s="731" t="str">
        <x:v>Java/Spring Boot</x:v>
      </x:c>
      <x:c r="E6" s="731" t="str">
        <x:v>PostgreSQL</x:v>
      </x:c>
      <x:c r="F6" s="731" t="str">
        <x:v>Employee portal; HR accommodations through restricted flags</x:v>
      </x:c>
      <x:c r="G6" s="731" t="str">
        <x:v>coaching.preference.updated.v1</x:v>
      </x:c>
      <x:c r="H6" s="731" t="str">
        <x:v>Employee preference does not expose medical/accommodation detail to model.</x:v>
      </x:c>
      <x:c r="I6" s="731" t="str">
        <x:v>Critical</x:v>
      </x:c>
      <x:c r="J6" s="731" t="str">
        <x:v>Draft Complete</x:v>
      </x:c>
      <x:c r="K6" s="732"/>
    </x:row>
    <x:row r="7">
      <x:c r="A7" s="725" t="str">
        <x:v>S9-ARC-003</x:v>
      </x:c>
      <x:c r="B7" s="114" t="str">
        <x:v>Context Assembler</x:v>
      </x:c>
      <x:c r="C7" s="114" t="str">
        <x:v>Build minimised coaching context from active task, criterion gaps, blockers, capability state and recent interventions.</x:v>
      </x:c>
      <x:c r="D7" s="114" t="str">
        <x:v>Java orchestration</x:v>
      </x:c>
      <x:c r="E7" s="114" t="str">
        <x:v>Transient context + references</x:v>
      </x:c>
      <x:c r="F7" s="114" t="str">
        <x:v>Task Assurance, Capability Domain, Evidence Access Broker</x:v>
      </x:c>
      <x:c r="G7" s="114" t="str">
        <x:v>coach.context.prepared.v1</x:v>
      </x:c>
      <x:c r="H7" s="114" t="str">
        <x:v>Uses summaries/evidence refs, not unrestricted raw screen/text.</x:v>
      </x:c>
      <x:c r="I7" s="114" t="str">
        <x:v>Critical</x:v>
      </x:c>
      <x:c r="J7" s="114" t="str">
        <x:v>Draft Complete</x:v>
      </x:c>
      <x:c r="K7" s="726"/>
    </x:row>
    <x:row r="8">
      <x:c r="A8" s="730" t="str">
        <x:v>S9-ARC-004</x:v>
      </x:c>
      <x:c r="B8" s="731" t="str">
        <x:v>Intervention Trigger Engine</x:v>
      </x:c>
      <x:c r="C8" s="731" t="str">
        <x:v>Detect deterministic and AI-assisted coaching opportunities.</x:v>
      </x:c>
      <x:c r="D8" s="731" t="str">
        <x:v>Java rules + Python recommendations</x:v>
      </x:c>
      <x:c r="E8" s="731" t="str">
        <x:v>Trigger state</x:v>
      </x:c>
      <x:c r="F8" s="731" t="str">
        <x:v>Task/quality/blocker/capability events</x:v>
      </x:c>
      <x:c r="G8" s="731" t="str">
        <x:v>coaching.trigger.detected.v1</x:v>
      </x:c>
      <x:c r="H8" s="731" t="str">
        <x:v>Trigger does not guarantee delivery; policy and interrupt control decide.</x:v>
      </x:c>
      <x:c r="I8" s="731" t="str">
        <x:v>High</x:v>
      </x:c>
      <x:c r="J8" s="731" t="str">
        <x:v>Draft Complete</x:v>
      </x:c>
      <x:c r="K8" s="732"/>
    </x:row>
    <x:row r="9">
      <x:c r="A9" s="725" t="str">
        <x:v>S9-ARC-005</x:v>
      </x:c>
      <x:c r="B9" s="114" t="str">
        <x:v>Intervention Selector</x:v>
      </x:c>
      <x:c r="C9" s="114" t="str">
        <x:v>Choose Observe, Nudge, Assist, Teach, Escalate, Reflect, Practice or Mentor Handoff.</x:v>
      </x:c>
      <x:c r="D9" s="114" t="str">
        <x:v>Python recommendation + Java policy decision</x:v>
      </x:c>
      <x:c r="E9" s="114" t="str">
        <x:v>Intervention candidate</x:v>
      </x:c>
      <x:c r="F9" s="114" t="str">
        <x:v>Trigger, context, employee preferences, prior effectiveness</x:v>
      </x:c>
      <x:c r="G9" s="114" t="str">
        <x:v>coaching.intervention.candidate.v1</x:v>
      </x:c>
      <x:c r="H9" s="114" t="str">
        <x:v>Least intrusive effective mode first.</x:v>
      </x:c>
      <x:c r="I9" s="114" t="str">
        <x:v>Critical</x:v>
      </x:c>
      <x:c r="J9" s="114" t="str">
        <x:v>Draft Complete</x:v>
      </x:c>
      <x:c r="K9" s="726"/>
    </x:row>
    <x:row r="10">
      <x:c r="A10" s="730" t="str">
        <x:v>S9-ARC-006</x:v>
      </x:c>
      <x:c r="B10" s="731" t="str">
        <x:v>Coaching Generator</x:v>
      </x:c>
      <x:c r="C10" s="731" t="str">
        <x:v>Generate concise, evidence-linked and task-specific guidance.</x:v>
      </x:c>
      <x:c r="D10" s="731" t="str">
        <x:v>Python via HumanOS Model Gateway</x:v>
      </x:c>
      <x:c r="E10" s="731" t="str">
        <x:v>Prompt/response/eval refs</x:v>
      </x:c>
      <x:c r="F10" s="731" t="str">
        <x:v>Approved context, skill/prompt versions</x:v>
      </x:c>
      <x:c r="G10" s="731" t="str">
        <x:v>coaching.content.generated.v1</x:v>
      </x:c>
      <x:c r="H10" s="731" t="str">
        <x:v>No punitive or unsupported language; uncertainty stated.</x:v>
      </x:c>
      <x:c r="I10" s="731" t="str">
        <x:v>Critical</x:v>
      </x:c>
      <x:c r="J10" s="731" t="str">
        <x:v>Draft Complete</x:v>
      </x:c>
      <x:c r="K10" s="732"/>
    </x:row>
    <x:row r="11">
      <x:c r="A11" s="725" t="str">
        <x:v>S9-ARC-007</x:v>
      </x:c>
      <x:c r="B11" s="114" t="str">
        <x:v>Safety and Quality Validator</x:v>
      </x:c>
      <x:c r="C11" s="114" t="str">
        <x:v>Check confidentiality, tone, factual grounding, protected inferences, policy and actionability.</x:v>
      </x:c>
      <x:c r="D11" s="114" t="str">
        <x:v>Python/Java validators</x:v>
      </x:c>
      <x:c r="E11" s="114" t="str">
        <x:v>Validation result</x:v>
      </x:c>
      <x:c r="F11" s="114" t="str">
        <x:v>Generated coaching and source refs</x:v>
      </x:c>
      <x:c r="G11" s="114" t="str">
        <x:v>coaching.content.validated/rejected.v1</x:v>
      </x:c>
      <x:c r="H11" s="114" t="str">
        <x:v>Rejected content is not delivered.</x:v>
      </x:c>
      <x:c r="I11" s="114" t="str">
        <x:v>Critical</x:v>
      </x:c>
      <x:c r="J11" s="114" t="str">
        <x:v>Draft Complete</x:v>
      </x:c>
      <x:c r="K11" s="726"/>
    </x:row>
    <x:row r="12">
      <x:c r="A12" s="730" t="str">
        <x:v>S9-ARC-008</x:v>
      </x:c>
      <x:c r="B12" s="731" t="str">
        <x:v>Interrupt Controller</x:v>
      </x:c>
      <x:c r="C12" s="731" t="str">
        <x:v>Decide delivery timing using urgency, focus mode, cooldown, active interaction and employee settings.</x:v>
      </x:c>
      <x:c r="D12" s="731" t="str">
        <x:v>Java/Spring Boot</x:v>
      </x:c>
      <x:c r="E12" s="731" t="str">
        <x:v>Intervention queue/state</x:v>
      </x:c>
      <x:c r="F12" s="731" t="str">
        <x:v>Agent/device session, notification service, preferences</x:v>
      </x:c>
      <x:c r="G12" s="731" t="str">
        <x:v>coaching.delivery.scheduled.v1</x:v>
      </x:c>
      <x:c r="H12" s="731" t="str">
        <x:v>Avoid interruption during deep work except approved urgent risk.</x:v>
      </x:c>
      <x:c r="I12" s="731" t="str">
        <x:v>Critical</x:v>
      </x:c>
      <x:c r="J12" s="731" t="str">
        <x:v>Draft Complete</x:v>
      </x:c>
      <x:c r="K12" s="732"/>
    </x:row>
    <x:row r="13">
      <x:c r="A13" s="725" t="str">
        <x:v>S9-ARC-009</x:v>
      </x:c>
      <x:c r="B13" s="114" t="str">
        <x:v>Delivery Channels</x:v>
      </x:c>
      <x:c r="C13" s="114" t="str">
        <x:v>Deliver privately through endpoint assistant, HumanOS inbox, IDE/agent surface or scheduled digest.</x:v>
      </x:c>
      <x:c r="D13" s="114" t="str">
        <x:v>Notification Service + UI integrations</x:v>
      </x:c>
      <x:c r="E13" s="114" t="str">
        <x:v>Delivery/receipt state</x:v>
      </x:c>
      <x:c r="F13" s="114" t="str">
        <x:v>Device agent, web/mobile/IDE integrations</x:v>
      </x:c>
      <x:c r="G13" s="114" t="str">
        <x:v>coaching.intervention.delivered.v1</x:v>
      </x:c>
      <x:c r="H13" s="114" t="str">
        <x:v>Private to employee by default.</x:v>
      </x:c>
      <x:c r="I13" s="114" t="str">
        <x:v>High</x:v>
      </x:c>
      <x:c r="J13" s="114" t="str">
        <x:v>Draft Complete</x:v>
      </x:c>
      <x:c r="K13" s="726"/>
    </x:row>
    <x:row r="14">
      <x:c r="A14" s="730" t="str">
        <x:v>S9-ARC-010</x:v>
      </x:c>
      <x:c r="B14" s="731" t="str">
        <x:v>Feedback Collector</x:v>
      </x:c>
      <x:c r="C14" s="731" t="str">
        <x:v>Capture useful/not useful, accepted/rejected, snoozed, incorrect context and free-text feedback.</x:v>
      </x:c>
      <x:c r="D14" s="731" t="str">
        <x:v>Java APIs/UI</x:v>
      </x:c>
      <x:c r="E14" s="731" t="str">
        <x:v>PostgreSQL</x:v>
      </x:c>
      <x:c r="F14" s="731" t="str">
        <x:v>Employee interaction</x:v>
      </x:c>
      <x:c r="G14" s="731" t="str">
        <x:v>coaching.feedback.recorded.v1</x:v>
      </x:c>
      <x:c r="H14" s="731" t="str">
        <x:v>Feedback cannot be used punitively.</x:v>
      </x:c>
      <x:c r="I14" s="731" t="str">
        <x:v>Critical</x:v>
      </x:c>
      <x:c r="J14" s="731" t="str">
        <x:v>Draft Complete</x:v>
      </x:c>
      <x:c r="K14" s="732"/>
    </x:row>
    <x:row r="15">
      <x:c r="A15" s="725" t="str">
        <x:v>S9-ARC-011</x:v>
      </x:c>
      <x:c r="B15" s="114" t="str">
        <x:v>Effectiveness Evaluator</x:v>
      </x:c>
      <x:c r="C15" s="114" t="str">
        <x:v>Measure whether intervention improved verification, repeated errors, independent execution or task outcome.</x:v>
      </x:c>
      <x:c r="D15" s="114" t="str">
        <x:v>Python analytics + Java state</x:v>
      </x:c>
      <x:c r="E15" s="114" t="str">
        <x:v>Evaluation/read model</x:v>
      </x:c>
      <x:c r="F15" s="114" t="str">
        <x:v>Later task assessments, feedback and capability evidence</x:v>
      </x:c>
      <x:c r="G15" s="114" t="str">
        <x:v>coaching.effectiveness.assessed.v1</x:v>
      </x:c>
      <x:c r="H15" s="114" t="str">
        <x:v>Correlation is not causation; use controlled/longitudinal comparisons.</x:v>
      </x:c>
      <x:c r="I15" s="114" t="str">
        <x:v>High</x:v>
      </x:c>
      <x:c r="J15" s="114" t="str">
        <x:v>Draft Complete</x:v>
      </x:c>
      <x:c r="K15" s="726"/>
    </x:row>
    <x:row r="16">
      <x:c r="A16" s="730" t="str">
        <x:v>S9-ARC-012</x:v>
      </x:c>
      <x:c r="B16" s="731" t="str">
        <x:v>Learning Plan Orchestrator</x:v>
      </x:c>
      <x:c r="C16" s="731" t="str">
        <x:v>Convert reviewed gap into sequenced learning, practice and reassessment plan.</x:v>
      </x:c>
      <x:c r="D16" s="731" t="str">
        <x:v>Java/Spring + Workflow Runtime</x:v>
      </x:c>
      <x:c r="E16" s="731" t="str">
        <x:v>PostgreSQL</x:v>
      </x:c>
      <x:c r="F16" s="731" t="str">
        <x:v>Capability gaps, content catalogue, employee goals</x:v>
      </x:c>
      <x:c r="G16" s="731" t="str">
        <x:v>learning.plan.activated.v1</x:v>
      </x:c>
      <x:c r="H16" s="731" t="str">
        <x:v>Employee can review/adjust plan where appropriate.</x:v>
      </x:c>
      <x:c r="I16" s="731" t="str">
        <x:v>Critical</x:v>
      </x:c>
      <x:c r="J16" s="731" t="str">
        <x:v>Draft Complete</x:v>
      </x:c>
      <x:c r="K16" s="732"/>
    </x:row>
    <x:row r="17">
      <x:c r="A17" s="725" t="str">
        <x:v>S9-ARC-013</x:v>
      </x:c>
      <x:c r="B17" s="114" t="str">
        <x:v>Learning Content and Skill Catalogue</x:v>
      </x:c>
      <x:c r="C17" s="114" t="str">
        <x:v>Own internal/external learning artefacts, prerequisites, versions, licences and evidence rules.</x:v>
      </x:c>
      <x:c r="D17" s="114" t="str">
        <x:v>Java catalogue + object/file service</x:v>
      </x:c>
      <x:c r="E17" s="114" t="str">
        <x:v>PostgreSQL/object references</x:v>
      </x:c>
      <x:c r="F17" s="114" t="str">
        <x:v>LMS/content providers, Skill Forge later</x:v>
      </x:c>
      <x:c r="G17" s="114" t="str">
        <x:v>learning.artefact.versioned.v1</x:v>
      </x:c>
      <x:c r="H17" s="114" t="str">
        <x:v>Content completion does not change capability state.</x:v>
      </x:c>
      <x:c r="I17" s="114" t="str">
        <x:v>High</x:v>
      </x:c>
      <x:c r="J17" s="114" t="str">
        <x:v>Draft Complete</x:v>
      </x:c>
      <x:c r="K17" s="726"/>
    </x:row>
    <x:row r="18">
      <x:c r="A18" s="730" t="str">
        <x:v>S9-ARC-014</x:v>
      </x:c>
      <x:c r="B18" s="731" t="str">
        <x:v>Practice and Reassessment Router</x:v>
      </x:c>
      <x:c r="C18" s="731" t="str">
        <x:v>Assign guided practice, challenge task or live-work reassessment and link results to capability evidence.</x:v>
      </x:c>
      <x:c r="D18" s="731" t="str">
        <x:v>Workflow Runtime + Task Service</x:v>
      </x:c>
      <x:c r="E18" s="731" t="str">
        <x:v>Task/assessment state</x:v>
      </x:c>
      <x:c r="F18" s="731" t="str">
        <x:v>Task templates, capability state, reviewers</x:v>
      </x:c>
      <x:c r="G18" s="731" t="str">
        <x:v>learning.practice.assigned/completed.v1</x:v>
      </x:c>
      <x:c r="H18" s="731" t="str">
        <x:v>Practice remains developmental and role-relevant.</x:v>
      </x:c>
      <x:c r="I18" s="731" t="str">
        <x:v>Critical</x:v>
      </x:c>
      <x:c r="J18" s="731" t="str">
        <x:v>Draft Complete</x:v>
      </x:c>
      <x:c r="K18" s="732"/>
    </x:row>
    <x:row r="19">
      <x:c r="A19" s="725" t="str">
        <x:v>S9-ARC-015</x:v>
      </x:c>
      <x:c r="B19" s="114" t="str">
        <x:v>Mentor/Expert Escalation</x:v>
      </x:c>
      <x:c r="C19" s="114" t="str">
        <x:v>Route complex, repeated or sensitive issues to qualified human mentor/reviewer.</x:v>
      </x:c>
      <x:c r="D19" s="114" t="str">
        <x:v>Workflow + Organisation/Directory</x:v>
      </x:c>
      <x:c r="E19" s="114" t="str">
        <x:v>Escalation state</x:v>
      </x:c>
      <x:c r="F19" s="114" t="str">
        <x:v>Gap severity, employee request, coach confidence</x:v>
      </x:c>
      <x:c r="G19" s="114" t="str">
        <x:v>coaching.mentor.handoff.created.v1</x:v>
      </x:c>
      <x:c r="H19" s="114" t="str">
        <x:v>Human support preferred where AI confidence or context is insufficient.</x:v>
      </x:c>
      <x:c r="I19" s="114" t="str">
        <x:v>High</x:v>
      </x:c>
      <x:c r="J19" s="114" t="str">
        <x:v>Draft Complete</x:v>
      </x:c>
      <x:c r="K19" s="726"/>
    </x:row>
    <x:row r="20">
      <x:c r="A20" s="730" t="str">
        <x:v>S9-ARC-016</x:v>
      </x:c>
      <x:c r="B20" s="731" t="str">
        <x:v>Manager/L&amp;D Development Summary</x:v>
      </x:c>
      <x:c r="C20" s="731" t="str">
        <x:v>Provide reviewed themes, learning progress, applied improvement and support needs.</x:v>
      </x:c>
      <x:c r="D20" s="731" t="str">
        <x:v>Java reporting/read model</x:v>
      </x:c>
      <x:c r="E20" s="731" t="str">
        <x:v>PostgreSQL analytics/read models</x:v>
      </x:c>
      <x:c r="F20" s="731" t="str">
        <x:v>Capability/learning/review events</x:v>
      </x:c>
      <x:c r="G20" s="731" t="str">
        <x:v>development.summary.updated.v1</x:v>
      </x:c>
      <x:c r="H20" s="731" t="str">
        <x:v>No raw private coaching conversations by default.</x:v>
      </x:c>
      <x:c r="I20" s="731" t="str">
        <x:v>Critical</x:v>
      </x:c>
      <x:c r="J20" s="731" t="str">
        <x:v>Draft Complete</x:v>
      </x:c>
      <x:c r="K20" s="732"/>
    </x:row>
    <x:row r="21">
      <x:c r="A21" s="725" t="str">
        <x:v>S9-ARC-017</x:v>
      </x:c>
      <x:c r="B21" s="114" t="str">
        <x:v>Coaching Audit and Versioning</x:v>
      </x:c>
      <x:c r="C21" s="114" t="str">
        <x:v>Record trigger, evidence refs, policy, prompt/skill/model version, delivery, feedback and outcome.</x:v>
      </x:c>
      <x:c r="D21" s="114" t="str">
        <x:v>HumanOS Audit extension</x:v>
      </x:c>
      <x:c r="E21" s="114" t="str">
        <x:v>Append-only audit</x:v>
      </x:c>
      <x:c r="F21" s="114" t="str">
        <x:v>All coaching components</x:v>
      </x:c>
      <x:c r="G21" s="114" t="str">
        <x:v>Audit records</x:v>
      </x:c>
      <x:c r="H21" s="114" t="str">
        <x:v>Intervention must be reproducible and challengeable.</x:v>
      </x:c>
      <x:c r="I21" s="114" t="str">
        <x:v>Critical</x:v>
      </x:c>
      <x:c r="J21" s="114" t="str">
        <x:v>Draft Complete</x:v>
      </x:c>
      <x:c r="K21" s="726"/>
    </x:row>
    <x:row r="22">
      <x:c r="A22" s="733" t="str">
        <x:v>S9-ARC-018</x:v>
      </x:c>
      <x:c r="B22" s="734" t="str">
        <x:v>Coach Improvement Feed</x:v>
      </x:c>
      <x:c r="C22" s="734" t="str">
        <x:v>Send de-identified/generalised intervention outcomes to Stage 11 Skill Forge as candidate observations.</x:v>
      </x:c>
      <x:c r="D22" s="734" t="str">
        <x:v>Event integration</x:v>
      </x:c>
      <x:c r="E22" s="734" t="str">
        <x:v>Candidate observation refs</x:v>
      </x:c>
      <x:c r="F22" s="734" t="str">
        <x:v>Effectiveness evaluator, feedback</x:v>
      </x:c>
      <x:c r="G22" s="734" t="str">
        <x:v>skill.observation.created.v1</x:v>
      </x:c>
      <x:c r="H22" s="734" t="str">
        <x:v>No automatic production self-modification; confidential data generalised.</x:v>
      </x:c>
      <x:c r="I22" s="734" t="str">
        <x:v>High</x:v>
      </x:c>
      <x:c r="J22" s="734" t="str">
        <x:v>Draft Complete</x:v>
      </x:c>
      <x:c r="K22" s="735"/>
    </x:row>
  </x:sheetData>
  <x:mergeCells>
    <x:mergeCell ref="A1:K1"/>
    <x:mergeCell ref="A2:K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22.xml><?xml version="1.0" encoding="utf-8"?>
<x:worksheet xmlns:x="http://schemas.openxmlformats.org/spreadsheetml/2006/main">
  <x:sheetFormatPr defaultRowHeight="15"/>
  <x:cols>
    <x:col min="1" max="1" width="12" hidden="0" customWidth="1"/>
    <x:col min="2" max="2" width="14" hidden="0" customWidth="1"/>
    <x:col min="3" max="3" width="30" hidden="0" customWidth="1"/>
    <x:col min="4" max="4" width="52" hidden="0" customWidth="1"/>
    <x:col min="5" max="5" width="52" hidden="0" customWidth="1"/>
    <x:col min="6" max="6" width="36" hidden="0" customWidth="1"/>
    <x:col min="7" max="7" width="34" hidden="0" customWidth="1"/>
    <x:col min="8" max="8" width="56" hidden="0" customWidth="1"/>
    <x:col min="9" max="9" width="42" hidden="0" customWidth="1"/>
    <x:col min="10" max="10" width="18" hidden="0" customWidth="1"/>
  </x:cols>
  <x:sheetData>
    <x:row r="1" ht="30" customHeight="1">
      <x:c r="A1" s="687" t="str">
        <x:v>Stage 9 — Coaching Modes and Triggers</x:v>
      </x:c>
      <x:c r="B1" s="687"/>
      <x:c r="C1" s="687"/>
      <x:c r="D1" s="687"/>
      <x:c r="E1" s="687"/>
      <x:c r="F1" s="687"/>
      <x:c r="G1" s="687"/>
      <x:c r="H1" s="687"/>
      <x:c r="I1" s="687"/>
      <x:c r="J1" s="687"/>
    </x:row>
    <x:row r="2" ht="36" customHeight="1">
      <x:c r="A2" s="691" t="str">
        <x:v>Eight employee-facing coaching modes and evidence-linked trigger catalogue. Delivery always passes policy, safety and interruption controls.</x:v>
      </x:c>
      <x:c r="B2" s="691"/>
      <x:c r="C2" s="691"/>
      <x:c r="D2" s="691"/>
      <x:c r="E2" s="691"/>
      <x:c r="F2" s="691"/>
      <x:c r="G2" s="691"/>
      <x:c r="H2" s="691"/>
      <x:c r="I2" s="691"/>
      <x:c r="J2" s="691"/>
    </x:row>
    <x:row r="4" ht="30" customHeight="1">
      <x:c r="A4" s="703" t="str">
        <x:v>ID</x:v>
      </x:c>
      <x:c r="B4" s="704" t="str">
        <x:v>Type</x:v>
      </x:c>
      <x:c r="C4" s="704" t="str">
        <x:v>Mode / trigger</x:v>
      </x:c>
      <x:c r="D4" s="704" t="str">
        <x:v>Definition</x:v>
      </x:c>
      <x:c r="E4" s="704" t="str">
        <x:v>Trigger / evidence condition</x:v>
      </x:c>
      <x:c r="F4" s="704" t="str">
        <x:v>Default response</x:v>
      </x:c>
      <x:c r="G4" s="704" t="str">
        <x:v>Channel / context</x:v>
      </x:c>
      <x:c r="H4" s="704" t="str">
        <x:v>Employee control / guardrail</x:v>
      </x:c>
      <x:c r="I4" s="704" t="str">
        <x:v>Escalation / next action</x:v>
      </x:c>
      <x:c r="J4" s="705" t="str">
        <x:v>Status</x:v>
      </x:c>
    </x:row>
    <x:row r="5">
      <x:c r="A5" s="722" t="str">
        <x:v>CMT-001</x:v>
      </x:c>
      <x:c r="B5" s="723" t="str">
        <x:v>Mode</x:v>
      </x:c>
      <x:c r="C5" s="723" t="str">
        <x:v>OBSERVE</x:v>
      </x:c>
      <x:c r="D5" s="723" t="str">
        <x:v>Analyse and retain no-interruption coaching candidate for later reflection/report.</x:v>
      </x:c>
      <x:c r="E5" s="723" t="str">
        <x:v>Low-confidence or baseline period; no urgent risk.</x:v>
      </x:c>
      <x:c r="F5" s="723" t="str">
        <x:v>No immediate message.</x:v>
      </x:c>
      <x:c r="G5" s="723" t="str">
        <x:v>Background/private timeline.</x:v>
      </x:c>
      <x:c r="H5" s="723" t="str">
        <x:v>Employee can see later summary and opt for more/less guidance.</x:v>
      </x:c>
      <x:c r="I5" s="723" t="str">
        <x:v>No escalation.</x:v>
      </x:c>
      <x:c r="J5" s="724" t="str">
        <x:v>Draft Complete</x:v>
      </x:c>
    </x:row>
    <x:row r="6">
      <x:c r="A6" s="730" t="str">
        <x:v>CMT-002</x:v>
      </x:c>
      <x:c r="B6" s="731" t="str">
        <x:v>Mode</x:v>
      </x:c>
      <x:c r="C6" s="731" t="str">
        <x:v>NUDGE</x:v>
      </x:c>
      <x:c r="D6" s="731" t="str">
        <x:v>Short contextual reminder of an omitted or upcoming step.</x:v>
      </x:c>
      <x:c r="E6" s="731" t="str">
        <x:v>High-confidence low-severity issue such as missing test or task switch.</x:v>
      </x:c>
      <x:c r="F6" s="731" t="str">
        <x:v>One concise evidence-linked reminder.</x:v>
      </x:c>
      <x:c r="G6" s="731" t="str">
        <x:v>Endpoint/IDE/HumanOS notification.</x:v>
      </x:c>
      <x:c r="H6" s="731" t="str">
        <x:v>Snooze, dismiss, reduce frequency.</x:v>
      </x:c>
      <x:c r="I6" s="731" t="str">
        <x:v>Escalate only after repeated material issue under policy.</x:v>
      </x:c>
      <x:c r="J6" s="732" t="str">
        <x:v>Draft Complete</x:v>
      </x:c>
    </x:row>
    <x:row r="7">
      <x:c r="A7" s="725" t="str">
        <x:v>CMT-003</x:v>
      </x:c>
      <x:c r="B7" s="114" t="str">
        <x:v>Mode</x:v>
      </x:c>
      <x:c r="C7" s="114" t="str">
        <x:v>ASSIST</x:v>
      </x:c>
      <x:c r="D7" s="114" t="str">
        <x:v>Offer a bounded diagnostic or execution plan.</x:v>
      </x:c>
      <x:c r="E7" s="114" t="str">
        <x:v>Employee request, blocker or repeated unsuccessful attempt.</x:v>
      </x:c>
      <x:c r="F7" s="114" t="str">
        <x:v>Suggested next steps with rationale and evidence.</x:v>
      </x:c>
      <x:c r="G7" s="114" t="str">
        <x:v>Private assistant panel.</x:v>
      </x:c>
      <x:c r="H7" s="114" t="str">
        <x:v>Accept, modify, reject, ask why.</x:v>
      </x:c>
      <x:c r="I7" s="114" t="str">
        <x:v>Mentor handoff if confidence low or issue complex.</x:v>
      </x:c>
      <x:c r="J7" s="726" t="str">
        <x:v>Draft Complete</x:v>
      </x:c>
    </x:row>
    <x:row r="8">
      <x:c r="A8" s="730" t="str">
        <x:v>CMT-004</x:v>
      </x:c>
      <x:c r="B8" s="731" t="str">
        <x:v>Mode</x:v>
      </x:c>
      <x:c r="C8" s="731" t="str">
        <x:v>TEACH</x:v>
      </x:c>
      <x:c r="D8" s="731" t="str">
        <x:v>Explain a concept and provide a worked example or micro-lesson.</x:v>
      </x:c>
      <x:c r="E8" s="731" t="str">
        <x:v>Reviewed knowledge/tool gap or explicit learning request.</x:v>
      </x:c>
      <x:c r="F8" s="731" t="str">
        <x:v>Short lesson plus practice/check.</x:v>
      </x:c>
      <x:c r="G8" s="731" t="str">
        <x:v>Learning panel/digest.</x:v>
      </x:c>
      <x:c r="H8" s="731" t="str">
        <x:v>Choose pace, format and accessibility options.</x:v>
      </x:c>
      <x:c r="I8" s="731" t="str">
        <x:v>Human instructor/mentor for critical topics.</x:v>
      </x:c>
      <x:c r="J8" s="732" t="str">
        <x:v>Draft Complete</x:v>
      </x:c>
    </x:row>
    <x:row r="9">
      <x:c r="A9" s="725" t="str">
        <x:v>CMT-005</x:v>
      </x:c>
      <x:c r="B9" s="114" t="str">
        <x:v>Mode</x:v>
      </x:c>
      <x:c r="C9" s="114" t="str">
        <x:v>ESCALATE</x:v>
      </x:c>
      <x:c r="D9" s="114" t="str">
        <x:v>Recommend or initiate authorised human/technical/manager support.</x:v>
      </x:c>
      <x:c r="E9" s="114" t="str">
        <x:v>Security risk, blocked access, repeated critical failure, deadline risk or employee request.</x:v>
      </x:c>
      <x:c r="F9" s="114" t="str">
        <x:v>Clear reason, evidence and recommended owner.</x:v>
      </x:c>
      <x:c r="G9" s="114" t="str">
        <x:v>Workflow/notification.</x:v>
      </x:c>
      <x:c r="H9" s="114" t="str">
        <x:v>Employee sees escalation except legally restricted incident path.</x:v>
      </x:c>
      <x:c r="I9" s="114" t="str">
        <x:v>Team lead/mentor/IT/security as policy permits.</x:v>
      </x:c>
      <x:c r="J9" s="726" t="str">
        <x:v>Draft Complete</x:v>
      </x:c>
    </x:row>
    <x:row r="10">
      <x:c r="A10" s="730" t="str">
        <x:v>CMT-006</x:v>
      </x:c>
      <x:c r="B10" s="731" t="str">
        <x:v>Mode</x:v>
      </x:c>
      <x:c r="C10" s="731" t="str">
        <x:v>REFLECT</x:v>
      </x:c>
      <x:c r="D10" s="731" t="str">
        <x:v>Prompt employee to review approach, decision, result or AI-agent output.</x:v>
      </x:c>
      <x:c r="E10" s="731" t="str">
        <x:v>After task milestone, rejection, recovery or completed learning.</x:v>
      </x:c>
      <x:c r="F10" s="731" t="str">
        <x:v>Questions and evidence summary.</x:v>
      </x:c>
      <x:c r="G10" s="731" t="str">
        <x:v>Private digest/end-of-task.</x:v>
      </x:c>
      <x:c r="H10" s="731" t="str">
        <x:v>Skip, respond privately, save note.</x:v>
      </x:c>
      <x:c r="I10" s="731" t="str">
        <x:v>No automatic manager access to reflection content.</x:v>
      </x:c>
      <x:c r="J10" s="732" t="str">
        <x:v>Draft Complete</x:v>
      </x:c>
    </x:row>
    <x:row r="11">
      <x:c r="A11" s="725" t="str">
        <x:v>CMT-007</x:v>
      </x:c>
      <x:c r="B11" s="114" t="str">
        <x:v>Mode</x:v>
      </x:c>
      <x:c r="C11" s="114" t="str">
        <x:v>PRACTICE</x:v>
      </x:c>
      <x:c r="D11" s="114" t="str">
        <x:v>Assign a guided or challenge exercise tied to a reviewed gap.</x:v>
      </x:c>
      <x:c r="E11" s="114" t="str">
        <x:v>Learning plan milestone or post-lesson application need.</x:v>
      </x:c>
      <x:c r="F11" s="114" t="str">
        <x:v>Practice task with criteria and evidence requirements.</x:v>
      </x:c>
      <x:c r="G11" s="114" t="str">
        <x:v>HumanOS Task/Learning.</x:v>
      </x:c>
      <x:c r="H11" s="114" t="str">
        <x:v>Schedule, request support or alternate format.</x:v>
      </x:c>
      <x:c r="I11" s="114" t="str">
        <x:v>Reviewer/mentor if repeated difficulty.</x:v>
      </x:c>
      <x:c r="J11" s="726" t="str">
        <x:v>Draft Complete</x:v>
      </x:c>
    </x:row>
    <x:row r="12">
      <x:c r="A12" s="730" t="str">
        <x:v>CMT-008</x:v>
      </x:c>
      <x:c r="B12" s="731" t="str">
        <x:v>Mode</x:v>
      </x:c>
      <x:c r="C12" s="731" t="str">
        <x:v>MENTOR_HANDOFF</x:v>
      </x:c>
      <x:c r="D12" s="731" t="str">
        <x:v>Transfer context to qualified human mentor with employee-aware boundaries.</x:v>
      </x:c>
      <x:c r="E12" s="731" t="str">
        <x:v>Complex judgement, interpersonal/support need, low AI confidence or employee preference.</x:v>
      </x:c>
      <x:c r="F12" s="731" t="str">
        <x:v>Evidence summary and agreed goals; no raw private content by default.</x:v>
      </x:c>
      <x:c r="G12" s="731" t="str">
        <x:v>Workflow/meeting/task.</x:v>
      </x:c>
      <x:c r="H12" s="731" t="str">
        <x:v>Employee approves non-urgent handoff and information scope.</x:v>
      </x:c>
      <x:c r="I12" s="731" t="str">
        <x:v>Qualified mentor/domain expert.</x:v>
      </x:c>
      <x:c r="J12" s="732" t="str">
        <x:v>Draft Complete</x:v>
      </x:c>
    </x:row>
    <x:row r="13">
      <x:c r="A13" s="725" t="str">
        <x:v>CMT-009</x:v>
      </x:c>
      <x:c r="B13" s="114" t="str">
        <x:v>Trigger</x:v>
      </x:c>
      <x:c r="C13" s="114" t="str">
        <x:v>REPEATED_ERROR</x:v>
      </x:c>
      <x:c r="D13" s="114" t="str">
        <x:v>Same comparable error recurs after appropriate guidance or training.</x:v>
      </x:c>
      <x:c r="E13" s="114" t="str">
        <x:v>Reviewed task evidence and no external blocker.</x:v>
      </x:c>
      <x:c r="F13" s="114" t="str">
        <x:v>Assist/Teach/Practice.</x:v>
      </x:c>
      <x:c r="G13" s="114" t="str">
        <x:v>Capability/task context.</x:v>
      </x:c>
      <x:c r="H13" s="114" t="str">
        <x:v>Minimum repeated-evidence threshold.</x:v>
      </x:c>
      <x:c r="I13" s="114" t="str">
        <x:v>Draft Complete</x:v>
      </x:c>
      <x:c r="J13" s="726"/>
    </x:row>
    <x:row r="14">
      <x:c r="A14" s="730" t="str">
        <x:v>CMT-010</x:v>
      </x:c>
      <x:c r="B14" s="731" t="str">
        <x:v>Trigger</x:v>
      </x:c>
      <x:c r="C14" s="731" t="str">
        <x:v>MISSING_VERIFICATION</x:v>
      </x:c>
      <x:c r="D14" s="731" t="str">
        <x:v>Work changes exist but required tests/review/security/quality gate is missing.</x:v>
      </x:c>
      <x:c r="E14" s="731" t="str">
        <x:v>Deterministic Stage 7 criterion/gate state.</x:v>
      </x:c>
      <x:c r="F14" s="731" t="str">
        <x:v>Nudge/Assist.</x:v>
      </x:c>
      <x:c r="G14" s="731" t="str">
        <x:v>Task criteria.</x:v>
      </x:c>
      <x:c r="H14" s="731" t="str">
        <x:v>Do not interrupt while verification process is already running.</x:v>
      </x:c>
      <x:c r="I14" s="731" t="str">
        <x:v>Draft Complete</x:v>
      </x:c>
      <x:c r="J14" s="732"/>
    </x:row>
    <x:row r="15">
      <x:c r="A15" s="725" t="str">
        <x:v>CMT-011</x:v>
      </x:c>
      <x:c r="B15" s="114" t="str">
        <x:v>Trigger</x:v>
      </x:c>
      <x:c r="C15" s="114" t="str">
        <x:v>AI_AGENT_OVERREACH</x:v>
      </x:c>
      <x:c r="D15" s="114" t="str">
        <x:v>Agent modifies scope or files outside task.</x:v>
      </x:c>
      <x:c r="E15" s="114" t="str">
        <x:v>Stage 7 quality finding and diff/provenance evidence.</x:v>
      </x:c>
      <x:c r="F15" s="114" t="str">
        <x:v>Nudge/Assist/Reflect.</x:v>
      </x:c>
      <x:c r="G15" s="114" t="str">
        <x:v>AI review context.</x:v>
      </x:c>
      <x:c r="H15" s="114" t="str">
        <x:v>Recognise employee rejection/review as positive behaviour.</x:v>
      </x:c>
      <x:c r="I15" s="114" t="str">
        <x:v>Draft Complete</x:v>
      </x:c>
      <x:c r="J15" s="726"/>
    </x:row>
    <x:row r="16">
      <x:c r="A16" s="730" t="str">
        <x:v>CMT-012</x:v>
      </x:c>
      <x:c r="B16" s="731" t="str">
        <x:v>Trigger</x:v>
      </x:c>
      <x:c r="C16" s="731" t="str">
        <x:v>POOR_TASK_DECOMPOSITION</x:v>
      </x:c>
      <x:c r="D16" s="731" t="str">
        <x:v>Prompt/task plan is too broad, lacks criteria or mixes unrelated objectives.</x:v>
      </x:c>
      <x:c r="E16" s="731" t="str">
        <x:v>AI-assisted recommendation with task contract evidence.</x:v>
      </x:c>
      <x:c r="F16" s="731" t="str">
        <x:v>Assist/Teach.</x:v>
      </x:c>
      <x:c r="G16" s="731" t="str">
        <x:v>Task/agent context.</x:v>
      </x:c>
      <x:c r="H16" s="731" t="str">
        <x:v>Do not judge prompt wording style; focus on outcome/risk.</x:v>
      </x:c>
      <x:c r="I16" s="731" t="str">
        <x:v>Draft Complete</x:v>
      </x:c>
      <x:c r="J16" s="732"/>
    </x:row>
    <x:row r="17">
      <x:c r="A17" s="725" t="str">
        <x:v>CMT-013</x:v>
      </x:c>
      <x:c r="B17" s="114" t="str">
        <x:v>Trigger</x:v>
      </x:c>
      <x:c r="C17" s="114" t="str">
        <x:v>TASK_ALIGNMENT_UNCERTAIN</x:v>
      </x:c>
      <x:c r="D17" s="114" t="str">
        <x:v>Activity appears outside current task or another assigned task may be active.</x:v>
      </x:c>
      <x:c r="E17" s="114" t="str">
        <x:v>Stage 7 POSSIBLY_UNRELATED/OTHER_ASSIGNED_TASK with confidence.</x:v>
      </x:c>
      <x:c r="F17" s="114" t="str">
        <x:v>Nudge/Observe.</x:v>
      </x:c>
      <x:c r="G17" s="114" t="str">
        <x:v>Task switch prompt.</x:v>
      </x:c>
      <x:c r="H17" s="114" t="str">
        <x:v>Ask for correction; do not accuse.</x:v>
      </x:c>
      <x:c r="I17" s="114" t="str">
        <x:v>Draft Complete</x:v>
      </x:c>
      <x:c r="J17" s="726"/>
    </x:row>
    <x:row r="18">
      <x:c r="A18" s="730" t="str">
        <x:v>CMT-014</x:v>
      </x:c>
      <x:c r="B18" s="731" t="str">
        <x:v>Trigger</x:v>
      </x:c>
      <x:c r="C18" s="731" t="str">
        <x:v>BLOCKER_DETECTED</x:v>
      </x:c>
      <x:c r="D18" s="731" t="str">
        <x:v>Access, environment, dependency, requirement or knowledge blocker identified.</x:v>
      </x:c>
      <x:c r="E18" s="731" t="str">
        <x:v>Stage 7 blocker candidate/review.</x:v>
      </x:c>
      <x:c r="F18" s="731" t="str">
        <x:v>Assist/Escalate/Teach depending type.</x:v>
      </x:c>
      <x:c r="G18" s="731" t="str">
        <x:v>Blocker evidence.</x:v>
      </x:c>
      <x:c r="H18" s="731" t="str">
        <x:v>External blocker must not produce employee capability coaching.</x:v>
      </x:c>
      <x:c r="I18" s="731" t="str">
        <x:v>Draft Complete</x:v>
      </x:c>
      <x:c r="J18" s="732"/>
    </x:row>
    <x:row r="19">
      <x:c r="A19" s="725" t="str">
        <x:v>CMT-015</x:v>
      </x:c>
      <x:c r="B19" s="114" t="str">
        <x:v>Trigger</x:v>
      </x:c>
      <x:c r="C19" s="114" t="str">
        <x:v>DEADLINE_RISK</x:v>
      </x:c>
      <x:c r="D19" s="114" t="str">
        <x:v>Critical criteria remain incomplete close to deadline.</x:v>
      </x:c>
      <x:c r="E19" s="114" t="str">
        <x:v>Task state, deadline and progress.</x:v>
      </x:c>
      <x:c r="F19" s="114" t="str">
        <x:v>Nudge/Assist/Escalate.</x:v>
      </x:c>
      <x:c r="G19" s="114" t="str">
        <x:v>Task plan.</x:v>
      </x:c>
      <x:c r="H19" s="114" t="str">
        <x:v>Avoid constant urgency; account for blocker/manager plan.</x:v>
      </x:c>
      <x:c r="I19" s="114" t="str">
        <x:v>Draft Complete</x:v>
      </x:c>
      <x:c r="J19" s="726"/>
    </x:row>
    <x:row r="20">
      <x:c r="A20" s="730" t="str">
        <x:v>CMT-016</x:v>
      </x:c>
      <x:c r="B20" s="731" t="str">
        <x:v>Trigger</x:v>
      </x:c>
      <x:c r="C20" s="731" t="str">
        <x:v>QUALITY_GATE_FAILED</x:v>
      </x:c>
      <x:c r="D20" s="731" t="str">
        <x:v>Test, security, review or deployment gate fails.</x:v>
      </x:c>
      <x:c r="E20" s="731" t="str">
        <x:v>Deterministic quality-gate result.</x:v>
      </x:c>
      <x:c r="F20" s="731" t="str">
        <x:v>Assist/Escalate.</x:v>
      </x:c>
      <x:c r="G20" s="731" t="str">
        <x:v>Gate evidence.</x:v>
      </x:c>
      <x:c r="H20" s="731" t="str">
        <x:v>Use secure handling for sensitive findings.</x:v>
      </x:c>
      <x:c r="I20" s="731" t="str">
        <x:v>Draft Complete</x:v>
      </x:c>
      <x:c r="J20" s="732"/>
    </x:row>
    <x:row r="21">
      <x:c r="A21" s="725" t="str">
        <x:v>CMT-017</x:v>
      </x:c>
      <x:c r="B21" s="114" t="str">
        <x:v>Trigger</x:v>
      </x:c>
      <x:c r="C21" s="114" t="str">
        <x:v>EMPLOYEE_REQUEST</x:v>
      </x:c>
      <x:c r="D21" s="114" t="str">
        <x:v>Employee explicitly asks for help, explanation, practice or mentor.</x:v>
      </x:c>
      <x:c r="E21" s="114" t="str">
        <x:v>User action.</x:v>
      </x:c>
      <x:c r="F21" s="114" t="str">
        <x:v>Any mode appropriate.</x:v>
      </x:c>
      <x:c r="G21" s="114" t="str">
        <x:v>Private request.</x:v>
      </x:c>
      <x:c r="H21" s="114" t="str">
        <x:v>Highest priority except safety/availability constraints.</x:v>
      </x:c>
      <x:c r="I21" s="114" t="str">
        <x:v>Draft Complete</x:v>
      </x:c>
      <x:c r="J21" s="726"/>
    </x:row>
    <x:row r="22">
      <x:c r="A22" s="730" t="str">
        <x:v>CMT-018</x:v>
      </x:c>
      <x:c r="B22" s="731" t="str">
        <x:v>Trigger</x:v>
      </x:c>
      <x:c r="C22" s="731" t="str">
        <x:v>LEARNING_MILESTONE</x:v>
      </x:c>
      <x:c r="D22" s="731" t="str">
        <x:v>Learning content completed or practice/reassessment due.</x:v>
      </x:c>
      <x:c r="E22" s="731" t="str">
        <x:v>Learning plan state.</x:v>
      </x:c>
      <x:c r="F22" s="731" t="str">
        <x:v>Reflect/Practice/Teach.</x:v>
      </x:c>
      <x:c r="G22" s="731" t="str">
        <x:v>Learning context.</x:v>
      </x:c>
      <x:c r="H22" s="731" t="str">
        <x:v>Completion alone does not praise capability increase.</x:v>
      </x:c>
      <x:c r="I22" s="731" t="str">
        <x:v>Draft Complete</x:v>
      </x:c>
      <x:c r="J22" s="732"/>
    </x:row>
    <x:row r="23">
      <x:c r="A23" s="725" t="str">
        <x:v>CMT-019</x:v>
      </x:c>
      <x:c r="B23" s="114" t="str">
        <x:v>Trigger</x:v>
      </x:c>
      <x:c r="C23" s="114" t="str">
        <x:v>SUCCESS_RECOGNITION</x:v>
      </x:c>
      <x:c r="D23" s="114" t="str">
        <x:v>Evidence shows effective recovery, review, verification, mentoring or improved method.</x:v>
      </x:c>
      <x:c r="E23" s="114" t="str">
        <x:v>Reviewed positive task/capability evidence.</x:v>
      </x:c>
      <x:c r="F23" s="114" t="str">
        <x:v>Reflect/Nudge recognition.</x:v>
      </x:c>
      <x:c r="G23" s="114" t="str">
        <x:v>Evidence summary.</x:v>
      </x:c>
      <x:c r="H23" s="114" t="str">
        <x:v>Avoid gamified manipulation or public comparison.</x:v>
      </x:c>
      <x:c r="I23" s="114" t="str">
        <x:v>Draft Complete</x:v>
      </x:c>
      <x:c r="J23" s="726"/>
    </x:row>
    <x:row r="24">
      <x:c r="A24" s="733" t="str">
        <x:v>CMT-020</x:v>
      </x:c>
      <x:c r="B24" s="734" t="str">
        <x:v>Trigger</x:v>
      </x:c>
      <x:c r="C24" s="734" t="str">
        <x:v>COACH_CONFIDENCE_LOW</x:v>
      </x:c>
      <x:c r="D24" s="734" t="str">
        <x:v>AI or rules cannot support reliable guidance.</x:v>
      </x:c>
      <x:c r="E24" s="734" t="str">
        <x:v>Low evidence/coverage/confidence.</x:v>
      </x:c>
      <x:c r="F24" s="734" t="str">
        <x:v>Observe/Mentor Handoff/Ask clarification.</x:v>
      </x:c>
      <x:c r="G24" s="734" t="str">
        <x:v>Missing-evidence summary.</x:v>
      </x:c>
      <x:c r="H24" s="734" t="str">
        <x:v>Do not generate confident advice.</x:v>
      </x:c>
      <x:c r="I24" s="734" t="str">
        <x:v>Draft Complete</x:v>
      </x:c>
      <x:c r="J24" s="735"/>
    </x:row>
  </x:sheetData>
  <x:mergeCells>
    <x:mergeCell ref="A1:J1"/>
    <x:mergeCell ref="A2:J2"/>
  </x:mergeCells>
  <x:dataValidations count="2">
    <x:dataValidation type="list" sqref="B5:B24">
      <x:formula1>"Mode,Trigger"</x:formula1>
    </x:dataValidation>
    <x:dataValidation type="list" sqref="J5:J24">
      <x:formula1>"Draft Complete,Needs Review,Approved,Deferred"</x:formula1>
    </x:dataValidation>
  </x:dataValidations>
  <x:pageMargins left="0.7" right="0.7" top="0.75" bottom="0.75" header="0.3" footer="0.3"/>
</x:worksheet>
</file>

<file path=xl/worksheets/sheet123.xml><?xml version="1.0" encoding="utf-8"?>
<x:worksheet xmlns:x="http://schemas.openxmlformats.org/spreadsheetml/2006/main">
  <x:sheetFormatPr defaultRowHeight="15"/>
  <x:cols>
    <x:col min="1" max="1" width="12" hidden="0" customWidth="1"/>
    <x:col min="2" max="2" width="28" hidden="0" customWidth="1"/>
    <x:col min="3" max="3" width="60" hidden="0" customWidth="1"/>
    <x:col min="4" max="4" width="52" hidden="0" customWidth="1"/>
    <x:col min="5" max="5" width="56" hidden="0" customWidth="1"/>
    <x:col min="6" max="6" width="26" hidden="0" customWidth="1"/>
    <x:col min="7" max="7" width="12" hidden="0" customWidth="1"/>
    <x:col min="8" max="8" width="18" hidden="0" customWidth="1"/>
  </x:cols>
  <x:sheetData>
    <x:row r="1" ht="30" customHeight="1">
      <x:c r="A1" s="687" t="str">
        <x:v>Stage 9 — Intervention Policy</x:v>
      </x:c>
      <x:c r="B1" s="687"/>
      <x:c r="C1" s="687"/>
      <x:c r="D1" s="687"/>
      <x:c r="E1" s="687"/>
      <x:c r="F1" s="687"/>
      <x:c r="G1" s="687"/>
      <x:c r="H1" s="687"/>
    </x:row>
    <x:row r="2" ht="36" customHeight="1">
      <x:c r="A2" s="691" t="str">
        <x:v>Policy controls for evidence, confidence, delivery timing, employee choice, privacy, tone, escalation, retention and safe model rollout.</x:v>
      </x:c>
      <x:c r="B2" s="691"/>
      <x:c r="C2" s="691"/>
      <x:c r="D2" s="691"/>
      <x:c r="E2" s="691"/>
      <x:c r="F2" s="691"/>
      <x:c r="G2" s="691"/>
      <x:c r="H2" s="691"/>
    </x:row>
    <x:row r="4" ht="30" customHeight="1">
      <x:c r="A4" s="703" t="str">
        <x:v>ID</x:v>
      </x:c>
      <x:c r="B4" s="704" t="str">
        <x:v>Policy area</x:v>
      </x:c>
      <x:c r="C4" s="704" t="str">
        <x:v>Requirement</x:v>
      </x:c>
      <x:c r="D4" s="704" t="str">
        <x:v>Implementation direction</x:v>
      </x:c>
      <x:c r="E4" s="704" t="str">
        <x:v>Guardrail</x:v>
      </x:c>
      <x:c r="F4" s="704" t="str">
        <x:v>Owner</x:v>
      </x:c>
      <x:c r="G4" s="704" t="str">
        <x:v>Priority</x:v>
      </x:c>
      <x:c r="H4" s="705" t="str">
        <x:v>Status</x:v>
      </x:c>
    </x:row>
    <x:row r="5">
      <x:c r="A5" s="722" t="str">
        <x:v>IP-001</x:v>
      </x:c>
      <x:c r="B5" s="723" t="str">
        <x:v>Purpose limitation</x:v>
      </x:c>
      <x:c r="C5" s="723" t="str">
        <x:v>Every intervention must support an approved task, reviewed capability gap, employee request, safety/quality requirement or learning plan.</x:v>
      </x:c>
      <x:c r="D5" s="723" t="str">
        <x:v>Trigger carries purpose code and evidence refs.</x:v>
      </x:c>
      <x:c r="E5" s="723" t="str">
        <x:v>No generic behavioural manipulation.</x:v>
      </x:c>
      <x:c r="F5" s="723" t="str">
        <x:v>DPO/Product</x:v>
      </x:c>
      <x:c r="G5" s="723" t="str">
        <x:v>Critical</x:v>
      </x:c>
      <x:c r="H5" s="724" t="str">
        <x:v>Draft Complete</x:v>
      </x:c>
    </x:row>
    <x:row r="6">
      <x:c r="A6" s="730" t="str">
        <x:v>IP-002</x:v>
      </x:c>
      <x:c r="B6" s="731" t="str">
        <x:v>Private first</x:v>
      </x:c>
      <x:c r="C6" s="731" t="str">
        <x:v>Coaching is delivered privately to the employee by default.</x:v>
      </x:c>
      <x:c r="D6" s="731" t="str">
        <x:v>Manager/L&amp;D receives reviewed summary, not live private messages.</x:v>
      </x:c>
      <x:c r="E6" s="731" t="str">
        <x:v>Security/safety incident exceptions require separate policy.</x:v>
      </x:c>
      <x:c r="F6" s="731" t="str">
        <x:v>HR/DPO/Product</x:v>
      </x:c>
      <x:c r="G6" s="731" t="str">
        <x:v>Critical</x:v>
      </x:c>
      <x:c r="H6" s="732" t="str">
        <x:v>Draft Complete</x:v>
      </x:c>
    </x:row>
    <x:row r="7">
      <x:c r="A7" s="725" t="str">
        <x:v>IP-003</x:v>
      </x:c>
      <x:c r="B7" s="114" t="str">
        <x:v>Least intrusive mode</x:v>
      </x:c>
      <x:c r="C7" s="114" t="str">
        <x:v>Choose Observe or Nudge before Teach/Escalate when likely effective and risk is low.</x:v>
      </x:c>
      <x:c r="D7" s="114" t="str">
        <x:v>Intervention selector ranks lowest-burden valid mode.</x:v>
      </x:c>
      <x:c r="E7" s="114" t="str">
        <x:v>Avoid constant or disproportionate coaching.</x:v>
      </x:c>
      <x:c r="F7" s="114" t="str">
        <x:v>Product/AI</x:v>
      </x:c>
      <x:c r="G7" s="114" t="str">
        <x:v>High</x:v>
      </x:c>
      <x:c r="H7" s="726" t="str">
        <x:v>Draft Complete</x:v>
      </x:c>
    </x:row>
    <x:row r="8">
      <x:c r="A8" s="730" t="str">
        <x:v>IP-004</x:v>
      </x:c>
      <x:c r="B8" s="731" t="str">
        <x:v>Confidence threshold</x:v>
      </x:c>
      <x:c r="C8" s="731" t="str">
        <x:v>Intervention requires mode-specific evidence and confidence threshold.</x:v>
      </x:c>
      <x:c r="D8" s="731" t="str">
        <x:v>Low-confidence state uses Observe, clarification or mentor handoff.</x:v>
      </x:c>
      <x:c r="E8" s="731" t="str">
        <x:v>No confident guidance from insufficient evidence.</x:v>
      </x:c>
      <x:c r="F8" s="731" t="str">
        <x:v>AI Governance</x:v>
      </x:c>
      <x:c r="G8" s="731" t="str">
        <x:v>Critical</x:v>
      </x:c>
      <x:c r="H8" s="732" t="str">
        <x:v>Draft Complete</x:v>
      </x:c>
    </x:row>
    <x:row r="9">
      <x:c r="A9" s="725" t="str">
        <x:v>IP-005</x:v>
      </x:c>
      <x:c r="B9" s="114" t="str">
        <x:v>Deterministic priority</x:v>
      </x:c>
      <x:c r="C9" s="114" t="str">
        <x:v>Deterministic quality/security/task facts outrank AI coaching interpretation.</x:v>
      </x:c>
      <x:c r="D9" s="114" t="str">
        <x:v>Failed test/gate or approved criterion state supplied as fact.</x:v>
      </x:c>
      <x:c r="E9" s="114" t="str">
        <x:v>AI cannot contradict source-system result.</x:v>
      </x:c>
      <x:c r="F9" s="114" t="str">
        <x:v>Task Assurance/AI</x:v>
      </x:c>
      <x:c r="G9" s="114" t="str">
        <x:v>Critical</x:v>
      </x:c>
      <x:c r="H9" s="726" t="str">
        <x:v>Draft Complete</x:v>
      </x:c>
    </x:row>
    <x:row r="10">
      <x:c r="A10" s="730" t="str">
        <x:v>IP-006</x:v>
      </x:c>
      <x:c r="B10" s="731" t="str">
        <x:v>Interruptibility</x:v>
      </x:c>
      <x:c r="C10" s="731" t="str">
        <x:v>Delivery considers active typing, meeting, debug session, code review, focus mode and employee preferences.</x:v>
      </x:c>
      <x:c r="D10" s="731" t="str">
        <x:v>Interrupt Controller schedules or defers.</x:v>
      </x:c>
      <x:c r="E10" s="731" t="str">
        <x:v>Urgent security/safety events use approved override.</x:v>
      </x:c>
      <x:c r="F10" s="731" t="str">
        <x:v>Product/UX</x:v>
      </x:c>
      <x:c r="G10" s="731" t="str">
        <x:v>Critical</x:v>
      </x:c>
      <x:c r="H10" s="732" t="str">
        <x:v>Draft Complete</x:v>
      </x:c>
    </x:row>
    <x:row r="11">
      <x:c r="A11" s="725" t="str">
        <x:v>IP-007</x:v>
      </x:c>
      <x:c r="B11" s="114" t="str">
        <x:v>Cooldown</x:v>
      </x:c>
      <x:c r="C11" s="114" t="str">
        <x:v>Repeated similar interventions are rate-limited by trigger, task and employee.</x:v>
      </x:c>
      <x:c r="D11" s="114" t="str">
        <x:v>Configurable minimum interval and maximum daily count.</x:v>
      </x:c>
      <x:c r="E11" s="114" t="str">
        <x:v>Repeated errors may escalate to a different mode rather than spam.</x:v>
      </x:c>
      <x:c r="F11" s="114" t="str">
        <x:v>Product/AI</x:v>
      </x:c>
      <x:c r="G11" s="114" t="str">
        <x:v>High</x:v>
      </x:c>
      <x:c r="H11" s="726" t="str">
        <x:v>Draft Complete</x:v>
      </x:c>
    </x:row>
    <x:row r="12">
      <x:c r="A12" s="730" t="str">
        <x:v>IP-008</x:v>
      </x:c>
      <x:c r="B12" s="731" t="str">
        <x:v>Snooze/dismiss</x:v>
      </x:c>
      <x:c r="C12" s="731" t="str">
        <x:v>Employee can snooze, dismiss or reduce non-mandatory coaching.</x:v>
      </x:c>
      <x:c r="D12" s="731" t="str">
        <x:v>UI stores preference/feedback.</x:v>
      </x:c>
      <x:c r="E12" s="731" t="str">
        <x:v>Dismissal is not negative performance evidence.</x:v>
      </x:c>
      <x:c r="F12" s="731" t="str">
        <x:v>Employee Experience</x:v>
      </x:c>
      <x:c r="G12" s="731" t="str">
        <x:v>Critical</x:v>
      </x:c>
      <x:c r="H12" s="732" t="str">
        <x:v>Draft Complete</x:v>
      </x:c>
    </x:row>
    <x:row r="13">
      <x:c r="A13" s="725" t="str">
        <x:v>IP-009</x:v>
      </x:c>
      <x:c r="B13" s="114" t="str">
        <x:v>Do-not-disturb</x:v>
      </x:c>
      <x:c r="C13" s="114" t="str">
        <x:v>Employee can establish focus windows within policy.</x:v>
      </x:c>
      <x:c r="D13" s="114" t="str">
        <x:v>Device/session preference.</x:v>
      </x:c>
      <x:c r="E13" s="114" t="str">
        <x:v>Mandatory risk alerts remain separately defined.</x:v>
      </x:c>
      <x:c r="F13" s="114" t="str">
        <x:v>Employee Experience/HR</x:v>
      </x:c>
      <x:c r="G13" s="114" t="str">
        <x:v>High</x:v>
      </x:c>
      <x:c r="H13" s="726" t="str">
        <x:v>Draft Complete</x:v>
      </x:c>
    </x:row>
    <x:row r="14">
      <x:c r="A14" s="730" t="str">
        <x:v>IP-010</x:v>
      </x:c>
      <x:c r="B14" s="731" t="str">
        <x:v>Accessibility</x:v>
      </x:c>
      <x:c r="C14" s="731" t="str">
        <x:v>Interventions support alternate channels, pace, language, screen-reader and reduced-interruption needs.</x:v>
      </x:c>
      <x:c r="D14" s="731" t="str">
        <x:v>Preferences and restricted accommodation-safe flags.</x:v>
      </x:c>
      <x:c r="E14" s="731" t="str">
        <x:v>No medical detail exposed to model or manager summary.</x:v>
      </x:c>
      <x:c r="F14" s="731" t="str">
        <x:v>Accessibility/HR</x:v>
      </x:c>
      <x:c r="G14" s="731" t="str">
        <x:v>Critical</x:v>
      </x:c>
      <x:c r="H14" s="732" t="str">
        <x:v>Draft Complete</x:v>
      </x:c>
    </x:row>
    <x:row r="15">
      <x:c r="A15" s="725" t="str">
        <x:v>IP-011</x:v>
      </x:c>
      <x:c r="B15" s="114" t="str">
        <x:v>Tone and language</x:v>
      </x:c>
      <x:c r="C15" s="114" t="str">
        <x:v>Guidance is respectful, specific, non-accusatory and developmental.</x:v>
      </x:c>
      <x:c r="D15" s="114" t="str">
        <x:v>Safety validator checks prohibited/punitive language.</x:v>
      </x:c>
      <x:c r="E15" s="114" t="str">
        <x:v>No language implying laziness, dishonesty, personality or mental state.</x:v>
      </x:c>
      <x:c r="F15" s="114" t="str">
        <x:v>HR/AI Governance</x:v>
      </x:c>
      <x:c r="G15" s="114" t="str">
        <x:v>Critical</x:v>
      </x:c>
      <x:c r="H15" s="726" t="str">
        <x:v>Draft Complete</x:v>
      </x:c>
    </x:row>
    <x:row r="16">
      <x:c r="A16" s="730" t="str">
        <x:v>IP-012</x:v>
      </x:c>
      <x:c r="B16" s="731" t="str">
        <x:v>Evidence transparency</x:v>
      </x:c>
      <x:c r="C16" s="731" t="str">
        <x:v>Employee can inspect why a recommendation was made and which task/evidence it references.</x:v>
      </x:c>
      <x:c r="D16" s="731" t="str">
        <x:v>Intervention includes short rationale and evidence link.</x:v>
      </x:c>
      <x:c r="E16" s="731" t="str">
        <x:v>Raw restricted evidence remains policy-controlled.</x:v>
      </x:c>
      <x:c r="F16" s="731" t="str">
        <x:v>Product/DPO</x:v>
      </x:c>
      <x:c r="G16" s="731" t="str">
        <x:v>Critical</x:v>
      </x:c>
      <x:c r="H16" s="732" t="str">
        <x:v>Draft Complete</x:v>
      </x:c>
    </x:row>
    <x:row r="17">
      <x:c r="A17" s="725" t="str">
        <x:v>IP-013</x:v>
      </x:c>
      <x:c r="B17" s="114" t="str">
        <x:v>Uncertainty disclosure</x:v>
      </x:c>
      <x:c r="C17" s="114" t="str">
        <x:v>AI-assisted coaching states uncertainty, missing evidence and alternatives where material.</x:v>
      </x:c>
      <x:c r="D17" s="114" t="str">
        <x:v>Generated content schema.</x:v>
      </x:c>
      <x:c r="E17" s="114" t="str">
        <x:v>Do not present inference as fact.</x:v>
      </x:c>
      <x:c r="F17" s="114" t="str">
        <x:v>AI Governance</x:v>
      </x:c>
      <x:c r="G17" s="114" t="str">
        <x:v>Critical</x:v>
      </x:c>
      <x:c r="H17" s="726" t="str">
        <x:v>Draft Complete</x:v>
      </x:c>
    </x:row>
    <x:row r="18">
      <x:c r="A18" s="730" t="str">
        <x:v>IP-014</x:v>
      </x:c>
      <x:c r="B18" s="731" t="str">
        <x:v>Security and privacy</x:v>
      </x:c>
      <x:c r="C18" s="731" t="str">
        <x:v>Coaching prompts receive minimised summaries/evidence refs, not unrestricted raw screenshots, prompts or source code.</x:v>
      </x:c>
      <x:c r="D18" s="731" t="str">
        <x:v>Context Assembler + Model Gateway policy.</x:v>
      </x:c>
      <x:c r="E18" s="731" t="str">
        <x:v>Sensitive content follows approved provider/region rules.</x:v>
      </x:c>
      <x:c r="F18" s="731" t="str">
        <x:v>CISO/DPO/AI</x:v>
      </x:c>
      <x:c r="G18" s="731" t="str">
        <x:v>Critical</x:v>
      </x:c>
      <x:c r="H18" s="732" t="str">
        <x:v>Draft Complete</x:v>
      </x:c>
    </x:row>
    <x:row r="19">
      <x:c r="A19" s="725" t="str">
        <x:v>IP-015</x:v>
      </x:c>
      <x:c r="B19" s="114" t="str">
        <x:v>Employee feedback</x:v>
      </x:c>
      <x:c r="C19" s="114" t="str">
        <x:v>Every intervention can be rated useful, not useful, mistimed or contextually wrong.</x:v>
      </x:c>
      <x:c r="D19" s="114" t="str">
        <x:v>Feedback API and free-text option.</x:v>
      </x:c>
      <x:c r="E19" s="114" t="str">
        <x:v>Feedback is used for coach quality, not employee ranking.</x:v>
      </x:c>
      <x:c r="F19" s="114" t="str">
        <x:v>Product/AI Evaluation</x:v>
      </x:c>
      <x:c r="G19" s="114" t="str">
        <x:v>High</x:v>
      </x:c>
      <x:c r="H19" s="726" t="str">
        <x:v>Draft Complete</x:v>
      </x:c>
    </x:row>
    <x:row r="20">
      <x:c r="A20" s="730" t="str">
        <x:v>IP-016</x:v>
      </x:c>
      <x:c r="B20" s="731" t="str">
        <x:v>Correction propagation</x:v>
      </x:c>
      <x:c r="C20" s="731" t="str">
        <x:v>Incorrect task/capability context corrected by employee updates future intervention eligibility.</x:v>
      </x:c>
      <x:c r="D20" s="731" t="str">
        <x:v>Stage 7/8 correction events invalidate/rebuild coaching context.</x:v>
      </x:c>
      <x:c r="E20" s="731" t="str">
        <x:v>No repeated coaching from superseded finding.</x:v>
      </x:c>
      <x:c r="F20" s="731" t="str">
        <x:v>Data/Product</x:v>
      </x:c>
      <x:c r="G20" s="731" t="str">
        <x:v>Critical</x:v>
      </x:c>
      <x:c r="H20" s="732" t="str">
        <x:v>Draft Complete</x:v>
      </x:c>
    </x:row>
    <x:row r="21">
      <x:c r="A21" s="725" t="str">
        <x:v>IP-017</x:v>
      </x:c>
      <x:c r="B21" s="114" t="str">
        <x:v>Escalation threshold</x:v>
      </x:c>
      <x:c r="C21" s="114" t="str">
        <x:v>Human escalation requires defined severity, repeated reviewed evidence, employee request or urgent risk.</x:v>
      </x:c>
      <x:c r="D21" s="114" t="str">
        <x:v>Policy rules and workflow.</x:v>
      </x:c>
      <x:c r="E21" s="114" t="str">
        <x:v>Manager escalation is not automatic for low-severity coaching rejection.</x:v>
      </x:c>
      <x:c r="F21" s="114" t="str">
        <x:v>HR/Product/DPO</x:v>
      </x:c>
      <x:c r="G21" s="114" t="str">
        <x:v>Critical</x:v>
      </x:c>
      <x:c r="H21" s="726" t="str">
        <x:v>Draft Complete</x:v>
      </x:c>
    </x:row>
    <x:row r="22">
      <x:c r="A22" s="730" t="str">
        <x:v>IP-018</x:v>
      </x:c>
      <x:c r="B22" s="731" t="str">
        <x:v>Safety escalation</x:v>
      </x:c>
      <x:c r="C22" s="731" t="str">
        <x:v>Security, legal, customer-harm or production-risk events may require immediate authorised escalation.</x:v>
      </x:c>
      <x:c r="D22" s="731" t="str">
        <x:v>Deterministic severity and policy.</x:v>
      </x:c>
      <x:c r="E22" s="731" t="str">
        <x:v>Employee notification follows incident/legal policy.</x:v>
      </x:c>
      <x:c r="F22" s="731" t="str">
        <x:v>CISO/Legal</x:v>
      </x:c>
      <x:c r="G22" s="731" t="str">
        <x:v>Critical</x:v>
      </x:c>
      <x:c r="H22" s="732" t="str">
        <x:v>Draft Complete</x:v>
      </x:c>
    </x:row>
    <x:row r="23">
      <x:c r="A23" s="725" t="str">
        <x:v>IP-019</x:v>
      </x:c>
      <x:c r="B23" s="114" t="str">
        <x:v>Manager visibility</x:v>
      </x:c>
      <x:c r="C23" s="114" t="str">
        <x:v>Managers see support needs, accepted development plan and reviewed outcomes, not raw private coaching exchanges.</x:v>
      </x:c>
      <x:c r="D23" s="114" t="str">
        <x:v>Development Summary read model.</x:v>
      </x:c>
      <x:c r="E23" s="114" t="str">
        <x:v>Employee explanation/dispute state included.</x:v>
      </x:c>
      <x:c r="F23" s="114" t="str">
        <x:v>HR/DPO</x:v>
      </x:c>
      <x:c r="G23" s="114" t="str">
        <x:v>Critical</x:v>
      </x:c>
      <x:c r="H23" s="726" t="str">
        <x:v>Draft Complete</x:v>
      </x:c>
    </x:row>
    <x:row r="24">
      <x:c r="A24" s="730" t="str">
        <x:v>IP-020</x:v>
      </x:c>
      <x:c r="B24" s="731" t="str">
        <x:v>No punitive use</x:v>
      </x:c>
      <x:c r="C24" s="731" t="str">
        <x:v>Ignoring, snoozing or rejecting a coaching suggestion is not itself misconduct or performance failure.</x:v>
      </x:c>
      <x:c r="D24" s="731" t="str">
        <x:v>Metric deny-list and reporting rules.</x:v>
      </x:c>
      <x:c r="E24" s="731" t="str">
        <x:v>Only underlying task facts may be reviewed separately.</x:v>
      </x:c>
      <x:c r="F24" s="731" t="str">
        <x:v>HR/Legal</x:v>
      </x:c>
      <x:c r="G24" s="731" t="str">
        <x:v>Critical</x:v>
      </x:c>
      <x:c r="H24" s="732" t="str">
        <x:v>Draft Complete</x:v>
      </x:c>
    </x:row>
    <x:row r="25">
      <x:c r="A25" s="725" t="str">
        <x:v>IP-021</x:v>
      </x:c>
      <x:c r="B25" s="114" t="str">
        <x:v>Model/version control</x:v>
      </x:c>
      <x:c r="C25" s="114" t="str">
        <x:v>Every coaching recommendation records model, prompt, skill, policy and content version.</x:v>
      </x:c>
      <x:c r="D25" s="114" t="str">
        <x:v>Audit lineage.</x:v>
      </x:c>
      <x:c r="E25" s="114" t="str">
        <x:v>Enables rollback and evaluation.</x:v>
      </x:c>
      <x:c r="F25" s="114" t="str">
        <x:v>AI Platform</x:v>
      </x:c>
      <x:c r="G25" s="114" t="str">
        <x:v>High</x:v>
      </x:c>
      <x:c r="H25" s="726" t="str">
        <x:v>Draft Complete</x:v>
      </x:c>
    </x:row>
    <x:row r="26">
      <x:c r="A26" s="730" t="str">
        <x:v>IP-022</x:v>
      </x:c>
      <x:c r="B26" s="731" t="str">
        <x:v>Canary and rollback</x:v>
      </x:c>
      <x:c r="C26" s="731" t="str">
        <x:v>New coaching prompts/skills are piloted with controlled exposure and reversible rollout.</x:v>
      </x:c>
      <x:c r="D26" s="731" t="str">
        <x:v>Feature flags and Skill Forge lifecycle.</x:v>
      </x:c>
      <x:c r="E26" s="731" t="str">
        <x:v>No uncontrolled self-modification.</x:v>
      </x:c>
      <x:c r="F26" s="731" t="str">
        <x:v>AI Platform/Governance</x:v>
      </x:c>
      <x:c r="G26" s="731" t="str">
        <x:v>High</x:v>
      </x:c>
      <x:c r="H26" s="732" t="str">
        <x:v>Draft Complete</x:v>
      </x:c>
    </x:row>
    <x:row r="27">
      <x:c r="A27" s="725" t="str">
        <x:v>IP-023</x:v>
      </x:c>
      <x:c r="B27" s="114" t="str">
        <x:v>Retention</x:v>
      </x:c>
      <x:c r="C27" s="114" t="str">
        <x:v>Private coaching content and feedback have purpose-specific retention separate from capability evidence.</x:v>
      </x:c>
      <x:c r="D27" s="114" t="str">
        <x:v>Retention class and deletion workflow.</x:v>
      </x:c>
      <x:c r="E27" s="114" t="str">
        <x:v>Manager reports keep derived reviewed summary only.</x:v>
      </x:c>
      <x:c r="F27" s="114" t="str">
        <x:v>DPO/Data</x:v>
      </x:c>
      <x:c r="G27" s="114" t="str">
        <x:v>High</x:v>
      </x:c>
      <x:c r="H27" s="726" t="str">
        <x:v>Draft Complete</x:v>
      </x:c>
    </x:row>
    <x:row r="28">
      <x:c r="A28" s="733" t="str">
        <x:v>IP-024</x:v>
      </x:c>
      <x:c r="B28" s="734" t="str">
        <x:v>Cultural/localisation review</x:v>
      </x:c>
      <x:c r="C28" s="734" t="str">
        <x:v>Tone, examples, language and escalation norms are reviewed for locale/team context.</x:v>
      </x:c>
      <x:c r="D28" s="734" t="str">
        <x:v>Versioned locale packs and user feedback.</x:v>
      </x:c>
      <x:c r="E28" s="734" t="str">
        <x:v>Core fairness/governance controls remain invariant.</x:v>
      </x:c>
      <x:c r="F28" s="734" t="str">
        <x:v>HR/Product</x:v>
      </x:c>
      <x:c r="G28" s="734" t="str">
        <x:v>Medium</x:v>
      </x:c>
      <x:c r="H28" s="735" t="str">
        <x:v>Draft Complete</x:v>
      </x:c>
    </x:row>
  </x:sheetData>
  <x:mergeCells>
    <x:mergeCell ref="A1:H1"/>
    <x:mergeCell ref="A2:H2"/>
  </x:mergeCells>
  <x:dataValidations count="2">
    <x:dataValidation type="list" sqref="G5:G28">
      <x:formula1>"Critical,High,Medium,Low"</x:formula1>
    </x:dataValidation>
    <x:dataValidation type="list" sqref="H5:H28">
      <x:formula1>"Draft Complete,Needs Review,Approved,Deferred"</x:formula1>
    </x:dataValidation>
  </x:dataValidations>
  <x:pageMargins left="0.7" right="0.7" top="0.75" bottom="0.75" header="0.3" footer="0.3"/>
</x:worksheet>
</file>

<file path=xl/worksheets/sheet124.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0" hidden="0" customWidth="1"/>
    <x:col min="5" max="5" width="50" hidden="0" customWidth="1"/>
    <x:col min="6" max="6" width="58" hidden="0" customWidth="1"/>
    <x:col min="7" max="7" width="18" hidden="0" customWidth="1"/>
  </x:cols>
  <x:sheetData>
    <x:row r="1" ht="30" customHeight="1">
      <x:c r="A1" s="687" t="str">
        <x:v>Stage 9 — Learning Loop Model</x:v>
      </x:c>
      <x:c r="B1" s="687"/>
      <x:c r="C1" s="687"/>
      <x:c r="D1" s="687"/>
      <x:c r="E1" s="687"/>
      <x:c r="F1" s="687"/>
      <x:c r="G1" s="687"/>
    </x:row>
    <x:row r="2" ht="36" customHeight="1">
      <x:c r="A2" s="691" t="str">
        <x:v>State model from reviewed gap through learning, practice, real-work application, capability review and intervention effectiveness.</x:v>
      </x:c>
      <x:c r="B2" s="691"/>
      <x:c r="C2" s="691"/>
      <x:c r="D2" s="691"/>
      <x:c r="E2" s="691"/>
      <x:c r="F2" s="691"/>
      <x:c r="G2" s="691"/>
    </x:row>
    <x:row r="4" ht="30" customHeight="1">
      <x:c r="A4" s="703" t="str">
        <x:v>ID</x:v>
      </x:c>
      <x:c r="B4" s="704" t="str">
        <x:v>State</x:v>
      </x:c>
      <x:c r="C4" s="704" t="str">
        <x:v>Definition</x:v>
      </x:c>
      <x:c r="D4" s="704" t="str">
        <x:v>Entry evidence</x:v>
      </x:c>
      <x:c r="E4" s="704" t="str">
        <x:v>Permitted next states</x:v>
      </x:c>
      <x:c r="F4" s="704" t="str">
        <x:v>Guardrail / rule</x:v>
      </x:c>
      <x:c r="G4" s="705" t="str">
        <x:v>Status</x:v>
      </x:c>
    </x:row>
    <x:row r="5">
      <x:c r="A5" s="722" t="str">
        <x:v>LLM-001</x:v>
      </x:c>
      <x:c r="B5" s="723" t="str">
        <x:v>GAP_CANDIDATE</x:v>
      </x:c>
      <x:c r="C5" s="723" t="str">
        <x:v>Task/capability evidence suggests a possible development need.</x:v>
      </x:c>
      <x:c r="D5" s="723" t="str">
        <x:v>Stage 7/8 gap candidate.</x:v>
      </x:c>
      <x:c r="E5" s="723" t="str">
        <x:v>CAUSE_REVIEW</x:v>
      </x:c>
      <x:c r="F5" s="723" t="str">
        <x:v>No learning assignment until blocker/context checked.</x:v>
      </x:c>
      <x:c r="G5" s="724" t="str">
        <x:v>Draft Complete</x:v>
      </x:c>
    </x:row>
    <x:row r="6">
      <x:c r="A6" s="730" t="str">
        <x:v>LLM-002</x:v>
      </x:c>
      <x:c r="B6" s="731" t="str">
        <x:v>CAUSE_REVIEW</x:v>
      </x:c>
      <x:c r="C6" s="731" t="str">
        <x:v>Determine whether issue is knowledge, practice, tool use, task decomposition, verification, confidence, process or external blocker.</x:v>
      </x:c>
      <x:c r="D6" s="731" t="str">
        <x:v>Gap evidence, employee response, reviewer context.</x:v>
      </x:c>
      <x:c r="E6" s="731" t="str">
        <x:v>CONTEXT_INSUFFICIENT / PLAN_DRAFT / CLOSED_NO_PERSON_GAP</x:v>
      </x:c>
      <x:c r="F6" s="731" t="str">
        <x:v>External blockers close personal gap path.</x:v>
      </x:c>
      <x:c r="G6" s="732" t="str">
        <x:v>Draft Complete</x:v>
      </x:c>
    </x:row>
    <x:row r="7">
      <x:c r="A7" s="725" t="str">
        <x:v>LLM-003</x:v>
      </x:c>
      <x:c r="B7" s="114" t="str">
        <x:v>CONTEXT_INSUFFICIENT</x:v>
      </x:c>
      <x:c r="C7" s="114" t="str">
        <x:v>Evidence cannot support a fair learning recommendation.</x:v>
      </x:c>
      <x:c r="D7" s="114" t="str">
        <x:v>Coverage gaps or unclear cause.</x:v>
      </x:c>
      <x:c r="E7" s="114" t="str">
        <x:v>REASSESSMENT / CLOSED_NO_PERSON_GAP</x:v>
      </x:c>
      <x:c r="F7" s="114" t="str">
        <x:v>No punitive or mandatory training from weak evidence.</x:v>
      </x:c>
      <x:c r="G7" s="726" t="str">
        <x:v>Draft Complete</x:v>
      </x:c>
    </x:row>
    <x:row r="8">
      <x:c r="A8" s="730" t="str">
        <x:v>LLM-004</x:v>
      </x:c>
      <x:c r="B8" s="731" t="str">
        <x:v>CLOSED_NO_PERSON_GAP</x:v>
      </x:c>
      <x:c r="C8" s="731" t="str">
        <x:v>Issue belongs to requirements, access, environment, process or management rather than employee capability.</x:v>
      </x:c>
      <x:c r="D8" s="731" t="str">
        <x:v>Cause review.</x:v>
      </x:c>
      <x:c r="E8" s="731" t="str">
        <x:v>PROCESS_IMPROVEMENT / CLOSED</x:v>
      </x:c>
      <x:c r="F8" s="731" t="str">
        <x:v>Can create organisational improvement item.</x:v>
      </x:c>
      <x:c r="G8" s="732" t="str">
        <x:v>Draft Complete</x:v>
      </x:c>
    </x:row>
    <x:row r="9">
      <x:c r="A9" s="725" t="str">
        <x:v>LLM-005</x:v>
      </x:c>
      <x:c r="B9" s="114" t="str">
        <x:v>PLAN_DRAFT</x:v>
      </x:c>
      <x:c r="C9" s="114" t="str">
        <x:v>System creates a proposed learning plan with goals, artefacts, practice and evidence criteria.</x:v>
      </x:c>
      <x:c r="D9" s="114" t="str">
        <x:v>Reviewed gap and employee preferences.</x:v>
      </x:c>
      <x:c r="E9" s="114" t="str">
        <x:v>EMPLOYEE_REVIEW / HUMAN_REVIEW</x:v>
      </x:c>
      <x:c r="F9" s="114" t="str">
        <x:v>Plan is recommendation until accepted/approved under policy.</x:v>
      </x:c>
      <x:c r="G9" s="726" t="str">
        <x:v>Draft Complete</x:v>
      </x:c>
    </x:row>
    <x:row r="10">
      <x:c r="A10" s="730" t="str">
        <x:v>LLM-006</x:v>
      </x:c>
      <x:c r="B10" s="731" t="str">
        <x:v>EMPLOYEE_REVIEW</x:v>
      </x:c>
      <x:c r="C10" s="731" t="str">
        <x:v>Employee reviews goals, relevance, format, timing and accessibility.</x:v>
      </x:c>
      <x:c r="D10" s="731" t="str">
        <x:v>Plan draft.</x:v>
      </x:c>
      <x:c r="E10" s="731" t="str">
        <x:v>PLAN_ACTIVE / PLAN_MODIFIED / DISPUTED</x:v>
      </x:c>
      <x:c r="F10" s="731" t="str">
        <x:v>Employee voice and goals incorporated.</x:v>
      </x:c>
      <x:c r="G10" s="732" t="str">
        <x:v>Draft Complete</x:v>
      </x:c>
    </x:row>
    <x:row r="11">
      <x:c r="A11" s="725" t="str">
        <x:v>LLM-007</x:v>
      </x:c>
      <x:c r="B11" s="114" t="str">
        <x:v>HUMAN_REVIEW</x:v>
      </x:c>
      <x:c r="C11" s="114" t="str">
        <x:v>L&amp;D/domain reviewer checks critical, mandatory or disputed learning plan.</x:v>
      </x:c>
      <x:c r="D11" s="114" t="str">
        <x:v>Plan/evidence package.</x:v>
      </x:c>
      <x:c r="E11" s="114" t="str">
        <x:v>PLAN_ACTIVE / PLAN_MODIFIED / CLOSED</x:v>
      </x:c>
      <x:c r="F11" s="114" t="str">
        <x:v>Required for high-impact or regulated topics.</x:v>
      </x:c>
      <x:c r="G11" s="726" t="str">
        <x:v>Draft Complete</x:v>
      </x:c>
    </x:row>
    <x:row r="12">
      <x:c r="A12" s="730" t="str">
        <x:v>LLM-008</x:v>
      </x:c>
      <x:c r="B12" s="731" t="str">
        <x:v>PLAN_ACTIVE</x:v>
      </x:c>
      <x:c r="C12" s="731" t="str">
        <x:v>Approved learning plan is active.</x:v>
      </x:c>
      <x:c r="D12" s="731" t="str">
        <x:v>Employee/reviewer approval.</x:v>
      </x:c>
      <x:c r="E12" s="731" t="str">
        <x:v>LEARNING_IN_PROGRESS / PAUSED / CANCELLED</x:v>
      </x:c>
      <x:c r="F12" s="731" t="str">
        <x:v>Plan version and expected applied evidence recorded.</x:v>
      </x:c>
      <x:c r="G12" s="732" t="str">
        <x:v>Draft Complete</x:v>
      </x:c>
    </x:row>
    <x:row r="13">
      <x:c r="A13" s="725" t="str">
        <x:v>LLM-009</x:v>
      </x:c>
      <x:c r="B13" s="114" t="str">
        <x:v>LEARNING_IN_PROGRESS</x:v>
      </x:c>
      <x:c r="C13" s="114" t="str">
        <x:v>Employee uses lessons, examples, mentor support or knowledge checks.</x:v>
      </x:c>
      <x:c r="D13" s="114" t="str">
        <x:v>Learning artefact interactions.</x:v>
      </x:c>
      <x:c r="E13" s="114" t="str">
        <x:v>CONTENT_COMPLETED / PRACTICE_ASSIGNED / PAUSED</x:v>
      </x:c>
      <x:c r="F13" s="114" t="str">
        <x:v>Activity evidence is learning evidence, not capability proof.</x:v>
      </x:c>
      <x:c r="G13" s="726" t="str">
        <x:v>Draft Complete</x:v>
      </x:c>
    </x:row>
    <x:row r="14">
      <x:c r="A14" s="730" t="str">
        <x:v>LLM-010</x:v>
      </x:c>
      <x:c r="B14" s="731" t="str">
        <x:v>CONTENT_COMPLETED</x:v>
      </x:c>
      <x:c r="C14" s="731" t="str">
        <x:v>Assigned content or knowledge check completed.</x:v>
      </x:c>
      <x:c r="D14" s="731" t="str">
        <x:v>xAPI/LMS/internal learning event.</x:v>
      </x:c>
      <x:c r="E14" s="731" t="str">
        <x:v>PRACTICE_ASSIGNED</x:v>
      </x:c>
      <x:c r="F14" s="731" t="str">
        <x:v>No automatic capability increase.</x:v>
      </x:c>
      <x:c r="G14" s="732" t="str">
        <x:v>Draft Complete</x:v>
      </x:c>
    </x:row>
    <x:row r="15">
      <x:c r="A15" s="725" t="str">
        <x:v>LLM-011</x:v>
      </x:c>
      <x:c r="B15" s="114" t="str">
        <x:v>PRACTICE_ASSIGNED</x:v>
      </x:c>
      <x:c r="C15" s="114" t="str">
        <x:v>Guided simulation/challenge/live task assigned with criteria.</x:v>
      </x:c>
      <x:c r="D15" s="114" t="str">
        <x:v>Task template and learning goal.</x:v>
      </x:c>
      <x:c r="E15" s="114" t="str">
        <x:v>PRACTICE_IN_PROGRESS / RESCHEDULED</x:v>
      </x:c>
      <x:c r="F15" s="114" t="str">
        <x:v>Practice must be representative and accessible.</x:v>
      </x:c>
      <x:c r="G15" s="726" t="str">
        <x:v>Draft Complete</x:v>
      </x:c>
    </x:row>
    <x:row r="16">
      <x:c r="A16" s="730" t="str">
        <x:v>LLM-012</x:v>
      </x:c>
      <x:c r="B16" s="731" t="str">
        <x:v>PRACTICE_IN_PROGRESS</x:v>
      </x:c>
      <x:c r="C16" s="731" t="str">
        <x:v>Employee completes practice with support or independently.</x:v>
      </x:c>
      <x:c r="D16" s="731" t="str">
        <x:v>Task/coach/mentor evidence.</x:v>
      </x:c>
      <x:c r="E16" s="731" t="str">
        <x:v>PRACTICE_REVIEW</x:v>
      </x:c>
      <x:c r="F16" s="731" t="str">
        <x:v>Capture support/guidance context.</x:v>
      </x:c>
      <x:c r="G16" s="732" t="str">
        <x:v>Draft Complete</x:v>
      </x:c>
    </x:row>
    <x:row r="17">
      <x:c r="A17" s="725" t="str">
        <x:v>LLM-013</x:v>
      </x:c>
      <x:c r="B17" s="114" t="str">
        <x:v>PRACTICE_REVIEW</x:v>
      </x:c>
      <x:c r="C17" s="114" t="str">
        <x:v>Reviewer evaluates outcome, quality, autonomy and transfer.</x:v>
      </x:c>
      <x:c r="D17" s="114" t="str">
        <x:v>Practice evidence package.</x:v>
      </x:c>
      <x:c r="E17" s="114" t="str">
        <x:v>APPLIED_EVIDENCE_PENDING / PLAN_MODIFIED / REASSESSMENT</x:v>
      </x:c>
      <x:c r="F17" s="114" t="str">
        <x:v>One practice success remains provisional.</x:v>
      </x:c>
      <x:c r="G17" s="726" t="str">
        <x:v>Draft Complete</x:v>
      </x:c>
    </x:row>
    <x:row r="18">
      <x:c r="A18" s="730" t="str">
        <x:v>LLM-014</x:v>
      </x:c>
      <x:c r="B18" s="731" t="str">
        <x:v>APPLIED_EVIDENCE_PENDING</x:v>
      </x:c>
      <x:c r="C18" s="731" t="str">
        <x:v>Wait for subsequent real-work evidence demonstrating application.</x:v>
      </x:c>
      <x:c r="D18" s="731" t="str">
        <x:v>Practice completed.</x:v>
      </x:c>
      <x:c r="E18" s="731" t="str">
        <x:v>APPLIED_EVIDENCE_OBSERVED / EXPIRED / PLAN_MODIFIED</x:v>
      </x:c>
      <x:c r="F18" s="731" t="str">
        <x:v>Capability only changes after applied evidence and review.</x:v>
      </x:c>
      <x:c r="G18" s="732" t="str">
        <x:v>Draft Complete</x:v>
      </x:c>
    </x:row>
    <x:row r="19">
      <x:c r="A19" s="725" t="str">
        <x:v>LLM-015</x:v>
      </x:c>
      <x:c r="B19" s="114" t="str">
        <x:v>APPLIED_EVIDENCE_OBSERVED</x:v>
      </x:c>
      <x:c r="C19" s="114" t="str">
        <x:v>Later task shows relevant improvement.</x:v>
      </x:c>
      <x:c r="D19" s="114" t="str">
        <x:v>Reviewed Stage 7 task/capability evidence.</x:v>
      </x:c>
      <x:c r="E19" s="114" t="str">
        <x:v>CAPABILITY_REVIEW</x:v>
      </x:c>
      <x:c r="F19" s="114" t="str">
        <x:v>Improvement must trace to evidence; causal attribution may remain uncertain.</x:v>
      </x:c>
      <x:c r="G19" s="726" t="str">
        <x:v>Draft Complete</x:v>
      </x:c>
    </x:row>
    <x:row r="20">
      <x:c r="A20" s="730" t="str">
        <x:v>LLM-016</x:v>
      </x:c>
      <x:c r="B20" s="731" t="str">
        <x:v>CAPABILITY_REVIEW</x:v>
      </x:c>
      <x:c r="C20" s="731" t="str">
        <x:v>Reviewer considers whether applied evidence updates capability state.</x:v>
      </x:c>
      <x:c r="D20" s="731" t="str">
        <x:v>Capability evidence package.</x:v>
      </x:c>
      <x:c r="E20" s="731" t="str">
        <x:v>EFFECTIVE / PARTIALLY_EFFECTIVE / NOT_EFFECTIVE / MORE_EVIDENCE_REQUIRED</x:v>
      </x:c>
      <x:c r="F20" s="731" t="str">
        <x:v>Stage 8 review rules apply.</x:v>
      </x:c>
      <x:c r="G20" s="732" t="str">
        <x:v>Draft Complete</x:v>
      </x:c>
    </x:row>
    <x:row r="21">
      <x:c r="A21" s="725" t="str">
        <x:v>LLM-017</x:v>
      </x:c>
      <x:c r="B21" s="114" t="str">
        <x:v>EFFECTIVE</x:v>
      </x:c>
      <x:c r="C21" s="114" t="str">
        <x:v>Learning objective achieved and applied evidence supports improvement.</x:v>
      </x:c>
      <x:c r="D21" s="114" t="str">
        <x:v>Review decision.</x:v>
      </x:c>
      <x:c r="E21" s="114" t="str">
        <x:v>PLAN_COMPLETED / NEXT_GOAL</x:v>
      </x:c>
      <x:c r="F21" s="114" t="str">
        <x:v>Record intervention effectiveness, not only completion.</x:v>
      </x:c>
      <x:c r="G21" s="726" t="str">
        <x:v>Draft Complete</x:v>
      </x:c>
    </x:row>
    <x:row r="22">
      <x:c r="A22" s="730" t="str">
        <x:v>LLM-018</x:v>
      </x:c>
      <x:c r="B22" s="731" t="str">
        <x:v>PARTIALLY_EFFECTIVE</x:v>
      </x:c>
      <x:c r="C22" s="731" t="str">
        <x:v>Some improvement observed; remaining gap or transfer issue exists.</x:v>
      </x:c>
      <x:c r="D22" s="731" t="str">
        <x:v>Review decision.</x:v>
      </x:c>
      <x:c r="E22" s="731" t="str">
        <x:v>PLAN_MODIFIED / MORE_EVIDENCE_REQUIRED</x:v>
      </x:c>
      <x:c r="F22" s="731" t="str">
        <x:v>Adjust content/practice rather than repeating unchanged plan.</x:v>
      </x:c>
      <x:c r="G22" s="732" t="str">
        <x:v>Draft Complete</x:v>
      </x:c>
    </x:row>
    <x:row r="23">
      <x:c r="A23" s="725" t="str">
        <x:v>LLM-019</x:v>
      </x:c>
      <x:c r="B23" s="114" t="str">
        <x:v>NOT_EFFECTIVE</x:v>
      </x:c>
      <x:c r="C23" s="114" t="str">
        <x:v>No material improvement or intervention was inappropriate/mistimed.</x:v>
      </x:c>
      <x:c r="D23" s="114" t="str">
        <x:v>Review/feedback/evidence.</x:v>
      </x:c>
      <x:c r="E23" s="114" t="str">
        <x:v>PLAN_MODIFIED / MENTOR_HANDOFF / CAUSE_REVIEW</x:v>
      </x:c>
      <x:c r="F23" s="114" t="str">
        <x:v>Do not blame employee; revisit cause and delivery.</x:v>
      </x:c>
      <x:c r="G23" s="726" t="str">
        <x:v>Draft Complete</x:v>
      </x:c>
    </x:row>
    <x:row r="24">
      <x:c r="A24" s="730" t="str">
        <x:v>LLM-020</x:v>
      </x:c>
      <x:c r="B24" s="731" t="str">
        <x:v>MORE_EVIDENCE_REQUIRED</x:v>
      </x:c>
      <x:c r="C24" s="731" t="str">
        <x:v>Evidence is promising but insufficient for conclusion.</x:v>
      </x:c>
      <x:c r="D24" s="731" t="str">
        <x:v>Review decision.</x:v>
      </x:c>
      <x:c r="E24" s="731" t="str">
        <x:v>APPLIED_EVIDENCE_PENDING / REASSESSMENT</x:v>
      </x:c>
      <x:c r="F24" s="731" t="str">
        <x:v>No premature capability update.</x:v>
      </x:c>
      <x:c r="G24" s="732" t="str">
        <x:v>Draft Complete</x:v>
      </x:c>
    </x:row>
    <x:row r="25">
      <x:c r="A25" s="725" t="str">
        <x:v>LLM-021</x:v>
      </x:c>
      <x:c r="B25" s="114" t="str">
        <x:v>PLAN_COMPLETED</x:v>
      </x:c>
      <x:c r="C25" s="114" t="str">
        <x:v>Plan is completed with reviewed applied outcome.</x:v>
      </x:c>
      <x:c r="D25" s="114" t="str">
        <x:v>Effective review.</x:v>
      </x:c>
      <x:c r="E25" s="114" t="str">
        <x:v>NEXT_GOAL / CLOSED</x:v>
      </x:c>
      <x:c r="F25" s="114" t="str">
        <x:v>Employee receives summary and next steps.</x:v>
      </x:c>
      <x:c r="G25" s="726" t="str">
        <x:v>Draft Complete</x:v>
      </x:c>
    </x:row>
    <x:row r="26">
      <x:c r="A26" s="733" t="str">
        <x:v>LLM-022</x:v>
      </x:c>
      <x:c r="B26" s="734" t="str">
        <x:v>PAUSED/CANCELLED</x:v>
      </x:c>
      <x:c r="C26" s="734" t="str">
        <x:v>Plan paused or cancelled due to workload, irrelevance, role change or employee/policy reason.</x:v>
      </x:c>
      <x:c r="D26" s="734" t="str">
        <x:v>Employee/reviewer action.</x:v>
      </x:c>
      <x:c r="E26" s="734" t="str">
        <x:v>PLAN_ACTIVE / CLOSED</x:v>
      </x:c>
      <x:c r="F26" s="734" t="str">
        <x:v>Pause/cancel is not negative performance evidence.</x:v>
      </x:c>
      <x:c r="G26" s="735" t="str">
        <x:v>Draft Complete</x:v>
      </x:c>
    </x:row>
  </x:sheetData>
  <x:mergeCells>
    <x:mergeCell ref="A1:G1"/>
    <x:mergeCell ref="A2:G2"/>
  </x:mergeCells>
  <x:dataValidations count="1">
    <x:dataValidation type="list" sqref="G5:G26">
      <x:formula1>"Draft Complete,Needs Review,Approved,Deferred"</x:formula1>
    </x:dataValidation>
  </x:dataValidations>
  <x:pageMargins left="0.7" right="0.7" top="0.75" bottom="0.75" header="0.3" footer="0.3"/>
</x:worksheet>
</file>

<file path=xl/worksheets/sheet125.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6" hidden="0" customWidth="1"/>
    <x:col min="5" max="5" width="46" hidden="0" customWidth="1"/>
    <x:col min="6" max="6" width="54" hidden="0" customWidth="1"/>
    <x:col min="7" max="7" width="30" hidden="0" customWidth="1"/>
    <x:col min="8" max="8" width="18" hidden="0" customWidth="1"/>
  </x:cols>
  <x:sheetData>
    <x:row r="1" ht="30" customHeight="1">
      <x:c r="A1" s="687" t="str">
        <x:v>Stage 9 — Learning Artefact Catalogue</x:v>
      </x:c>
      <x:c r="B1" s="687"/>
      <x:c r="C1" s="687"/>
      <x:c r="D1" s="687"/>
      <x:c r="E1" s="687"/>
      <x:c r="F1" s="687"/>
      <x:c r="G1" s="687"/>
      <x:c r="H1" s="687"/>
    </x:row>
    <x:row r="2" ht="36" customHeight="1">
      <x:c r="A2" s="691" t="str">
        <x:v>Learning and practice formats used by Growth Coach and L&amp;D. Every artefact defines expected application evidence; content completion alone does not change capability.</x:v>
      </x:c>
      <x:c r="B2" s="691"/>
      <x:c r="C2" s="691"/>
      <x:c r="D2" s="691"/>
      <x:c r="E2" s="691"/>
      <x:c r="F2" s="691"/>
      <x:c r="G2" s="691"/>
      <x:c r="H2" s="691"/>
    </x:row>
    <x:row r="4" ht="30" customHeight="1">
      <x:c r="A4" s="703" t="str">
        <x:v>ID</x:v>
      </x:c>
      <x:c r="B4" s="704" t="str">
        <x:v>Artefact type</x:v>
      </x:c>
      <x:c r="C4" s="704" t="str">
        <x:v>Definition</x:v>
      </x:c>
      <x:c r="D4" s="704" t="str">
        <x:v>When appropriate</x:v>
      </x:c>
      <x:c r="E4" s="704" t="str">
        <x:v>Evidence / evaluation</x:v>
      </x:c>
      <x:c r="F4" s="704" t="str">
        <x:v>Guardrail</x:v>
      </x:c>
      <x:c r="G4" s="704" t="str">
        <x:v>Owner / source</x:v>
      </x:c>
      <x:c r="H4" s="705" t="str">
        <x:v>Status</x:v>
      </x:c>
    </x:row>
    <x:row r="5">
      <x:c r="A5" s="722" t="str">
        <x:v>LA-001</x:v>
      </x:c>
      <x:c r="B5" s="723" t="str">
        <x:v>Micro-lesson</x:v>
      </x:c>
      <x:c r="C5" s="723" t="str">
        <x:v>Short explanation of one concept, risk or method.</x:v>
      </x:c>
      <x:c r="D5" s="723" t="str">
        <x:v>Knowledge/tool gap; limited time.</x:v>
      </x:c>
      <x:c r="E5" s="723" t="str">
        <x:v>Knowledge check or reflection.</x:v>
      </x:c>
      <x:c r="F5" s="723" t="str">
        <x:v>No capability credit without application.</x:v>
      </x:c>
      <x:c r="G5" s="723" t="str">
        <x:v>Internal content/approved provider</x:v>
      </x:c>
      <x:c r="H5" s="724" t="str">
        <x:v>Draft Complete</x:v>
      </x:c>
    </x:row>
    <x:row r="6">
      <x:c r="A6" s="730" t="str">
        <x:v>LA-002</x:v>
      </x:c>
      <x:c r="B6" s="731" t="str">
        <x:v>Worked example</x:v>
      </x:c>
      <x:c r="C6" s="731" t="str">
        <x:v>Step-by-step example with rationale and verification.</x:v>
      </x:c>
      <x:c r="D6" s="731" t="str">
        <x:v>Employee needs model of correct approach.</x:v>
      </x:c>
      <x:c r="E6" s="731" t="str">
        <x:v>Review questions or similar task.</x:v>
      </x:c>
      <x:c r="F6" s="731" t="str">
        <x:v>Avoid copying exact answer into live task without understanding.</x:v>
      </x:c>
      <x:c r="G6" s="731" t="str">
        <x:v>Domain expert/Skill Forge</x:v>
      </x:c>
      <x:c r="H6" s="732" t="str">
        <x:v>Draft Complete</x:v>
      </x:c>
    </x:row>
    <x:row r="7">
      <x:c r="A7" s="725" t="str">
        <x:v>LA-003</x:v>
      </x:c>
      <x:c r="B7" s="114" t="str">
        <x:v>Guided practice</x:v>
      </x:c>
      <x:c r="C7" s="114" t="str">
        <x:v>Task with hints/checkpoints and coach assistance.</x:v>
      </x:c>
      <x:c r="D7" s="114" t="str">
        <x:v>Learning/assisted level.</x:v>
      </x:c>
      <x:c r="E7" s="114" t="str">
        <x:v>Outcome, guidance and quality evidence.</x:v>
      </x:c>
      <x:c r="F7" s="114" t="str">
        <x:v>Counts as practice, not independent capability.</x:v>
      </x:c>
      <x:c r="G7" s="114" t="str">
        <x:v>Task/L&amp;D</x:v>
      </x:c>
      <x:c r="H7" s="726" t="str">
        <x:v>Draft Complete</x:v>
      </x:c>
    </x:row>
    <x:row r="8">
      <x:c r="A8" s="730" t="str">
        <x:v>LA-004</x:v>
      </x:c>
      <x:c r="B8" s="731" t="str">
        <x:v>Challenge task</x:v>
      </x:c>
      <x:c r="C8" s="731" t="str">
        <x:v>Representative task with reduced guidance.</x:v>
      </x:c>
      <x:c r="D8" s="731" t="str">
        <x:v>Assess transfer or independence after learning.</x:v>
      </x:c>
      <x:c r="E8" s="731" t="str">
        <x:v>Task criteria and reviewer evidence.</x:v>
      </x:c>
      <x:c r="F8" s="731" t="str">
        <x:v>Must be accessible and role-relevant.</x:v>
      </x:c>
      <x:c r="G8" s="731" t="str">
        <x:v>Task/Domain Reviewer</x:v>
      </x:c>
      <x:c r="H8" s="732" t="str">
        <x:v>Draft Complete</x:v>
      </x:c>
    </x:row>
    <x:row r="9">
      <x:c r="A9" s="725" t="str">
        <x:v>LA-005</x:v>
      </x:c>
      <x:c r="B9" s="114" t="str">
        <x:v>Simulation</x:v>
      </x:c>
      <x:c r="C9" s="114" t="str">
        <x:v>Safe sandbox representing production scenario.</x:v>
      </x:c>
      <x:c r="D9" s="114" t="str">
        <x:v>Security, incident, process or high-risk learning.</x:v>
      </x:c>
      <x:c r="E9" s="114" t="str">
        <x:v>Scenario outcome and decision rationale.</x:v>
      </x:c>
      <x:c r="F9" s="114" t="str">
        <x:v>Simulation evidence lower weight than live work.</x:v>
      </x:c>
      <x:c r="G9" s="114" t="str">
        <x:v>Learning Platform</x:v>
      </x:c>
      <x:c r="H9" s="726" t="str">
        <x:v>Draft Complete</x:v>
      </x:c>
    </x:row>
    <x:row r="10">
      <x:c r="A10" s="730" t="str">
        <x:v>LA-006</x:v>
      </x:c>
      <x:c r="B10" s="731" t="str">
        <x:v>Prompt template</x:v>
      </x:c>
      <x:c r="C10" s="731" t="str">
        <x:v>Reusable structure for AI-agent task decomposition or review.</x:v>
      </x:c>
      <x:c r="D10" s="731" t="str">
        <x:v>AI-supervision/task-decomposition gap.</x:v>
      </x:c>
      <x:c r="E10" s="731" t="str">
        <x:v>Applied agent session and reviewed outcome.</x:v>
      </x:c>
      <x:c r="F10" s="731" t="str">
        <x:v>Prompt use/volume is not capability proof.</x:v>
      </x:c>
      <x:c r="G10" s="731" t="str">
        <x:v>AI Platform/Skill Forge</x:v>
      </x:c>
      <x:c r="H10" s="732" t="str">
        <x:v>Draft Complete</x:v>
      </x:c>
    </x:row>
    <x:row r="11">
      <x:c r="A11" s="725" t="str">
        <x:v>LA-007</x:v>
      </x:c>
      <x:c r="B11" s="114" t="str">
        <x:v>Checklist</x:v>
      </x:c>
      <x:c r="C11" s="114" t="str">
        <x:v>Quality, security, review or task-completion checklist.</x:v>
      </x:c>
      <x:c r="D11" s="114" t="str">
        <x:v>Repeated omissions or complex procedure.</x:v>
      </x:c>
      <x:c r="E11" s="114" t="str">
        <x:v>Checklist completion plus outcome evidence.</x:v>
      </x:c>
      <x:c r="F11" s="114" t="str">
        <x:v>Checkbox completion alone does not prove quality.</x:v>
      </x:c>
      <x:c r="G11" s="114" t="str">
        <x:v>Domain/Product</x:v>
      </x:c>
      <x:c r="H11" s="726" t="str">
        <x:v>Draft Complete</x:v>
      </x:c>
    </x:row>
    <x:row r="12">
      <x:c r="A12" s="730" t="str">
        <x:v>LA-008</x:v>
      </x:c>
      <x:c r="B12" s="731" t="str">
        <x:v>Diagnostic decision tree</x:v>
      </x:c>
      <x:c r="C12" s="731" t="str">
        <x:v>Evidence-based troubleshooting path.</x:v>
      </x:c>
      <x:c r="D12" s="731" t="str">
        <x:v>Repeated debugging or support issue.</x:v>
      </x:c>
      <x:c r="E12" s="731" t="str">
        <x:v>Root-cause task result.</x:v>
      </x:c>
      <x:c r="F12" s="731" t="str">
        <x:v>Allow alternate valid methods.</x:v>
      </x:c>
      <x:c r="G12" s="731" t="str">
        <x:v>Domain Expert</x:v>
      </x:c>
      <x:c r="H12" s="732" t="str">
        <x:v>Draft Complete</x:v>
      </x:c>
    </x:row>
    <x:row r="13">
      <x:c r="A13" s="725" t="str">
        <x:v>LA-009</x:v>
      </x:c>
      <x:c r="B13" s="114" t="str">
        <x:v>Knowledge check</x:v>
      </x:c>
      <x:c r="C13" s="114" t="str">
        <x:v>Questions/scenarios verifying concept understanding.</x:v>
      </x:c>
      <x:c r="D13" s="114" t="str">
        <x:v>After lesson or baseline assessment.</x:v>
      </x:c>
      <x:c r="E13" s="114" t="str">
        <x:v>Knowledge score and explanations.</x:v>
      </x:c>
      <x:c r="F13" s="114" t="str">
        <x:v>Avoid trivia bias; accessibility/language review.</x:v>
      </x:c>
      <x:c r="G13" s="114" t="str">
        <x:v>L&amp;D</x:v>
      </x:c>
      <x:c r="H13" s="726" t="str">
        <x:v>Draft Complete</x:v>
      </x:c>
    </x:row>
    <x:row r="14">
      <x:c r="A14" s="730" t="str">
        <x:v>LA-010</x:v>
      </x:c>
      <x:c r="B14" s="731" t="str">
        <x:v>Code/design review exercise</x:v>
      </x:c>
      <x:c r="C14" s="731" t="str">
        <x:v>Review prepared artefact and identify quality/risk issues.</x:v>
      </x:c>
      <x:c r="D14" s="731" t="str">
        <x:v>Review/AI-supervision/quality gap.</x:v>
      </x:c>
      <x:c r="E14" s="731" t="str">
        <x:v>Review findings and reviewer agreement.</x:v>
      </x:c>
      <x:c r="F14" s="731" t="str">
        <x:v>Does not require manual creation output.</x:v>
      </x:c>
      <x:c r="G14" s="731" t="str">
        <x:v>Engineering/Design Reviewer</x:v>
      </x:c>
      <x:c r="H14" s="732" t="str">
        <x:v>Draft Complete</x:v>
      </x:c>
    </x:row>
    <x:row r="15">
      <x:c r="A15" s="725" t="str">
        <x:v>LA-011</x:v>
      </x:c>
      <x:c r="B15" s="114" t="str">
        <x:v>Mentor session</x:v>
      </x:c>
      <x:c r="C15" s="114" t="str">
        <x:v>Qualified human supports reflection, practice or complex judgement.</x:v>
      </x:c>
      <x:c r="D15" s="114" t="str">
        <x:v>Low AI confidence, complex/repeated gap or employee preference.</x:v>
      </x:c>
      <x:c r="E15" s="114" t="str">
        <x:v>Goals, agreed actions and high-level outcome.</x:v>
      </x:c>
      <x:c r="F15" s="114" t="str">
        <x:v>Private mentor conversation not exposed raw to manager.</x:v>
      </x:c>
      <x:c r="G15" s="114" t="str">
        <x:v>Mentor/L&amp;D</x:v>
      </x:c>
      <x:c r="H15" s="726" t="str">
        <x:v>Draft Complete</x:v>
      </x:c>
    </x:row>
    <x:row r="16">
      <x:c r="A16" s="730" t="str">
        <x:v>LA-012</x:v>
      </x:c>
      <x:c r="B16" s="731" t="str">
        <x:v>Pairing/shadowing</x:v>
      </x:c>
      <x:c r="C16" s="731" t="str">
        <x:v>Employee observes or works with experienced colleague.</x:v>
      </x:c>
      <x:c r="D16" s="731" t="str">
        <x:v>New tool/domain or complex workflow.</x:v>
      </x:c>
      <x:c r="E16" s="731" t="str">
        <x:v>Reflection and later applied task.</x:v>
      </x:c>
      <x:c r="F16" s="731" t="str">
        <x:v>Observation time is valid learning.</x:v>
      </x:c>
      <x:c r="G16" s="731" t="str">
        <x:v>Manager/Domain Lead</x:v>
      </x:c>
      <x:c r="H16" s="732" t="str">
        <x:v>Draft Complete</x:v>
      </x:c>
    </x:row>
    <x:row r="17">
      <x:c r="A17" s="725" t="str">
        <x:v>LA-013</x:v>
      </x:c>
      <x:c r="B17" s="114" t="str">
        <x:v>Reference guide/runbook</x:v>
      </x:c>
      <x:c r="C17" s="114" t="str">
        <x:v>Durable procedure, standard or decision support.</x:v>
      </x:c>
      <x:c r="D17" s="114" t="str">
        <x:v>Process/tool/support need.</x:v>
      </x:c>
      <x:c r="E17" s="114" t="str">
        <x:v>Applied task evidence.</x:v>
      </x:c>
      <x:c r="F17" s="114" t="str">
        <x:v>Version and source accuracy required.</x:v>
      </x:c>
      <x:c r="G17" s="114" t="str">
        <x:v>Domain/Skill Forge</x:v>
      </x:c>
      <x:c r="H17" s="726" t="str">
        <x:v>Draft Complete</x:v>
      </x:c>
    </x:row>
    <x:row r="18">
      <x:c r="A18" s="730" t="str">
        <x:v>LA-014</x:v>
      </x:c>
      <x:c r="B18" s="731" t="str">
        <x:v>Reassessment task</x:v>
      </x:c>
      <x:c r="C18" s="731" t="str">
        <x:v>Representative task designed to gather fresh capability evidence.</x:v>
      </x:c>
      <x:c r="D18" s="731" t="str">
        <x:v>Stale/disputed/insufficient evidence or post-training.</x:v>
      </x:c>
      <x:c r="E18" s="731" t="str">
        <x:v>Capability evidence package.</x:v>
      </x:c>
      <x:c r="F18" s="731" t="str">
        <x:v>Separate assessment from normal productivity expectations.</x:v>
      </x:c>
      <x:c r="G18" s="731" t="str">
        <x:v>Capability Reviewer</x:v>
      </x:c>
      <x:c r="H18" s="732" t="str">
        <x:v>Draft Complete</x:v>
      </x:c>
    </x:row>
    <x:row r="19">
      <x:c r="A19" s="725" t="str">
        <x:v>LA-015</x:v>
      </x:c>
      <x:c r="B19" s="114" t="str">
        <x:v>Reflection prompt</x:v>
      </x:c>
      <x:c r="C19" s="114" t="str">
        <x:v>Private questions about decisions, errors, recovery or learning.</x:v>
      </x:c>
      <x:c r="D19" s="114" t="str">
        <x:v>After milestone/review/task.</x:v>
      </x:c>
      <x:c r="E19" s="114" t="str">
        <x:v>Optional employee note or no response.</x:v>
      </x:c>
      <x:c r="F19" s="114" t="str">
        <x:v>Private response not manager-visible by default.</x:v>
      </x:c>
      <x:c r="G19" s="114" t="str">
        <x:v>Growth Coach</x:v>
      </x:c>
      <x:c r="H19" s="726" t="str">
        <x:v>Draft Complete</x:v>
      </x:c>
    </x:row>
    <x:row r="20">
      <x:c r="A20" s="733" t="str">
        <x:v>LA-016</x:v>
      </x:c>
      <x:c r="B20" s="734" t="str">
        <x:v>External course/resource</x:v>
      </x:c>
      <x:c r="C20" s="734" t="str">
        <x:v>Licensed third-party learning content.</x:v>
      </x:c>
      <x:c r="D20" s="734" t="str">
        <x:v>Generic foundational knowledge or certification need.</x:v>
      </x:c>
      <x:c r="E20" s="734" t="str">
        <x:v>Completion record plus later applied evidence.</x:v>
      </x:c>
      <x:c r="F20" s="734" t="str">
        <x:v>Licence, data sharing and quality review required.</x:v>
      </x:c>
      <x:c r="G20" s="734" t="str">
        <x:v>L&amp;D/Procurement</x:v>
      </x:c>
      <x:c r="H20" s="735" t="str">
        <x:v>Draft Complete</x:v>
      </x:c>
    </x:row>
  </x:sheetData>
  <x:mergeCells>
    <x:mergeCell ref="A1:H1"/>
    <x:mergeCell ref="A2:H2"/>
  </x:mergeCells>
  <x:dataValidations count="1">
    <x:dataValidation type="list" sqref="H5:H20">
      <x:formula1>"Draft Complete,Needs Review,Approved,Deferred"</x:formula1>
    </x:dataValidation>
  </x:dataValidations>
  <x:pageMargins left="0.7" right="0.7" top="0.75" bottom="0.75" header="0.3" footer="0.3"/>
</x:worksheet>
</file>

<file path=xl/worksheets/sheet126.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42" hidden="0" customWidth="1"/>
    <x:col min="5" max="5" width="46" hidden="0" customWidth="1"/>
    <x:col min="6" max="6" width="20" hidden="0" customWidth="1"/>
    <x:col min="7" max="7" width="26" hidden="0" customWidth="1"/>
    <x:col min="8" max="8" width="56" hidden="0" customWidth="1"/>
    <x:col min="9" max="9" width="18" hidden="0" customWidth="1"/>
  </x:cols>
  <x:sheetData>
    <x:row r="1" ht="30" customHeight="1">
      <x:c r="A1" s="687" t="str">
        <x:v>Stage 9 — Coaching Effectiveness Metrics</x:v>
      </x:c>
      <x:c r="B1" s="687"/>
      <x:c r="C1" s="687"/>
      <x:c r="D1" s="687"/>
      <x:c r="E1" s="687"/>
      <x:c r="F1" s="687"/>
      <x:c r="G1" s="687"/>
      <x:c r="H1" s="687"/>
      <x:c r="I1" s="687"/>
    </x:row>
    <x:row r="2" ht="36" customHeight="1">
      <x:c r="A2" s="691" t="str">
        <x:v>Metrics for usefulness, interruption, quality improvement, applied learning, fairness, trust and safe model evolution. Proposed pilot targets are hypotheses, not employee performance thresholds.</x:v>
      </x:c>
      <x:c r="B2" s="691"/>
      <x:c r="C2" s="691"/>
      <x:c r="D2" s="691"/>
      <x:c r="E2" s="691"/>
      <x:c r="F2" s="691"/>
      <x:c r="G2" s="691"/>
      <x:c r="H2" s="691"/>
      <x:c r="I2" s="691"/>
    </x:row>
    <x:row r="4" ht="30" customHeight="1">
      <x:c r="A4" s="703" t="str">
        <x:v>ID</x:v>
      </x:c>
      <x:c r="B4" s="704" t="str">
        <x:v>Metric</x:v>
      </x:c>
      <x:c r="C4" s="704" t="str">
        <x:v>Definition / formula</x:v>
      </x:c>
      <x:c r="D4" s="704" t="str">
        <x:v>Purpose</x:v>
      </x:c>
      <x:c r="E4" s="704" t="str">
        <x:v>Proposed target / interpretation</x:v>
      </x:c>
      <x:c r="F4" s="704" t="str">
        <x:v>Frequency</x:v>
      </x:c>
      <x:c r="G4" s="704" t="str">
        <x:v>Owner</x:v>
      </x:c>
      <x:c r="H4" s="704" t="str">
        <x:v>Misuse guardrail</x:v>
      </x:c>
      <x:c r="I4" s="705" t="str">
        <x:v>Status</x:v>
      </x:c>
    </x:row>
    <x:row r="5">
      <x:c r="A5" s="722" t="str">
        <x:v>CEM-001</x:v>
      </x:c>
      <x:c r="B5" s="723" t="str">
        <x:v>Intervention delivery rate</x:v>
      </x:c>
      <x:c r="C5" s="723" t="str">
        <x:v>Delivered eligible interventions / policy-approved candidates</x:v>
      </x:c>
      <x:c r="D5" s="723" t="str">
        <x:v>Operational reliability only.</x:v>
      </x:c>
      <x:c r="E5" s="723" t="str">
        <x:v>≥95% for scheduled non-suppressed interventions</x:v>
      </x:c>
      <x:c r="F5" s="723" t="str">
        <x:v>Weekly</x:v>
      </x:c>
      <x:c r="G5" s="723" t="str">
        <x:v>SRE/Product</x:v>
      </x:c>
      <x:c r="H5" s="723" t="str">
        <x:v>Do not treat high volume as success.</x:v>
      </x:c>
      <x:c r="I5" s="724" t="str">
        <x:v>Draft Complete</x:v>
      </x:c>
    </x:row>
    <x:row r="6">
      <x:c r="A6" s="730" t="str">
        <x:v>CEM-002</x:v>
      </x:c>
      <x:c r="B6" s="731" t="str">
        <x:v>Acceptance rate</x:v>
      </x:c>
      <x:c r="C6" s="731" t="str">
        <x:v>Accepted or meaningfully engaged interventions / delivered interventions</x:v>
      </x:c>
      <x:c r="D6" s="731" t="str">
        <x:v>Indicates relevance and timing.</x:v>
      </x:c>
      <x:c r="E6" s="731" t="str">
        <x:v>Pilot baseline; segment by mode/trigger</x:v>
      </x:c>
      <x:c r="F6" s="731" t="str">
        <x:v>Weekly/monthly</x:v>
      </x:c>
      <x:c r="G6" s="731" t="str">
        <x:v>Product/AI Evaluation</x:v>
      </x:c>
      <x:c r="H6" s="731" t="str">
        <x:v>Low acceptance may reflect interruption burden or poor context, not employee resistance.</x:v>
      </x:c>
      <x:c r="I6" s="732" t="str">
        <x:v>Draft Complete</x:v>
      </x:c>
    </x:row>
    <x:row r="7">
      <x:c r="A7" s="725" t="str">
        <x:v>CEM-003</x:v>
      </x:c>
      <x:c r="B7" s="114" t="str">
        <x:v>Usefulness rating</x:v>
      </x:c>
      <x:c r="C7" s="114" t="str">
        <x:v>Share rated useful or very useful, plus qualitative themes</x:v>
      </x:c>
      <x:c r="D7" s="114" t="str">
        <x:v>Employee-perceived value.</x:v>
      </x:c>
      <x:c r="E7" s="114" t="str">
        <x:v>≥70% pilot hypothesis</x:v>
      </x:c>
      <x:c r="F7" s="114" t="str">
        <x:v>Monthly</x:v>
      </x:c>
      <x:c r="G7" s="114" t="str">
        <x:v>Product/HR</x:v>
      </x:c>
      <x:c r="H7" s="114" t="str">
        <x:v>Anonymous/aggregated reporting where possible.</x:v>
      </x:c>
      <x:c r="I7" s="726" t="str">
        <x:v>Draft Complete</x:v>
      </x:c>
    </x:row>
    <x:row r="8">
      <x:c r="A8" s="730" t="str">
        <x:v>CEM-004</x:v>
      </x:c>
      <x:c r="B8" s="731" t="str">
        <x:v>Incorrect-context rate</x:v>
      </x:c>
      <x:c r="C8" s="731" t="str">
        <x:v>Interventions marked contextually wrong / delivered interventions</x:v>
      </x:c>
      <x:c r="D8" s="731" t="str">
        <x:v>Measures evidence/context quality.</x:v>
      </x:c>
      <x:c r="E8" s="731" t="str">
        <x:v>&lt;10% pilot hypothesis; critical modes lower</x:v>
      </x:c>
      <x:c r="F8" s="731" t="str">
        <x:v>Weekly</x:v>
      </x:c>
      <x:c r="G8" s="731" t="str">
        <x:v>AI Evaluation/Data</x:v>
      </x:c>
      <x:c r="H8" s="731" t="str">
        <x:v>Corrections must invalidate repeated triggers.</x:v>
      </x:c>
      <x:c r="I8" s="732" t="str">
        <x:v>Draft Complete</x:v>
      </x:c>
    </x:row>
    <x:row r="9">
      <x:c r="A9" s="725" t="str">
        <x:v>CEM-005</x:v>
      </x:c>
      <x:c r="B9" s="114" t="str">
        <x:v>Mistimed-intervention rate</x:v>
      </x:c>
      <x:c r="C9" s="114" t="str">
        <x:v>Interventions marked mistimed or snoozed due to focus/meeting / delivered</x:v>
      </x:c>
      <x:c r="D9" s="114" t="str">
        <x:v>Measures interruption policy.</x:v>
      </x:c>
      <x:c r="E9" s="114" t="str">
        <x:v>Trend downward; mode-specific target</x:v>
      </x:c>
      <x:c r="F9" s="114" t="str">
        <x:v>Weekly</x:v>
      </x:c>
      <x:c r="G9" s="114" t="str">
        <x:v>Product/UX</x:v>
      </x:c>
      <x:c r="H9" s="114" t="str">
        <x:v>Snooze is not negative employee behaviour.</x:v>
      </x:c>
      <x:c r="I9" s="726" t="str">
        <x:v>Draft Complete</x:v>
      </x:c>
    </x:row>
    <x:row r="10">
      <x:c r="A10" s="730" t="str">
        <x:v>CEM-006</x:v>
      </x:c>
      <x:c r="B10" s="731" t="str">
        <x:v>Interruption burden</x:v>
      </x:c>
      <x:c r="C10" s="731" t="str">
        <x:v>Median interventions per active work hour and employee-reported disruption</x:v>
      </x:c>
      <x:c r="D10" s="731" t="str">
        <x:v>Protects deep work.</x:v>
      </x:c>
      <x:c r="E10" s="731" t="str">
        <x:v>Configured maximum by mode; no universal employee target</x:v>
      </x:c>
      <x:c r="F10" s="731" t="str">
        <x:v>Weekly/monthly</x:v>
      </x:c>
      <x:c r="G10" s="731" t="str">
        <x:v>Product/HR</x:v>
      </x:c>
      <x:c r="H10" s="731" t="str">
        <x:v>Never use as employee productivity metric.</x:v>
      </x:c>
      <x:c r="I10" s="732" t="str">
        <x:v>Draft Complete</x:v>
      </x:c>
    </x:row>
    <x:row r="11">
      <x:c r="A11" s="725" t="str">
        <x:v>CEM-007</x:v>
      </x:c>
      <x:c r="B11" s="114" t="str">
        <x:v>Cooldown violation rate</x:v>
      </x:c>
      <x:c r="C11" s="114" t="str">
        <x:v>Repeated similar intervention delivered inside policy cooldown</x:v>
      </x:c>
      <x:c r="D11" s="114" t="str">
        <x:v>Policy quality.</x:v>
      </x:c>
      <x:c r="E11" s="114" t="str">
        <x:v>0</x:v>
      </x:c>
      <x:c r="F11" s="114" t="str">
        <x:v>Continuous</x:v>
      </x:c>
      <x:c r="G11" s="114" t="str">
        <x:v>Platform/QA</x:v>
      </x:c>
      <x:c r="H11" s="114" t="str">
        <x:v>Any violation is a system defect.</x:v>
      </x:c>
      <x:c r="I11" s="726" t="str">
        <x:v>Draft Complete</x:v>
      </x:c>
    </x:row>
    <x:row r="12">
      <x:c r="A12" s="730" t="str">
        <x:v>CEM-008</x:v>
      </x:c>
      <x:c r="B12" s="731" t="str">
        <x:v>Repeated-error reduction</x:v>
      </x:c>
      <x:c r="C12" s="731" t="str">
        <x:v>Comparable reviewed error recurrence before vs after intervention</x:v>
      </x:c>
      <x:c r="D12" s="731" t="str">
        <x:v>Outcome-based coaching effect.</x:v>
      </x:c>
      <x:c r="E12" s="731" t="str">
        <x:v>Improvement vs baseline/control where feasible</x:v>
      </x:c>
      <x:c r="F12" s="731" t="str">
        <x:v>Monthly/quarterly</x:v>
      </x:c>
      <x:c r="G12" s="731" t="str">
        <x:v>AI Evaluation/L&amp;D</x:v>
      </x:c>
      <x:c r="H12" s="731" t="str">
        <x:v>Adjust for task mix and external blockers.</x:v>
      </x:c>
      <x:c r="I12" s="732" t="str">
        <x:v>Draft Complete</x:v>
      </x:c>
    </x:row>
    <x:row r="13">
      <x:c r="A13" s="725" t="str">
        <x:v>CEM-009</x:v>
      </x:c>
      <x:c r="B13" s="114" t="str">
        <x:v>Verification completion uplift</x:v>
      </x:c>
      <x:c r="C13" s="114" t="str">
        <x:v>Change in required test/review/security-gate completion after coaching</x:v>
      </x:c>
      <x:c r="D13" s="114" t="str">
        <x:v>Measures quality behaviour.</x:v>
      </x:c>
      <x:c r="E13" s="114" t="str">
        <x:v>Positive uplift without excessive intervention burden</x:v>
      </x:c>
      <x:c r="F13" s="114" t="str">
        <x:v>Monthly</x:v>
      </x:c>
      <x:c r="G13" s="114" t="str">
        <x:v>Task Assurance/Product</x:v>
      </x:c>
      <x:c r="H13" s="114" t="str">
        <x:v>Do not infer causality from simple correlation alone.</x:v>
      </x:c>
      <x:c r="I13" s="726" t="str">
        <x:v>Draft Complete</x:v>
      </x:c>
    </x:row>
    <x:row r="14">
      <x:c r="A14" s="730" t="str">
        <x:v>CEM-010</x:v>
      </x:c>
      <x:c r="B14" s="731" t="str">
        <x:v>Applied-learning success</x:v>
      </x:c>
      <x:c r="C14" s="731" t="str">
        <x:v>Learning plans with later reviewed evidence of application / plans reaching practice stage</x:v>
      </x:c>
      <x:c r="D14" s="731" t="str">
        <x:v>Core Stage 9 outcome.</x:v>
      </x:c>
      <x:c r="E14" s="731" t="str">
        <x:v>Pilot target ≥60% within defined evidence window</x:v>
      </x:c>
      <x:c r="F14" s="731" t="str">
        <x:v>Monthly/quarterly</x:v>
      </x:c>
      <x:c r="G14" s="731" t="str">
        <x:v>L&amp;D/Capability</x:v>
      </x:c>
      <x:c r="H14" s="731" t="str">
        <x:v>Training completion alone excluded from numerator.</x:v>
      </x:c>
      <x:c r="I14" s="732" t="str">
        <x:v>Draft Complete</x:v>
      </x:c>
    </x:row>
    <x:row r="15">
      <x:c r="A15" s="725" t="str">
        <x:v>CEM-011</x:v>
      </x:c>
      <x:c r="B15" s="114" t="str">
        <x:v>Time to applied evidence</x:v>
      </x:c>
      <x:c r="C15" s="114" t="str">
        <x:v>Median time from learning assignment to reviewed real-work evidence</x:v>
      </x:c>
      <x:c r="D15" s="114" t="str">
        <x:v>Learning responsiveness.</x:v>
      </x:c>
      <x:c r="E15" s="114" t="str">
        <x:v>Capability-specific benchmark</x:v>
      </x:c>
      <x:c r="F15" s="114" t="str">
        <x:v>Monthly</x:v>
      </x:c>
      <x:c r="G15" s="114" t="str">
        <x:v>L&amp;D/Capability</x:v>
      </x:c>
      <x:c r="H15" s="114" t="str">
        <x:v>Longer time may reflect lack of opportunity, not failure.</x:v>
      </x:c>
      <x:c r="I15" s="726" t="str">
        <x:v>Draft Complete</x:v>
      </x:c>
    </x:row>
    <x:row r="16">
      <x:c r="A16" s="730" t="str">
        <x:v>CEM-012</x:v>
      </x:c>
      <x:c r="B16" s="731" t="str">
        <x:v>Independent-completion progression</x:v>
      </x:c>
      <x:c r="C16" s="731" t="str">
        <x:v>Change in comparable task evidence from directed/assisted to independent</x:v>
      </x:c>
      <x:c r="D16" s="731" t="str">
        <x:v>Capability development signal.</x:v>
      </x:c>
      <x:c r="E16" s="731" t="str">
        <x:v>Positive trend by capability cohort</x:v>
      </x:c>
      <x:c r="F16" s="731" t="str">
        <x:v>Quarterly</x:v>
      </x:c>
      <x:c r="G16" s="731" t="str">
        <x:v>Capability/HR</x:v>
      </x:c>
      <x:c r="H16" s="731" t="str">
        <x:v>Requires comparable tasks and review.</x:v>
      </x:c>
      <x:c r="I16" s="732" t="str">
        <x:v>Draft Complete</x:v>
      </x:c>
    </x:row>
    <x:row r="17">
      <x:c r="A17" s="725" t="str">
        <x:v>CEM-013</x:v>
      </x:c>
      <x:c r="B17" s="114" t="str">
        <x:v>Mentor-handoff appropriateness</x:v>
      </x:c>
      <x:c r="C17" s="114" t="str">
        <x:v>Mentor handoffs judged necessary/useful / handoffs</x:v>
      </x:c>
      <x:c r="D17" s="114" t="str">
        <x:v>Tests AI humility and escalation.</x:v>
      </x:c>
      <x:c r="E17" s="114" t="str">
        <x:v>High reviewer/employee agreement</x:v>
      </x:c>
      <x:c r="F17" s="114" t="str">
        <x:v>Monthly</x:v>
      </x:c>
      <x:c r="G17" s="114" t="str">
        <x:v>L&amp;D/AI Governance</x:v>
      </x:c>
      <x:c r="H17" s="114" t="str">
        <x:v>More handoffs may be correct in complex domains.</x:v>
      </x:c>
      <x:c r="I17" s="726" t="str">
        <x:v>Draft Complete</x:v>
      </x:c>
    </x:row>
    <x:row r="18">
      <x:c r="A18" s="730" t="str">
        <x:v>CEM-014</x:v>
      </x:c>
      <x:c r="B18" s="731" t="str">
        <x:v>Escalation false-positive rate</x:v>
      </x:c>
      <x:c r="C18" s="731" t="str">
        <x:v>Escalations later judged unnecessary or wrong-context</x:v>
      </x:c>
      <x:c r="D18" s="731" t="str">
        <x:v>Protects employee trust and manager burden.</x:v>
      </x:c>
      <x:c r="E18" s="731" t="str">
        <x:v>&lt;10% pilot hypothesis</x:v>
      </x:c>
      <x:c r="F18" s="731" t="str">
        <x:v>Monthly</x:v>
      </x:c>
      <x:c r="G18" s="731" t="str">
        <x:v>Governance/Product</x:v>
      </x:c>
      <x:c r="H18" s="731" t="str">
        <x:v>Severity-specific targets required.</x:v>
      </x:c>
      <x:c r="I18" s="732" t="str">
        <x:v>Draft Complete</x:v>
      </x:c>
    </x:row>
    <x:row r="19">
      <x:c r="A19" s="725" t="str">
        <x:v>CEM-015</x:v>
      </x:c>
      <x:c r="B19" s="114" t="str">
        <x:v>Employee trust indicator</x:v>
      </x:c>
      <x:c r="C19" s="114" t="str">
        <x:v>Pre/post survey and interview themes on fairness, privacy, usefulness and agency</x:v>
      </x:c>
      <x:c r="D19" s="114" t="str">
        <x:v>Governance and adoption outcome.</x:v>
      </x:c>
      <x:c r="E19" s="114" t="str">
        <x:v>No material decline; qualitative issues resolved</x:v>
      </x:c>
      <x:c r="F19" s="114" t="str">
        <x:v>Pilot/quarterly</x:v>
      </x:c>
      <x:c r="G19" s="114" t="str">
        <x:v>HR/DPO/Product</x:v>
      </x:c>
      <x:c r="H19" s="114" t="str">
        <x:v>Not tied to individual performance records.</x:v>
      </x:c>
      <x:c r="I19" s="726" t="str">
        <x:v>Draft Complete</x:v>
      </x:c>
    </x:row>
    <x:row r="20">
      <x:c r="A20" s="730" t="str">
        <x:v>CEM-016</x:v>
      </x:c>
      <x:c r="B20" s="731" t="str">
        <x:v>Reviewer agreement</x:v>
      </x:c>
      <x:c r="C20" s="731" t="str">
        <x:v>Agreement between domain reviewers on capability/coaching outcome labels</x:v>
      </x:c>
      <x:c r="D20" s="731" t="str">
        <x:v>Evaluation quality.</x:v>
      </x:c>
      <x:c r="E20" s="731" t="str">
        <x:v>≥80% on calibrated cases or defined adjudication threshold</x:v>
      </x:c>
      <x:c r="F20" s="731" t="str">
        <x:v>Monthly</x:v>
      </x:c>
      <x:c r="G20" s="731" t="str">
        <x:v>QA/AI Evaluation</x:v>
      </x:c>
      <x:c r="H20" s="731" t="str">
        <x:v>Disagreement informs rubric improvement.</x:v>
      </x:c>
      <x:c r="I20" s="732" t="str">
        <x:v>Draft Complete</x:v>
      </x:c>
    </x:row>
    <x:row r="21">
      <x:c r="A21" s="725" t="str">
        <x:v>CEM-017</x:v>
      </x:c>
      <x:c r="B21" s="114" t="str">
        <x:v>Finding overturn rate</x:v>
      </x:c>
      <x:c r="C21" s="114" t="str">
        <x:v>Material coaching/gap findings changed after employee correction/review</x:v>
      </x:c>
      <x:c r="D21" s="114" t="str">
        <x:v>Measures false-positive and context quality.</x:v>
      </x:c>
      <x:c r="E21" s="114" t="str">
        <x:v>Monitor by mode/trigger/model; target calibrated, not zero</x:v>
      </x:c>
      <x:c r="F21" s="114" t="str">
        <x:v>Monthly</x:v>
      </x:c>
      <x:c r="G21" s="114" t="str">
        <x:v>Governance/AI Evaluation</x:v>
      </x:c>
      <x:c r="H21" s="114" t="str">
        <x:v>Healthy corrections are valuable; zero may mean inaccessible challenge process.</x:v>
      </x:c>
      <x:c r="I21" s="726" t="str">
        <x:v>Draft Complete</x:v>
      </x:c>
    </x:row>
    <x:row r="22">
      <x:c r="A22" s="730" t="str">
        <x:v>CEM-018</x:v>
      </x:c>
      <x:c r="B22" s="731" t="str">
        <x:v>Fairness disparity</x:v>
      </x:c>
      <x:c r="C22" s="731" t="str">
        <x:v>Difference in error/usefulness/interruption rates across comparable coverage and approved groups</x:v>
      </x:c>
      <x:c r="D22" s="731" t="str">
        <x:v>Detect unequal effects.</x:v>
      </x:c>
      <x:c r="E22" s="731" t="str">
        <x:v>No unexplained material disparity</x:v>
      </x:c>
      <x:c r="F22" s="731" t="str">
        <x:v>Quarterly</x:v>
      </x:c>
      <x:c r="G22" s="731" t="str">
        <x:v>DPO/AI Governance</x:v>
      </x:c>
      <x:c r="H22" s="731" t="str">
        <x:v>Protected data access restricted and reviewed.</x:v>
      </x:c>
      <x:c r="I22" s="732" t="str">
        <x:v>Draft Complete</x:v>
      </x:c>
    </x:row>
    <x:row r="23">
      <x:c r="A23" s="725" t="str">
        <x:v>CEM-019</x:v>
      </x:c>
      <x:c r="B23" s="114" t="str">
        <x:v>Manager usefulness</x:v>
      </x:c>
      <x:c r="C23" s="114" t="str">
        <x:v>Managers rating reviewed development summaries actionable compared with prior process</x:v>
      </x:c>
      <x:c r="D23" s="114" t="str">
        <x:v>Operational value.</x:v>
      </x:c>
      <x:c r="E23" s="114" t="str">
        <x:v>≥80% pilot hypothesis</x:v>
      </x:c>
      <x:c r="F23" s="114" t="str">
        <x:v>Pilot/quarterly</x:v>
      </x:c>
      <x:c r="G23" s="114" t="str">
        <x:v>Product/Operations</x:v>
      </x:c>
      <x:c r="H23" s="114" t="str">
        <x:v>Managers do not receive raw private coaching.</x:v>
      </x:c>
      <x:c r="I23" s="726" t="str">
        <x:v>Draft Complete</x:v>
      </x:c>
    </x:row>
    <x:row r="24">
      <x:c r="A24" s="730" t="str">
        <x:v>CEM-020</x:v>
      </x:c>
      <x:c r="B24" s="731" t="str">
        <x:v>Coach content safety failure</x:v>
      </x:c>
      <x:c r="C24" s="731" t="str">
        <x:v>Generated interventions rejected for unsupported, punitive, sensitive or policy-violating content</x:v>
      </x:c>
      <x:c r="D24" s="731" t="str">
        <x:v>Safety/quality.</x:v>
      </x:c>
      <x:c r="E24" s="731" t="str">
        <x:v>0 delivered; rejection rate monitored</x:v>
      </x:c>
      <x:c r="F24" s="731" t="str">
        <x:v>Continuous</x:v>
      </x:c>
      <x:c r="G24" s="731" t="str">
        <x:v>AI Governance/CISO</x:v>
      </x:c>
      <x:c r="H24" s="731" t="str">
        <x:v>Rejected content is a system signal, not employee data.</x:v>
      </x:c>
      <x:c r="I24" s="732" t="str">
        <x:v>Draft Complete</x:v>
      </x:c>
    </x:row>
    <x:row r="25">
      <x:c r="A25" s="725" t="str">
        <x:v>CEM-021</x:v>
      </x:c>
      <x:c r="B25" s="114" t="str">
        <x:v>Model/skill regression rate</x:v>
      </x:c>
      <x:c r="C25" s="114" t="str">
        <x:v>New coach version worsens agreed effectiveness/safety metric vs prior version</x:v>
      </x:c>
      <x:c r="D25" s="114" t="str">
        <x:v>Safe improvement.</x:v>
      </x:c>
      <x:c r="E25" s="114" t="str">
        <x:v>No promotion if critical regression; rollback available</x:v>
      </x:c>
      <x:c r="F25" s="114" t="str">
        <x:v>Per release</x:v>
      </x:c>
      <x:c r="G25" s="114" t="str">
        <x:v>AI Platform/Skill Forge</x:v>
      </x:c>
      <x:c r="H25" s="114" t="str">
        <x:v>Use canary and controlled comparisons.</x:v>
      </x:c>
      <x:c r="I25" s="726" t="str">
        <x:v>Draft Complete</x:v>
      </x:c>
    </x:row>
    <x:row r="26">
      <x:c r="A26" s="733" t="str">
        <x:v>CEM-022</x:v>
      </x:c>
      <x:c r="B26" s="734" t="str">
        <x:v>Employee control utilisation</x:v>
      </x:c>
      <x:c r="C26" s="734" t="str">
        <x:v>Use of snooze, preferences, alternate format and mentor request</x:v>
      </x:c>
      <x:c r="D26" s="734" t="str">
        <x:v>Measures whether controls are usable.</x:v>
      </x:c>
      <x:c r="E26" s="734" t="str">
        <x:v>Monitor, no normative target</x:v>
      </x:c>
      <x:c r="F26" s="734" t="str">
        <x:v>Monthly</x:v>
      </x:c>
      <x:c r="G26" s="734" t="str">
        <x:v>Product/Accessibility</x:v>
      </x:c>
      <x:c r="H26" s="734" t="str">
        <x:v>High use may indicate valuable controls, not resistance.</x:v>
      </x:c>
      <x:c r="I26" s="735" t="str">
        <x:v>Draft Complete</x:v>
      </x:c>
    </x:row>
  </x:sheetData>
  <x:mergeCells>
    <x:mergeCell ref="A1:I1"/>
    <x:mergeCell ref="A2:I2"/>
  </x:mergeCells>
  <x:dataValidations count="1">
    <x:dataValidation type="list" sqref="I5:I26">
      <x:formula1>"Draft Complete,Needs Review,Approved,Deferred"</x:formula1>
    </x:dataValidation>
  </x:dataValidations>
  <x:pageMargins left="0.7" right="0.7" top="0.75" bottom="0.75" header="0.3" footer="0.3"/>
</x:worksheet>
</file>

<file path=xl/worksheets/sheet127.xml><?xml version="1.0" encoding="utf-8"?>
<x:worksheet xmlns:x="http://schemas.openxmlformats.org/spreadsheetml/2006/main">
  <x:sheetFormatPr defaultRowHeight="15"/>
  <x:cols>
    <x:col min="1" max="1" width="12" hidden="0" customWidth="1"/>
    <x:col min="2" max="2" width="32" hidden="0" customWidth="1"/>
    <x:col min="3" max="3" width="32" hidden="0" customWidth="1"/>
    <x:col min="4" max="4" width="56" hidden="0" customWidth="1"/>
    <x:col min="5" max="5" width="34" hidden="0" customWidth="1"/>
    <x:col min="6" max="6" width="46" hidden="0" customWidth="1"/>
    <x:col min="7" max="7" width="58" hidden="0" customWidth="1"/>
    <x:col min="8" max="8" width="20" hidden="0" customWidth="1"/>
    <x:col min="9" max="9" width="18" hidden="0" customWidth="1"/>
  </x:cols>
  <x:sheetData>
    <x:row r="1" ht="30" customHeight="1">
      <x:c r="A1" s="687" t="str">
        <x:v>Stage 9 — Manager and L&amp;D Reporting</x:v>
      </x:c>
      <x:c r="B1" s="687"/>
      <x:c r="C1" s="687"/>
      <x:c r="D1" s="687"/>
      <x:c r="E1" s="687"/>
      <x:c r="F1" s="687"/>
      <x:c r="G1" s="687"/>
      <x:c r="H1" s="687"/>
      <x:c r="I1" s="687"/>
    </x:row>
    <x:row r="2" ht="36" customHeight="1">
      <x:c r="A2" s="691" t="str">
        <x:v>Safe reporting model for development summaries, role readiness, learning application, blockers, coaching effectiveness and fairness. Raw private coaching content is excluded by default.</x:v>
      </x:c>
      <x:c r="B2" s="691"/>
      <x:c r="C2" s="691"/>
      <x:c r="D2" s="691"/>
      <x:c r="E2" s="691"/>
      <x:c r="F2" s="691"/>
      <x:c r="G2" s="691"/>
      <x:c r="H2" s="691"/>
      <x:c r="I2" s="691"/>
    </x:row>
    <x:row r="4" ht="30" customHeight="1">
      <x:c r="A4" s="703" t="str">
        <x:v>ID</x:v>
      </x:c>
      <x:c r="B4" s="704" t="str">
        <x:v>Report / view</x:v>
      </x:c>
      <x:c r="C4" s="704" t="str">
        <x:v>Audience</x:v>
      </x:c>
      <x:c r="D4" s="704" t="str">
        <x:v>Content</x:v>
      </x:c>
      <x:c r="E4" s="704" t="str">
        <x:v>Source</x:v>
      </x:c>
      <x:c r="F4" s="704" t="str">
        <x:v>Employee visibility / context</x:v>
      </x:c>
      <x:c r="G4" s="704" t="str">
        <x:v>Prohibited content / guardrail</x:v>
      </x:c>
      <x:c r="H4" s="704" t="str">
        <x:v>Cadence</x:v>
      </x:c>
      <x:c r="I4" s="705" t="str">
        <x:v>Status</x:v>
      </x:c>
    </x:row>
    <x:row r="5">
      <x:c r="A5" s="722" t="str">
        <x:v>MLR-001</x:v>
      </x:c>
      <x:c r="B5" s="723" t="str">
        <x:v>Employee development summary</x:v>
      </x:c>
      <x:c r="C5" s="723" t="str">
        <x:v>Employee, manager, L&amp;D as permitted</x:v>
      </x:c>
      <x:c r="D5" s="723" t="str">
        <x:v>Reviewed capability strengths, development areas, evidence freshness and active learning goals.</x:v>
      </x:c>
      <x:c r="E5" s="723" t="str">
        <x:v>Reviewed Stage 8/9 state only.</x:v>
      </x:c>
      <x:c r="F5" s="723" t="str">
        <x:v>Employee sees same material summary.</x:v>
      </x:c>
      <x:c r="G5" s="723" t="str">
        <x:v>No raw activity or private coaching text.</x:v>
      </x:c>
      <x:c r="H5" s="723" t="str">
        <x:v>Monthly/on demand</x:v>
      </x:c>
      <x:c r="I5" s="724" t="str">
        <x:v>Draft Complete</x:v>
      </x:c>
    </x:row>
    <x:row r="6">
      <x:c r="A6" s="730" t="str">
        <x:v>MLR-002</x:v>
      </x:c>
      <x:c r="B6" s="731" t="str">
        <x:v>Role-readiness summary</x:v>
      </x:c>
      <x:c r="C6" s="731" t="str">
        <x:v>Employee and authorised HR/manager</x:v>
      </x:c>
      <x:c r="D6" s="731" t="str">
        <x:v>Target role, critical capability coverage, support conditions, confidence and gaps.</x:v>
      </x:c>
      <x:c r="E6" s="731" t="str">
        <x:v>Role Readiness Model.</x:v>
      </x:c>
      <x:c r="F6" s="731" t="str">
        <x:v>Developmental/advisory label.</x:v>
      </x:c>
      <x:c r="G6" s="731" t="str">
        <x:v>No automatic employment decision.</x:v>
      </x:c>
      <x:c r="H6" s="731" t="str">
        <x:v>On review event</x:v>
      </x:c>
      <x:c r="I6" s="732" t="str">
        <x:v>Draft Complete</x:v>
      </x:c>
    </x:row>
    <x:row r="7">
      <x:c r="A7" s="725" t="str">
        <x:v>MLR-003</x:v>
      </x:c>
      <x:c r="B7" s="114" t="str">
        <x:v>Learning-plan progress</x:v>
      </x:c>
      <x:c r="C7" s="114" t="str">
        <x:v>Employee, L&amp;D, manager where role-relevant</x:v>
      </x:c>
      <x:c r="D7" s="114" t="str">
        <x:v>Plan status, completed content, practice due, applied evidence state and support needs.</x:v>
      </x:c>
      <x:c r="E7" s="114" t="str">
        <x:v>Learning Loop state.</x:v>
      </x:c>
      <x:c r="F7" s="114" t="str">
        <x:v>Employee can correct plan/status.</x:v>
      </x:c>
      <x:c r="G7" s="114" t="str">
        <x:v>Private reflection content excluded.</x:v>
      </x:c>
      <x:c r="H7" s="114" t="str">
        <x:v>Weekly/monthly</x:v>
      </x:c>
      <x:c r="I7" s="726" t="str">
        <x:v>Draft Complete</x:v>
      </x:c>
    </x:row>
    <x:row r="8">
      <x:c r="A8" s="730" t="str">
        <x:v>MLR-004</x:v>
      </x:c>
      <x:c r="B8" s="731" t="str">
        <x:v>Applied improvement</x:v>
      </x:c>
      <x:c r="C8" s="731" t="str">
        <x:v>Employee, L&amp;D, manager</x:v>
      </x:c>
      <x:c r="D8" s="731" t="str">
        <x:v>Reviewed evidence showing improvement after learning/coaching.</x:v>
      </x:c>
      <x:c r="E8" s="731" t="str">
        <x:v>Capability evidence/review.</x:v>
      </x:c>
      <x:c r="F8" s="731" t="str">
        <x:v>Show confidence and alternative factors.</x:v>
      </x:c>
      <x:c r="G8" s="731" t="str">
        <x:v>Do not claim causality without evidence.</x:v>
      </x:c>
      <x:c r="H8" s="731" t="str">
        <x:v>Monthly/quarterly</x:v>
      </x:c>
      <x:c r="I8" s="732" t="str">
        <x:v>Draft Complete</x:v>
      </x:c>
    </x:row>
    <x:row r="9">
      <x:c r="A9" s="725" t="str">
        <x:v>MLR-005</x:v>
      </x:c>
      <x:c r="B9" s="114" t="str">
        <x:v>Unresolved blocker summary</x:v>
      </x:c>
      <x:c r="C9" s="114" t="str">
        <x:v>Manager/team lead and employee</x:v>
      </x:c>
      <x:c r="D9" s="114" t="str">
        <x:v>Access, environment, requirement, dependency and support blockers.</x:v>
      </x:c>
      <x:c r="E9" s="114" t="str">
        <x:v>Stage 7 blocker state.</x:v>
      </x:c>
      <x:c r="F9" s="114" t="str">
        <x:v>Assign owner and SLA.</x:v>
      </x:c>
      <x:c r="G9" s="114" t="str">
        <x:v>External blocker not shown as person gap.</x:v>
      </x:c>
      <x:c r="H9" s="114" t="str">
        <x:v>Weekly</x:v>
      </x:c>
      <x:c r="I9" s="726" t="str">
        <x:v>Draft Complete</x:v>
      </x:c>
    </x:row>
    <x:row r="10">
      <x:c r="A10" s="730" t="str">
        <x:v>MLR-006</x:v>
      </x:c>
      <x:c r="B10" s="731" t="str">
        <x:v>Training/support recommendation</x:v>
      </x:c>
      <x:c r="C10" s="731" t="str">
        <x:v>Employee, L&amp;D, manager as appropriate</x:v>
      </x:c>
      <x:c r="D10" s="731" t="str">
        <x:v>Recommended artefact, practice, mentor or reassessment and rationale.</x:v>
      </x:c>
      <x:c r="E10" s="731" t="str">
        <x:v>Reviewed gap/plan.</x:v>
      </x:c>
      <x:c r="F10" s="731" t="str">
        <x:v>Employee preferences included.</x:v>
      </x:c>
      <x:c r="G10" s="731" t="str">
        <x:v>Recommendation is not disciplinary requirement unless separate policy.</x:v>
      </x:c>
      <x:c r="H10" s="731" t="str">
        <x:v>On plan creation</x:v>
      </x:c>
      <x:c r="I10" s="732" t="str">
        <x:v>Draft Complete</x:v>
      </x:c>
    </x:row>
    <x:row r="11">
      <x:c r="A11" s="725" t="str">
        <x:v>MLR-007</x:v>
      </x:c>
      <x:c r="B11" s="114" t="str">
        <x:v>Coaching interaction summary</x:v>
      </x:c>
      <x:c r="C11" s="114" t="str">
        <x:v>Employee only by default</x:v>
      </x:c>
      <x:c r="D11" s="114" t="str">
        <x:v>Modes delivered, usefulness feedback, snoozes and unresolved incorrect-context reports.</x:v>
      </x:c>
      <x:c r="E11" s="114" t="str">
        <x:v>Coaching events.</x:v>
      </x:c>
      <x:c r="F11" s="114" t="str">
        <x:v>Private self-management view.</x:v>
      </x:c>
      <x:c r="G11" s="114" t="str">
        <x:v>Manager receives no message-level detail by default.</x:v>
      </x:c>
      <x:c r="H11" s="114" t="str">
        <x:v>On demand</x:v>
      </x:c>
      <x:c r="I11" s="726" t="str">
        <x:v>Draft Complete</x:v>
      </x:c>
    </x:row>
    <x:row r="12">
      <x:c r="A12" s="730" t="str">
        <x:v>MLR-008</x:v>
      </x:c>
      <x:c r="B12" s="731" t="str">
        <x:v>Manager coaching summary</x:v>
      </x:c>
      <x:c r="C12" s="731" t="str">
        <x:v>Direct manager</x:v>
      </x:c>
      <x:c r="D12" s="731" t="str">
        <x:v>Reviewed themes: missing verification, support needed, successful improvement and escalations.</x:v>
      </x:c>
      <x:c r="E12" s="731" t="str">
        <x:v>Derived reviewed summaries.</x:v>
      </x:c>
      <x:c r="F12" s="731" t="str">
        <x:v>Employee response/dispute state included.</x:v>
      </x:c>
      <x:c r="G12" s="731" t="str">
        <x:v>No raw prompts, chat or private reflections.</x:v>
      </x:c>
      <x:c r="H12" s="731" t="str">
        <x:v>Weekly/monthly</x:v>
      </x:c>
      <x:c r="I12" s="732" t="str">
        <x:v>Draft Complete</x:v>
      </x:c>
    </x:row>
    <x:row r="13">
      <x:c r="A13" s="725" t="str">
        <x:v>MLR-009</x:v>
      </x:c>
      <x:c r="B13" s="114" t="str">
        <x:v>L&amp;D cohort summary</x:v>
      </x:c>
      <x:c r="C13" s="114" t="str">
        <x:v>L&amp;D authorised users</x:v>
      </x:c>
      <x:c r="D13" s="114" t="str">
        <x:v>Aggregated gap themes, learning demand, completion-to-application rates and content effectiveness.</x:v>
      </x:c>
      <x:c r="E13" s="114" t="str">
        <x:v>Aggregated/de-identified read model.</x:v>
      </x:c>
      <x:c r="F13" s="114" t="str">
        <x:v>Coverage and cohort-size safeguards.</x:v>
      </x:c>
      <x:c r="G13" s="114" t="str">
        <x:v>No individual raw evidence.</x:v>
      </x:c>
      <x:c r="H13" s="114" t="str">
        <x:v>Monthly/quarterly</x:v>
      </x:c>
      <x:c r="I13" s="726" t="str">
        <x:v>Draft Complete</x:v>
      </x:c>
    </x:row>
    <x:row r="14">
      <x:c r="A14" s="730" t="str">
        <x:v>MLR-010</x:v>
      </x:c>
      <x:c r="B14" s="731" t="str">
        <x:v>Capability heat map</x:v>
      </x:c>
      <x:c r="C14" s="731" t="str">
        <x:v>Leadership/HR under policy</x:v>
      </x:c>
      <x:c r="D14" s="731" t="str">
        <x:v>Aggregated capability coverage and confidence by role/team.</x:v>
      </x:c>
      <x:c r="E14" s="731" t="str">
        <x:v>Reviewed capability state.</x:v>
      </x:c>
      <x:c r="F14" s="731" t="str">
        <x:v>Minimum cohort size and coverage comparability.</x:v>
      </x:c>
      <x:c r="G14" s="731" t="str">
        <x:v>No public individual ranking.</x:v>
      </x:c>
      <x:c r="H14" s="731" t="str">
        <x:v>Quarterly</x:v>
      </x:c>
      <x:c r="I14" s="732" t="str">
        <x:v>Draft Complete</x:v>
      </x:c>
    </x:row>
    <x:row r="15">
      <x:c r="A15" s="725" t="str">
        <x:v>MLR-011</x:v>
      </x:c>
      <x:c r="B15" s="114" t="str">
        <x:v>Fairness and correction report</x:v>
      </x:c>
      <x:c r="C15" s="114" t="str">
        <x:v>DPO/AI Governance/HR</x:v>
      </x:c>
      <x:c r="D15" s="114" t="str">
        <x:v>Error, dispute, overturn, coverage and disparity metrics.</x:v>
      </x:c>
      <x:c r="E15" s="114" t="str">
        <x:v>Governance/evaluation data.</x:v>
      </x:c>
      <x:c r="F15" s="114" t="str">
        <x:v>Restricted and purpose-specific.</x:v>
      </x:c>
      <x:c r="G15" s="114" t="str">
        <x:v>No protected-group labels in general manager reports.</x:v>
      </x:c>
      <x:c r="H15" s="114" t="str">
        <x:v>Quarterly</x:v>
      </x:c>
      <x:c r="I15" s="726" t="str">
        <x:v>Draft Complete</x:v>
      </x:c>
    </x:row>
    <x:row r="16">
      <x:c r="A16" s="730" t="str">
        <x:v>MLR-012</x:v>
      </x:c>
      <x:c r="B16" s="731" t="str">
        <x:v>Coach effectiveness report</x:v>
      </x:c>
      <x:c r="C16" s="731" t="str">
        <x:v>Product/AI/L&amp;D/Governance</x:v>
      </x:c>
      <x:c r="D16" s="731" t="str">
        <x:v>Usefulness, interruption, repeated-error, applied-learning and safety metrics.</x:v>
      </x:c>
      <x:c r="E16" s="731" t="str">
        <x:v>Effectiveness metrics.</x:v>
      </x:c>
      <x:c r="F16" s="731" t="str">
        <x:v>Model/skill version comparison.</x:v>
      </x:c>
      <x:c r="G16" s="731" t="str">
        <x:v>No employee leaderboard.</x:v>
      </x:c>
      <x:c r="H16" s="731" t="str">
        <x:v>Monthly/release</x:v>
      </x:c>
      <x:c r="I16" s="732" t="str">
        <x:v>Draft Complete</x:v>
      </x:c>
    </x:row>
    <x:row r="17">
      <x:c r="A17" s="725" t="str">
        <x:v>MLR-013</x:v>
      </x:c>
      <x:c r="B17" s="114" t="str">
        <x:v>Mentor workload report</x:v>
      </x:c>
      <x:c r="C17" s="114" t="str">
        <x:v>L&amp;D/mentor programme owner</x:v>
      </x:c>
      <x:c r="D17" s="114" t="str">
        <x:v>Handoffs, active cases, wait times, capacity and outcomes.</x:v>
      </x:c>
      <x:c r="E17" s="114" t="str">
        <x:v>Mentor workflow.</x:v>
      </x:c>
      <x:c r="F17" s="114" t="str">
        <x:v>No private mentoring notes beyond agreed summary.</x:v>
      </x:c>
      <x:c r="G17" s="114" t="str">
        <x:v>Mentor confidentiality preserved.</x:v>
      </x:c>
      <x:c r="H17" s="114" t="str">
        <x:v>Monthly</x:v>
      </x:c>
      <x:c r="I17" s="726" t="str">
        <x:v>Draft Complete</x:v>
      </x:c>
    </x:row>
    <x:row r="18">
      <x:c r="A18" s="730" t="str">
        <x:v>MLR-014</x:v>
      </x:c>
      <x:c r="B18" s="731" t="str">
        <x:v>Content effectiveness report</x:v>
      </x:c>
      <x:c r="C18" s="731" t="str">
        <x:v>L&amp;D/Skill Forge</x:v>
      </x:c>
      <x:c r="D18" s="731" t="str">
        <x:v>Artefact use, practice success, applied evidence and revision recommendations.</x:v>
      </x:c>
      <x:c r="E18" s="731" t="str">
        <x:v>Learning artefact/version data.</x:v>
      </x:c>
      <x:c r="F18" s="731" t="str">
        <x:v>Content owner/action recommendations.</x:v>
      </x:c>
      <x:c r="G18" s="731" t="str">
        <x:v>Do not rank employees by content completion.</x:v>
      </x:c>
      <x:c r="H18" s="731" t="str">
        <x:v>Quarterly</x:v>
      </x:c>
      <x:c r="I18" s="732" t="str">
        <x:v>Draft Complete</x:v>
      </x:c>
    </x:row>
    <x:row r="19">
      <x:c r="A19" s="725" t="str">
        <x:v>MLR-015</x:v>
      </x:c>
      <x:c r="B19" s="114" t="str">
        <x:v>Evidence-quality report</x:v>
      </x:c>
      <x:c r="C19" s="114" t="str">
        <x:v>Data/AI Governance/Product</x:v>
      </x:c>
      <x:c r="D19" s="114" t="str">
        <x:v>Capability evidence coverage, stale evidence, reviewer agreement and unsupported conclusions.</x:v>
      </x:c>
      <x:c r="E19" s="114" t="str">
        <x:v>Stage 8 audit/evaluation.</x:v>
      </x:c>
      <x:c r="F19" s="114" t="str">
        <x:v>Improves system and assessment process.</x:v>
      </x:c>
      <x:c r="G19" s="114" t="str">
        <x:v>Not a manager performance view.</x:v>
      </x:c>
      <x:c r="H19" s="114" t="str">
        <x:v>Monthly</x:v>
      </x:c>
      <x:c r="I19" s="726" t="str">
        <x:v>Draft Complete</x:v>
      </x:c>
    </x:row>
    <x:row r="20">
      <x:c r="A20" s="730" t="str">
        <x:v>MLR-016</x:v>
      </x:c>
      <x:c r="B20" s="731" t="str">
        <x:v>Export policy</x:v>
      </x:c>
      <x:c r="C20" s="731" t="str">
        <x:v>Authorised users only</x:v>
      </x:c>
      <x:c r="D20" s="731" t="str">
        <x:v>Watermarked, scoped and time-limited exports with purpose and audit.</x:v>
      </x:c>
      <x:c r="E20" s="731" t="str">
        <x:v>Evidence Access Broker/report service.</x:v>
      </x:c>
      <x:c r="F20" s="731" t="str">
        <x:v>Employee access/export rights supported.</x:v>
      </x:c>
      <x:c r="G20" s="731" t="str">
        <x:v>No uncontrolled local copies.</x:v>
      </x:c>
      <x:c r="H20" s="731" t="str">
        <x:v>Per request</x:v>
      </x:c>
      <x:c r="I20" s="732" t="str">
        <x:v>Draft Complete</x:v>
      </x:c>
    </x:row>
    <x:row r="21">
      <x:c r="A21" s="725" t="str">
        <x:v>MLR-017</x:v>
      </x:c>
      <x:c r="B21" s="114" t="str">
        <x:v>Dispute marker</x:v>
      </x:c>
      <x:c r="C21" s="114" t="str">
        <x:v>All audiences viewing material finding</x:v>
      </x:c>
      <x:c r="D21" s="114" t="str">
        <x:v>Clearly display Under Review/Disputed and current employee response.</x:v>
      </x:c>
      <x:c r="E21" s="114" t="str">
        <x:v>Governance state.</x:v>
      </x:c>
      <x:c r="F21" s="114" t="str">
        <x:v>Prevents outdated finding use.</x:v>
      </x:c>
      <x:c r="G21" s="114" t="str">
        <x:v>Cannot hide active dispute.</x:v>
      </x:c>
      <x:c r="H21" s="114" t="str">
        <x:v>Real time</x:v>
      </x:c>
      <x:c r="I21" s="726" t="str">
        <x:v>Draft Complete</x:v>
      </x:c>
    </x:row>
    <x:row r="22">
      <x:c r="A22" s="733" t="str">
        <x:v>MLR-018</x:v>
      </x:c>
      <x:c r="B22" s="734" t="str">
        <x:v>Retention and deletion</x:v>
      </x:c>
      <x:c r="C22" s="734" t="str">
        <x:v>System policy</x:v>
      </x:c>
      <x:c r="D22" s="734" t="str">
        <x:v>Reports update/delete when underlying state is corrected, expired or removed under policy.</x:v>
      </x:c>
      <x:c r="E22" s="734" t="str">
        <x:v>Stage 4 retention/correction events.</x:v>
      </x:c>
      <x:c r="F22" s="734" t="str">
        <x:v>Preserve lawful audit lineage.</x:v>
      </x:c>
      <x:c r="G22" s="734" t="str">
        <x:v>No ghost copies in BI/export caches.</x:v>
      </x:c>
      <x:c r="H22" s="734" t="str">
        <x:v>Continuous</x:v>
      </x:c>
      <x:c r="I22" s="735" t="str">
        <x:v>Draft Complete</x:v>
      </x:c>
    </x:row>
  </x:sheetData>
  <x:mergeCells>
    <x:mergeCell ref="A1:I1"/>
    <x:mergeCell ref="A2:I2"/>
  </x:mergeCells>
  <x:dataValidations count="1">
    <x:dataValidation type="list" sqref="I5:I22">
      <x:formula1>"Draft Complete,Needs Review,Approved,Deferred"</x:formula1>
    </x:dataValidation>
  </x:dataValidations>
  <x:pageMargins left="0.7" right="0.7" top="0.75" bottom="0.75" header="0.3" footer="0.3"/>
</x:worksheet>
</file>

<file path=xl/worksheets/sheet128.xml><?xml version="1.0" encoding="utf-8"?>
<x:worksheet xmlns:x="http://schemas.openxmlformats.org/spreadsheetml/2006/main">
  <x:sheetFormatPr defaultRowHeight="15"/>
  <x:cols>
    <x:col min="1" max="1" width="14" hidden="0" customWidth="1"/>
    <x:col min="2" max="2" width="14" hidden="0" customWidth="1"/>
    <x:col min="3" max="3" width="44" hidden="0" customWidth="1"/>
    <x:col min="4" max="4" width="48" hidden="0" customWidth="1"/>
    <x:col min="5" max="5" width="30" hidden="0" customWidth="1"/>
    <x:col min="6" max="6" width="36" hidden="0" customWidth="1"/>
    <x:col min="7" max="7" width="46" hidden="0" customWidth="1"/>
    <x:col min="8" max="8" width="38" hidden="0" customWidth="1"/>
    <x:col min="9" max="9" width="58" hidden="0" customWidth="1"/>
    <x:col min="10" max="10" width="12" hidden="0" customWidth="1"/>
    <x:col min="11" max="11" width="12" hidden="0" customWidth="1"/>
    <x:col min="12" max="12" width="18" hidden="0" customWidth="1"/>
  </x:cols>
  <x:sheetData>
    <x:row r="1" ht="30" customHeight="1">
      <x:c r="A1" s="687" t="str">
        <x:v>Stage 8–9 — APIs and Events</x:v>
      </x:c>
      <x:c r="B1" s="687"/>
      <x:c r="C1" s="687"/>
      <x:c r="D1" s="687"/>
      <x:c r="E1" s="687"/>
      <x:c r="F1" s="687"/>
      <x:c r="G1" s="687"/>
      <x:c r="H1" s="687"/>
      <x:c r="I1" s="687"/>
      <x:c r="J1" s="687"/>
      <x:c r="K1" s="687"/>
      <x:c r="L1" s="687"/>
    </x:row>
    <x:row r="2" ht="36" customHeight="1">
      <x:c r="A2" s="691" t="str">
        <x:v>Contracts for capability evidence, scoring recommendations, claims, baseline assessments, role readiness, coaching preferences, interventions, learning plans, practice, feedback, mentor handoff and reporting.</x:v>
      </x:c>
      <x:c r="B2" s="691"/>
      <x:c r="C2" s="691"/>
      <x:c r="D2" s="691"/>
      <x:c r="E2" s="691"/>
      <x:c r="F2" s="691"/>
      <x:c r="G2" s="691"/>
      <x:c r="H2" s="691"/>
      <x:c r="I2" s="691"/>
      <x:c r="J2" s="691"/>
      <x:c r="K2" s="691"/>
      <x:c r="L2" s="691"/>
    </x:row>
    <x:row r="4" ht="30" customHeight="1">
      <x:c r="A4" s="703" t="str">
        <x:v>ID</x:v>
      </x:c>
      <x:c r="B4" s="704" t="str">
        <x:v>Contract type</x:v>
      </x:c>
      <x:c r="C4" s="704" t="str">
        <x:v>Name / endpoint</x:v>
      </x:c>
      <x:c r="D4" s="704" t="str">
        <x:v>Purpose</x:v>
      </x:c>
      <x:c r="E4" s="704" t="str">
        <x:v>Caller / producer</x:v>
      </x:c>
      <x:c r="F4" s="704" t="str">
        <x:v>Owning service / consumer</x:v>
      </x:c>
      <x:c r="G4" s="704" t="str">
        <x:v>Input / payload</x:v>
      </x:c>
      <x:c r="H4" s="704" t="str">
        <x:v>Output / consumer</x:v>
      </x:c>
      <x:c r="I4" s="704" t="str">
        <x:v>Security / governance</x:v>
      </x:c>
      <x:c r="J4" s="704" t="str">
        <x:v>Stage</x:v>
      </x:c>
      <x:c r="K4" s="704" t="str">
        <x:v>Priority</x:v>
      </x:c>
      <x:c r="L4" s="705" t="str">
        <x:v>Status</x:v>
      </x:c>
    </x:row>
    <x:row r="5">
      <x:c r="A5" s="722" t="str">
        <x:v>S89-API-001</x:v>
      </x:c>
      <x:c r="B5" s="723" t="str">
        <x:v>REST</x:v>
      </x:c>
      <x:c r="C5" s="723" t="str">
        <x:v>POST /wi/v1/capability-evidence/qualify</x:v>
      </x:c>
      <x:c r="D5" s="723" t="str">
        <x:v>Create a qualified capability-evidence candidate from reviewed Stage 7 task evidence.</x:v>
      </x:c>
      <x:c r="E5" s="723" t="str">
        <x:v>Task Assurance/Capability</x:v>
      </x:c>
      <x:c r="F5" s="723" t="str">
        <x:v>Capability Domain</x:v>
      </x:c>
      <x:c r="G5" s="723" t="str">
        <x:v>TaskAssessment ref, capability, context vector, evidence refs</x:v>
      </x:c>
      <x:c r="H5" s="723" t="str">
        <x:v>CapabilityEvidence candidate</x:v>
      </x:c>
      <x:c r="I5" s="723" t="str">
        <x:v>Approved task contract/assessment required; no raw activity volume.</x:v>
      </x:c>
      <x:c r="J5" s="723" t="str">
        <x:v>Stage 8</x:v>
      </x:c>
      <x:c r="K5" s="723" t="str">
        <x:v>Critical</x:v>
      </x:c>
      <x:c r="L5" s="724" t="str">
        <x:v>Draft Complete</x:v>
      </x:c>
    </x:row>
    <x:row r="6">
      <x:c r="A6" s="730" t="str">
        <x:v>S89-API-002</x:v>
      </x:c>
      <x:c r="B6" s="731" t="str">
        <x:v>REST</x:v>
      </x:c>
      <x:c r="C6" s="731" t="str">
        <x:v>POST /wi/v1/capability-scoring/evaluate</x:v>
      </x:c>
      <x:c r="D6" s="731" t="str">
        <x:v>Request Python scoring recommendation for qualified evidence and current state.</x:v>
      </x:c>
      <x:c r="E6" s="731" t="str">
        <x:v>Capability Domain</x:v>
      </x:c>
      <x:c r="F6" s="731" t="str">
        <x:v>Capability Scoring Service</x:v>
      </x:c>
      <x:c r="G6" s="731" t="str">
        <x:v>Evidence vector, rubric, current state, role context</x:v>
      </x:c>
      <x:c r="H6" s="731" t="str">
        <x:v>Score/state recommendation</x:v>
      </x:c>
      <x:c r="I6" s="731" t="str">
        <x:v>Recommendation cannot directly write high-impact final state.</x:v>
      </x:c>
      <x:c r="J6" s="731" t="str">
        <x:v>Stage 8</x:v>
      </x:c>
      <x:c r="K6" s="731" t="str">
        <x:v>Critical</x:v>
      </x:c>
      <x:c r="L6" s="732" t="str">
        <x:v>Draft Complete</x:v>
      </x:c>
    </x:row>
    <x:row r="7">
      <x:c r="A7" s="725" t="str">
        <x:v>S89-API-003</x:v>
      </x:c>
      <x:c r="B7" s="114" t="str">
        <x:v>REST</x:v>
      </x:c>
      <x:c r="C7" s="114" t="str">
        <x:v>GET /wi/v1/persons/{personId}/capabilities</x:v>
      </x:c>
      <x:c r="D7" s="114" t="str">
        <x:v>Retrieve employee capability states, confidence, freshness and evidence summaries.</x:v>
      </x:c>
      <x:c r="E7" s="114" t="str">
        <x:v>Employee/authorised reviewer</x:v>
      </x:c>
      <x:c r="F7" s="114" t="str">
        <x:v>Capability Domain</x:v>
      </x:c>
      <x:c r="G7" s="114" t="str">
        <x:v>personId, filters</x:v>
      </x:c>
      <x:c r="H7" s="114" t="str">
        <x:v>Capability state list</x:v>
      </x:c>
      <x:c r="I7" s="114" t="str">
        <x:v>Employee self-access; manager/HR purpose-limited.</x:v>
      </x:c>
      <x:c r="J7" s="114" t="str">
        <x:v>Stage 8</x:v>
      </x:c>
      <x:c r="K7" s="114" t="str">
        <x:v>Critical</x:v>
      </x:c>
      <x:c r="L7" s="726" t="str">
        <x:v>Draft Complete</x:v>
      </x:c>
    </x:row>
    <x:row r="8">
      <x:c r="A8" s="730" t="str">
        <x:v>S89-API-004</x:v>
      </x:c>
      <x:c r="B8" s="731" t="str">
        <x:v>REST</x:v>
      </x:c>
      <x:c r="C8" s="731" t="str">
        <x:v>POST /wi/v1/capability-claims</x:v>
      </x:c>
      <x:c r="D8" s="731" t="str">
        <x:v>Create or update an employee capability claim.</x:v>
      </x:c>
      <x:c r="E8" s="731" t="str">
        <x:v>Employee/HR integration</x:v>
      </x:c>
      <x:c r="F8" s="731" t="str">
        <x:v>Capability Domain</x:v>
      </x:c>
      <x:c r="G8" s="731" t="str">
        <x:v>Claim statement, mapped capability, claimed level/context</x:v>
      </x:c>
      <x:c r="H8" s="731" t="str">
        <x:v>Claim record</x:v>
      </x:c>
      <x:c r="I8" s="731" t="str">
        <x:v>Claim is employee-visible and not verified evidence.</x:v>
      </x:c>
      <x:c r="J8" s="731" t="str">
        <x:v>Stage 8</x:v>
      </x:c>
      <x:c r="K8" s="731" t="str">
        <x:v>High</x:v>
      </x:c>
      <x:c r="L8" s="732" t="str">
        <x:v>Draft Complete</x:v>
      </x:c>
    </x:row>
    <x:row r="9">
      <x:c r="A9" s="725" t="str">
        <x:v>S89-API-005</x:v>
      </x:c>
      <x:c r="B9" s="114" t="str">
        <x:v>REST</x:v>
      </x:c>
      <x:c r="C9" s="114" t="str">
        <x:v>POST /wi/v1/capability-claims/{claimId}/reconcile</x:v>
      </x:c>
      <x:c r="D9" s="114" t="str">
        <x:v>Start claim-evidence search and neutral discrepancy workflow.</x:v>
      </x:c>
      <x:c r="E9" s="114" t="str">
        <x:v>Capability Domain/Reviewer</x:v>
      </x:c>
      <x:c r="F9" s="114" t="str">
        <x:v>Claim Reconciliation</x:v>
      </x:c>
      <x:c r="G9" s="114" t="str">
        <x:v>claimId, role/task scope</x:v>
      </x:c>
      <x:c r="H9" s="114" t="str">
        <x:v>Workflow ID/status</x:v>
      </x:c>
      <x:c r="I9" s="114" t="str">
        <x:v>No dishonesty conclusion; employee response route required.</x:v>
      </x:c>
      <x:c r="J9" s="114" t="str">
        <x:v>Stage 8</x:v>
      </x:c>
      <x:c r="K9" s="114" t="str">
        <x:v>Critical</x:v>
      </x:c>
      <x:c r="L9" s="726" t="str">
        <x:v>Draft Complete</x:v>
      </x:c>
    </x:row>
    <x:row r="10">
      <x:c r="A10" s="730" t="str">
        <x:v>S89-API-006</x:v>
      </x:c>
      <x:c r="B10" s="731" t="str">
        <x:v>REST</x:v>
      </x:c>
      <x:c r="C10" s="731" t="str">
        <x:v>POST /wi/v1/baseline-assessments</x:v>
      </x:c>
      <x:c r="D10" s="731" t="str">
        <x:v>Create baseline assessment plan for role/person.</x:v>
      </x:c>
      <x:c r="E10" s="731" t="str">
        <x:v>HR/L&amp;D/Employee</x:v>
      </x:c>
      <x:c r="F10" s="731" t="str">
        <x:v>Baseline Orchestrator</x:v>
      </x:c>
      <x:c r="G10" s="731" t="str">
        <x:v>personId, roleVersion, assessment scope, accessibility settings</x:v>
      </x:c>
      <x:c r="H10" s="731" t="str">
        <x:v>Assessment plan/workflow ID</x:v>
      </x:c>
      <x:c r="I10" s="731" t="str">
        <x:v>Employee briefing and policy required.</x:v>
      </x:c>
      <x:c r="J10" s="731" t="str">
        <x:v>Stage 8</x:v>
      </x:c>
      <x:c r="K10" s="731" t="str">
        <x:v>High</x:v>
      </x:c>
      <x:c r="L10" s="732" t="str">
        <x:v>Draft Complete</x:v>
      </x:c>
    </x:row>
    <x:row r="11">
      <x:c r="A11" s="725" t="str">
        <x:v>S89-API-007</x:v>
      </x:c>
      <x:c r="B11" s="114" t="str">
        <x:v>REST</x:v>
      </x:c>
      <x:c r="C11" s="114" t="str">
        <x:v>GET /wi/v1/baseline-assessments/{id}</x:v>
      </x:c>
      <x:c r="D11" s="114" t="str">
        <x:v>Get baseline progress, evidence coverage and limitations.</x:v>
      </x:c>
      <x:c r="E11" s="114" t="str">
        <x:v>Employee/Reviewer</x:v>
      </x:c>
      <x:c r="F11" s="114" t="str">
        <x:v>Baseline Orchestrator</x:v>
      </x:c>
      <x:c r="G11" s="114" t="str">
        <x:v>assessment ID</x:v>
      </x:c>
      <x:c r="H11" s="114" t="str">
        <x:v>Assessment status</x:v>
      </x:c>
      <x:c r="I11" s="114" t="str">
        <x:v>No permanent capability conclusion before review.</x:v>
      </x:c>
      <x:c r="J11" s="114" t="str">
        <x:v>Stage 8</x:v>
      </x:c>
      <x:c r="K11" s="114" t="str">
        <x:v>High</x:v>
      </x:c>
      <x:c r="L11" s="726" t="str">
        <x:v>Draft Complete</x:v>
      </x:c>
    </x:row>
    <x:row r="12">
      <x:c r="A12" s="730" t="str">
        <x:v>S89-API-008</x:v>
      </x:c>
      <x:c r="B12" s="731" t="str">
        <x:v>REST</x:v>
      </x:c>
      <x:c r="C12" s="731" t="str">
        <x:v>GET /wi/v1/persons/{personId}/role-readiness/{roleVersionId}</x:v>
      </x:c>
      <x:c r="D12" s="731" t="str">
        <x:v>Retrieve developmental role-readiness view.</x:v>
      </x:c>
      <x:c r="E12" s="731" t="str">
        <x:v>Employee/authorised HR/manager</x:v>
      </x:c>
      <x:c r="F12" s="731" t="str">
        <x:v>Role Readiness Service</x:v>
      </x:c>
      <x:c r="G12" s="731" t="str">
        <x:v>personId, roleVersionId</x:v>
      </x:c>
      <x:c r="H12" s="731" t="str">
        <x:v>Readiness package</x:v>
      </x:c>
      <x:c r="I12" s="731" t="str">
        <x:v>Critical floors/confidence/dispute shown; advisory by default.</x:v>
      </x:c>
      <x:c r="J12" s="731" t="str">
        <x:v>Stage 8</x:v>
      </x:c>
      <x:c r="K12" s="731" t="str">
        <x:v>Critical</x:v>
      </x:c>
      <x:c r="L12" s="732" t="str">
        <x:v>Draft Complete</x:v>
      </x:c>
    </x:row>
    <x:row r="13">
      <x:c r="A13" s="725" t="str">
        <x:v>S89-API-009</x:v>
      </x:c>
      <x:c r="B13" s="114" t="str">
        <x:v>REST</x:v>
      </x:c>
      <x:c r="C13" s="114" t="str">
        <x:v>POST /wi/v1/capability-reviews</x:v>
      </x:c>
      <x:c r="D13" s="114" t="str">
        <x:v>Open human review for evidence, state, discrepancy or readiness.</x:v>
      </x:c>
      <x:c r="E13" s="114" t="str">
        <x:v>Capability/Governance</x:v>
      </x:c>
      <x:c r="F13" s="114" t="str">
        <x:v>Workflow Runtime</x:v>
      </x:c>
      <x:c r="G13" s="114" t="str">
        <x:v>Finding package</x:v>
      </x:c>
      <x:c r="H13" s="114" t="str">
        <x:v>Review workflow ID</x:v>
      </x:c>
      <x:c r="I13" s="114" t="str">
        <x:v>Qualified reviewer and rationale required.</x:v>
      </x:c>
      <x:c r="J13" s="114" t="str">
        <x:v>Stage 8</x:v>
      </x:c>
      <x:c r="K13" s="114" t="str">
        <x:v>Critical</x:v>
      </x:c>
      <x:c r="L13" s="726" t="str">
        <x:v>Draft Complete</x:v>
      </x:c>
    </x:row>
    <x:row r="14">
      <x:c r="A14" s="730" t="str">
        <x:v>S89-API-010</x:v>
      </x:c>
      <x:c r="B14" s="731" t="str">
        <x:v>REST</x:v>
      </x:c>
      <x:c r="C14" s="731" t="str">
        <x:v>POST /wi/v1/capability-corrections</x:v>
      </x:c>
      <x:c r="D14" s="731" t="str">
        <x:v>Employee/reviewer correction to claim, evidence mapping, state or readiness.</x:v>
      </x:c>
      <x:c r="E14" s="731" t="str">
        <x:v>Employee/Reviewer</x:v>
      </x:c>
      <x:c r="F14" s="731" t="str">
        <x:v>Governance &amp; Capability</x:v>
      </x:c>
      <x:c r="G14" s="731" t="str">
        <x:v>Correction request + refs</x:v>
      </x:c>
      <x:c r="H14" s="731" t="str">
        <x:v>Correction record/version</x:v>
      </x:c>
      <x:c r="I14" s="731" t="str">
        <x:v>Original lineage preserved; material use marked disputed.</x:v>
      </x:c>
      <x:c r="J14" s="731" t="str">
        <x:v>Stage 8</x:v>
      </x:c>
      <x:c r="K14" s="731" t="str">
        <x:v>Critical</x:v>
      </x:c>
      <x:c r="L14" s="732" t="str">
        <x:v>Draft Complete</x:v>
      </x:c>
    </x:row>
    <x:row r="15">
      <x:c r="A15" s="725" t="str">
        <x:v>S89-API-011</x:v>
      </x:c>
      <x:c r="B15" s="114" t="str">
        <x:v>REST</x:v>
      </x:c>
      <x:c r="C15" s="114" t="str">
        <x:v>POST /wi/v1/reassessments</x:v>
      </x:c>
      <x:c r="D15" s="114" t="str">
        <x:v>Schedule fresh assessment for stale, disputed or insufficient evidence.</x:v>
      </x:c>
      <x:c r="E15" s="114" t="str">
        <x:v>Capability/Employee/Reviewer</x:v>
      </x:c>
      <x:c r="F15" s="114" t="str">
        <x:v>Baseline/Task Workflow</x:v>
      </x:c>
      <x:c r="G15" s="114" t="str">
        <x:v>person, capability/role, reason, task template</x:v>
      </x:c>
      <x:c r="H15" s="114" t="str">
        <x:v>Reassessment plan</x:v>
      </x:c>
      <x:c r="I15" s="114" t="str">
        <x:v>Representative and accessible assessment required.</x:v>
      </x:c>
      <x:c r="J15" s="114" t="str">
        <x:v>Stage 8</x:v>
      </x:c>
      <x:c r="K15" s="114" t="str">
        <x:v>High</x:v>
      </x:c>
      <x:c r="L15" s="726" t="str">
        <x:v>Draft Complete</x:v>
      </x:c>
    </x:row>
    <x:row r="16">
      <x:c r="A16" s="730" t="str">
        <x:v>S89-API-012</x:v>
      </x:c>
      <x:c r="B16" s="731" t="str">
        <x:v>REST</x:v>
      </x:c>
      <x:c r="C16" s="731" t="str">
        <x:v>GET /wi/v1/coaching/preferences</x:v>
      </x:c>
      <x:c r="D16" s="731" t="str">
        <x:v>Retrieve employee coaching preferences.</x:v>
      </x:c>
      <x:c r="E16" s="731" t="str">
        <x:v>Employee/Growth Coach</x:v>
      </x:c>
      <x:c r="F16" s="731" t="str">
        <x:v>Coaching Domain</x:v>
      </x:c>
      <x:c r="G16" s="731" t="str">
        <x:v>current employee context</x:v>
      </x:c>
      <x:c r="H16" s="731" t="str">
        <x:v>Preference profile</x:v>
      </x:c>
      <x:c r="I16" s="731" t="str">
        <x:v>Restricted accommodation details excluded from model output.</x:v>
      </x:c>
      <x:c r="J16" s="731" t="str">
        <x:v>Stage 9</x:v>
      </x:c>
      <x:c r="K16" s="731" t="str">
        <x:v>High</x:v>
      </x:c>
      <x:c r="L16" s="732" t="str">
        <x:v>Draft Complete</x:v>
      </x:c>
    </x:row>
    <x:row r="17">
      <x:c r="A17" s="725" t="str">
        <x:v>S89-API-013</x:v>
      </x:c>
      <x:c r="B17" s="114" t="str">
        <x:v>REST</x:v>
      </x:c>
      <x:c r="C17" s="114" t="str">
        <x:v>PUT /wi/v1/coaching/preferences</x:v>
      </x:c>
      <x:c r="D17" s="114" t="str">
        <x:v>Update channel, language, focus, cooldown, snooze and mentor preferences.</x:v>
      </x:c>
      <x:c r="E17" s="114" t="str">
        <x:v>Employee</x:v>
      </x:c>
      <x:c r="F17" s="114" t="str">
        <x:v>Coaching Domain</x:v>
      </x:c>
      <x:c r="G17" s="114" t="str">
        <x:v>Preference update</x:v>
      </x:c>
      <x:c r="H17" s="114" t="str">
        <x:v>Updated profile</x:v>
      </x:c>
      <x:c r="I17" s="114" t="str">
        <x:v>Preference use is not performance evidence.</x:v>
      </x:c>
      <x:c r="J17" s="114" t="str">
        <x:v>Stage 9</x:v>
      </x:c>
      <x:c r="K17" s="114" t="str">
        <x:v>Critical</x:v>
      </x:c>
      <x:c r="L17" s="726" t="str">
        <x:v>Draft Complete</x:v>
      </x:c>
    </x:row>
    <x:row r="18">
      <x:c r="A18" s="730" t="str">
        <x:v>S89-API-014</x:v>
      </x:c>
      <x:c r="B18" s="731" t="str">
        <x:v>REST</x:v>
      </x:c>
      <x:c r="C18" s="731" t="str">
        <x:v>POST /wi/v1/coaching/triggers/evaluate</x:v>
      </x:c>
      <x:c r="D18" s="731" t="str">
        <x:v>Evaluate task/capability events for intervention eligibility.</x:v>
      </x:c>
      <x:c r="E18" s="731" t="str">
        <x:v>Task/Capability events</x:v>
      </x:c>
      <x:c r="F18" s="731" t="str">
        <x:v>Trigger Engine</x:v>
      </x:c>
      <x:c r="G18" s="731" t="str">
        <x:v>Trigger context/evidence refs</x:v>
      </x:c>
      <x:c r="H18" s="731" t="str">
        <x:v>Trigger candidates</x:v>
      </x:c>
      <x:c r="I18" s="731" t="str">
        <x:v>Policy and confidence filter before delivery.</x:v>
      </x:c>
      <x:c r="J18" s="731" t="str">
        <x:v>Stage 9</x:v>
      </x:c>
      <x:c r="K18" s="731" t="str">
        <x:v>High</x:v>
      </x:c>
      <x:c r="L18" s="732" t="str">
        <x:v>Draft Complete</x:v>
      </x:c>
    </x:row>
    <x:row r="19">
      <x:c r="A19" s="725" t="str">
        <x:v>S89-API-015</x:v>
      </x:c>
      <x:c r="B19" s="114" t="str">
        <x:v>REST</x:v>
      </x:c>
      <x:c r="C19" s="114" t="str">
        <x:v>POST /wi/v1/coaching/interventions/generate</x:v>
      </x:c>
      <x:c r="D19" s="114" t="str">
        <x:v>Generate a proposed intervention using approved context.</x:v>
      </x:c>
      <x:c r="E19" s="114" t="str">
        <x:v>Coaching Orchestrator</x:v>
      </x:c>
      <x:c r="F19" s="114" t="str">
        <x:v>Python Coach Service</x:v>
      </x:c>
      <x:c r="G19" s="114" t="str">
        <x:v>Mode, context refs, policy, preferences, prior feedback</x:v>
      </x:c>
      <x:c r="H19" s="114" t="str">
        <x:v>Generated content candidate</x:v>
      </x:c>
      <x:c r="I19" s="114" t="str">
        <x:v>Safety validation required before delivery.</x:v>
      </x:c>
      <x:c r="J19" s="114" t="str">
        <x:v>Stage 9</x:v>
      </x:c>
      <x:c r="K19" s="114" t="str">
        <x:v>Critical</x:v>
      </x:c>
      <x:c r="L19" s="726" t="str">
        <x:v>Draft Complete</x:v>
      </x:c>
    </x:row>
    <x:row r="20">
      <x:c r="A20" s="730" t="str">
        <x:v>S89-API-016</x:v>
      </x:c>
      <x:c r="B20" s="731" t="str">
        <x:v>REST</x:v>
      </x:c>
      <x:c r="C20" s="731" t="str">
        <x:v>POST /wi/v1/coaching/interventions/{id}/deliver</x:v>
      </x:c>
      <x:c r="D20" s="731" t="str">
        <x:v>Schedule/deliver validated intervention.</x:v>
      </x:c>
      <x:c r="E20" s="731" t="str">
        <x:v>Coaching Orchestrator</x:v>
      </x:c>
      <x:c r="F20" s="731" t="str">
        <x:v>Notification/Device/UI</x:v>
      </x:c>
      <x:c r="G20" s="731" t="str">
        <x:v>Intervention ID, channel, timing</x:v>
      </x:c>
      <x:c r="H20" s="731" t="str">
        <x:v>Delivery/receipt state</x:v>
      </x:c>
      <x:c r="I20" s="731" t="str">
        <x:v>Private employee delivery by default; cooldown enforced.</x:v>
      </x:c>
      <x:c r="J20" s="731" t="str">
        <x:v>Stage 9</x:v>
      </x:c>
      <x:c r="K20" s="731" t="str">
        <x:v>Critical</x:v>
      </x:c>
      <x:c r="L20" s="732" t="str">
        <x:v>Draft Complete</x:v>
      </x:c>
    </x:row>
    <x:row r="21">
      <x:c r="A21" s="725" t="str">
        <x:v>S89-API-017</x:v>
      </x:c>
      <x:c r="B21" s="114" t="str">
        <x:v>REST</x:v>
      </x:c>
      <x:c r="C21" s="114" t="str">
        <x:v>POST /wi/v1/coaching/interventions/{id}/feedback</x:v>
      </x:c>
      <x:c r="D21" s="114" t="str">
        <x:v>Record useful/not useful/mistimed/incorrect-context/snooze feedback.</x:v>
      </x:c>
      <x:c r="E21" s="114" t="str">
        <x:v>Employee</x:v>
      </x:c>
      <x:c r="F21" s="114" t="str">
        <x:v>Coaching Domain</x:v>
      </x:c>
      <x:c r="G21" s="114" t="str">
        <x:v>Feedback rating/comment</x:v>
      </x:c>
      <x:c r="H21" s="114" t="str">
        <x:v>Feedback record</x:v>
      </x:c>
      <x:c r="I21" s="114" t="str">
        <x:v>Feedback is not punitive employee data.</x:v>
      </x:c>
      <x:c r="J21" s="114" t="str">
        <x:v>Stage 9</x:v>
      </x:c>
      <x:c r="K21" s="114" t="str">
        <x:v>Critical</x:v>
      </x:c>
      <x:c r="L21" s="726" t="str">
        <x:v>Draft Complete</x:v>
      </x:c>
    </x:row>
    <x:row r="22">
      <x:c r="A22" s="730" t="str">
        <x:v>S89-API-018</x:v>
      </x:c>
      <x:c r="B22" s="731" t="str">
        <x:v>REST</x:v>
      </x:c>
      <x:c r="C22" s="731" t="str">
        <x:v>POST /wi/v1/learning-plans</x:v>
      </x:c>
      <x:c r="D22" s="731" t="str">
        <x:v>Create reviewed learning plan from gap and employee goals.</x:v>
      </x:c>
      <x:c r="E22" s="731" t="str">
        <x:v>Capability/L&amp;D/Employee</x:v>
      </x:c>
      <x:c r="F22" s="731" t="str">
        <x:v>Learning Domain</x:v>
      </x:c>
      <x:c r="G22" s="731" t="str">
        <x:v>Gap refs, goals, artefacts, practice/evidence criteria</x:v>
      </x:c>
      <x:c r="H22" s="731" t="str">
        <x:v>Learning plan/version</x:v>
      </x:c>
      <x:c r="I22" s="731" t="str">
        <x:v>Employee review and high-impact human approval where required.</x:v>
      </x:c>
      <x:c r="J22" s="731" t="str">
        <x:v>Stage 9</x:v>
      </x:c>
      <x:c r="K22" s="731" t="str">
        <x:v>Critical</x:v>
      </x:c>
      <x:c r="L22" s="732" t="str">
        <x:v>Draft Complete</x:v>
      </x:c>
    </x:row>
    <x:row r="23">
      <x:c r="A23" s="725" t="str">
        <x:v>S89-API-019</x:v>
      </x:c>
      <x:c r="B23" s="114" t="str">
        <x:v>REST</x:v>
      </x:c>
      <x:c r="C23" s="114" t="str">
        <x:v>PATCH /wi/v1/learning-plans/{id}</x:v>
      </x:c>
      <x:c r="D23" s="114" t="str">
        <x:v>Update/pause/reschedule/complete plan.</x:v>
      </x:c>
      <x:c r="E23" s="114" t="str">
        <x:v>Employee/L&amp;D/Workflow</x:v>
      </x:c>
      <x:c r="F23" s="114" t="str">
        <x:v>Learning Domain</x:v>
      </x:c>
      <x:c r="G23" s="114" t="str">
        <x:v>State transition/reason</x:v>
      </x:c>
      <x:c r="H23" s="114" t="str">
        <x:v>Updated plan</x:v>
      </x:c>
      <x:c r="I23" s="114" t="str">
        <x:v>Pause/cancel not negative performance evidence.</x:v>
      </x:c>
      <x:c r="J23" s="114" t="str">
        <x:v>Stage 9</x:v>
      </x:c>
      <x:c r="K23" s="114" t="str">
        <x:v>High</x:v>
      </x:c>
      <x:c r="L23" s="726" t="str">
        <x:v>Draft Complete</x:v>
      </x:c>
    </x:row>
    <x:row r="24">
      <x:c r="A24" s="730" t="str">
        <x:v>S89-API-020</x:v>
      </x:c>
      <x:c r="B24" s="731" t="str">
        <x:v>REST</x:v>
      </x:c>
      <x:c r="C24" s="731" t="str">
        <x:v>POST /wi/v1/learning-plans/{id}/practice-tasks</x:v>
      </x:c>
      <x:c r="D24" s="731" t="str">
        <x:v>Assign practice or reassessment task.</x:v>
      </x:c>
      <x:c r="E24" s="731" t="str">
        <x:v>Learning Domain</x:v>
      </x:c>
      <x:c r="F24" s="731" t="str">
        <x:v>HumanOS Task Service</x:v>
      </x:c>
      <x:c r="G24" s="731" t="str">
        <x:v>Task template, criteria, support level</x:v>
      </x:c>
      <x:c r="H24" s="731" t="str">
        <x:v>Task/assessment refs</x:v>
      </x:c>
      <x:c r="I24" s="731" t="str">
        <x:v>Practice evidence separated from independent live-work evidence.</x:v>
      </x:c>
      <x:c r="J24" s="731" t="str">
        <x:v>Stage 9</x:v>
      </x:c>
      <x:c r="K24" s="731" t="str">
        <x:v>High</x:v>
      </x:c>
      <x:c r="L24" s="732" t="str">
        <x:v>Draft Complete</x:v>
      </x:c>
    </x:row>
    <x:row r="25">
      <x:c r="A25" s="725" t="str">
        <x:v>S89-API-021</x:v>
      </x:c>
      <x:c r="B25" s="114" t="str">
        <x:v>REST</x:v>
      </x:c>
      <x:c r="C25" s="114" t="str">
        <x:v>POST /wi/v1/learning-experiences</x:v>
      </x:c>
      <x:c r="D25" s="114" t="str">
        <x:v>Record learning interaction/completion using internal schema with optional xAPI mapping.</x:v>
      </x:c>
      <x:c r="E25" s="114" t="str">
        <x:v>LMS/internal content</x:v>
      </x:c>
      <x:c r="F25" s="114" t="str">
        <x:v>Learning Domain</x:v>
      </x:c>
      <x:c r="G25" s="114" t="str">
        <x:v>Actor/activity/result/context refs</x:v>
      </x:c>
      <x:c r="H25" s="114" t="str">
        <x:v>Learning experience record</x:v>
      </x:c>
      <x:c r="I25" s="114" t="str">
        <x:v>Learning activity is not capability proof.</x:v>
      </x:c>
      <x:c r="J25" s="114" t="str">
        <x:v>Stage 9</x:v>
      </x:c>
      <x:c r="K25" s="114" t="str">
        <x:v>Medium</x:v>
      </x:c>
      <x:c r="L25" s="726" t="str">
        <x:v>Draft Complete</x:v>
      </x:c>
    </x:row>
    <x:row r="26">
      <x:c r="A26" s="730" t="str">
        <x:v>S89-API-022</x:v>
      </x:c>
      <x:c r="B26" s="731" t="str">
        <x:v>REST</x:v>
      </x:c>
      <x:c r="C26" s="731" t="str">
        <x:v>POST /wi/v1/mentor-handoffs</x:v>
      </x:c>
      <x:c r="D26" s="731" t="str">
        <x:v>Create qualified mentor/expert handoff.</x:v>
      </x:c>
      <x:c r="E26" s="731" t="str">
        <x:v>Employee/Coach/Reviewer</x:v>
      </x:c>
      <x:c r="F26" s="731" t="str">
        <x:v>Workflow Runtime</x:v>
      </x:c>
      <x:c r="G26" s="731" t="str">
        <x:v>Reason, goals, evidence summary, information scope</x:v>
      </x:c>
      <x:c r="H26" s="731" t="str">
        <x:v>Handoff workflow</x:v>
      </x:c>
      <x:c r="I26" s="731" t="str">
        <x:v>Employee-aware privacy boundary; no raw private content by default.</x:v>
      </x:c>
      <x:c r="J26" s="731" t="str">
        <x:v>Stage 9</x:v>
      </x:c>
      <x:c r="K26" s="731" t="str">
        <x:v>High</x:v>
      </x:c>
      <x:c r="L26" s="732" t="str">
        <x:v>Draft Complete</x:v>
      </x:c>
    </x:row>
    <x:row r="27">
      <x:c r="A27" s="725" t="str">
        <x:v>S89-API-023</x:v>
      </x:c>
      <x:c r="B27" s="114" t="str">
        <x:v>REST</x:v>
      </x:c>
      <x:c r="C27" s="114" t="str">
        <x:v>GET /wi/v1/development-summaries/persons/{personId}</x:v>
      </x:c>
      <x:c r="D27" s="114" t="str">
        <x:v>Get employee/authorised manager/L&amp;D reviewed development summary.</x:v>
      </x:c>
      <x:c r="E27" s="114" t="str">
        <x:v>Employee/Manager/L&amp;D</x:v>
      </x:c>
      <x:c r="F27" s="114" t="str">
        <x:v>Reporting Service</x:v>
      </x:c>
      <x:c r="G27" s="114" t="str">
        <x:v>personId, audience/purpose</x:v>
      </x:c>
      <x:c r="H27" s="114" t="str">
        <x:v>Policy-filtered summary</x:v>
      </x:c>
      <x:c r="I27" s="114" t="str">
        <x:v>Audience-specific fields; employee response/dispute shown.</x:v>
      </x:c>
      <x:c r="J27" s="114" t="str">
        <x:v>Stage 9</x:v>
      </x:c>
      <x:c r="K27" s="114" t="str">
        <x:v>Critical</x:v>
      </x:c>
      <x:c r="L27" s="726" t="str">
        <x:v>Draft Complete</x:v>
      </x:c>
    </x:row>
    <x:row r="28">
      <x:c r="A28" s="730" t="str">
        <x:v>S89-EVT-001</x:v>
      </x:c>
      <x:c r="B28" s="731" t="str">
        <x:v>Event</x:v>
      </x:c>
      <x:c r="C28" s="731" t="str">
        <x:v>capability.evidence.approved.v1</x:v>
      </x:c>
      <x:c r="D28" s="731" t="str">
        <x:v>Qualified evidence approved/rejected/modified by reviewer.</x:v>
      </x:c>
      <x:c r="E28" s="731" t="str">
        <x:v>Capability Review</x:v>
      </x:c>
      <x:c r="F28" s="731" t="str">
        <x:v>Capability State/Analytics</x:v>
      </x:c>
      <x:c r="G28" s="731" t="str">
        <x:v>evidence ID, decision, dimensions, refs</x:v>
      </x:c>
      <x:c r="H28" s="731" t="str">
        <x:v>State update consumers</x:v>
      </x:c>
      <x:c r="I28" s="731" t="str">
        <x:v>No raw evidence content.</x:v>
      </x:c>
      <x:c r="J28" s="731" t="str">
        <x:v>Stage 8</x:v>
      </x:c>
      <x:c r="K28" s="731" t="str">
        <x:v>Critical</x:v>
      </x:c>
      <x:c r="L28" s="732" t="str">
        <x:v>Draft Complete</x:v>
      </x:c>
    </x:row>
    <x:row r="29">
      <x:c r="A29" s="725" t="str">
        <x:v>S89-EVT-002</x:v>
      </x:c>
      <x:c r="B29" s="114" t="str">
        <x:v>Event</x:v>
      </x:c>
      <x:c r="C29" s="114" t="str">
        <x:v>person.capability.state.updated.v1</x:v>
      </x:c>
      <x:c r="D29" s="114" t="str">
        <x:v>Versioned capability state changed.</x:v>
      </x:c>
      <x:c r="E29" s="114" t="str">
        <x:v>Capability Domain</x:v>
      </x:c>
      <x:c r="F29" s="114" t="str">
        <x:v>Role Readiness/Learning/Reporting</x:v>
      </x:c>
      <x:c r="G29" s="114" t="str">
        <x:v>old/new state, confidence, freshness, review ref</x:v>
      </x:c>
      <x:c r="H29" s="114" t="str">
        <x:v>Read models</x:v>
      </x:c>
      <x:c r="I29" s="114" t="str">
        <x:v>High-impact state requires review metadata.</x:v>
      </x:c>
      <x:c r="J29" s="114" t="str">
        <x:v>Stage 8</x:v>
      </x:c>
      <x:c r="K29" s="114" t="str">
        <x:v>Critical</x:v>
      </x:c>
      <x:c r="L29" s="726" t="str">
        <x:v>Draft Complete</x:v>
      </x:c>
    </x:row>
    <x:row r="30">
      <x:c r="A30" s="730" t="str">
        <x:v>S89-EVT-003</x:v>
      </x:c>
      <x:c r="B30" s="731" t="str">
        <x:v>Event</x:v>
      </x:c>
      <x:c r="C30" s="731" t="str">
        <x:v>claim.evidence.discrepancy.opened.v1</x:v>
      </x:c>
      <x:c r="D30" s="731" t="str">
        <x:v>Neutral claim-evidence discrepancy workflow opened.</x:v>
      </x:c>
      <x:c r="E30" s="731" t="str">
        <x:v>Claim Reconciliation</x:v>
      </x:c>
      <x:c r="F30" s="731" t="str">
        <x:v>Employee portal/Review</x:v>
      </x:c>
      <x:c r="G30" s="731" t="str">
        <x:v>claim, evidence summary, context state</x:v>
      </x:c>
      <x:c r="H30" s="731" t="str">
        <x:v>Workflow consumers</x:v>
      </x:c>
      <x:c r="I30" s="731" t="str">
        <x:v>No dishonesty label.</x:v>
      </x:c>
      <x:c r="J30" s="731" t="str">
        <x:v>Stage 8</x:v>
      </x:c>
      <x:c r="K30" s="731" t="str">
        <x:v>Critical</x:v>
      </x:c>
      <x:c r="L30" s="732" t="str">
        <x:v>Draft Complete</x:v>
      </x:c>
    </x:row>
    <x:row r="31">
      <x:c r="A31" s="725" t="str">
        <x:v>S89-EVT-004</x:v>
      </x:c>
      <x:c r="B31" s="114" t="str">
        <x:v>Event</x:v>
      </x:c>
      <x:c r="C31" s="114" t="str">
        <x:v>baseline.assessment.state.changed.v1</x:v>
      </x:c>
      <x:c r="D31" s="114" t="str">
        <x:v>Baseline assessment transitioned.</x:v>
      </x:c>
      <x:c r="E31" s="114" t="str">
        <x:v>Baseline Orchestrator</x:v>
      </x:c>
      <x:c r="F31" s="114" t="str">
        <x:v>Employee/Reviewer/Learning</x:v>
      </x:c>
      <x:c r="G31" s="114" t="str">
        <x:v>assessment ID/state/coverage</x:v>
      </x:c>
      <x:c r="H31" s="114" t="str">
        <x:v>Read models</x:v>
      </x:c>
      <x:c r="I31" s="114" t="str">
        <x:v>Provisional status visible.</x:v>
      </x:c>
      <x:c r="J31" s="114" t="str">
        <x:v>Stage 8</x:v>
      </x:c>
      <x:c r="K31" s="114" t="str">
        <x:v>High</x:v>
      </x:c>
      <x:c r="L31" s="726" t="str">
        <x:v>Draft Complete</x:v>
      </x:c>
    </x:row>
    <x:row r="32">
      <x:c r="A32" s="730" t="str">
        <x:v>S89-EVT-005</x:v>
      </x:c>
      <x:c r="B32" s="731" t="str">
        <x:v>Event</x:v>
      </x:c>
      <x:c r="C32" s="731" t="str">
        <x:v>role.readiness.assessed.v1</x:v>
      </x:c>
      <x:c r="D32" s="731" t="str">
        <x:v>New role-readiness version created.</x:v>
      </x:c>
      <x:c r="E32" s="731" t="str">
        <x:v>Role Readiness</x:v>
      </x:c>
      <x:c r="F32" s="731" t="str">
        <x:v>Employee/HR/Learning</x:v>
      </x:c>
      <x:c r="G32" s="731" t="str">
        <x:v>role, status, critical gaps, confidence</x:v>
      </x:c>
      <x:c r="H32" s="731" t="str">
        <x:v>Development views</x:v>
      </x:c>
      <x:c r="I32" s="731" t="str">
        <x:v>Advisory and review status included.</x:v>
      </x:c>
      <x:c r="J32" s="731" t="str">
        <x:v>Stage 8</x:v>
      </x:c>
      <x:c r="K32" s="731" t="str">
        <x:v>Critical</x:v>
      </x:c>
      <x:c r="L32" s="732" t="str">
        <x:v>Draft Complete</x:v>
      </x:c>
    </x:row>
    <x:row r="33">
      <x:c r="A33" s="725" t="str">
        <x:v>S89-EVT-006</x:v>
      </x:c>
      <x:c r="B33" s="114" t="str">
        <x:v>Event</x:v>
      </x:c>
      <x:c r="C33" s="114" t="str">
        <x:v>capability.gap.candidate.created.v1</x:v>
      </x:c>
      <x:c r="D33" s="114" t="str">
        <x:v>Potential personal development gap created.</x:v>
      </x:c>
      <x:c r="E33" s="114" t="str">
        <x:v>Gap Classifier</x:v>
      </x:c>
      <x:c r="F33" s="114" t="str">
        <x:v>Review/Learning</x:v>
      </x:c>
      <x:c r="G33" s="114" t="str">
        <x:v>gap type, evidence refs, blocker checks, confidence</x:v>
      </x:c>
      <x:c r="H33" s="114" t="str">
        <x:v>Learning/review workflow</x:v>
      </x:c>
      <x:c r="I33" s="114" t="str">
        <x:v>Candidate only until review.</x:v>
      </x:c>
      <x:c r="J33" s="114" t="str">
        <x:v>Stage 8</x:v>
      </x:c>
      <x:c r="K33" s="114" t="str">
        <x:v>High</x:v>
      </x:c>
      <x:c r="L33" s="726" t="str">
        <x:v>Draft Complete</x:v>
      </x:c>
    </x:row>
    <x:row r="34">
      <x:c r="A34" s="730" t="str">
        <x:v>S89-EVT-007</x:v>
      </x:c>
      <x:c r="B34" s="731" t="str">
        <x:v>Event</x:v>
      </x:c>
      <x:c r="C34" s="731" t="str">
        <x:v>coaching.trigger.detected.v1</x:v>
      </x:c>
      <x:c r="D34" s="731" t="str">
        <x:v>Evidence-linked coaching opportunity detected.</x:v>
      </x:c>
      <x:c r="E34" s="731" t="str">
        <x:v>Trigger Engine</x:v>
      </x:c>
      <x:c r="F34" s="731" t="str">
        <x:v>Policy/Selector</x:v>
      </x:c>
      <x:c r="G34" s="731" t="str">
        <x:v>trigger type, evidence refs, severity/confidence</x:v>
      </x:c>
      <x:c r="H34" s="731" t="str">
        <x:v>Intervention selector</x:v>
      </x:c>
      <x:c r="I34" s="731" t="str">
        <x:v>No content or performance conclusion.</x:v>
      </x:c>
      <x:c r="J34" s="731" t="str">
        <x:v>Stage 9</x:v>
      </x:c>
      <x:c r="K34" s="731" t="str">
        <x:v>High</x:v>
      </x:c>
      <x:c r="L34" s="732" t="str">
        <x:v>Draft Complete</x:v>
      </x:c>
    </x:row>
    <x:row r="35">
      <x:c r="A35" s="725" t="str">
        <x:v>S89-EVT-008</x:v>
      </x:c>
      <x:c r="B35" s="114" t="str">
        <x:v>Event</x:v>
      </x:c>
      <x:c r="C35" s="114" t="str">
        <x:v>coaching.intervention.delivered.v1</x:v>
      </x:c>
      <x:c r="D35" s="114" t="str">
        <x:v>Validated intervention delivered.</x:v>
      </x:c>
      <x:c r="E35" s="114" t="str">
        <x:v>Coaching Domain</x:v>
      </x:c>
      <x:c r="F35" s="114" t="str">
        <x:v>Feedback/Effectiveness/Audit</x:v>
      </x:c>
      <x:c r="G35" s="114" t="str">
        <x:v>mode, channel, version, timing</x:v>
      </x:c>
      <x:c r="H35" s="114" t="str">
        <x:v>Evaluation</x:v>
      </x:c>
      <x:c r="I35" s="114" t="str">
        <x:v>Private content referenced, not broadcast.</x:v>
      </x:c>
      <x:c r="J35" s="114" t="str">
        <x:v>Stage 9</x:v>
      </x:c>
      <x:c r="K35" s="114" t="str">
        <x:v>Critical</x:v>
      </x:c>
      <x:c r="L35" s="726" t="str">
        <x:v>Draft Complete</x:v>
      </x:c>
    </x:row>
    <x:row r="36">
      <x:c r="A36" s="730" t="str">
        <x:v>S89-EVT-009</x:v>
      </x:c>
      <x:c r="B36" s="731" t="str">
        <x:v>Event</x:v>
      </x:c>
      <x:c r="C36" s="731" t="str">
        <x:v>coaching.feedback.recorded.v1</x:v>
      </x:c>
      <x:c r="D36" s="731" t="str">
        <x:v>Employee feedback recorded.</x:v>
      </x:c>
      <x:c r="E36" s="731" t="str">
        <x:v>Coaching Domain</x:v>
      </x:c>
      <x:c r="F36" s="731" t="str">
        <x:v>Effectiveness/Skill Forge</x:v>
      </x:c>
      <x:c r="G36" s="731" t="str">
        <x:v>rating/category/comment ref</x:v>
      </x:c>
      <x:c r="H36" s="731" t="str">
        <x:v>Evaluation</x:v>
      </x:c>
      <x:c r="I36" s="731" t="str">
        <x:v>Feedback not used punitively.</x:v>
      </x:c>
      <x:c r="J36" s="731" t="str">
        <x:v>Stage 9</x:v>
      </x:c>
      <x:c r="K36" s="731" t="str">
        <x:v>High</x:v>
      </x:c>
      <x:c r="L36" s="732" t="str">
        <x:v>Draft Complete</x:v>
      </x:c>
    </x:row>
    <x:row r="37">
      <x:c r="A37" s="725" t="str">
        <x:v>S89-EVT-010</x:v>
      </x:c>
      <x:c r="B37" s="114" t="str">
        <x:v>Event</x:v>
      </x:c>
      <x:c r="C37" s="114" t="str">
        <x:v>learning.plan.activated.v1</x:v>
      </x:c>
      <x:c r="D37" s="114" t="str">
        <x:v>Reviewed learning plan becomes active.</x:v>
      </x:c>
      <x:c r="E37" s="114" t="str">
        <x:v>Learning Domain</x:v>
      </x:c>
      <x:c r="F37" s="114" t="str">
        <x:v>Employee/Task/Notification</x:v>
      </x:c>
      <x:c r="G37" s="114" t="str">
        <x:v>plan goals, artefact refs, practice criteria</x:v>
      </x:c>
      <x:c r="H37" s="114" t="str">
        <x:v>Workflow consumers</x:v>
      </x:c>
      <x:c r="I37" s="114" t="str">
        <x:v>Employee goals/preferences included.</x:v>
      </x:c>
      <x:c r="J37" s="114" t="str">
        <x:v>Stage 9</x:v>
      </x:c>
      <x:c r="K37" s="114" t="str">
        <x:v>High</x:v>
      </x:c>
      <x:c r="L37" s="726" t="str">
        <x:v>Draft Complete</x:v>
      </x:c>
    </x:row>
    <x:row r="38">
      <x:c r="A38" s="730" t="str">
        <x:v>S89-EVT-011</x:v>
      </x:c>
      <x:c r="B38" s="731" t="str">
        <x:v>Event</x:v>
      </x:c>
      <x:c r="C38" s="731" t="str">
        <x:v>learning.practice.completed.v1</x:v>
      </x:c>
      <x:c r="D38" s="731" t="str">
        <x:v>Practice/reassessment task completed.</x:v>
      </x:c>
      <x:c r="E38" s="731" t="str">
        <x:v>Task/Learning</x:v>
      </x:c>
      <x:c r="F38" s="731" t="str">
        <x:v>Capability Review</x:v>
      </x:c>
      <x:c r="G38" s="731" t="str">
        <x:v>task assessment/evidence refs, support level</x:v>
      </x:c>
      <x:c r="H38" s="731" t="str">
        <x:v>Applied-evidence workflow</x:v>
      </x:c>
      <x:c r="I38" s="731" t="str">
        <x:v>Practice success remains provisional.</x:v>
      </x:c>
      <x:c r="J38" s="731" t="str">
        <x:v>Stage 9</x:v>
      </x:c>
      <x:c r="K38" s="731" t="str">
        <x:v>High</x:v>
      </x:c>
      <x:c r="L38" s="732" t="str">
        <x:v>Draft Complete</x:v>
      </x:c>
    </x:row>
    <x:row r="39">
      <x:c r="A39" s="725" t="str">
        <x:v>S89-EVT-012</x:v>
      </x:c>
      <x:c r="B39" s="114" t="str">
        <x:v>Event</x:v>
      </x:c>
      <x:c r="C39" s="114" t="str">
        <x:v>learning.applied.evidence.observed.v1</x:v>
      </x:c>
      <x:c r="D39" s="114" t="str">
        <x:v>Later live-work evidence appears to show applied learning.</x:v>
      </x:c>
      <x:c r="E39" s="114" t="str">
        <x:v>Capability/Task</x:v>
      </x:c>
      <x:c r="F39" s="114" t="str">
        <x:v>Capability Review/Effectiveness</x:v>
      </x:c>
      <x:c r="G39" s="114" t="str">
        <x:v>evidence refs, learning plan, confidence</x:v>
      </x:c>
      <x:c r="H39" s="114" t="str">
        <x:v>Review workflow</x:v>
      </x:c>
      <x:c r="I39" s="114" t="str">
        <x:v>Causal attribution remains cautious.</x:v>
      </x:c>
      <x:c r="J39" s="114" t="str">
        <x:v>Stage 9</x:v>
      </x:c>
      <x:c r="K39" s="114" t="str">
        <x:v>Critical</x:v>
      </x:c>
      <x:c r="L39" s="726" t="str">
        <x:v>Draft Complete</x:v>
      </x:c>
    </x:row>
    <x:row r="40">
      <x:c r="A40" s="730" t="str">
        <x:v>S89-EVT-013</x:v>
      </x:c>
      <x:c r="B40" s="731" t="str">
        <x:v>Event</x:v>
      </x:c>
      <x:c r="C40" s="731" t="str">
        <x:v>coaching.effectiveness.assessed.v1</x:v>
      </x:c>
      <x:c r="D40" s="731" t="str">
        <x:v>Intervention/plan effectiveness reviewed.</x:v>
      </x:c>
      <x:c r="E40" s="731" t="str">
        <x:v>Effectiveness Evaluator</x:v>
      </x:c>
      <x:c r="F40" s="731" t="str">
        <x:v>Reporting/Skill Forge</x:v>
      </x:c>
      <x:c r="G40" s="731" t="str">
        <x:v>metrics, outcome, confidence, version</x:v>
      </x:c>
      <x:c r="H40" s="731" t="str">
        <x:v>Read models</x:v>
      </x:c>
      <x:c r="I40" s="731" t="str">
        <x:v>No employee ranking.</x:v>
      </x:c>
      <x:c r="J40" s="731" t="str">
        <x:v>Stage 9</x:v>
      </x:c>
      <x:c r="K40" s="731" t="str">
        <x:v>High</x:v>
      </x:c>
      <x:c r="L40" s="732" t="str">
        <x:v>Draft Complete</x:v>
      </x:c>
    </x:row>
    <x:row r="41">
      <x:c r="A41" s="727" t="str">
        <x:v>S89-EVT-014</x:v>
      </x:c>
      <x:c r="B41" s="728" t="str">
        <x:v>Event</x:v>
      </x:c>
      <x:c r="C41" s="728" t="str">
        <x:v>coaching.mentor.handoff.created.v1</x:v>
      </x:c>
      <x:c r="D41" s="728" t="str">
        <x:v>Human mentor/expert handoff created.</x:v>
      </x:c>
      <x:c r="E41" s="728" t="str">
        <x:v>Coaching/Workflow</x:v>
      </x:c>
      <x:c r="F41" s="728" t="str">
        <x:v>Mentor/L&amp;D/Employee</x:v>
      </x:c>
      <x:c r="G41" s="728" t="str">
        <x:v>reason, goals, scope, status</x:v>
      </x:c>
      <x:c r="H41" s="728" t="str">
        <x:v>Workflow</x:v>
      </x:c>
      <x:c r="I41" s="728" t="str">
        <x:v>Private information scope agreed.</x:v>
      </x:c>
      <x:c r="J41" s="728" t="str">
        <x:v>Stage 9</x:v>
      </x:c>
      <x:c r="K41" s="728" t="str">
        <x:v>High</x:v>
      </x:c>
      <x:c r="L41" s="729" t="str">
        <x:v>Draft Complete</x:v>
      </x:c>
    </x:row>
  </x:sheetData>
  <x:mergeCells>
    <x:mergeCell ref="A1:L1"/>
    <x:mergeCell ref="A2:L2"/>
  </x:mergeCells>
  <x:dataValidations count="3">
    <x:dataValidation type="list" sqref="J5:J41">
      <x:formula1>"Stage 8,Stage 9"</x:formula1>
    </x:dataValidation>
    <x:dataValidation type="list" sqref="K5:K41">
      <x:formula1>"Critical,High,Medium,Low"</x:formula1>
    </x:dataValidation>
    <x:dataValidation type="list" sqref="L5:L41">
      <x:formula1>"Draft Complete,Needs Review,Approved,Deferred"</x:formula1>
    </x:dataValidation>
  </x:dataValidations>
  <x:pageMargins left="0.7" right="0.7" top="0.75" bottom="0.75" header="0.3" footer="0.3"/>
</x:worksheet>
</file>

<file path=xl/worksheets/sheet129.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60" hidden="0" customWidth="1"/>
    <x:col min="5" max="5" width="26" hidden="0" customWidth="1"/>
    <x:col min="6" max="6" width="32"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8" hidden="0" customWidth="1"/>
    <x:col min="14" max="14" width="50" hidden="0" customWidth="1"/>
    <x:col min="15" max="15" width="28" hidden="0" customWidth="1"/>
  </x:cols>
  <x:sheetData>
    <x:row r="1" ht="30" customHeight="1">
      <x:c r="A1" s="687" t="str">
        <x:v>Stage 8 — Capability Graph and Baseline Assessment Backlog</x:v>
      </x:c>
      <x:c r="B1" s="687"/>
      <x:c r="C1" s="687"/>
      <x:c r="D1" s="687"/>
      <x:c r="E1" s="687"/>
      <x:c r="F1" s="687"/>
      <x:c r="G1" s="687"/>
      <x:c r="H1" s="687"/>
      <x:c r="I1" s="687"/>
      <x:c r="J1" s="687"/>
      <x:c r="K1" s="687"/>
      <x:c r="L1" s="687"/>
      <x:c r="M1" s="687"/>
      <x:c r="N1" s="687"/>
      <x:c r="O1" s="687"/>
    </x:row>
    <x:row r="2" ht="36" customHeight="1">
      <x:c r="A2" s="691" t="str">
        <x:v>Implementation-ready backlog for capability catalogue, evidence qualification, scoring recommendations, state, claim reconciliation, baseline assessment, role readiness and review.</x:v>
      </x:c>
      <x:c r="B2" s="691"/>
      <x:c r="C2" s="691"/>
      <x:c r="D2" s="691"/>
      <x:c r="E2" s="691"/>
      <x:c r="F2" s="691"/>
      <x:c r="G2" s="691"/>
      <x:c r="H2" s="691"/>
      <x:c r="I2" s="691"/>
      <x:c r="J2" s="691"/>
      <x:c r="K2" s="691"/>
      <x:c r="L2" s="691"/>
      <x:c r="M2" s="691"/>
      <x:c r="N2" s="691"/>
      <x:c r="O2" s="691"/>
    </x:row>
    <x:row r="4" ht="30" customHeight="1">
      <x:c r="A4" s="703" t="str">
        <x:v>ID</x:v>
      </x:c>
      <x:c r="B4" s="704" t="str">
        <x:v>Workstream</x:v>
      </x:c>
      <x:c r="C4" s="704" t="str">
        <x:v>Task</x:v>
      </x:c>
      <x:c r="D4" s="704" t="str">
        <x:v>Description</x:v>
      </x:c>
      <x:c r="E4" s="704" t="str">
        <x:v>Owner</x:v>
      </x:c>
      <x:c r="F4" s="704" t="str">
        <x:v>Contributors</x:v>
      </x:c>
      <x:c r="G4" s="704" t="str">
        <x:v>Dependencies</x:v>
      </x:c>
      <x:c r="H4" s="704" t="str">
        <x:v>Priority</x:v>
      </x:c>
      <x:c r="I4" s="704" t="str">
        <x:v>Status</x:v>
      </x:c>
      <x:c r="J4" s="704" t="str">
        <x:v>Completion</x:v>
      </x:c>
      <x:c r="K4" s="704" t="str">
        <x:v>Effort days</x:v>
      </x:c>
      <x:c r="L4" s="704" t="str">
        <x:v>Deliverable</x:v>
      </x:c>
      <x:c r="M4" s="704" t="str">
        <x:v>Acceptance criteria</x:v>
      </x:c>
      <x:c r="N4" s="704" t="str">
        <x:v>Privacy/security impact</x:v>
      </x:c>
      <x:c r="O4" s="705" t="str">
        <x:v>Source / basis</x:v>
      </x:c>
    </x:row>
    <x:row r="5">
      <x:c r="A5" s="722" t="str">
        <x:v>S8-BL-001</x:v>
      </x:c>
      <x:c r="B5" s="723" t="str">
        <x:v>Architecture</x:v>
      </x:c>
      <x:c r="C5" s="723" t="str">
        <x:v>Create Capability Domain service skeleton</x:v>
      </x:c>
      <x:c r="D5" s="723" t="str">
        <x:v>Create Java/Spring modules for catalogue, evidence, state, claims, baseline, readiness and review using HumanOS conventions.</x:v>
      </x:c>
      <x:c r="E5" s="723" t="str">
        <x:v>Capability Backend Lead</x:v>
      </x:c>
      <x:c r="F5" s="723" t="str">
        <x:v>Architecture/Data/Security</x:v>
      </x:c>
      <x:c r="G5" s="723" t="str">
        <x:v>Stages 2,4,7</x:v>
      </x:c>
      <x:c r="H5" s="723" t="str">
        <x:v>Critical</x:v>
      </x:c>
      <x:c r="I5" s="723" t="str">
        <x:v>Not Started</x:v>
      </x:c>
      <x:c r="J5" s="739" t="n">
        <x:f>IF(I5="Approved",1,IF(I5="Draft Complete",0.8,IF(I5="In Review",0.6,IF(I5="In Progress",0.4,IF(I5="Blocked",0,0)))))</x:f>
        <x:v>0</x:v>
      </x:c>
      <x:c r="K5" s="723" t="n">
        <x:v>8</x:v>
      </x:c>
      <x:c r="L5" s="723" t="str">
        <x:v>Service/repository skeleton</x:v>
      </x:c>
      <x:c r="M5" s="723" t="str">
        <x:v>Build, migrations, tests and dependency scans run.</x:v>
      </x:c>
      <x:c r="N5" s="723" t="str">
        <x:v>No duplicated HumanOS identity/role/task/workflow services.</x:v>
      </x:c>
      <x:c r="O5" s="724" t="str">
        <x:v>Capability Graph Architecture</x:v>
      </x:c>
    </x:row>
    <x:row r="6">
      <x:c r="A6" s="730" t="str">
        <x:v>S8-BL-002</x:v>
      </x:c>
      <x:c r="B6" s="731" t="str">
        <x:v>Schemas</x:v>
      </x:c>
      <x:c r="C6" s="731" t="str">
        <x:v>Publish capability evidence/state JSON Schemas</x:v>
      </x:c>
      <x:c r="D6" s="731" t="str">
        <x:v>Implement schemas for CapabilityEvidence, PersonCapabilityState, RoleReadiness, EmployeeClaim and review packages.</x:v>
      </x:c>
      <x:c r="E6" s="731" t="str">
        <x:v>Data Architect</x:v>
      </x:c>
      <x:c r="F6" s="731" t="str">
        <x:v>Backend/AI/QA</x:v>
      </x:c>
      <x:c r="G6" s="731" t="str">
        <x:v>S8-BL-001</x:v>
      </x:c>
      <x:c r="H6" s="731" t="str">
        <x:v>Critical</x:v>
      </x:c>
      <x:c r="I6" s="731" t="str">
        <x:v>Not Started</x:v>
      </x:c>
      <x:c r="J6" s="740" t="n">
        <x:f>IF(I6="Approved",1,IF(I6="Draft Complete",0.8,IF(I6="In Review",0.6,IF(I6="In Progress",0.4,IF(I6="Blocked",0,0)))))</x:f>
        <x:v>0</x:v>
      </x:c>
      <x:c r="K6" s="731" t="n">
        <x:v>8</x:v>
      </x:c>
      <x:c r="L6" s="731" t="str">
        <x:v>Schema package</x:v>
      </x:c>
      <x:c r="M6" s="731" t="str">
        <x:v>Positive/negative fixtures validate and preserve lineage.</x:v>
      </x:c>
      <x:c r="N6" s="731" t="str">
        <x:v>No raw evidence in state payloads.</x:v>
      </x:c>
      <x:c r="O6" s="732" t="str">
        <x:v>Capability Evidence Model</x:v>
      </x:c>
    </x:row>
    <x:row r="7">
      <x:c r="A7" s="725" t="str">
        <x:v>S8-BL-003</x:v>
      </x:c>
      <x:c r="B7" s="114" t="str">
        <x:v>Data</x:v>
      </x:c>
      <x:c r="C7" s="114" t="str">
        <x:v>Implement PostgreSQL logical schema and migrations</x:v>
      </x:c>
      <x:c r="D7" s="114" t="str">
        <x:v>Create versioned capability, evidence, claim, baseline, readiness, mapping and audit-link tables.</x:v>
      </x:c>
      <x:c r="E7" s="114" t="str">
        <x:v>Data Architect</x:v>
      </x:c>
      <x:c r="F7" s="114" t="str">
        <x:v>Backend/DBA/Security</x:v>
      </x:c>
      <x:c r="G7" s="114" t="str">
        <x:v>S8-BL-002</x:v>
      </x:c>
      <x:c r="H7" s="114" t="str">
        <x:v>Critical</x:v>
      </x:c>
      <x:c r="I7" s="114" t="str">
        <x:v>Not Started</x:v>
      </x:c>
      <x:c r="J7" s="135" t="n">
        <x:f>IF(I7="Approved",1,IF(I7="Draft Complete",0.8,IF(I7="In Review",0.6,IF(I7="In Progress",0.4,IF(I7="Blocked",0,0)))))</x:f>
        <x:v>0</x:v>
      </x:c>
      <x:c r="K7" s="114" t="n">
        <x:v>12</x:v>
      </x:c>
      <x:c r="L7" s="114" t="str">
        <x:v>DDL/migrations</x:v>
      </x:c>
      <x:c r="M7" s="114" t="str">
        <x:v>Constraints, tenant scope, versioning and query plans validated.</x:v>
      </x:c>
      <x:c r="N7" s="114" t="str">
        <x:v>RLS/default-deny where applicable.</x:v>
      </x:c>
      <x:c r="O7" s="726" t="str">
        <x:v>Capability Graph Architecture</x:v>
      </x:c>
    </x:row>
    <x:row r="8">
      <x:c r="A8" s="730" t="str">
        <x:v>S8-BL-004</x:v>
      </x:c>
      <x:c r="B8" s="731" t="str">
        <x:v>Catalogue</x:v>
      </x:c>
      <x:c r="C8" s="731" t="str">
        <x:v>Seed HumanOS capability catalogue and external mappings</x:v>
      </x:c>
      <x:c r="D8" s="731" t="str">
        <x:v>Load Stage 2 capabilities and create versioned mappings to SFIA 9, NICE 2.2.0, ESCO 1.2.1 and O*NET 30.3 where relevant.</x:v>
      </x:c>
      <x:c r="E8" s="731" t="str">
        <x:v>Capability Taxonomy Lead</x:v>
      </x:c>
      <x:c r="F8" s="731" t="str">
        <x:v>HR/Domain Experts/Data</x:v>
      </x:c>
      <x:c r="G8" s="731" t="str">
        <x:v>S8-BL-002</x:v>
      </x:c>
      <x:c r="H8" s="731" t="str">
        <x:v>High</x:v>
      </x:c>
      <x:c r="I8" s="731" t="str">
        <x:v>Not Started</x:v>
      </x:c>
      <x:c r="J8" s="740" t="n">
        <x:f>IF(I8="Approved",1,IF(I8="Draft Complete",0.8,IF(I8="In Review",0.6,IF(I8="In Progress",0.4,IF(I8="Blocked",0,0)))))</x:f>
        <x:v>0</x:v>
      </x:c>
      <x:c r="K8" s="731" t="n">
        <x:v>12</x:v>
      </x:c>
      <x:c r="L8" s="731" t="str">
        <x:v>Capability seed/mapping data</x:v>
      </x:c>
      <x:c r="M8" s="731" t="str">
        <x:v>Mappings include framework/version/confidence and do not overwrite internal semantics.</x:v>
      </x:c>
      <x:c r="N8" s="731" t="str">
        <x:v>Licence/source attribution maintained.</x:v>
      </x:c>
      <x:c r="O8" s="732" t="str">
        <x:v>Stage 8 Sources</x:v>
      </x:c>
    </x:row>
    <x:row r="9">
      <x:c r="A9" s="725" t="str">
        <x:v>S8-BL-005</x:v>
      </x:c>
      <x:c r="B9" s="114" t="str">
        <x:v>Evidence</x:v>
      </x:c>
      <x:c r="C9" s="114" t="str">
        <x:v>Implement capability evidence qualifier</x:v>
      </x:c>
      <x:c r="D9" s="114" t="str">
        <x:v>Convert reviewed Stage 7 assessments into evidence candidates with difficulty, quality, autonomy, coverage, blockers and dimensions.</x:v>
      </x:c>
      <x:c r="E9" s="114" t="str">
        <x:v>Capability Backend Lead</x:v>
      </x:c>
      <x:c r="F9" s="114" t="str">
        <x:v>Task Assurance/AI/Data</x:v>
      </x:c>
      <x:c r="G9" s="114" t="str">
        <x:v>S8-BL-002,S8-BL-003</x:v>
      </x:c>
      <x:c r="H9" s="114" t="str">
        <x:v>Critical</x:v>
      </x:c>
      <x:c r="I9" s="114" t="str">
        <x:v>Not Started</x:v>
      </x:c>
      <x:c r="J9" s="135" t="n">
        <x:f>IF(I9="Approved",1,IF(I9="Draft Complete",0.8,IF(I9="In Review",0.6,IF(I9="In Progress",0.4,IF(I9="Blocked",0,0)))))</x:f>
        <x:v>0</x:v>
      </x:c>
      <x:c r="K9" s="114" t="n">
        <x:v>14</x:v>
      </x:c>
      <x:c r="L9" s="114" t="str">
        <x:v>Evidence qualifier</x:v>
      </x:c>
      <x:c r="M9" s="114" t="str">
        <x:v>Raw activity volume cannot create evidence; blocker exclusions enforced.</x:v>
      </x:c>
      <x:c r="N9" s="114" t="str">
        <x:v>Evidence refs/content access policy.</x:v>
      </x:c>
      <x:c r="O9" s="726" t="str">
        <x:v>Capability Evidence Model</x:v>
      </x:c>
    </x:row>
    <x:row r="10">
      <x:c r="A10" s="730" t="str">
        <x:v>S8-BL-006</x:v>
      </x:c>
      <x:c r="B10" s="731" t="str">
        <x:v>Scoring</x:v>
      </x:c>
      <x:c r="C10" s="731" t="str">
        <x:v>Build Python multidimensional scoring recommender</x:v>
      </x:c>
      <x:c r="D10" s="731" t="str">
        <x:v>Implement factor vector, eligibility gates, confidence, recency, consistency and transition recommendations.</x:v>
      </x:c>
      <x:c r="E10" s="731" t="str">
        <x:v>AI Scoring Lead</x:v>
      </x:c>
      <x:c r="F10" s="731" t="str">
        <x:v>Capability/QA/DPO</x:v>
      </x:c>
      <x:c r="G10" s="731" t="str">
        <x:v>S8-BL-002,S8-BL-005</x:v>
      </x:c>
      <x:c r="H10" s="731" t="str">
        <x:v>Critical</x:v>
      </x:c>
      <x:c r="I10" s="731" t="str">
        <x:v>Not Started</x:v>
      </x:c>
      <x:c r="J10" s="740" t="n">
        <x:f>IF(I10="Approved",1,IF(I10="Draft Complete",0.8,IF(I10="In Review",0.6,IF(I10="In Progress",0.4,IF(I10="Blocked",0,0)))))</x:f>
        <x:v>0</x:v>
      </x:c>
      <x:c r="K10" s="731" t="n">
        <x:v>16</x:v>
      </x:c>
      <x:c r="L10" s="731" t="str">
        <x:v>Scoring service/eval harness</x:v>
      </x:c>
      <x:c r="M10" s="731" t="str">
        <x:v>Returns recommendation and reasons; cannot write final state.</x:v>
      </x:c>
      <x:c r="N10" s="731" t="str">
        <x:v>No protected/medical feature use.</x:v>
      </x:c>
      <x:c r="O10" s="732" t="str">
        <x:v>Capability Scoring Model</x:v>
      </x:c>
    </x:row>
    <x:row r="11">
      <x:c r="A11" s="725" t="str">
        <x:v>S8-BL-007</x:v>
      </x:c>
      <x:c r="B11" s="114" t="str">
        <x:v>State</x:v>
      </x:c>
      <x:c r="C11" s="114" t="str">
        <x:v>Implement PersonCapabilityState aggregate</x:v>
      </x:c>
      <x:c r="D11" s="114" t="str">
        <x:v>Versioned state transitions, emerging/stable evidence, confidence/freshness and review status.</x:v>
      </x:c>
      <x:c r="E11" s="114" t="str">
        <x:v>Capability Backend Lead</x:v>
      </x:c>
      <x:c r="F11" s="114" t="str">
        <x:v>Data/Workflow</x:v>
      </x:c>
      <x:c r="G11" s="114" t="str">
        <x:v>S8-BL-003,S8-BL-006</x:v>
      </x:c>
      <x:c r="H11" s="114" t="str">
        <x:v>Critical</x:v>
      </x:c>
      <x:c r="I11" s="114" t="str">
        <x:v>Not Started</x:v>
      </x:c>
      <x:c r="J11" s="135" t="n">
        <x:f>IF(I11="Approved",1,IF(I11="Draft Complete",0.8,IF(I11="In Review",0.6,IF(I11="In Progress",0.4,IF(I11="Blocked",0,0)))))</x:f>
        <x:v>0</x:v>
      </x:c>
      <x:c r="K11" s="114" t="n">
        <x:v>14</x:v>
      </x:c>
      <x:c r="L11" s="114" t="str">
        <x:v>Capability state service</x:v>
      </x:c>
      <x:c r="M11" s="114" t="str">
        <x:v>Every state traces to approved evidence and model/rule/review version.</x:v>
      </x:c>
      <x:c r="N11" s="114" t="str">
        <x:v>Employee self-access.</x:v>
      </x:c>
      <x:c r="O11" s="726" t="str">
        <x:v>Capability Graph Architecture</x:v>
      </x:c>
    </x:row>
    <x:row r="12">
      <x:c r="A12" s="730" t="str">
        <x:v>S8-BL-008</x:v>
      </x:c>
      <x:c r="B12" s="731" t="str">
        <x:v>Claims</x:v>
      </x:c>
      <x:c r="C12" s="731" t="str">
        <x:v>Implement claim-evidence reconciliation workflow</x:v>
      </x:c>
      <x:c r="D12" s="731" t="str">
        <x:v>Claims, evidence search, neutral discrepancy, employee response, review, training/reassessment and closure.</x:v>
      </x:c>
      <x:c r="E12" s="731" t="str">
        <x:v>Capability Product Lead</x:v>
      </x:c>
      <x:c r="F12" s="731" t="str">
        <x:v>HR/DPO/Workflow</x:v>
      </x:c>
      <x:c r="G12" s="731" t="str">
        <x:v>S8-BL-005,S8-BL-007</x:v>
      </x:c>
      <x:c r="H12" s="731" t="str">
        <x:v>Critical</x:v>
      </x:c>
      <x:c r="I12" s="731" t="str">
        <x:v>Not Started</x:v>
      </x:c>
      <x:c r="J12" s="740" t="n">
        <x:f>IF(I12="Approved",1,IF(I12="Draft Complete",0.8,IF(I12="In Review",0.6,IF(I12="In Progress",0.4,IF(I12="Blocked",0,0)))))</x:f>
        <x:v>0</x:v>
      </x:c>
      <x:c r="K12" s="731" t="n">
        <x:v>12</x:v>
      </x:c>
      <x:c r="L12" s="731" t="str">
        <x:v>Claim workflow</x:v>
      </x:c>
      <x:c r="M12" s="731" t="str">
        <x:v>No dishonesty label; employee response and appeal operational.</x:v>
      </x:c>
      <x:c r="N12" s="731" t="str">
        <x:v>High-impact review boundary.</x:v>
      </x:c>
      <x:c r="O12" s="732" t="str">
        <x:v>Claim Discrepancy Workflow</x:v>
      </x:c>
    </x:row>
    <x:row r="13">
      <x:c r="A13" s="725" t="str">
        <x:v>S8-BL-009</x:v>
      </x:c>
      <x:c r="B13" s="114" t="str">
        <x:v>Baseline</x:v>
      </x:c>
      <x:c r="C13" s="114" t="str">
        <x:v>Implement baseline assessment orchestrator</x:v>
      </x:c>
      <x:c r="D13" s="114" t="str">
        <x:v>Role/claim intake, self-assessment, diagnostics, simulations, supervised tasks, AI supervision and review.</x:v>
      </x:c>
      <x:c r="E13" s="114" t="str">
        <x:v>Assessment Product Lead</x:v>
      </x:c>
      <x:c r="F13" s="114" t="str">
        <x:v>Workflow/Domain Experts/L&amp;D</x:v>
      </x:c>
      <x:c r="G13" s="114" t="str">
        <x:v>S8-BL-004,S8-BL-005</x:v>
      </x:c>
      <x:c r="H13" s="114" t="str">
        <x:v>High</x:v>
      </x:c>
      <x:c r="I13" s="114" t="str">
        <x:v>Not Started</x:v>
      </x:c>
      <x:c r="J13" s="135" t="n">
        <x:f>IF(I13="Approved",1,IF(I13="Draft Complete",0.8,IF(I13="In Review",0.6,IF(I13="In Progress",0.4,IF(I13="Blocked",0,0)))))</x:f>
        <x:v>0</x:v>
      </x:c>
      <x:c r="K13" s="114" t="n">
        <x:v>16</x:v>
      </x:c>
      <x:c r="L13" s="114" t="str">
        <x:v>Baseline workflow</x:v>
      </x:c>
      <x:c r="M13" s="114" t="str">
        <x:v>Assessment is provisional, accessible and versioned.</x:v>
      </x:c>
      <x:c r="N13" s="114" t="str">
        <x:v>Employee briefing/consent-policy evidence.</x:v>
      </x:c>
      <x:c r="O13" s="726" t="str">
        <x:v>Baseline Assessment Model</x:v>
      </x:c>
    </x:row>
    <x:row r="14">
      <x:c r="A14" s="730" t="str">
        <x:v>S8-BL-010</x:v>
      </x:c>
      <x:c r="B14" s="731" t="str">
        <x:v>Readiness</x:v>
      </x:c>
      <x:c r="C14" s="731" t="str">
        <x:v>Implement Role Readiness service/read model</x:v>
      </x:c>
      <x:c r="D14" s="731" t="str">
        <x:v>Critical floors, coverage, level, confidence, freshness, support and dispute states.</x:v>
      </x:c>
      <x:c r="E14" s="731" t="str">
        <x:v>Role Readiness Lead</x:v>
      </x:c>
      <x:c r="F14" s="731" t="str">
        <x:v>HR/Product/Data</x:v>
      </x:c>
      <x:c r="G14" s="731" t="str">
        <x:v>S8-BL-007,S8-BL-009</x:v>
      </x:c>
      <x:c r="H14" s="731" t="str">
        <x:v>Critical</x:v>
      </x:c>
      <x:c r="I14" s="731" t="str">
        <x:v>Not Started</x:v>
      </x:c>
      <x:c r="J14" s="740" t="n">
        <x:f>IF(I14="Approved",1,IF(I14="Draft Complete",0.8,IF(I14="In Review",0.6,IF(I14="In Progress",0.4,IF(I14="Blocked",0,0)))))</x:f>
        <x:v>0</x:v>
      </x:c>
      <x:c r="K14" s="731" t="n">
        <x:v>14</x:v>
      </x:c>
      <x:c r="L14" s="731" t="str">
        <x:v>Role readiness service</x:v>
      </x:c>
      <x:c r="M14" s="731" t="str">
        <x:v>No READY when critical gap/insufficient evidence; score advisory only.</x:v>
      </x:c>
      <x:c r="N14" s="731" t="str">
        <x:v>No automatic employment action.</x:v>
      </x:c>
      <x:c r="O14" s="732" t="str">
        <x:v>Role Readiness Model</x:v>
      </x:c>
    </x:row>
    <x:row r="15">
      <x:c r="A15" s="725" t="str">
        <x:v>S8-BL-011</x:v>
      </x:c>
      <x:c r="B15" s="114" t="str">
        <x:v>Review</x:v>
      </x:c>
      <x:c r="C15" s="114" t="str">
        <x:v>Implement capability review, correction and appeal</x:v>
      </x:c>
      <x:c r="D15" s="114" t="str">
        <x:v>Finding package, reviewer assignment, decisions, versioning, employee correction and appeal.</x:v>
      </x:c>
      <x:c r="E15" s="114" t="str">
        <x:v>Governance Product Owner</x:v>
      </x:c>
      <x:c r="F15" s="114" t="str">
        <x:v>Workflow/HR/DPO/Backend</x:v>
      </x:c>
      <x:c r="G15" s="114" t="str">
        <x:v>S8-BL-007:S8-BL-010</x:v>
      </x:c>
      <x:c r="H15" s="114" t="str">
        <x:v>Critical</x:v>
      </x:c>
      <x:c r="I15" s="114" t="str">
        <x:v>Not Started</x:v>
      </x:c>
      <x:c r="J15" s="135" t="n">
        <x:f>IF(I15="Approved",1,IF(I15="Draft Complete",0.8,IF(I15="In Review",0.6,IF(I15="In Progress",0.4,IF(I15="Blocked",0,0)))))</x:f>
        <x:v>0</x:v>
      </x:c>
      <x:c r="K15" s="114" t="n">
        <x:v>14</x:v>
      </x:c>
      <x:c r="L15" s="114" t="str">
        <x:v>Review workflows</x:v>
      </x:c>
      <x:c r="M15" s="114" t="str">
        <x:v>Material negative/high-impact states require meaningful human review.</x:v>
      </x:c>
      <x:c r="N15" s="114" t="str">
        <x:v>Audit/purpose/access controls.</x:v>
      </x:c>
      <x:c r="O15" s="726" t="str">
        <x:v>Capability Review and Audit</x:v>
      </x:c>
    </x:row>
    <x:row r="16">
      <x:c r="A16" s="730" t="str">
        <x:v>S8-BL-012</x:v>
      </x:c>
      <x:c r="B16" s="731" t="str">
        <x:v>APIs/events</x:v>
      </x:c>
      <x:c r="C16" s="731" t="str">
        <x:v>Implement Stage 8 APIs and events</x:v>
      </x:c>
      <x:c r="D16" s="731" t="str">
        <x:v>Capability evidence, scoring, claims, baseline, readiness, review, corrections and reassessments.</x:v>
      </x:c>
      <x:c r="E16" s="731" t="str">
        <x:v>Backend/API Lead</x:v>
      </x:c>
      <x:c r="F16" s="731" t="str">
        <x:v>Data/Workflow/AI</x:v>
      </x:c>
      <x:c r="G16" s="731" t="str">
        <x:v>S8-BL-002:S8-BL-011</x:v>
      </x:c>
      <x:c r="H16" s="731" t="str">
        <x:v>High</x:v>
      </x:c>
      <x:c r="I16" s="731" t="str">
        <x:v>Not Started</x:v>
      </x:c>
      <x:c r="J16" s="740" t="n">
        <x:f>IF(I16="Approved",1,IF(I16="Draft Complete",0.8,IF(I16="In Review",0.6,IF(I16="In Progress",0.4,IF(I16="Blocked",0,0)))))</x:f>
        <x:v>0</x:v>
      </x:c>
      <x:c r="K16" s="731" t="n">
        <x:v>12</x:v>
      </x:c>
      <x:c r="L16" s="731" t="str">
        <x:v>OpenAPI/event package</x:v>
      </x:c>
      <x:c r="M16" s="731" t="str">
        <x:v>Contracts validate and event lineage/replay work.</x:v>
      </x:c>
      <x:c r="N16" s="731" t="str">
        <x:v>Sensitive data referenced not embedded.</x:v>
      </x:c>
      <x:c r="O16" s="732" t="str">
        <x:v>Stage 8-9 APIs and Events</x:v>
      </x:c>
    </x:row>
    <x:row r="17">
      <x:c r="A17" s="725" t="str">
        <x:v>S8-BL-013</x:v>
      </x:c>
      <x:c r="B17" s="114" t="str">
        <x:v>Employee UX</x:v>
      </x:c>
      <x:c r="C17" s="114" t="str">
        <x:v>Build capability/claim/readiness employee views</x:v>
      </x:c>
      <x:c r="D17" s="114" t="str">
        <x:v>Show evidence summaries, confidence/freshness, goals, dispute and reassessment.</x:v>
      </x:c>
      <x:c r="E17" s="114" t="str">
        <x:v>Product/Frontend Lead</x:v>
      </x:c>
      <x:c r="F17" s="114" t="str">
        <x:v>Backend/Accessibility/DPO</x:v>
      </x:c>
      <x:c r="G17" s="114" t="str">
        <x:v>S8-BL-007:S8-BL-012</x:v>
      </x:c>
      <x:c r="H17" s="114" t="str">
        <x:v>High</x:v>
      </x:c>
      <x:c r="I17" s="114" t="str">
        <x:v>Not Started</x:v>
      </x:c>
      <x:c r="J17" s="135" t="n">
        <x:f>IF(I17="Approved",1,IF(I17="Draft Complete",0.8,IF(I17="In Review",0.6,IF(I17="In Progress",0.4,IF(I17="Blocked",0,0)))))</x:f>
        <x:v>0</x:v>
      </x:c>
      <x:c r="K17" s="114" t="n">
        <x:v>12</x:v>
      </x:c>
      <x:c r="L17" s="114" t="str">
        <x:v>Employee capability UI</x:v>
      </x:c>
      <x:c r="M17" s="114" t="str">
        <x:v>Employee can inspect and challenge material state.</x:v>
      </x:c>
      <x:c r="N17" s="114" t="str">
        <x:v>Accessibility and privacy.</x:v>
      </x:c>
      <x:c r="O17" s="726" t="str">
        <x:v>Capability Review and Audit</x:v>
      </x:c>
    </x:row>
    <x:row r="18">
      <x:c r="A18" s="730" t="str">
        <x:v>S8-BL-014</x:v>
      </x:c>
      <x:c r="B18" s="731" t="str">
        <x:v>Evaluation</x:v>
      </x:c>
      <x:c r="C18" s="731" t="str">
        <x:v>Create scoring/fairness evaluation dataset</x:v>
      </x:c>
      <x:c r="D18" s="731" t="str">
        <x:v>Cases for blockers, accommodations, AI-assisted work, stale evidence, contradictions, single-task evidence and claims.</x:v>
      </x:c>
      <x:c r="E18" s="731" t="str">
        <x:v>AI Evaluation Lead</x:v>
      </x:c>
      <x:c r="F18" s="731" t="str">
        <x:v>Domain Experts/HR/DPO</x:v>
      </x:c>
      <x:c r="G18" s="731" t="str">
        <x:v>S8-BL-006,S8-BL-011</x:v>
      </x:c>
      <x:c r="H18" s="731" t="str">
        <x:v>Critical</x:v>
      </x:c>
      <x:c r="I18" s="731" t="str">
        <x:v>Not Started</x:v>
      </x:c>
      <x:c r="J18" s="740" t="n">
        <x:f>IF(I18="Approved",1,IF(I18="Draft Complete",0.8,IF(I18="In Review",0.6,IF(I18="In Progress",0.4,IF(I18="Blocked",0,0)))))</x:f>
        <x:v>0</x:v>
      </x:c>
      <x:c r="K18" s="731" t="n">
        <x:v>14</x:v>
      </x:c>
      <x:c r="L18" s="731" t="str">
        <x:v>Evaluation dataset/report</x:v>
      </x:c>
      <x:c r="M18" s="731" t="str">
        <x:v>Eligibility, calibration and fairness tests pass before pilot use.</x:v>
      </x:c>
      <x:c r="N18" s="731" t="str">
        <x:v>Restricted protected data handling.</x:v>
      </x:c>
      <x:c r="O18" s="732" t="str">
        <x:v>Capability Scoring Model</x:v>
      </x:c>
    </x:row>
    <x:row r="19">
      <x:c r="A19" s="725" t="str">
        <x:v>S8-BL-015</x:v>
      </x:c>
      <x:c r="B19" s="114" t="str">
        <x:v>Data governance</x:v>
      </x:c>
      <x:c r="C19" s="114" t="str">
        <x:v>Implement capability retention/access/audit controls</x:v>
      </x:c>
      <x:c r="D19" s="114" t="str">
        <x:v>Separate raw evidence, capability evidence, state, claims and review retention/access.</x:v>
      </x:c>
      <x:c r="E19" s="114" t="str">
        <x:v>DPO/Data Governance</x:v>
      </x:c>
      <x:c r="F19" s="114" t="str">
        <x:v>Security/Backend</x:v>
      </x:c>
      <x:c r="G19" s="114" t="str">
        <x:v>S8-BL-003,S8-BL-011</x:v>
      </x:c>
      <x:c r="H19" s="114" t="str">
        <x:v>Critical</x:v>
      </x:c>
      <x:c r="I19" s="114" t="str">
        <x:v>Not Started</x:v>
      </x:c>
      <x:c r="J19" s="135" t="n">
        <x:f>IF(I19="Approved",1,IF(I19="Draft Complete",0.8,IF(I19="In Review",0.6,IF(I19="In Progress",0.4,IF(I19="Blocked",0,0)))))</x:f>
        <x:v>0</x:v>
      </x:c>
      <x:c r="K19" s="114" t="n">
        <x:v>10</x:v>
      </x:c>
      <x:c r="L19" s="114" t="str">
        <x:v>Policy/retention implementation</x:v>
      </x:c>
      <x:c r="M19" s="114" t="str">
        <x:v>Deletion/correction propagates and all access is audited.</x:v>
      </x:c>
      <x:c r="N19" s="114" t="str">
        <x:v>No manager raw evidence default.</x:v>
      </x:c>
      <x:c r="O19" s="726" t="str">
        <x:v>Capability Review and Audit</x:v>
      </x:c>
    </x:row>
    <x:row r="20">
      <x:c r="A20" s="730" t="str">
        <x:v>S8-BL-016</x:v>
      </x:c>
      <x:c r="B20" s="731" t="str">
        <x:v>Validation</x:v>
      </x:c>
      <x:c r="C20" s="731" t="str">
        <x:v>Execute Stage 8 end-to-end validation</x:v>
      </x:c>
      <x:c r="D20" s="731" t="str">
        <x:v>Role→task→evidence→state→claim/readiness→review scenarios.</x:v>
      </x:c>
      <x:c r="E20" s="731" t="str">
        <x:v>QA Lead</x:v>
      </x:c>
      <x:c r="F20" s="731" t="str">
        <x:v>All Stage 8 owners</x:v>
      </x:c>
      <x:c r="G20" s="731" t="str">
        <x:v>S8-BL-001:S8-BL-015</x:v>
      </x:c>
      <x:c r="H20" s="731" t="str">
        <x:v>Critical</x:v>
      </x:c>
      <x:c r="I20" s="731" t="str">
        <x:v>Not Started</x:v>
      </x:c>
      <x:c r="J20" s="740" t="n">
        <x:f>IF(I20="Approved",1,IF(I20="Draft Complete",0.8,IF(I20="In Review",0.6,IF(I20="In Progress",0.4,IF(I20="Blocked",0,0)))))</x:f>
        <x:v>0</x:v>
      </x:c>
      <x:c r="K20" s="731" t="n">
        <x:v>16</x:v>
      </x:c>
      <x:c r="L20" s="731" t="str">
        <x:v>Stage 8 validation report</x:v>
      </x:c>
      <x:c r="M20" s="731" t="str">
        <x:v>All gate criteria and blocking fairness/security tests pass.</x:v>
      </x:c>
      <x:c r="N20" s="731" t="str">
        <x:v>Synthetic/consented data only.</x:v>
      </x:c>
      <x:c r="O20" s="732" t="str">
        <x:v>Stage 8 Gate</x:v>
      </x:c>
    </x:row>
    <x:row r="21">
      <x:c r="A21" s="727" t="str">
        <x:v>S8-BL-017</x:v>
      </x:c>
      <x:c r="B21" s="728" t="str">
        <x:v>Documentation</x:v>
      </x:c>
      <x:c r="C21" s="728" t="str">
        <x:v>Complete Stage 8 implementation package</x:v>
      </x:c>
      <x:c r="D21" s="728" t="str">
        <x:v>Architecture, schemas, APIs, models, workflows, tests, risks, ADRs and gate evidence.</x:v>
      </x:c>
      <x:c r="E21" s="728" t="str">
        <x:v>Programme Lead</x:v>
      </x:c>
      <x:c r="F21" s="728" t="str">
        <x:v>All owners</x:v>
      </x:c>
      <x:c r="G21" s="728" t="str">
        <x:v>S8-BL-001:S8-BL-016</x:v>
      </x:c>
      <x:c r="H21" s="728" t="str">
        <x:v>High</x:v>
      </x:c>
      <x:c r="I21" s="728" t="str">
        <x:v>Not Started</x:v>
      </x:c>
      <x:c r="J21" s="741" t="n">
        <x:f>IF(I21="Approved",1,IF(I21="Draft Complete",0.8,IF(I21="In Review",0.6,IF(I21="In Progress",0.4,IF(I21="Blocked",0,0)))))</x:f>
        <x:v>0</x:v>
      </x:c>
      <x:c r="K21" s="728" t="n">
        <x:v>5</x:v>
      </x:c>
      <x:c r="L21" s="728" t="str">
        <x:v>Stage 8 package</x:v>
      </x:c>
      <x:c r="M21" s="728" t="str">
        <x:v>Ready for Stage 8 gate and Stage 9 integration.</x:v>
      </x:c>
      <x:c r="N21" s="728" t="str">
        <x:v>Source/decision traceability complete.</x:v>
      </x:c>
      <x:c r="O21" s="729" t="str">
        <x:v>Stage 8 Gate</x:v>
      </x:c>
    </x:row>
  </x:sheetData>
  <x:mergeCells>
    <x:mergeCell ref="A1:O1"/>
    <x:mergeCell ref="A2:O2"/>
  </x:mergeCells>
  <x:dataValidations count="2">
    <x:dataValidation type="list" sqref="H5:H21">
      <x:formula1>"Critical,High,Medium,Low"</x:formula1>
    </x:dataValidation>
    <x:dataValidation type="list" sqref="I5:I21">
      <x:formula1>"Not Started,In Progress,Draft Complete,In Review,Approved,Blocked,Deferred"</x:formula1>
    </x:dataValidation>
  </x:dataValidations>
  <x:pageMargins left="0.7" right="0.7" top="0.75" bottom="0.75" header="0.3" footer="0.3"/>
</x:worksheet>
</file>

<file path=xl/worksheets/sheet130.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60" hidden="0" customWidth="1"/>
    <x:col min="5" max="5" width="26" hidden="0" customWidth="1"/>
    <x:col min="6" max="6" width="32"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8" hidden="0" customWidth="1"/>
    <x:col min="14" max="14" width="50" hidden="0" customWidth="1"/>
    <x:col min="15" max="15" width="28" hidden="0" customWidth="1"/>
  </x:cols>
  <x:sheetData>
    <x:row r="1" ht="30" customHeight="1">
      <x:c r="A1" s="687" t="str">
        <x:v>Stage 9 — Growth Coach and Learning Loop Backlog</x:v>
      </x:c>
      <x:c r="B1" s="687"/>
      <x:c r="C1" s="687"/>
      <x:c r="D1" s="687"/>
      <x:c r="E1" s="687"/>
      <x:c r="F1" s="687"/>
      <x:c r="G1" s="687"/>
      <x:c r="H1" s="687"/>
      <x:c r="I1" s="687"/>
      <x:c r="J1" s="687"/>
      <x:c r="K1" s="687"/>
      <x:c r="L1" s="687"/>
      <x:c r="M1" s="687"/>
      <x:c r="N1" s="687"/>
      <x:c r="O1" s="687"/>
    </x:row>
    <x:row r="2" ht="36" customHeight="1">
      <x:c r="A2" s="691" t="str">
        <x:v>Implementation-ready backlog for policy-controlled coaching, employee preferences, intervention selection/generation/delivery, learning plans, practice, mentor escalation, effectiveness and reporting.</x:v>
      </x:c>
      <x:c r="B2" s="691"/>
      <x:c r="C2" s="691"/>
      <x:c r="D2" s="691"/>
      <x:c r="E2" s="691"/>
      <x:c r="F2" s="691"/>
      <x:c r="G2" s="691"/>
      <x:c r="H2" s="691"/>
      <x:c r="I2" s="691"/>
      <x:c r="J2" s="691"/>
      <x:c r="K2" s="691"/>
      <x:c r="L2" s="691"/>
      <x:c r="M2" s="691"/>
      <x:c r="N2" s="691"/>
      <x:c r="O2" s="691"/>
    </x:row>
    <x:row r="4" ht="30" customHeight="1">
      <x:c r="A4" s="703" t="str">
        <x:v>ID</x:v>
      </x:c>
      <x:c r="B4" s="704" t="str">
        <x:v>Workstream</x:v>
      </x:c>
      <x:c r="C4" s="704" t="str">
        <x:v>Task</x:v>
      </x:c>
      <x:c r="D4" s="704" t="str">
        <x:v>Description</x:v>
      </x:c>
      <x:c r="E4" s="704" t="str">
        <x:v>Owner</x:v>
      </x:c>
      <x:c r="F4" s="704" t="str">
        <x:v>Contributors</x:v>
      </x:c>
      <x:c r="G4" s="704" t="str">
        <x:v>Dependencies</x:v>
      </x:c>
      <x:c r="H4" s="704" t="str">
        <x:v>Priority</x:v>
      </x:c>
      <x:c r="I4" s="704" t="str">
        <x:v>Status</x:v>
      </x:c>
      <x:c r="J4" s="704" t="str">
        <x:v>Completion</x:v>
      </x:c>
      <x:c r="K4" s="704" t="str">
        <x:v>Effort days</x:v>
      </x:c>
      <x:c r="L4" s="704" t="str">
        <x:v>Deliverable</x:v>
      </x:c>
      <x:c r="M4" s="704" t="str">
        <x:v>Acceptance criteria</x:v>
      </x:c>
      <x:c r="N4" s="704" t="str">
        <x:v>Privacy/security impact</x:v>
      </x:c>
      <x:c r="O4" s="705" t="str">
        <x:v>Source / basis</x:v>
      </x:c>
    </x:row>
    <x:row r="5">
      <x:c r="A5" s="722" t="str">
        <x:v>S9-BL-001</x:v>
      </x:c>
      <x:c r="B5" s="723" t="str">
        <x:v>Architecture</x:v>
      </x:c>
      <x:c r="C5" s="723" t="str">
        <x:v>Create Coaching and Learning service skeleton</x:v>
      </x:c>
      <x:c r="D5" s="723" t="str">
        <x:v>Create Java/Spring modules for preferences, policy, triggers, interventions, learning plans, feedback and effectiveness.</x:v>
      </x:c>
      <x:c r="E5" s="723" t="str">
        <x:v>Growth Coach Backend Lead</x:v>
      </x:c>
      <x:c r="F5" s="723" t="str">
        <x:v>Architecture/Workflow/Security</x:v>
      </x:c>
      <x:c r="G5" s="723" t="str">
        <x:v>Stages 7,8; HumanOS services</x:v>
      </x:c>
      <x:c r="H5" s="723" t="str">
        <x:v>Critical</x:v>
      </x:c>
      <x:c r="I5" s="723" t="str">
        <x:v>Not Started</x:v>
      </x:c>
      <x:c r="J5" s="739" t="n">
        <x:f>IF(I5="Approved",1,IF(I5="Draft Complete",0.8,IF(I5="In Review",0.6,IF(I5="In Progress",0.4,IF(I5="Blocked",0,0)))))</x:f>
        <x:v>0</x:v>
      </x:c>
      <x:c r="K5" s="723" t="n">
        <x:v>8</x:v>
      </x:c>
      <x:c r="L5" s="723" t="str">
        <x:v>Service/repository skeleton</x:v>
      </x:c>
      <x:c r="M5" s="723" t="str">
        <x:v>Build, migrations and tests run.</x:v>
      </x:c>
      <x:c r="N5" s="723" t="str">
        <x:v>Separate coaching from capability final state.</x:v>
      </x:c>
      <x:c r="O5" s="724" t="str">
        <x:v>Growth Coach Architecture</x:v>
      </x:c>
    </x:row>
    <x:row r="6">
      <x:c r="A6" s="730" t="str">
        <x:v>S9-BL-002</x:v>
      </x:c>
      <x:c r="B6" s="731" t="str">
        <x:v>Preferences</x:v>
      </x:c>
      <x:c r="C6" s="731" t="str">
        <x:v>Implement employee coaching preferences</x:v>
      </x:c>
      <x:c r="D6" s="731" t="str">
        <x:v>Channel, language, focus windows, cooldown, snooze, alternate formats and mentor preference.</x:v>
      </x:c>
      <x:c r="E6" s="731" t="str">
        <x:v>Product/Backend Lead</x:v>
      </x:c>
      <x:c r="F6" s="731" t="str">
        <x:v>Frontend/Accessibility/DPO</x:v>
      </x:c>
      <x:c r="G6" s="731" t="str">
        <x:v>S9-BL-001</x:v>
      </x:c>
      <x:c r="H6" s="731" t="str">
        <x:v>Critical</x:v>
      </x:c>
      <x:c r="I6" s="731" t="str">
        <x:v>Not Started</x:v>
      </x:c>
      <x:c r="J6" s="740" t="n">
        <x:f>IF(I6="Approved",1,IF(I6="Draft Complete",0.8,IF(I6="In Review",0.6,IF(I6="In Progress",0.4,IF(I6="Blocked",0,0)))))</x:f>
        <x:v>0</x:v>
      </x:c>
      <x:c r="K6" s="731" t="n">
        <x:v>10</x:v>
      </x:c>
      <x:c r="L6" s="731" t="str">
        <x:v>Preference APIs/UI</x:v>
      </x:c>
      <x:c r="M6" s="731" t="str">
        <x:v>Employee can control non-mandatory coaching; restricted accommodation details protected.</x:v>
      </x:c>
      <x:c r="N6" s="731" t="str">
        <x:v>No punitive use.</x:v>
      </x:c>
      <x:c r="O6" s="732" t="str">
        <x:v>Intervention Policy</x:v>
      </x:c>
    </x:row>
    <x:row r="7">
      <x:c r="A7" s="725" t="str">
        <x:v>S9-BL-003</x:v>
      </x:c>
      <x:c r="B7" s="114" t="str">
        <x:v>Policy</x:v>
      </x:c>
      <x:c r="C7" s="114" t="str">
        <x:v>Implement coaching policy and intervention eligibility</x:v>
      </x:c>
      <x:c r="D7" s="114" t="str">
        <x:v>Purpose, evidence, mode, confidence, severity, privacy and escalation decisions.</x:v>
      </x:c>
      <x:c r="E7" s="114" t="str">
        <x:v>Policy/Security Lead</x:v>
      </x:c>
      <x:c r="F7" s="114" t="str">
        <x:v>Product/DPO/AI</x:v>
      </x:c>
      <x:c r="G7" s="114" t="str">
        <x:v>S9-BL-001,S9-BL-002</x:v>
      </x:c>
      <x:c r="H7" s="114" t="str">
        <x:v>Critical</x:v>
      </x:c>
      <x:c r="I7" s="114" t="str">
        <x:v>Not Started</x:v>
      </x:c>
      <x:c r="J7" s="135" t="n">
        <x:f>IF(I7="Approved",1,IF(I7="Draft Complete",0.8,IF(I7="In Review",0.6,IF(I7="In Progress",0.4,IF(I7="Blocked",0,0)))))</x:f>
        <x:v>0</x:v>
      </x:c>
      <x:c r="K7" s="114" t="n">
        <x:v>12</x:v>
      </x:c>
      <x:c r="L7" s="114" t="str">
        <x:v>Coaching policy engine</x:v>
      </x:c>
      <x:c r="M7" s="114" t="str">
        <x:v>No intervention bypasses policy; deterministic tests pass.</x:v>
      </x:c>
      <x:c r="N7" s="114" t="str">
        <x:v>Policy/audit required.</x:v>
      </x:c>
      <x:c r="O7" s="726" t="str">
        <x:v>Intervention Policy</x:v>
      </x:c>
    </x:row>
    <x:row r="8">
      <x:c r="A8" s="730" t="str">
        <x:v>S9-BL-004</x:v>
      </x:c>
      <x:c r="B8" s="731" t="str">
        <x:v>Context</x:v>
      </x:c>
      <x:c r="C8" s="731" t="str">
        <x:v>Implement minimised coaching context assembler</x:v>
      </x:c>
      <x:c r="D8" s="731" t="str">
        <x:v>Task/criterion, reviewed blocker/gap, capability summary, preferences and prior interventions.</x:v>
      </x:c>
      <x:c r="E8" s="731" t="str">
        <x:v>Backend/Data Lead</x:v>
      </x:c>
      <x:c r="F8" s="731" t="str">
        <x:v>Task/Capability/Evidence teams</x:v>
      </x:c>
      <x:c r="G8" s="731" t="str">
        <x:v>S9-BL-003</x:v>
      </x:c>
      <x:c r="H8" s="731" t="str">
        <x:v>Critical</x:v>
      </x:c>
      <x:c r="I8" s="731" t="str">
        <x:v>Not Started</x:v>
      </x:c>
      <x:c r="J8" s="740" t="n">
        <x:f>IF(I8="Approved",1,IF(I8="Draft Complete",0.8,IF(I8="In Review",0.6,IF(I8="In Progress",0.4,IF(I8="Blocked",0,0)))))</x:f>
        <x:v>0</x:v>
      </x:c>
      <x:c r="K8" s="731" t="n">
        <x:v>12</x:v>
      </x:c>
      <x:c r="L8" s="731" t="str">
        <x:v>Context assembler</x:v>
      </x:c>
      <x:c r="M8" s="731" t="str">
        <x:v>Raw screenshots/prompts/source excluded unless separately authorised.</x:v>
      </x:c>
      <x:c r="N8" s="731" t="str">
        <x:v>Purpose-limited context.</x:v>
      </x:c>
      <x:c r="O8" s="732" t="str">
        <x:v>Growth Coach Architecture</x:v>
      </x:c>
    </x:row>
    <x:row r="9">
      <x:c r="A9" s="725" t="str">
        <x:v>S9-BL-005</x:v>
      </x:c>
      <x:c r="B9" s="114" t="str">
        <x:v>Triggers</x:v>
      </x:c>
      <x:c r="C9" s="114" t="str">
        <x:v>Implement deterministic trigger engine</x:v>
      </x:c>
      <x:c r="D9" s="114" t="str">
        <x:v>Missing verification, gate failure, blocker, deadline and learning milestone triggers.</x:v>
      </x:c>
      <x:c r="E9" s="114" t="str">
        <x:v>Task Product Lead</x:v>
      </x:c>
      <x:c r="F9" s="114" t="str">
        <x:v>Backend/QA</x:v>
      </x:c>
      <x:c r="G9" s="114" t="str">
        <x:v>S9-BL-003,S9-BL-004</x:v>
      </x:c>
      <x:c r="H9" s="114" t="str">
        <x:v>High</x:v>
      </x:c>
      <x:c r="I9" s="114" t="str">
        <x:v>Not Started</x:v>
      </x:c>
      <x:c r="J9" s="135" t="n">
        <x:f>IF(I9="Approved",1,IF(I9="Draft Complete",0.8,IF(I9="In Review",0.6,IF(I9="In Progress",0.4,IF(I9="Blocked",0,0)))))</x:f>
        <x:v>0</x:v>
      </x:c>
      <x:c r="K9" s="114" t="n">
        <x:v>10</x:v>
      </x:c>
      <x:c r="L9" s="114" t="str">
        <x:v>Trigger engine</x:v>
      </x:c>
      <x:c r="M9" s="114" t="str">
        <x:v>Trigger evidence and reason codes validated.</x:v>
      </x:c>
      <x:c r="N9" s="114" t="str">
        <x:v>No accusation/off-task conclusion.</x:v>
      </x:c>
      <x:c r="O9" s="726" t="str">
        <x:v>Coaching Modes and Triggers</x:v>
      </x:c>
    </x:row>
    <x:row r="10">
      <x:c r="A10" s="730" t="str">
        <x:v>S9-BL-006</x:v>
      </x:c>
      <x:c r="B10" s="731" t="str">
        <x:v>AI selection</x:v>
      </x:c>
      <x:c r="C10" s="731" t="str">
        <x:v>Build intervention selector recommender</x:v>
      </x:c>
      <x:c r="D10" s="731" t="str">
        <x:v>Recommend mode/timing/content approach using evidence, preferences and prior outcomes.</x:v>
      </x:c>
      <x:c r="E10" s="731" t="str">
        <x:v>AI Coach Lead</x:v>
      </x:c>
      <x:c r="F10" s="731" t="str">
        <x:v>Product/AI Evaluation</x:v>
      </x:c>
      <x:c r="G10" s="731" t="str">
        <x:v>S9-BL-004,S9-BL-005</x:v>
      </x:c>
      <x:c r="H10" s="731" t="str">
        <x:v>Critical</x:v>
      </x:c>
      <x:c r="I10" s="731" t="str">
        <x:v>Not Started</x:v>
      </x:c>
      <x:c r="J10" s="740" t="n">
        <x:f>IF(I10="Approved",1,IF(I10="Draft Complete",0.8,IF(I10="In Review",0.6,IF(I10="In Progress",0.4,IF(I10="Blocked",0,0)))))</x:f>
        <x:v>0</x:v>
      </x:c>
      <x:c r="K10" s="731" t="n">
        <x:v>14</x:v>
      </x:c>
      <x:c r="L10" s="731" t="str">
        <x:v>Selector service</x:v>
      </x:c>
      <x:c r="M10" s="731" t="str">
        <x:v>Least-intrusive valid mode; low confidence defers/asks/handoffs.</x:v>
      </x:c>
      <x:c r="N10" s="731" t="str">
        <x:v>No high-impact direct action.</x:v>
      </x:c>
      <x:c r="O10" s="732" t="str">
        <x:v>Growth Coach Architecture</x:v>
      </x:c>
    </x:row>
    <x:row r="11">
      <x:c r="A11" s="725" t="str">
        <x:v>S9-BL-007</x:v>
      </x:c>
      <x:c r="B11" s="114" t="str">
        <x:v>Generation</x:v>
      </x:c>
      <x:c r="C11" s="114" t="str">
        <x:v>Build coaching generator and safety validator</x:v>
      </x:c>
      <x:c r="D11" s="114" t="str">
        <x:v>Evidence-linked content generation plus tone, privacy, grounding and prohibited-inference checks.</x:v>
      </x:c>
      <x:c r="E11" s="114" t="str">
        <x:v>AI Coach Lead</x:v>
      </x:c>
      <x:c r="F11" s="114" t="str">
        <x:v>Model Gateway/CISO/HR</x:v>
      </x:c>
      <x:c r="G11" s="114" t="str">
        <x:v>S9-BL-004,S9-BL-006</x:v>
      </x:c>
      <x:c r="H11" s="114" t="str">
        <x:v>Critical</x:v>
      </x:c>
      <x:c r="I11" s="114" t="str">
        <x:v>Not Started</x:v>
      </x:c>
      <x:c r="J11" s="135" t="n">
        <x:f>IF(I11="Approved",1,IF(I11="Draft Complete",0.8,IF(I11="In Review",0.6,IF(I11="In Progress",0.4,IF(I11="Blocked",0,0)))))</x:f>
        <x:v>0</x:v>
      </x:c>
      <x:c r="K11" s="114" t="n">
        <x:v>16</x:v>
      </x:c>
      <x:c r="L11" s="114" t="str">
        <x:v>Coach generation pipeline</x:v>
      </x:c>
      <x:c r="M11" s="114" t="str">
        <x:v>Unsafe/unsupported content never delivered; versions recorded.</x:v>
      </x:c>
      <x:c r="N11" s="114" t="str">
        <x:v>Sensitive provider routing.</x:v>
      </x:c>
      <x:c r="O11" s="726" t="str">
        <x:v>Intervention Policy</x:v>
      </x:c>
    </x:row>
    <x:row r="12">
      <x:c r="A12" s="730" t="str">
        <x:v>S9-BL-008</x:v>
      </x:c>
      <x:c r="B12" s="731" t="str">
        <x:v>Delivery</x:v>
      </x:c>
      <x:c r="C12" s="731" t="str">
        <x:v>Implement interrupt controller and delivery channels</x:v>
      </x:c>
      <x:c r="D12" s="731" t="str">
        <x:v>Focus-aware scheduling, cooldown, endpoint/HumanOS delivery, receipt and snooze.</x:v>
      </x:c>
      <x:c r="E12" s="731" t="str">
        <x:v>Product/Platform Lead</x:v>
      </x:c>
      <x:c r="F12" s="731" t="str">
        <x:v>Device/Notification/Frontend</x:v>
      </x:c>
      <x:c r="G12" s="731" t="str">
        <x:v>S9-BL-002,S9-BL-003,S9-BL-007</x:v>
      </x:c>
      <x:c r="H12" s="731" t="str">
        <x:v>Critical</x:v>
      </x:c>
      <x:c r="I12" s="731" t="str">
        <x:v>Not Started</x:v>
      </x:c>
      <x:c r="J12" s="740" t="n">
        <x:f>IF(I12="Approved",1,IF(I12="Draft Complete",0.8,IF(I12="In Review",0.6,IF(I12="In Progress",0.4,IF(I12="Blocked",0,0)))))</x:f>
        <x:v>0</x:v>
      </x:c>
      <x:c r="K12" s="731" t="n">
        <x:v>14</x:v>
      </x:c>
      <x:c r="L12" s="731" t="str">
        <x:v>Delivery service/UI</x:v>
      </x:c>
      <x:c r="M12" s="731" t="str">
        <x:v>No cooldown violations; employee status and controls visible.</x:v>
      </x:c>
      <x:c r="N12" s="731" t="str">
        <x:v>Private-first delivery.</x:v>
      </x:c>
      <x:c r="O12" s="732" t="str">
        <x:v>Growth Coach Architecture</x:v>
      </x:c>
    </x:row>
    <x:row r="13">
      <x:c r="A13" s="725" t="str">
        <x:v>S9-BL-009</x:v>
      </x:c>
      <x:c r="B13" s="114" t="str">
        <x:v>Feedback</x:v>
      </x:c>
      <x:c r="C13" s="114" t="str">
        <x:v>Implement coaching feedback and incorrect-context correction</x:v>
      </x:c>
      <x:c r="D13" s="114" t="str">
        <x:v>Useful, not useful, mistimed, wrong context, snooze and free-text feedback.</x:v>
      </x:c>
      <x:c r="E13" s="114" t="str">
        <x:v>Product/Backend Lead</x:v>
      </x:c>
      <x:c r="F13" s="114" t="str">
        <x:v>AI Evaluation/Governance</x:v>
      </x:c>
      <x:c r="G13" s="114" t="str">
        <x:v>S9-BL-008</x:v>
      </x:c>
      <x:c r="H13" s="114" t="str">
        <x:v>Critical</x:v>
      </x:c>
      <x:c r="I13" s="114" t="str">
        <x:v>Not Started</x:v>
      </x:c>
      <x:c r="J13" s="135" t="n">
        <x:f>IF(I13="Approved",1,IF(I13="Draft Complete",0.8,IF(I13="In Review",0.6,IF(I13="In Progress",0.4,IF(I13="Blocked",0,0)))))</x:f>
        <x:v>0</x:v>
      </x:c>
      <x:c r="K13" s="114" t="n">
        <x:v>8</x:v>
      </x:c>
      <x:c r="L13" s="114" t="str">
        <x:v>Feedback workflow</x:v>
      </x:c>
      <x:c r="M13" s="114" t="str">
        <x:v>Feedback cannot be used punitively and invalidates repeated wrong triggers.</x:v>
      </x:c>
      <x:c r="N13" s="114" t="str">
        <x:v>Private content retention.</x:v>
      </x:c>
      <x:c r="O13" s="726" t="str">
        <x:v>Coaching Effectiveness Metrics</x:v>
      </x:c>
    </x:row>
    <x:row r="14">
      <x:c r="A14" s="730" t="str">
        <x:v>S9-BL-010</x:v>
      </x:c>
      <x:c r="B14" s="731" t="str">
        <x:v>Learning plans</x:v>
      </x:c>
      <x:c r="C14" s="731" t="str">
        <x:v>Implement learning-plan domain and workflow</x:v>
      </x:c>
      <x:c r="D14" s="731" t="str">
        <x:v>Goals, artefacts, practice, evidence criteria, employee review, state transitions and versioning.</x:v>
      </x:c>
      <x:c r="E14" s="731" t="str">
        <x:v>L&amp;D Product Lead</x:v>
      </x:c>
      <x:c r="F14" s="731" t="str">
        <x:v>Backend/Workflow/Capability</x:v>
      </x:c>
      <x:c r="G14" s="731" t="str">
        <x:v>S9-BL-001,S8-BL-007</x:v>
      </x:c>
      <x:c r="H14" s="731" t="str">
        <x:v>Critical</x:v>
      </x:c>
      <x:c r="I14" s="731" t="str">
        <x:v>Not Started</x:v>
      </x:c>
      <x:c r="J14" s="740" t="n">
        <x:f>IF(I14="Approved",1,IF(I14="Draft Complete",0.8,IF(I14="In Review",0.6,IF(I14="In Progress",0.4,IF(I14="Blocked",0,0)))))</x:f>
        <x:v>0</x:v>
      </x:c>
      <x:c r="K14" s="731" t="n">
        <x:v>14</x:v>
      </x:c>
      <x:c r="L14" s="731" t="str">
        <x:v>Learning plan service</x:v>
      </x:c>
      <x:c r="M14" s="731" t="str">
        <x:v>Completion alone cannot update capability.</x:v>
      </x:c>
      <x:c r="N14" s="731" t="str">
        <x:v>Employee goals/accessibility.</x:v>
      </x:c>
      <x:c r="O14" s="732" t="str">
        <x:v>Learning Loop Model</x:v>
      </x:c>
    </x:row>
    <x:row r="15">
      <x:c r="A15" s="725" t="str">
        <x:v>S9-BL-011</x:v>
      </x:c>
      <x:c r="B15" s="114" t="str">
        <x:v>Catalogue</x:v>
      </x:c>
      <x:c r="C15" s="114" t="str">
        <x:v>Implement learning artefact catalogue and integrations</x:v>
      </x:c>
      <x:c r="D15" s="114" t="str">
        <x:v>Internal content, prompts/checklists, courses, licences, prerequisites and versioning.</x:v>
      </x:c>
      <x:c r="E15" s="114" t="str">
        <x:v>L&amp;D Platform Lead</x:v>
      </x:c>
      <x:c r="F15" s="114" t="str">
        <x:v>Procurement/Skill Forge/Data</x:v>
      </x:c>
      <x:c r="G15" s="114" t="str">
        <x:v>S9-BL-010</x:v>
      </x:c>
      <x:c r="H15" s="114" t="str">
        <x:v>High</x:v>
      </x:c>
      <x:c r="I15" s="114" t="str">
        <x:v>Not Started</x:v>
      </x:c>
      <x:c r="J15" s="135" t="n">
        <x:f>IF(I15="Approved",1,IF(I15="Draft Complete",0.8,IF(I15="In Review",0.6,IF(I15="In Progress",0.4,IF(I15="Blocked",0,0)))))</x:f>
        <x:v>0</x:v>
      </x:c>
      <x:c r="K15" s="114" t="n">
        <x:v>12</x:v>
      </x:c>
      <x:c r="L15" s="114" t="str">
        <x:v>Learning catalogue</x:v>
      </x:c>
      <x:c r="M15" s="114" t="str">
        <x:v>Content source/licence/quality and expected applied evidence recorded.</x:v>
      </x:c>
      <x:c r="N15" s="114" t="str">
        <x:v>External data sharing reviewed.</x:v>
      </x:c>
      <x:c r="O15" s="726" t="str">
        <x:v>Learning Artefacts</x:v>
      </x:c>
    </x:row>
    <x:row r="16">
      <x:c r="A16" s="730" t="str">
        <x:v>S9-BL-012</x:v>
      </x:c>
      <x:c r="B16" s="731" t="str">
        <x:v>Practice</x:v>
      </x:c>
      <x:c r="C16" s="731" t="str">
        <x:v>Implement practice/reassessment task orchestration</x:v>
      </x:c>
      <x:c r="D16" s="731" t="str">
        <x:v>Assign guided/challenge/live tasks with criteria, support and reviewer workflow.</x:v>
      </x:c>
      <x:c r="E16" s="731" t="str">
        <x:v>L&amp;D/Task Lead</x:v>
      </x:c>
      <x:c r="F16" s="731" t="str">
        <x:v>Task Service/Domain Reviewers</x:v>
      </x:c>
      <x:c r="G16" s="731" t="str">
        <x:v>S9-BL-010,S9-BL-011</x:v>
      </x:c>
      <x:c r="H16" s="731" t="str">
        <x:v>Critical</x:v>
      </x:c>
      <x:c r="I16" s="731" t="str">
        <x:v>Not Started</x:v>
      </x:c>
      <x:c r="J16" s="740" t="n">
        <x:f>IF(I16="Approved",1,IF(I16="Draft Complete",0.8,IF(I16="In Review",0.6,IF(I16="In Progress",0.4,IF(I16="Blocked",0,0)))))</x:f>
        <x:v>0</x:v>
      </x:c>
      <x:c r="K16" s="731" t="n">
        <x:v>14</x:v>
      </x:c>
      <x:c r="L16" s="731" t="str">
        <x:v>Practice workflow</x:v>
      </x:c>
      <x:c r="M16" s="731" t="str">
        <x:v>Practice evidence and independent live evidence remain distinct.</x:v>
      </x:c>
      <x:c r="N16" s="731" t="str">
        <x:v>Developmental use.</x:v>
      </x:c>
      <x:c r="O16" s="732" t="str">
        <x:v>Learning Loop Model</x:v>
      </x:c>
    </x:row>
    <x:row r="17">
      <x:c r="A17" s="725" t="str">
        <x:v>S9-BL-013</x:v>
      </x:c>
      <x:c r="B17" s="114" t="str">
        <x:v>Learning records</x:v>
      </x:c>
      <x:c r="C17" s="114" t="str">
        <x:v>Implement internal learning-event model with optional xAPI mapping</x:v>
      </x:c>
      <x:c r="D17" s="114" t="str">
        <x:v>Record activity/result/context while HumanOS remains source of learning/capability state.</x:v>
      </x:c>
      <x:c r="E17" s="114" t="str">
        <x:v>Learning Data Lead</x:v>
      </x:c>
      <x:c r="F17" s="114" t="str">
        <x:v>LMS/Data/Backend</x:v>
      </x:c>
      <x:c r="G17" s="114" t="str">
        <x:v>S9-BL-010,S9-BL-011</x:v>
      </x:c>
      <x:c r="H17" s="114" t="str">
        <x:v>Medium</x:v>
      </x:c>
      <x:c r="I17" s="114" t="str">
        <x:v>Not Started</x:v>
      </x:c>
      <x:c r="J17" s="135" t="n">
        <x:f>IF(I17="Approved",1,IF(I17="Draft Complete",0.8,IF(I17="In Review",0.6,IF(I17="In Progress",0.4,IF(I17="Blocked",0,0)))))</x:f>
        <x:v>0</x:v>
      </x:c>
      <x:c r="K17" s="114" t="n">
        <x:v>10</x:v>
      </x:c>
      <x:c r="L17" s="114" t="str">
        <x:v>Learning event adapter</x:v>
      </x:c>
      <x:c r="M17" s="114" t="str">
        <x:v>xAPI interoperability does not imply capability proof.</x:v>
      </x:c>
      <x:c r="N17" s="114" t="str">
        <x:v>Minimise external LRS sharing.</x:v>
      </x:c>
      <x:c r="O17" s="726" t="str">
        <x:v>Stage 8-9 Sources</x:v>
      </x:c>
    </x:row>
    <x:row r="18">
      <x:c r="A18" s="730" t="str">
        <x:v>S9-BL-014</x:v>
      </x:c>
      <x:c r="B18" s="731" t="str">
        <x:v>Mentor escalation</x:v>
      </x:c>
      <x:c r="C18" s="731" t="str">
        <x:v>Implement mentor/expert handoff workflow</x:v>
      </x:c>
      <x:c r="D18" s="731" t="str">
        <x:v>Qualified routing, information scope, goals, scheduling, agreed summary and outcome.</x:v>
      </x:c>
      <x:c r="E18" s="731" t="str">
        <x:v>L&amp;D/Workflow Lead</x:v>
      </x:c>
      <x:c r="F18" s="731" t="str">
        <x:v>Organisation/Directory/HR</x:v>
      </x:c>
      <x:c r="G18" s="731" t="str">
        <x:v>S9-BL-003,S9-BL-010</x:v>
      </x:c>
      <x:c r="H18" s="731" t="str">
        <x:v>High</x:v>
      </x:c>
      <x:c r="I18" s="731" t="str">
        <x:v>Not Started</x:v>
      </x:c>
      <x:c r="J18" s="740" t="n">
        <x:f>IF(I18="Approved",1,IF(I18="Draft Complete",0.8,IF(I18="In Review",0.6,IF(I18="In Progress",0.4,IF(I18="Blocked",0,0)))))</x:f>
        <x:v>0</x:v>
      </x:c>
      <x:c r="K18" s="731" t="n">
        <x:v>10</x:v>
      </x:c>
      <x:c r="L18" s="731" t="str">
        <x:v>Mentor workflow</x:v>
      </x:c>
      <x:c r="M18" s="731" t="str">
        <x:v>Private mentor content not exposed raw to manager.</x:v>
      </x:c>
      <x:c r="N18" s="731" t="str">
        <x:v>Employee-aware handoff.</x:v>
      </x:c>
      <x:c r="O18" s="732" t="str">
        <x:v>Growth Coach Architecture</x:v>
      </x:c>
    </x:row>
    <x:row r="19">
      <x:c r="A19" s="725" t="str">
        <x:v>S9-BL-015</x:v>
      </x:c>
      <x:c r="B19" s="114" t="str">
        <x:v>Effectiveness</x:v>
      </x:c>
      <x:c r="C19" s="114" t="str">
        <x:v>Implement coaching and learning effectiveness analytics</x:v>
      </x:c>
      <x:c r="D19" s="114" t="str">
        <x:v>Usefulness, interruption, repeated errors, verification uplift, applied evidence, fairness and regression.</x:v>
      </x:c>
      <x:c r="E19" s="114" t="str">
        <x:v>AI Evaluation Lead</x:v>
      </x:c>
      <x:c r="F19" s="114" t="str">
        <x:v>Product/L&amp;D/DPO/Data</x:v>
      </x:c>
      <x:c r="G19" s="114" t="str">
        <x:v>S9-BL-009:S9-BL-014</x:v>
      </x:c>
      <x:c r="H19" s="114" t="str">
        <x:v>Critical</x:v>
      </x:c>
      <x:c r="I19" s="114" t="str">
        <x:v>Not Started</x:v>
      </x:c>
      <x:c r="J19" s="135" t="n">
        <x:f>IF(I19="Approved",1,IF(I19="Draft Complete",0.8,IF(I19="In Review",0.6,IF(I19="In Progress",0.4,IF(I19="Blocked",0,0)))))</x:f>
        <x:v>0</x:v>
      </x:c>
      <x:c r="K19" s="114" t="n">
        <x:v>14</x:v>
      </x:c>
      <x:c r="L19" s="114" t="str">
        <x:v>Effectiveness read model/report</x:v>
      </x:c>
      <x:c r="M19" s="114" t="str">
        <x:v>Metrics are system quality measures, not employee scores.</x:v>
      </x:c>
      <x:c r="N19" s="114" t="str">
        <x:v>Cohort/coverage safeguards.</x:v>
      </x:c>
      <x:c r="O19" s="726" t="str">
        <x:v>Coaching Effectiveness Metrics</x:v>
      </x:c>
    </x:row>
    <x:row r="20">
      <x:c r="A20" s="730" t="str">
        <x:v>S9-BL-016</x:v>
      </x:c>
      <x:c r="B20" s="731" t="str">
        <x:v>Reporting</x:v>
      </x:c>
      <x:c r="C20" s="731" t="str">
        <x:v>Implement employee, manager and L&amp;D development views</x:v>
      </x:c>
      <x:c r="D20" s="731" t="str">
        <x:v>Role/capability progress, learning application, blockers, reviewed themes and disputes.</x:v>
      </x:c>
      <x:c r="E20" s="731" t="str">
        <x:v>Reporting Product Lead</x:v>
      </x:c>
      <x:c r="F20" s="731" t="str">
        <x:v>Frontend/Capability/Governance</x:v>
      </x:c>
      <x:c r="G20" s="731" t="str">
        <x:v>S9-BL-010,S9-BL-015</x:v>
      </x:c>
      <x:c r="H20" s="731" t="str">
        <x:v>Critical</x:v>
      </x:c>
      <x:c r="I20" s="731" t="str">
        <x:v>Not Started</x:v>
      </x:c>
      <x:c r="J20" s="740" t="n">
        <x:f>IF(I20="Approved",1,IF(I20="Draft Complete",0.8,IF(I20="In Review",0.6,IF(I20="In Progress",0.4,IF(I20="Blocked",0,0)))))</x:f>
        <x:v>0</x:v>
      </x:c>
      <x:c r="K20" s="731" t="n">
        <x:v>12</x:v>
      </x:c>
      <x:c r="L20" s="731" t="str">
        <x:v>Development reports</x:v>
      </x:c>
      <x:c r="M20" s="731" t="str">
        <x:v>No raw private coaching messages; employee sees material summary.</x:v>
      </x:c>
      <x:c r="N20" s="731" t="str">
        <x:v>Purpose-limited audience.</x:v>
      </x:c>
      <x:c r="O20" s="732" t="str">
        <x:v>Manager and L&amp;D Reporting</x:v>
      </x:c>
    </x:row>
    <x:row r="21">
      <x:c r="A21" s="725" t="str">
        <x:v>S9-BL-017</x:v>
      </x:c>
      <x:c r="B21" s="114" t="str">
        <x:v>Skill Forge handoff</x:v>
      </x:c>
      <x:c r="C21" s="114" t="str">
        <x:v>Publish generalised coach/content improvement candidates</x:v>
      </x:c>
      <x:c r="D21" s="114" t="str">
        <x:v>Convert reviewed outcomes and feedback into Stage 11 candidate observations.</x:v>
      </x:c>
      <x:c r="E21" s="114" t="str">
        <x:v>AI Platform Lead</x:v>
      </x:c>
      <x:c r="F21" s="114" t="str">
        <x:v>L&amp;D/Product/Governance</x:v>
      </x:c>
      <x:c r="G21" s="114" t="str">
        <x:v>S9-BL-015</x:v>
      </x:c>
      <x:c r="H21" s="114" t="str">
        <x:v>High</x:v>
      </x:c>
      <x:c r="I21" s="114" t="str">
        <x:v>Not Started</x:v>
      </x:c>
      <x:c r="J21" s="135" t="n">
        <x:f>IF(I21="Approved",1,IF(I21="Draft Complete",0.8,IF(I21="In Review",0.6,IF(I21="In Progress",0.4,IF(I21="Blocked",0,0)))))</x:f>
        <x:v>0</x:v>
      </x:c>
      <x:c r="K21" s="114" t="n">
        <x:v>8</x:v>
      </x:c>
      <x:c r="L21" s="114" t="str">
        <x:v>Skill observation events</x:v>
      </x:c>
      <x:c r="M21" s="114" t="str">
        <x:v>No confidential/personal data and no automatic activation.</x:v>
      </x:c>
      <x:c r="N21" s="114" t="str">
        <x:v>Governed self-improvement.</x:v>
      </x:c>
      <x:c r="O21" s="726" t="str">
        <x:v>Growth Coach Architecture</x:v>
      </x:c>
    </x:row>
    <x:row r="22">
      <x:c r="A22" s="730" t="str">
        <x:v>S9-BL-018</x:v>
      </x:c>
      <x:c r="B22" s="731" t="str">
        <x:v>Evaluation</x:v>
      </x:c>
      <x:c r="C22" s="731" t="str">
        <x:v>Create coaching safety/usefulness/interruption evaluation suite</x:v>
      </x:c>
      <x:c r="D22" s="731" t="str">
        <x:v>Test evidence grounding, tone, privacy, triggers, cooldowns, accommodations and escalation.</x:v>
      </x:c>
      <x:c r="E22" s="731" t="str">
        <x:v>QA/AI Evaluation Lead</x:v>
      </x:c>
      <x:c r="F22" s="731" t="str">
        <x:v>HR/DPO/CISO/Employees</x:v>
      </x:c>
      <x:c r="G22" s="731" t="str">
        <x:v>S9-BL-003:S9-BL-017</x:v>
      </x:c>
      <x:c r="H22" s="731" t="str">
        <x:v>Critical</x:v>
      </x:c>
      <x:c r="I22" s="731" t="str">
        <x:v>Not Started</x:v>
      </x:c>
      <x:c r="J22" s="740" t="n">
        <x:f>IF(I22="Approved",1,IF(I22="Draft Complete",0.8,IF(I22="In Review",0.6,IF(I22="In Progress",0.4,IF(I22="Blocked",0,0)))))</x:f>
        <x:v>0</x:v>
      </x:c>
      <x:c r="K22" s="731" t="n">
        <x:v>16</x:v>
      </x:c>
      <x:c r="L22" s="731" t="str">
        <x:v>Stage 9 evaluation report</x:v>
      </x:c>
      <x:c r="M22" s="731" t="str">
        <x:v>All blocking policy/safety/fairness tests pass.</x:v>
      </x:c>
      <x:c r="N22" s="731" t="str">
        <x:v>Consented/synthetic evaluation data.</x:v>
      </x:c>
      <x:c r="O22" s="732" t="str">
        <x:v>Stage 9 Gate</x:v>
      </x:c>
    </x:row>
    <x:row r="23">
      <x:c r="A23" s="727" t="str">
        <x:v>S9-BL-019</x:v>
      </x:c>
      <x:c r="B23" s="728" t="str">
        <x:v>Documentation</x:v>
      </x:c>
      <x:c r="C23" s="728" t="str">
        <x:v>Complete Stage 9 implementation package</x:v>
      </x:c>
      <x:c r="D23" s="728" t="str">
        <x:v>Architecture, policy, modes, loop, artefacts, metrics, reports, APIs, risks, ADRs and gate evidence.</x:v>
      </x:c>
      <x:c r="E23" s="728" t="str">
        <x:v>Programme Lead</x:v>
      </x:c>
      <x:c r="F23" s="728" t="str">
        <x:v>All owners</x:v>
      </x:c>
      <x:c r="G23" s="728" t="str">
        <x:v>S9-BL-001:S9-BL-018</x:v>
      </x:c>
      <x:c r="H23" s="728" t="str">
        <x:v>High</x:v>
      </x:c>
      <x:c r="I23" s="728" t="str">
        <x:v>Not Started</x:v>
      </x:c>
      <x:c r="J23" s="741" t="n">
        <x:f>IF(I23="Approved",1,IF(I23="Draft Complete",0.8,IF(I23="In Review",0.6,IF(I23="In Progress",0.4,IF(I23="Blocked",0,0)))))</x:f>
        <x:v>0</x:v>
      </x:c>
      <x:c r="K23" s="728" t="n">
        <x:v>5</x:v>
      </x:c>
      <x:c r="L23" s="728" t="str">
        <x:v>Stage 9 package</x:v>
      </x:c>
      <x:c r="M23" s="728" t="str">
        <x:v>Ready for Stage 9 gate and Stage 10/11 handoff.</x:v>
      </x:c>
      <x:c r="N23" s="728" t="str">
        <x:v>Source/decision traceability complete.</x:v>
      </x:c>
      <x:c r="O23" s="729" t="str">
        <x:v>Stage 9 Gate</x:v>
      </x:c>
    </x:row>
  </x:sheetData>
  <x:mergeCells>
    <x:mergeCell ref="A1:O1"/>
    <x:mergeCell ref="A2:O2"/>
  </x:mergeCells>
  <x:dataValidations count="2">
    <x:dataValidation type="list" sqref="H5:H23">
      <x:formula1>"Critical,High,Medium,Low"</x:formula1>
    </x:dataValidation>
    <x:dataValidation type="list" sqref="I5:I23">
      <x:formula1>"Not Started,In Progress,Draft Complete,In Review,Approved,Blocked,Deferred"</x:formula1>
    </x:dataValidation>
  </x:dataValidations>
  <x:pageMargins left="0.7" right="0.7" top="0.75" bottom="0.75" header="0.3" footer="0.3"/>
</x:worksheet>
</file>

<file path=xl/worksheets/sheet131.xml><?xml version="1.0" encoding="utf-8"?>
<x:worksheet xmlns:x="http://schemas.openxmlformats.org/spreadsheetml/2006/main">
  <x:sheetFormatPr defaultRowHeight="15"/>
  <x:cols>
    <x:col min="1" max="1" width="14" hidden="0" customWidth="1"/>
    <x:col min="2" max="2" width="62" hidden="0" customWidth="1"/>
    <x:col min="3" max="3" width="28" hidden="0" customWidth="1"/>
    <x:col min="4" max="4" width="12" hidden="0" customWidth="1"/>
    <x:col min="5" max="5" width="12" hidden="0" customWidth="1"/>
    <x:col min="6" max="6" width="12" hidden="0" customWidth="1"/>
    <x:col min="7" max="7" width="66" hidden="0" customWidth="1"/>
    <x:col min="8" max="8" width="30" hidden="0" customWidth="1"/>
    <x:col min="9" max="9" width="14" hidden="0" customWidth="1"/>
    <x:col min="10" max="10" width="36" hidden="0" customWidth="1"/>
  </x:cols>
  <x:sheetData>
    <x:row r="1" ht="30" customHeight="1">
      <x:c r="A1" s="687" t="str">
        <x:v>Stage 8–9 — Risk Register</x:v>
      </x:c>
      <x:c r="B1" s="687"/>
      <x:c r="C1" s="687"/>
      <x:c r="D1" s="687"/>
      <x:c r="E1" s="687"/>
      <x:c r="F1" s="687"/>
      <x:c r="G1" s="687"/>
      <x:c r="H1" s="687"/>
      <x:c r="I1" s="687"/>
      <x:c r="J1" s="687"/>
    </x:row>
    <x:row r="2" ht="36" customHeight="1">
      <x:c r="A2" s="691" t="str">
        <x:v>Capability, role-readiness, coaching, learning, privacy, fairness, analytics and self-improvement risks.</x:v>
      </x:c>
      <x:c r="B2" s="691"/>
      <x:c r="C2" s="691"/>
      <x:c r="D2" s="691"/>
      <x:c r="E2" s="691"/>
      <x:c r="F2" s="691"/>
      <x:c r="G2" s="691"/>
      <x:c r="H2" s="691"/>
      <x:c r="I2" s="691"/>
      <x:c r="J2" s="691"/>
    </x:row>
    <x:row r="4" ht="30" customHeight="1">
      <x:c r="A4" s="703" t="str">
        <x:v>Risk ID</x:v>
      </x:c>
      <x:c r="B4" s="704" t="str">
        <x:v>Risk</x:v>
      </x:c>
      <x:c r="C4" s="704" t="str">
        <x:v>Category</x:v>
      </x:c>
      <x:c r="D4" s="704" t="str">
        <x:v>Likelihood</x:v>
      </x:c>
      <x:c r="E4" s="704" t="str">
        <x:v>Impact</x:v>
      </x:c>
      <x:c r="F4" s="704" t="str">
        <x:v>Score</x:v>
      </x:c>
      <x:c r="G4" s="704" t="str">
        <x:v>Mitigation</x:v>
      </x:c>
      <x:c r="H4" s="704" t="str">
        <x:v>Owner</x:v>
      </x:c>
      <x:c r="I4" s="704" t="str">
        <x:v>Status</x:v>
      </x:c>
      <x:c r="J4" s="705" t="str">
        <x:v>Notes</x:v>
      </x:c>
    </x:row>
    <x:row r="5">
      <x:c r="A5" s="722" t="str">
        <x:v>S89-R-001</x:v>
      </x:c>
      <x:c r="B5" s="723" t="str">
        <x:v>Employee claims, CVs or job descriptions are treated as verified capability evidence.</x:v>
      </x:c>
      <x:c r="C5" s="723" t="str">
        <x:v>Capability/Fairness</x:v>
      </x:c>
      <x:c r="D5" s="723" t="n">
        <x:v>4</x:v>
      </x:c>
      <x:c r="E5" s="723" t="n">
        <x:v>5</x:v>
      </x:c>
      <x:c r="F5" s="723" t="n">
        <x:f>D5*E5</x:f>
        <x:v>20</x:v>
      </x:c>
      <x:c r="G5" s="723" t="str">
        <x:v>Separate requirement, claim and evidence entities; explicit eligibility rules and review.</x:v>
      </x:c>
      <x:c r="H5" s="723" t="str">
        <x:v>Capability Product/HR</x:v>
      </x:c>
      <x:c r="I5" s="723" t="str">
        <x:v>Open</x:v>
      </x:c>
      <x:c r="J5" s="724" t="str">
        <x:v>Blocking.</x:v>
      </x:c>
    </x:row>
    <x:row r="6">
      <x:c r="A6" s="730" t="str">
        <x:v>S89-R-002</x:v>
      </x:c>
      <x:c r="B6" s="731" t="str">
        <x:v>A single task success or failure permanently changes capability or role readiness.</x:v>
      </x:c>
      <x:c r="C6" s="731" t="str">
        <x:v>Capability/Fairness</x:v>
      </x:c>
      <x:c r="D6" s="731" t="n">
        <x:v>4</x:v>
      </x:c>
      <x:c r="E6" s="731" t="n">
        <x:v>5</x:v>
      </x:c>
      <x:c r="F6" s="731" t="n">
        <x:f>D6*E6</x:f>
        <x:v>20</x:v>
      </x:c>
      <x:c r="G6" s="731" t="str">
        <x:v>Emerging vs stable state; repeated comparable evidence; confidence and human review.</x:v>
      </x:c>
      <x:c r="H6" s="731" t="str">
        <x:v>Capability Lead/DPO</x:v>
      </x:c>
      <x:c r="I6" s="731" t="str">
        <x:v>Open</x:v>
      </x:c>
      <x:c r="J6" s="732" t="str">
        <x:v>Blocking.</x:v>
      </x:c>
    </x:row>
    <x:row r="7">
      <x:c r="A7" s="725" t="str">
        <x:v>S89-R-003</x:v>
      </x:c>
      <x:c r="B7" s="114" t="str">
        <x:v>External blockers, unclear requirements or missing access become negative capability evidence.</x:v>
      </x:c>
      <x:c r="C7" s="114" t="str">
        <x:v>Fairness/Management</x:v>
      </x:c>
      <x:c r="D7" s="114" t="n">
        <x:v>4</x:v>
      </x:c>
      <x:c r="E7" s="114" t="n">
        <x:v>5</x:v>
      </x:c>
      <x:c r="F7" s="114" t="n">
        <x:f>D7*E7</x:f>
        <x:v>20</x:v>
      </x:c>
      <x:c r="G7" s="114" t="str">
        <x:v>Blocker exclusions, context review and eligibility gate before negative evidence.</x:v>
      </x:c>
      <x:c r="H7" s="114" t="str">
        <x:v>Task/Capability/HR</x:v>
      </x:c>
      <x:c r="I7" s="114" t="str">
        <x:v>Open</x:v>
      </x:c>
      <x:c r="J7" s="726" t="str">
        <x:v>Blocking.</x:v>
      </x:c>
    </x:row>
    <x:row r="8">
      <x:c r="A8" s="730" t="str">
        <x:v>S89-R-004</x:v>
      </x:c>
      <x:c r="B8" s="731" t="str">
        <x:v>Accessibility accommodations or alternate workflows are penalised.</x:v>
      </x:c>
      <x:c r="C8" s="731" t="str">
        <x:v>Inclusion/Fairness</x:v>
      </x:c>
      <x:c r="D8" s="731" t="n">
        <x:v>3</x:v>
      </x:c>
      <x:c r="E8" s="731" t="n">
        <x:v>5</x:v>
      </x:c>
      <x:c r="F8" s="731" t="n">
        <x:f>D8*E8</x:f>
        <x:v>15</x:v>
      </x:c>
      <x:c r="G8" s="731" t="str">
        <x:v>Outcome/quality/autonomy focus, accommodation-safe context and no activity-volume comparison.</x:v>
      </x:c>
      <x:c r="H8" s="731" t="str">
        <x:v>HR/DPO/Product</x:v>
      </x:c>
      <x:c r="I8" s="731" t="str">
        <x:v>Open</x:v>
      </x:c>
      <x:c r="J8" s="732" t="str">
        <x:v>Blocking.</x:v>
      </x:c>
    </x:row>
    <x:row r="9">
      <x:c r="A9" s="725" t="str">
        <x:v>S89-R-005</x:v>
      </x:c>
      <x:c r="B9" s="114" t="str">
        <x:v>Capability scoring is opaque, overconfident or psychometrically unsupported.</x:v>
      </x:c>
      <x:c r="C9" s="114" t="str">
        <x:v>AI Governance</x:v>
      </x:c>
      <x:c r="D9" s="114" t="n">
        <x:v>4</x:v>
      </x:c>
      <x:c r="E9" s="114" t="n">
        <x:v>5</x:v>
      </x:c>
      <x:c r="F9" s="114" t="n">
        <x:f>D9*E9</x:f>
        <x:v>20</x:v>
      </x:c>
      <x:c r="G9" s="114" t="str">
        <x:v>Multidimensional vector, confidence separation, lineage, calibration, review and explicit default-weight status.</x:v>
      </x:c>
      <x:c r="H9" s="114" t="str">
        <x:v>AI Evaluation/Capability</x:v>
      </x:c>
      <x:c r="I9" s="114" t="str">
        <x:v>Open</x:v>
      </x:c>
      <x:c r="J9" s="726" t="str">
        <x:v>Blocking for high-impact use.</x:v>
      </x:c>
    </x:row>
    <x:row r="10">
      <x:c r="A10" s="730" t="str">
        <x:v>S89-R-006</x:v>
      </x:c>
      <x:c r="B10" s="731" t="str">
        <x:v>Role-readiness percentage hides a critical gap or insufficient evidence.</x:v>
      </x:c>
      <x:c r="C10" s="731" t="str">
        <x:v>Product/Employment</x:v>
      </x:c>
      <x:c r="D10" s="731" t="n">
        <x:v>4</x:v>
      </x:c>
      <x:c r="E10" s="731" t="n">
        <x:v>5</x:v>
      </x:c>
      <x:c r="F10" s="731" t="n">
        <x:f>D10*E10</x:f>
        <x:v>20</x:v>
      </x:c>
      <x:c r="G10" s="731" t="str">
        <x:v>Critical capability floor, status model, detailed gaps and advisory label.</x:v>
      </x:c>
      <x:c r="H10" s="731" t="str">
        <x:v>Role Readiness/HR</x:v>
      </x:c>
      <x:c r="I10" s="731" t="str">
        <x:v>Open</x:v>
      </x:c>
      <x:c r="J10" s="732" t="str">
        <x:v>Blocking.</x:v>
      </x:c>
    </x:row>
    <x:row r="11">
      <x:c r="A11" s="725" t="str">
        <x:v>S89-R-007</x:v>
      </x:c>
      <x:c r="B11" s="114" t="str">
        <x:v>Capability or readiness output is used automatically for dismissal, discipline, pay or promotion.</x:v>
      </x:c>
      <x:c r="C11" s="114" t="str">
        <x:v>Employment/Legal</x:v>
      </x:c>
      <x:c r="D11" s="114" t="n">
        <x:v>3</x:v>
      </x:c>
      <x:c r="E11" s="114" t="n">
        <x:v>5</x:v>
      </x:c>
      <x:c r="F11" s="114" t="n">
        <x:f>D11*E11</x:f>
        <x:v>15</x:v>
      </x:c>
      <x:c r="G11" s="114" t="str">
        <x:v>Separate HR decision workflow, meaningful human review, policy and audit.</x:v>
      </x:c>
      <x:c r="H11" s="114" t="str">
        <x:v>HR/Legal/DPO</x:v>
      </x:c>
      <x:c r="I11" s="114" t="str">
        <x:v>Open</x:v>
      </x:c>
      <x:c r="J11" s="726" t="str">
        <x:v>Blocking.</x:v>
      </x:c>
    </x:row>
    <x:row r="12">
      <x:c r="A12" s="730" t="str">
        <x:v>S89-R-008</x:v>
      </x:c>
      <x:c r="B12" s="731" t="str">
        <x:v>Evidence becomes stale while the system continues to present current capability.</x:v>
      </x:c>
      <x:c r="C12" s="731" t="str">
        <x:v>Data Quality</x:v>
      </x:c>
      <x:c r="D12" s="731" t="n">
        <x:v>4</x:v>
      </x:c>
      <x:c r="E12" s="731" t="n">
        <x:v>4</x:v>
      </x:c>
      <x:c r="F12" s="731" t="n">
        <x:f>D12*E12</x:f>
        <x:v>16</x:v>
      </x:c>
      <x:c r="G12" s="731" t="str">
        <x:v>Capability-specific recency/expiry, reassessment monitor and freshness in UI.</x:v>
      </x:c>
      <x:c r="H12" s="731" t="str">
        <x:v>Capability/Data</x:v>
      </x:c>
      <x:c r="I12" s="731" t="str">
        <x:v>Open</x:v>
      </x:c>
      <x:c r="J12" s="732" t="str"/>
    </x:row>
    <x:row r="13">
      <x:c r="A13" s="725" t="str">
        <x:v>S89-R-009</x:v>
      </x:c>
      <x:c r="B13" s="114" t="str">
        <x:v>External framework updates silently change internal capability meanings.</x:v>
      </x:c>
      <x:c r="C13" s="114" t="str">
        <x:v>Taxonomy/Data</x:v>
      </x:c>
      <x:c r="D13" s="114" t="n">
        <x:v>3</x:v>
      </x:c>
      <x:c r="E13" s="114" t="n">
        <x:v>4</x:v>
      </x:c>
      <x:c r="F13" s="114" t="n">
        <x:f>D13*E13</x:f>
        <x:v>12</x:v>
      </x:c>
      <x:c r="G13" s="114" t="str">
        <x:v>Versioned mappings, mapping confidence and no automatic internal semantic rewrite.</x:v>
      </x:c>
      <x:c r="H13" s="114" t="str">
        <x:v>Taxonomy Lead</x:v>
      </x:c>
      <x:c r="I13" s="114" t="str">
        <x:v>Open</x:v>
      </x:c>
      <x:c r="J13" s="726" t="str"/>
    </x:row>
    <x:row r="14">
      <x:c r="A14" s="730" t="str">
        <x:v>S89-R-010</x:v>
      </x:c>
      <x:c r="B14" s="731" t="str">
        <x:v>Training completion automatically increases capability or readiness.</x:v>
      </x:c>
      <x:c r="C14" s="731" t="str">
        <x:v>L&amp;D/Fairness</x:v>
      </x:c>
      <x:c r="D14" s="731" t="n">
        <x:v>4</x:v>
      </x:c>
      <x:c r="E14" s="731" t="n">
        <x:v>5</x:v>
      </x:c>
      <x:c r="F14" s="731" t="n">
        <x:f>D14*E14</x:f>
        <x:v>20</x:v>
      </x:c>
      <x:c r="G14" s="731" t="str">
        <x:v>Separate learning completion, practice, applied evidence and capability review states.</x:v>
      </x:c>
      <x:c r="H14" s="731" t="str">
        <x:v>L&amp;D/Capability</x:v>
      </x:c>
      <x:c r="I14" s="731" t="str">
        <x:v>Open</x:v>
      </x:c>
      <x:c r="J14" s="732" t="str">
        <x:v>Blocking.</x:v>
      </x:c>
    </x:row>
    <x:row r="15">
      <x:c r="A15" s="725" t="str">
        <x:v>S89-R-011</x:v>
      </x:c>
      <x:c r="B15" s="114" t="str">
        <x:v>Growth Coach interrupts deep work excessively and reduces productivity or trust.</x:v>
      </x:c>
      <x:c r="C15" s="114" t="str">
        <x:v>UX/Adoption</x:v>
      </x:c>
      <x:c r="D15" s="114" t="n">
        <x:v>4</x:v>
      </x:c>
      <x:c r="E15" s="114" t="n">
        <x:v>4</x:v>
      </x:c>
      <x:c r="F15" s="114" t="n">
        <x:f>D15*E15</x:f>
        <x:v>16</x:v>
      </x:c>
      <x:c r="G15" s="114" t="str">
        <x:v>Least intrusive mode, focus windows, cooldowns, snooze and interruption metrics.</x:v>
      </x:c>
      <x:c r="H15" s="114" t="str">
        <x:v>Product/UX/HR</x:v>
      </x:c>
      <x:c r="I15" s="114" t="str">
        <x:v>Open</x:v>
      </x:c>
      <x:c r="J15" s="726" t="str"/>
    </x:row>
    <x:row r="16">
      <x:c r="A16" s="730" t="str">
        <x:v>S89-R-012</x:v>
      </x:c>
      <x:c r="B16" s="731" t="str">
        <x:v>Coaching content is punitive, accusatory, manipulative or infers personality/mental state.</x:v>
      </x:c>
      <x:c r="C16" s="731" t="str">
        <x:v>AI Safety/Employment</x:v>
      </x:c>
      <x:c r="D16" s="731" t="n">
        <x:v>3</x:v>
      </x:c>
      <x:c r="E16" s="731" t="n">
        <x:v>5</x:v>
      </x:c>
      <x:c r="F16" s="731" t="n">
        <x:f>D16*E16</x:f>
        <x:v>15</x:v>
      </x:c>
      <x:c r="G16" s="731" t="str">
        <x:v>Safety validator, prohibited-language tests, evidence grounding and human escalation.</x:v>
      </x:c>
      <x:c r="H16" s="731" t="str">
        <x:v>AI Governance/HR/DPO</x:v>
      </x:c>
      <x:c r="I16" s="731" t="str">
        <x:v>Open</x:v>
      </x:c>
      <x:c r="J16" s="732" t="str">
        <x:v>Blocking.</x:v>
      </x:c>
    </x:row>
    <x:row r="17">
      <x:c r="A17" s="725" t="str">
        <x:v>S89-R-013</x:v>
      </x:c>
      <x:c r="B17" s="114" t="str">
        <x:v>Private coaching or reflection content is exposed to managers.</x:v>
      </x:c>
      <x:c r="C17" s="114" t="str">
        <x:v>Privacy/Trust</x:v>
      </x:c>
      <x:c r="D17" s="114" t="n">
        <x:v>3</x:v>
      </x:c>
      <x:c r="E17" s="114" t="n">
        <x:v>5</x:v>
      </x:c>
      <x:c r="F17" s="114" t="n">
        <x:f>D17*E17</x:f>
        <x:v>15</x:v>
      </x:c>
      <x:c r="G17" s="114" t="str">
        <x:v>Private-first delivery, audience-specific read models and raw-content access denial.</x:v>
      </x:c>
      <x:c r="H17" s="114" t="str">
        <x:v>DPO/Product/Security</x:v>
      </x:c>
      <x:c r="I17" s="114" t="str">
        <x:v>Open</x:v>
      </x:c>
      <x:c r="J17" s="726" t="str">
        <x:v>Blocking.</x:v>
      </x:c>
    </x:row>
    <x:row r="18">
      <x:c r="A18" s="730" t="str">
        <x:v>S89-R-014</x:v>
      </x:c>
      <x:c r="B18" s="731" t="str">
        <x:v>Employee snooze, dismissal or negative feedback is treated as poor performance.</x:v>
      </x:c>
      <x:c r="C18" s="731" t="str">
        <x:v>Employment/Misuse</x:v>
      </x:c>
      <x:c r="D18" s="731" t="n">
        <x:v>3</x:v>
      </x:c>
      <x:c r="E18" s="731" t="n">
        <x:v>5</x:v>
      </x:c>
      <x:c r="F18" s="731" t="n">
        <x:f>D18*E18</x:f>
        <x:v>15</x:v>
      </x:c>
      <x:c r="G18" s="731" t="str">
        <x:v>Metric deny-list and policy; feedback is system-quality data only.</x:v>
      </x:c>
      <x:c r="H18" s="731" t="str">
        <x:v>HR/Legal/Product</x:v>
      </x:c>
      <x:c r="I18" s="731" t="str">
        <x:v>Open</x:v>
      </x:c>
      <x:c r="J18" s="732" t="str">
        <x:v>Blocking.</x:v>
      </x:c>
    </x:row>
    <x:row r="19">
      <x:c r="A19" s="725" t="str">
        <x:v>S89-R-015</x:v>
      </x:c>
      <x:c r="B19" s="114" t="str">
        <x:v>Wrong-context coaching repeats after employee correction.</x:v>
      </x:c>
      <x:c r="C19" s="114" t="str">
        <x:v>Data Quality/Trust</x:v>
      </x:c>
      <x:c r="D19" s="114" t="n">
        <x:v>4</x:v>
      </x:c>
      <x:c r="E19" s="114" t="n">
        <x:v>4</x:v>
      </x:c>
      <x:c r="F19" s="114" t="n">
        <x:f>D19*E19</x:f>
        <x:v>16</x:v>
      </x:c>
      <x:c r="G19" s="114" t="str">
        <x:v>Correction invalidation, trigger rebuild and incorrect-context metric.</x:v>
      </x:c>
      <x:c r="H19" s="114" t="str">
        <x:v>Data/Product/AI</x:v>
      </x:c>
      <x:c r="I19" s="114" t="str">
        <x:v>Open</x:v>
      </x:c>
      <x:c r="J19" s="726" t="str"/>
    </x:row>
    <x:row r="20">
      <x:c r="A20" s="730" t="str">
        <x:v>S89-R-016</x:v>
      </x:c>
      <x:c r="B20" s="731" t="str">
        <x:v>AI model/provider retains sensitive task, capability or coaching context.</x:v>
      </x:c>
      <x:c r="C20" s="731" t="str">
        <x:v>Privacy/Vendor</x:v>
      </x:c>
      <x:c r="D20" s="731" t="n">
        <x:v>3</x:v>
      </x:c>
      <x:c r="E20" s="731" t="n">
        <x:v>5</x:v>
      </x:c>
      <x:c r="F20" s="731" t="n">
        <x:f>D20*E20</x:f>
        <x:v>15</x:v>
      </x:c>
      <x:c r="G20" s="731" t="str">
        <x:v>Model Gateway, minimised context, contractual no-training/retention, regional/private models.</x:v>
      </x:c>
      <x:c r="H20" s="731" t="str">
        <x:v>AI Platform/Legal/CISO</x:v>
      </x:c>
      <x:c r="I20" s="731" t="str">
        <x:v>Open</x:v>
      </x:c>
      <x:c r="J20" s="732" t="str">
        <x:v>Blocking.</x:v>
      </x:c>
    </x:row>
    <x:row r="21">
      <x:c r="A21" s="725" t="str">
        <x:v>S89-R-017</x:v>
      </x:c>
      <x:c r="B21" s="114" t="str">
        <x:v>Coaching-effectiveness analytics overclaim causal impact from correlation.</x:v>
      </x:c>
      <x:c r="C21" s="114" t="str">
        <x:v>Analytics/Product</x:v>
      </x:c>
      <x:c r="D21" s="114" t="n">
        <x:v>4</x:v>
      </x:c>
      <x:c r="E21" s="114" t="n">
        <x:v>4</x:v>
      </x:c>
      <x:c r="F21" s="114" t="n">
        <x:f>D21*E21</x:f>
        <x:v>16</x:v>
      </x:c>
      <x:c r="G21" s="114" t="str">
        <x:v>Longitudinal/comparable cohorts, caveats, controlled tests where feasible and human interpretation.</x:v>
      </x:c>
      <x:c r="H21" s="114" t="str">
        <x:v>AI Evaluation/Product</x:v>
      </x:c>
      <x:c r="I21" s="114" t="str">
        <x:v>Open</x:v>
      </x:c>
      <x:c r="J21" s="726" t="str"/>
    </x:row>
    <x:row r="22">
      <x:c r="A22" s="730" t="str">
        <x:v>S89-R-018</x:v>
      </x:c>
      <x:c r="B22" s="731" t="str">
        <x:v>Learning content is low quality, outdated, unlicensed or mismatched to the gap.</x:v>
      </x:c>
      <x:c r="C22" s="731" t="str">
        <x:v>L&amp;D/Procurement</x:v>
      </x:c>
      <x:c r="D22" s="731" t="n">
        <x:v>3</x:v>
      </x:c>
      <x:c r="E22" s="731" t="n">
        <x:v>4</x:v>
      </x:c>
      <x:c r="F22" s="731" t="n">
        <x:f>D22*E22</x:f>
        <x:v>12</x:v>
      </x:c>
      <x:c r="G22" s="731" t="str">
        <x:v>Versioned catalogue, source/licence/owner, review and applied-effectiveness monitoring.</x:v>
      </x:c>
      <x:c r="H22" s="731" t="str">
        <x:v>L&amp;D/Legal</x:v>
      </x:c>
      <x:c r="I22" s="731" t="str">
        <x:v>Open</x:v>
      </x:c>
      <x:c r="J22" s="732" t="str"/>
    </x:row>
    <x:row r="23">
      <x:c r="A23" s="725" t="str">
        <x:v>S89-R-019</x:v>
      </x:c>
      <x:c r="B23" s="114" t="str">
        <x:v>Mentor/expert escalation capacity is inadequate, creating delays or unequal support.</x:v>
      </x:c>
      <x:c r="C23" s="114" t="str">
        <x:v>Operations/L&amp;D</x:v>
      </x:c>
      <x:c r="D23" s="114" t="n">
        <x:v>3</x:v>
      </x:c>
      <x:c r="E23" s="114" t="n">
        <x:v>4</x:v>
      </x:c>
      <x:c r="F23" s="114" t="n">
        <x:f>D23*E23</x:f>
        <x:v>12</x:v>
      </x:c>
      <x:c r="G23" s="114" t="str">
        <x:v>Capacity reporting, prioritisation, qualified mentor pool and AI defer/observe mode.</x:v>
      </x:c>
      <x:c r="H23" s="114" t="str">
        <x:v>L&amp;D/Operations</x:v>
      </x:c>
      <x:c r="I23" s="114" t="str">
        <x:v>Open</x:v>
      </x:c>
      <x:c r="J23" s="726" t="str"/>
    </x:row>
    <x:row r="24">
      <x:c r="A24" s="730" t="str">
        <x:v>S89-R-020</x:v>
      </x:c>
      <x:c r="B24" s="731" t="str">
        <x:v>Capability/coaching models produce unequal errors across roles, tools, locations or evidence coverage.</x:v>
      </x:c>
      <x:c r="C24" s="731" t="str">
        <x:v>Fairness/AI</x:v>
      </x:c>
      <x:c r="D24" s="731" t="n">
        <x:v>4</x:v>
      </x:c>
      <x:c r="E24" s="731" t="n">
        <x:v>5</x:v>
      </x:c>
      <x:c r="F24" s="731" t="n">
        <x:f>D24*E24</x:f>
        <x:v>20</x:v>
      </x:c>
      <x:c r="G24" s="731" t="str">
        <x:v>Coverage-aware evaluation, subgroup/comparable-task analysis, correction and DPO review.</x:v>
      </x:c>
      <x:c r="H24" s="731" t="str">
        <x:v>DPO/AI Governance</x:v>
      </x:c>
      <x:c r="I24" s="731" t="str">
        <x:v>Open</x:v>
      </x:c>
      <x:c r="J24" s="732" t="str">
        <x:v>Blocking.</x:v>
      </x:c>
    </x:row>
    <x:row r="25">
      <x:c r="A25" s="727" t="str">
        <x:v>S89-R-021</x:v>
      </x:c>
      <x:c r="B25" s="728" t="str">
        <x:v>Private or confidential employee/project data leaks into reusable coaching or Skill Forge assets.</x:v>
      </x:c>
      <x:c r="C25" s="728" t="str">
        <x:v>Confidentiality/Self-improvement</x:v>
      </x:c>
      <x:c r="D25" s="728" t="n">
        <x:v>3</x:v>
      </x:c>
      <x:c r="E25" s="728" t="n">
        <x:v>5</x:v>
      </x:c>
      <x:c r="F25" s="728" t="n">
        <x:f>D25*E25</x:f>
        <x:v>15</x:v>
      </x:c>
      <x:c r="G25" s="728" t="str">
        <x:v>Generalisation, redaction, internal/open classification, approval and publication scans.</x:v>
      </x:c>
      <x:c r="H25" s="728" t="str">
        <x:v>AI Platform/Legal/CISO</x:v>
      </x:c>
      <x:c r="I25" s="728" t="str">
        <x:v>Open</x:v>
      </x:c>
      <x:c r="J25" s="729" t="str">
        <x:v>Blocking.</x:v>
      </x:c>
    </x:row>
  </x:sheetData>
  <x:mergeCells>
    <x:mergeCell ref="A1:J1"/>
    <x:mergeCell ref="A2:J2"/>
  </x:mergeCells>
  <x:conditionalFormatting sqref="F5:F25">
    <x:cfRule type="colorScale" priority="1">
      <x:colorScale>
        <x:cfvo type="min"/>
        <x:cfvo type="percentile" val="50"/>
        <x:cfvo type="max"/>
        <x:color rgb="FFE2F0D9"/>
        <x:color rgb="FFFFF2CC"/>
        <x:color rgb="FFFCE4D6"/>
      </x:colorScale>
    </x:cfRule>
  </x:conditionalFormatting>
  <x:dataValidations count="1">
    <x:dataValidation type="list" sqref="I5:I25">
      <x:formula1>"Open,Mitigating,Accepted,Closed,Blocked"</x:formula1>
    </x:dataValidation>
  </x:dataValidations>
  <x:pageMargins left="0.7" right="0.7" top="0.75" bottom="0.75" header="0.3" footer="0.3"/>
</x:worksheet>
</file>

<file path=xl/worksheets/sheet132.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50" hidden="0" customWidth="1"/>
    <x:col min="5" max="5" width="62" hidden="0" customWidth="1"/>
    <x:col min="6" max="6" width="40" hidden="0" customWidth="1"/>
    <x:col min="7" max="7" width="44" hidden="0" customWidth="1"/>
    <x:col min="8" max="8" width="44" hidden="0" customWidth="1"/>
    <x:col min="9" max="9" width="36" hidden="0" customWidth="1"/>
    <x:col min="10" max="10" width="28" hidden="0" customWidth="1"/>
    <x:col min="11" max="11" width="32" hidden="0" customWidth="1"/>
  </x:cols>
  <x:sheetData>
    <x:row r="1" ht="30" customHeight="1">
      <x:c r="A1" s="687" t="str">
        <x:v>Stage 8–9 — Architecture and Product Decisions</x:v>
      </x:c>
      <x:c r="B1" s="687"/>
      <x:c r="C1" s="687"/>
      <x:c r="D1" s="687"/>
      <x:c r="E1" s="687"/>
      <x:c r="F1" s="687"/>
      <x:c r="G1" s="687"/>
      <x:c r="H1" s="687"/>
      <x:c r="I1" s="687"/>
      <x:c r="J1" s="687"/>
      <x:c r="K1" s="687"/>
    </x:row>
    <x:row r="2" ht="36" customHeight="1">
      <x:c r="A2" s="691" t="str">
        <x:v>Decision register for capability state, external mappings, baseline, role readiness, applied learning, coaching privacy, employee preferences, xAPI and governed improvement.</x:v>
      </x:c>
      <x:c r="B2" s="691"/>
      <x:c r="C2" s="691"/>
      <x:c r="D2" s="691"/>
      <x:c r="E2" s="691"/>
      <x:c r="F2" s="691"/>
      <x:c r="G2" s="691"/>
      <x:c r="H2" s="691"/>
      <x:c r="I2" s="691"/>
      <x:c r="J2" s="691"/>
      <x:c r="K2" s="691"/>
    </x:row>
    <x:row r="4" ht="30" customHeight="1">
      <x:c r="A4" s="703" t="str">
        <x:v>ADR</x:v>
      </x:c>
      <x:c r="B4" s="704" t="str">
        <x:v>Decision title</x:v>
      </x:c>
      <x:c r="C4" s="704" t="str">
        <x:v>Status</x:v>
      </x:c>
      <x:c r="D4" s="704" t="str">
        <x:v>Context</x:v>
      </x:c>
      <x:c r="E4" s="704" t="str">
        <x:v>Decision</x:v>
      </x:c>
      <x:c r="F4" s="704" t="str">
        <x:v>Alternatives</x:v>
      </x:c>
      <x:c r="G4" s="704" t="str">
        <x:v>Positive consequences</x:v>
      </x:c>
      <x:c r="H4" s="704" t="str">
        <x:v>Risk / trade-off</x:v>
      </x:c>
      <x:c r="I4" s="704" t="str">
        <x:v>Validation</x:v>
      </x:c>
      <x:c r="J4" s="704" t="str">
        <x:v>Owner</x:v>
      </x:c>
      <x:c r="K4" s="705" t="str">
        <x:v>Source</x:v>
      </x:c>
    </x:row>
    <x:row r="5">
      <x:c r="A5" s="722" t="str">
        <x:v>S89-ADR-001</x:v>
      </x:c>
      <x:c r="B5" s="723" t="str">
        <x:v>Capability vector, not one talent score</x:v>
      </x:c>
      <x:c r="C5" s="723" t="str">
        <x:v>Accepted</x:v>
      </x:c>
      <x:c r="D5" s="723" t="str">
        <x:v>Knowledge, execution, autonomy, quality and transfer can differ materially.</x:v>
      </x:c>
      <x:c r="E5" s="723" t="str">
        <x:v>Maintain multidimensional capability state plus separate confidence; optional summary indicators remain explanatory.</x:v>
      </x:c>
      <x:c r="F5" s="723" t="str">
        <x:v>Single score/rank.</x:v>
      </x:c>
      <x:c r="G5" s="723" t="str">
        <x:v>Explainability and better development plans.</x:v>
      </x:c>
      <x:c r="H5" s="723" t="str">
        <x:v>More complex UX/data.</x:v>
      </x:c>
      <x:c r="I5" s="723" t="str">
        <x:v>Reviewer and employee usability tests.</x:v>
      </x:c>
      <x:c r="J5" s="723" t="str">
        <x:v>Capability/HR</x:v>
      </x:c>
      <x:c r="K5" s="724" t="str">
        <x:v>Capability Scoring Model</x:v>
      </x:c>
    </x:row>
    <x:row r="6">
      <x:c r="A6" s="730" t="str">
        <x:v>S89-ADR-002</x:v>
      </x:c>
      <x:c r="B6" s="731" t="str">
        <x:v>Requirements, claims and evidence are separate</x:v>
      </x:c>
      <x:c r="C6" s="731" t="str">
        <x:v>Accepted</x:v>
      </x:c>
      <x:c r="D6" s="731" t="str">
        <x:v>Job descriptions and self-declarations have different epistemic status from observed work.</x:v>
      </x:c>
      <x:c r="E6" s="731" t="str">
        <x:v>Model RoleRequirement, EmployeeClaim and CapabilityEvidence separately.</x:v>
      </x:c>
      <x:c r="F6" s="731" t="str">
        <x:v>Combine in one skill profile field.</x:v>
      </x:c>
      <x:c r="G6" s="731" t="str">
        <x:v>Prevents unsupported conclusions.</x:v>
      </x:c>
      <x:c r="H6" s="731" t="str">
        <x:v>Additional entities/workflows.</x:v>
      </x:c>
      <x:c r="I6" s="731" t="str">
        <x:v>Traceability tests.</x:v>
      </x:c>
      <x:c r="J6" s="731" t="str">
        <x:v>Product/HR</x:v>
      </x:c>
      <x:c r="K6" s="732" t="str">
        <x:v>Stage 2/8 rules</x:v>
      </x:c>
    </x:row>
    <x:row r="7">
      <x:c r="A7" s="725" t="str">
        <x:v>S89-ADR-003</x:v>
      </x:c>
      <x:c r="B7" s="114" t="str">
        <x:v>Java owns state; Python recommends</x:v>
      </x:c>
      <x:c r="C7" s="114" t="str">
        <x:v>Accepted</x:v>
      </x:c>
      <x:c r="D7" s="114" t="str">
        <x:v>Durable capability and learning state requires governance; models need iteration.</x:v>
      </x:c>
      <x:c r="E7" s="114" t="str">
        <x:v>Java/Spring owns state/review/APIs; Python returns versioned scoring/coaching recommendations.</x:v>
      </x:c>
      <x:c r="F7" s="114" t="str">
        <x:v>Python writes final state; all-Java rules.</x:v>
      </x:c>
      <x:c r="G7" s="114" t="str">
        <x:v>Auditability and model agility.</x:v>
      </x:c>
      <x:c r="H7" s="114" t="str">
        <x:v>Contract/orchestration complexity.</x:v>
      </x:c>
      <x:c r="I7" s="114" t="str">
        <x:v>API and state-transition tests.</x:v>
      </x:c>
      <x:c r="J7" s="114" t="str">
        <x:v>CTO/AI</x:v>
      </x:c>
      <x:c r="K7" s="726" t="str">
        <x:v>Architecture constraint</x:v>
      </x:c>
    </x:row>
    <x:row r="8">
      <x:c r="A8" s="730" t="str">
        <x:v>S89-ADR-004</x:v>
      </x:c>
      <x:c r="B8" s="731" t="str">
        <x:v>External frameworks are mappings</x:v>
      </x:c>
      <x:c r="C8" s="731" t="str">
        <x:v>Accepted in principle</x:v>
      </x:c>
      <x:c r="D8" s="731" t="str">
        <x:v>SFIA, NICE, ESCO and O*NET offer useful structure but do not exactly represent Nessovo evidence semantics.</x:v>
      </x:c>
      <x:c r="E8" s="731" t="str">
        <x:v>Map/version external concepts to HumanOS capabilities; HumanOS remains authoritative.</x:v>
      </x:c>
      <x:c r="F8" s="731" t="str">
        <x:v>Adopt one external framework as system of record.</x:v>
      </x:c>
      <x:c r="G8" s="731" t="str">
        <x:v>Interoperability without lock-in.</x:v>
      </x:c>
      <x:c r="H8" s="731" t="str">
        <x:v>Mapping governance effort.</x:v>
      </x:c>
      <x:c r="I8" s="731" t="str">
        <x:v>Mapping coverage/review.</x:v>
      </x:c>
      <x:c r="J8" s="731" t="str">
        <x:v>Taxonomy Lead</x:v>
      </x:c>
      <x:c r="K8" s="732" t="str">
        <x:v>Stage 8 Sources</x:v>
      </x:c>
    </x:row>
    <x:row r="9">
      <x:c r="A9" s="725" t="str">
        <x:v>S89-ADR-005</x:v>
      </x:c>
      <x:c r="B9" s="114" t="str">
        <x:v>Critical capability floor</x:v>
      </x:c>
      <x:c r="C9" s="114" t="str">
        <x:v>Accepted</x:v>
      </x:c>
      <x:c r="D9" s="114" t="str">
        <x:v>A weighted average can hide missing critical role capability.</x:v>
      </x:c>
      <x:c r="E9" s="114" t="str">
        <x:v>READY status requires all critical capability floors and evidence thresholds.</x:v>
      </x:c>
      <x:c r="F9" s="114" t="str">
        <x:v>Readiness percentage only.</x:v>
      </x:c>
      <x:c r="G9" s="114" t="str">
        <x:v>Safer and more interpretable.</x:v>
      </x:c>
      <x:c r="H9" s="114" t="str">
        <x:v>May reduce simple executive summary.</x:v>
      </x:c>
      <x:c r="I9" s="114" t="str">
        <x:v>Role examples/tests.</x:v>
      </x:c>
      <x:c r="J9" s="114" t="str">
        <x:v>Role Readiness</x:v>
      </x:c>
      <x:c r="K9" s="726" t="str">
        <x:v>Role Readiness Model</x:v>
      </x:c>
    </x:row>
    <x:row r="10">
      <x:c r="A10" s="730" t="str">
        <x:v>S89-ADR-006</x:v>
      </x:c>
      <x:c r="B10" s="731" t="str">
        <x:v>Baseline assessment is provisional</x:v>
      </x:c>
      <x:c r="C10" s="731" t="str">
        <x:v>Accepted</x:v>
      </x:c>
      <x:c r="D10" s="731" t="str">
        <x:v>Simulation and onboarding evidence has limited context and consistency.</x:v>
      </x:c>
      <x:c r="E10" s="731" t="str">
        <x:v>Baseline creates provisional states with expiry; later live-work evidence confirms or changes them.</x:v>
      </x:c>
      <x:c r="F10" s="731" t="str">
        <x:v>Permanent onboarding score.</x:v>
      </x:c>
      <x:c r="G10" s="731" t="str">
        <x:v>Fairness and learning orientation.</x:v>
      </x:c>
      <x:c r="H10" s="731" t="str">
        <x:v>Requires ongoing evidence.</x:v>
      </x:c>
      <x:c r="I10" s="731" t="str">
        <x:v>Baseline follow-up tests.</x:v>
      </x:c>
      <x:c r="J10" s="731" t="str">
        <x:v>HR/Capability</x:v>
      </x:c>
      <x:c r="K10" s="732" t="str">
        <x:v>Baseline Assessment Model</x:v>
      </x:c>
    </x:row>
    <x:row r="11">
      <x:c r="A11" s="725" t="str">
        <x:v>S89-ADR-007</x:v>
      </x:c>
      <x:c r="B11" s="114" t="str">
        <x:v>Applied evidence required after learning</x:v>
      </x:c>
      <x:c r="C11" s="114" t="str">
        <x:v>Accepted</x:v>
      </x:c>
      <x:c r="D11" s="114" t="str">
        <x:v>Course completion does not prove workplace capability.</x:v>
      </x:c>
      <x:c r="E11" s="114" t="str">
        <x:v>Capability can improve only after reviewed practice/live-work application.</x:v>
      </x:c>
      <x:c r="F11" s="114" t="str">
        <x:v>LMS completion updates skill.</x:v>
      </x:c>
      <x:c r="G11" s="114" t="str">
        <x:v>Outcome-based development.</x:v>
      </x:c>
      <x:c r="H11" s="114" t="str">
        <x:v>Longer measurement cycle.</x:v>
      </x:c>
      <x:c r="I11" s="114" t="str">
        <x:v>Learning loop validation.</x:v>
      </x:c>
      <x:c r="J11" s="114" t="str">
        <x:v>L&amp;D/Capability</x:v>
      </x:c>
      <x:c r="K11" s="726" t="str">
        <x:v>Learning Loop Model</x:v>
      </x:c>
    </x:row>
    <x:row r="12">
      <x:c r="A12" s="730" t="str">
        <x:v>S89-ADR-008</x:v>
      </x:c>
      <x:c r="B12" s="731" t="str">
        <x:v>Private-first coaching</x:v>
      </x:c>
      <x:c r="C12" s="731" t="str">
        <x:v>Accepted</x:v>
      </x:c>
      <x:c r="D12" s="731" t="str">
        <x:v>Coaching effectiveness depends on trust and psychological safety.</x:v>
      </x:c>
      <x:c r="E12" s="731" t="str">
        <x:v>Deliver private coaching to employee; managers receive reviewed summaries, not raw exchanges.</x:v>
      </x:c>
      <x:c r="F12" s="731" t="str">
        <x:v>Manager-visible live coaching stream.</x:v>
      </x:c>
      <x:c r="G12" s="731" t="str">
        <x:v>Trust and developmental use.</x:v>
      </x:c>
      <x:c r="H12" s="731" t="str">
        <x:v>Less direct manager visibility.</x:v>
      </x:c>
      <x:c r="I12" s="731" t="str">
        <x:v>Employee/manager UX test.</x:v>
      </x:c>
      <x:c r="J12" s="731" t="str">
        <x:v>Product/HR/DPO</x:v>
      </x:c>
      <x:c r="K12" s="732" t="str">
        <x:v>ICF ethics/CIPD</x:v>
      </x:c>
    </x:row>
    <x:row r="13">
      <x:c r="A13" s="725" t="str">
        <x:v>S89-ADR-009</x:v>
      </x:c>
      <x:c r="B13" s="114" t="str">
        <x:v>Least intrusive intervention</x:v>
      </x:c>
      <x:c r="C13" s="114" t="str">
        <x:v>Accepted</x:v>
      </x:c>
      <x:c r="D13" s="114" t="str">
        <x:v>Frequent directive coaching can disrupt work and create dependency.</x:v>
      </x:c>
      <x:c r="E13" s="114" t="str">
        <x:v>Use Observe/Nudge before higher-burden modes when safe and effective.</x:v>
      </x:c>
      <x:c r="F13" s="114" t="str">
        <x:v>Always assist/teach immediately.</x:v>
      </x:c>
      <x:c r="G13" s="114" t="str">
        <x:v>Lower interruption and autonomy.</x:v>
      </x:c>
      <x:c r="H13" s="114" t="str">
        <x:v>Potentially slower support.</x:v>
      </x:c>
      <x:c r="I13" s="114" t="str">
        <x:v>Effectiveness/interruption metrics.</x:v>
      </x:c>
      <x:c r="J13" s="114" t="str">
        <x:v>Growth Coach</x:v>
      </x:c>
      <x:c r="K13" s="726" t="str">
        <x:v>Intervention Policy</x:v>
      </x:c>
    </x:row>
    <x:row r="14">
      <x:c r="A14" s="730" t="str">
        <x:v>S89-ADR-010</x:v>
      </x:c>
      <x:c r="B14" s="731" t="str">
        <x:v>Employee preferences are first-class state</x:v>
      </x:c>
      <x:c r="C14" s="731" t="str">
        <x:v>Accepted</x:v>
      </x:c>
      <x:c r="D14" s="731" t="str">
        <x:v>Timing/channel/accessibility preferences materially affect coaching usefulness.</x:v>
      </x:c>
      <x:c r="E14" s="731" t="str">
        <x:v>Store and enforce preferences, focus windows, snooze and mentor choices.</x:v>
      </x:c>
      <x:c r="F14" s="731" t="str">
        <x:v>One universal coach behaviour.</x:v>
      </x:c>
      <x:c r="G14" s="731" t="str">
        <x:v>Better accessibility and adoption.</x:v>
      </x:c>
      <x:c r="H14" s="731" t="str">
        <x:v>Preference complexity.</x:v>
      </x:c>
      <x:c r="I14" s="731" t="str">
        <x:v>Preference/policy tests.</x:v>
      </x:c>
      <x:c r="J14" s="731" t="str">
        <x:v>Product/Accessibility</x:v>
      </x:c>
      <x:c r="K14" s="732" t="str">
        <x:v>Growth Coach Architecture</x:v>
      </x:c>
    </x:row>
    <x:row r="15">
      <x:c r="A15" s="725" t="str">
        <x:v>S89-ADR-011</x:v>
      </x:c>
      <x:c r="B15" s="114" t="str">
        <x:v>xAPI is optional interoperability, not capability authority</x:v>
      </x:c>
      <x:c r="C15" s="114" t="str">
        <x:v>Accepted in principle</x:v>
      </x:c>
      <x:c r="D15" s="114" t="str">
        <x:v>Learning systems need event interoperability but xAPI statements record experiences, not verified capability.</x:v>
      </x:c>
      <x:c r="E15" s="114" t="str">
        <x:v>Map learning events to xAPI 2.0 where useful; HumanOS learning/capability state remains authoritative.</x:v>
      </x:c>
      <x:c r="F15" s="114" t="str">
        <x:v>Use LRS as capability source of truth; no xAPI.</x:v>
      </x:c>
      <x:c r="G15" s="114" t="str">
        <x:v>Integration without evidence inflation.</x:v>
      </x:c>
      <x:c r="H15" s="114" t="str">
        <x:v>Mapping and privacy controls.</x:v>
      </x:c>
      <x:c r="I15" s="114" t="str">
        <x:v>Learning adapter tests.</x:v>
      </x:c>
      <x:c r="J15" s="114" t="str">
        <x:v>L&amp;D/Data</x:v>
      </x:c>
      <x:c r="K15" s="726" t="str">
        <x:v>ADL xAPI</x:v>
      </x:c>
    </x:row>
    <x:row r="16">
      <x:c r="A16" s="730" t="str">
        <x:v>S89-ADR-012</x:v>
      </x:c>
      <x:c r="B16" s="731" t="str">
        <x:v>System-quality metrics, not employee rankings</x:v>
      </x:c>
      <x:c r="C16" s="731" t="str">
        <x:v>Accepted</x:v>
      </x:c>
      <x:c r="D16" s="731" t="str">
        <x:v>Coaching acceptance, snooze and completion can be misused.</x:v>
      </x:c>
      <x:c r="E16" s="731" t="str">
        <x:v>Use effectiveness metrics to improve coach/content/system; prohibit employee leaderboard/performance scoring.</x:v>
      </x:c>
      <x:c r="F16" s="731" t="str">
        <x:v>Rank employees by coaching metrics.</x:v>
      </x:c>
      <x:c r="G16" s="731" t="str">
        <x:v>Trust and valid measurement.</x:v>
      </x:c>
      <x:c r="H16" s="731" t="str">
        <x:v>Requires governance enforcement.</x:v>
      </x:c>
      <x:c r="I16" s="731" t="str">
        <x:v>Report deny-list tests.</x:v>
      </x:c>
      <x:c r="J16" s="731" t="str">
        <x:v>Product/HR/DPO</x:v>
      </x:c>
      <x:c r="K16" s="732" t="str">
        <x:v>Coaching Effectiveness Metrics</x:v>
      </x:c>
    </x:row>
    <x:row r="17">
      <x:c r="A17" s="727" t="str">
        <x:v>S89-ADR-013</x:v>
      </x:c>
      <x:c r="B17" s="728" t="str">
        <x:v>Feedback-driven but governed coach improvement</x:v>
      </x:c>
      <x:c r="C17" s="728" t="str">
        <x:v>Accepted</x:v>
      </x:c>
      <x:c r="D17" s="728" t="str">
        <x:v>Coach should improve from user feedback without uncontrolled self-modification.</x:v>
      </x:c>
      <x:c r="E17" s="728" t="str">
        <x:v>Send generalised candidate observations to Stage 11 Skill Forge; evaluate, approve, canary and rollback.</x:v>
      </x:c>
      <x:c r="F17" s="728" t="str">
        <x:v>Automatic live prompt mutation; manual-only improvement.</x:v>
      </x:c>
      <x:c r="G17" s="728" t="str">
        <x:v>Compounding learning with control.</x:v>
      </x:c>
      <x:c r="H17" s="728" t="str">
        <x:v>Slower promotion and eval cost.</x:v>
      </x:c>
      <x:c r="I17" s="728" t="str">
        <x:v>Stage 11 handoff tests.</x:v>
      </x:c>
      <x:c r="J17" s="728" t="str">
        <x:v>AI Platform</x:v>
      </x:c>
      <x:c r="K17" s="729" t="str">
        <x:v>Growth Coach Architecture</x:v>
      </x:c>
    </x:row>
  </x:sheetData>
  <x:mergeCells>
    <x:mergeCell ref="A1:K1"/>
    <x:mergeCell ref="A2:K2"/>
  </x:mergeCells>
  <x:dataValidations count="1">
    <x:dataValidation type="list" sqref="C5:C17">
      <x:formula1>"Proposed,Accepted in principle,Accepted,Rejected,Deferred"</x:formula1>
    </x:dataValidation>
  </x:dataValidations>
  <x:pageMargins left="0.7" right="0.7" top="0.75" bottom="0.75" header="0.3" footer="0.3"/>
</x:worksheet>
</file>

<file path=xl/worksheets/sheet133.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4" hidden="0" customWidth="1"/>
    <x:col min="5" max="5" width="42" hidden="0" customWidth="1"/>
    <x:col min="6" max="6" width="18" hidden="0" customWidth="1"/>
    <x:col min="7" max="7" width="12" hidden="0" customWidth="1"/>
    <x:col min="8" max="8" width="48" hidden="0" customWidth="1"/>
    <x:col min="9" max="9" width="30" hidden="0" customWidth="1"/>
    <x:col min="11" max="11" width="28" hidden="0" customWidth="1"/>
    <x:col min="12" max="12" width="18" hidden="0" customWidth="1"/>
  </x:cols>
  <x:sheetData>
    <x:row r="1" ht="30" customHeight="1">
      <x:c r="A1" s="687" t="str">
        <x:v>Stage 8 — Capability Graph and Baseline Assessment Gate</x:v>
      </x:c>
      <x:c r="B1" s="687"/>
      <x:c r="C1" s="687"/>
      <x:c r="D1" s="687"/>
      <x:c r="E1" s="687"/>
      <x:c r="F1" s="687"/>
      <x:c r="G1" s="687"/>
      <x:c r="H1" s="687"/>
      <x:c r="I1" s="687"/>
    </x:row>
    <x:row r="2" ht="36" customHeight="1">
      <x:c r="A2" s="691" t="str">
        <x:v>Readiness criteria for capability evidence, state, claims, baseline assessment, role readiness and human review.</x:v>
      </x:c>
      <x:c r="B2" s="691"/>
      <x:c r="C2" s="691"/>
      <x:c r="D2" s="691"/>
      <x:c r="E2" s="691"/>
      <x:c r="F2" s="691"/>
      <x:c r="G2" s="691"/>
      <x:c r="H2" s="691"/>
      <x:c r="I2" s="691"/>
    </x:row>
    <x:row r="4" ht="30" customHeight="1">
      <x:c r="A4" s="703" t="str">
        <x:v>Gate ID</x:v>
      </x:c>
      <x:c r="B4" s="704" t="str">
        <x:v>Category</x:v>
      </x:c>
      <x:c r="C4" s="704" t="str">
        <x:v>Mandatory</x:v>
      </x:c>
      <x:c r="D4" s="704" t="str">
        <x:v>Requirement</x:v>
      </x:c>
      <x:c r="E4" s="704" t="str">
        <x:v>Required evidence</x:v>
      </x:c>
      <x:c r="F4" s="704" t="str">
        <x:v>Status</x:v>
      </x:c>
      <x:c r="G4" s="704" t="str">
        <x:v>Readiness</x:v>
      </x:c>
      <x:c r="H4" s="704" t="str">
        <x:v>Blocking condition</x:v>
      </x:c>
      <x:c r="I4" s="705" t="str">
        <x:v>Authority</x:v>
      </x:c>
      <x:c r="K4" s="703" t="str">
        <x:v>Metric</x:v>
      </x:c>
      <x:c r="L4" s="705" t="str">
        <x:v>Value</x:v>
      </x:c>
    </x:row>
    <x:row r="5">
      <x:c r="A5" s="722" t="str">
        <x:v>S8-G-001</x:v>
      </x:c>
      <x:c r="B5" s="723" t="str">
        <x:v>Architecture</x:v>
      </x:c>
      <x:c r="C5" s="723" t="str">
        <x:v>Yes</x:v>
      </x:c>
      <x:c r="D5" s="723" t="str">
        <x:v>Capability catalogue, evidence qualification, scoring recommendation, state, claims, baseline, readiness and review boundaries are defined.</x:v>
      </x:c>
      <x:c r="E5" s="723" t="str">
        <x:v>Capability Graph Architecture</x:v>
      </x:c>
      <x:c r="F5" s="723" t="str">
        <x:v>Draft Ready</x:v>
      </x:c>
      <x:c r="G5" s="739" t="n">
        <x:f>IF(F5="Met",1,IF(F5="Draft Ready",0.8,IF(F5="In Review",0.6,IF(F5="Owner Input",0.3,IF(F5="Blocked",0,0)))))</x:f>
        <x:v>0.8</x:v>
      </x:c>
      <x:c r="H5" s="723" t="str">
        <x:v>No durable/evidence-linked capability architecture.</x:v>
      </x:c>
      <x:c r="I5" s="724" t="str">
        <x:v>CTO/Architecture</x:v>
      </x:c>
      <x:c r="K5" s="722" t="str">
        <x:v>Stage 8 readiness</x:v>
      </x:c>
      <x:c r="L5" s="743" t="n">
        <x:f>AVERAGE(G5:G18)</x:f>
        <x:v>0.7285714285714285</x:v>
      </x:c>
    </x:row>
    <x:row r="6">
      <x:c r="A6" s="730" t="str">
        <x:v>S8-G-002</x:v>
      </x:c>
      <x:c r="B6" s="731" t="str">
        <x:v>Evidence model</x:v>
      </x:c>
      <x:c r="C6" s="731" t="str">
        <x:v>Yes</x:v>
      </x:c>
      <x:c r="D6" s="731" t="str">
        <x:v>Capability evidence fields cover task, source, dimensions, quality, autonomy, coverage, blockers, recency, review and lineage.</x:v>
      </x:c>
      <x:c r="E6" s="731" t="str">
        <x:v>Capability Evidence Model</x:v>
      </x:c>
      <x:c r="F6" s="731" t="str">
        <x:v>Draft Ready</x:v>
      </x:c>
      <x:c r="G6" s="740" t="n">
        <x:f>IF(F6="Met",1,IF(F6="Draft Ready",0.8,IF(F6="In Review",0.6,IF(F6="Owner Input",0.3,IF(F6="Blocked",0,0)))))</x:f>
        <x:v>0.8</x:v>
      </x:c>
      <x:c r="H6" s="731" t="str">
        <x:v>Raw activity or claims can become evidence.</x:v>
      </x:c>
      <x:c r="I6" s="732" t="str">
        <x:v>Capability/Data/DPO</x:v>
      </x:c>
      <x:c r="K6" s="725" t="str">
        <x:v>Mandatory not started/blocked</x:v>
      </x:c>
      <x:c r="L6" s="726" t="n">
        <x:f>COUNTIFS(C5:C18,"Yes",F5:F18,"Not Started")+COUNTIFS(C5:C18,"Yes",F5:F18,"Blocked")</x:f>
        <x:v>1</x:v>
      </x:c>
    </x:row>
    <x:row r="7">
      <x:c r="A7" s="725" t="str">
        <x:v>S8-G-003</x:v>
      </x:c>
      <x:c r="B7" s="114" t="str">
        <x:v>Scoring model</x:v>
      </x:c>
      <x:c r="C7" s="114" t="str">
        <x:v>Yes</x:v>
      </x:c>
      <x:c r="D7" s="114" t="str">
        <x:v>Eligibility gates, multidimensional factors, confidence, recency, consistency and transition rules are defined.</x:v>
      </x:c>
      <x:c r="E7" s="114" t="str">
        <x:v>Capability Scoring Model</x:v>
      </x:c>
      <x:c r="F7" s="114" t="str">
        <x:v>Draft Ready</x:v>
      </x:c>
      <x:c r="G7" s="135" t="n">
        <x:f>IF(F7="Met",1,IF(F7="Draft Ready",0.8,IF(F7="In Review",0.6,IF(F7="Owner Input",0.3,IF(F7="Blocked",0,0)))))</x:f>
        <x:v>0.8</x:v>
      </x:c>
      <x:c r="H7" s="114" t="str">
        <x:v>Opaque or unqualified capability score.</x:v>
      </x:c>
      <x:c r="I7" s="726" t="str">
        <x:v>AI Governance/Capability</x:v>
      </x:c>
      <x:c r="K7" s="725" t="str">
        <x:v>Draft-ready/met items</x:v>
      </x:c>
      <x:c r="L7" s="726" t="n">
        <x:f>COUNTIF(F5:F18,"Met")+COUNTIF(F5:F18,"Draft Ready")</x:f>
        <x:v>12</x:v>
      </x:c>
    </x:row>
    <x:row r="8">
      <x:c r="A8" s="730" t="str">
        <x:v>S8-G-004</x:v>
      </x:c>
      <x:c r="B8" s="731" t="str">
        <x:v>Claim workflow</x:v>
      </x:c>
      <x:c r="C8" s="731" t="str">
        <x:v>Yes</x:v>
      </x:c>
      <x:c r="D8" s="731" t="str">
        <x:v>Neutral claim-evidence discrepancy, employee response, context review, reassessment and appeal are defined.</x:v>
      </x:c>
      <x:c r="E8" s="731" t="str">
        <x:v>Claim Discrepancy Workflow</x:v>
      </x:c>
      <x:c r="F8" s="731" t="str">
        <x:v>Draft Ready</x:v>
      </x:c>
      <x:c r="G8" s="740" t="n">
        <x:f>IF(F8="Met",1,IF(F8="Draft Ready",0.8,IF(F8="In Review",0.6,IF(F8="Owner Input",0.3,IF(F8="Blocked",0,0)))))</x:f>
        <x:v>0.8</x:v>
      </x:c>
      <x:c r="H8" s="731" t="str">
        <x:v>Discrepancy equated with dishonesty.</x:v>
      </x:c>
      <x:c r="I8" s="732" t="str">
        <x:v>HR/DPO</x:v>
      </x:c>
      <x:c r="K8" s="727" t="str">
        <x:v>Formal decision count</x:v>
      </x:c>
      <x:c r="L8" s="729" t="n">
        <x:v>0</x:v>
      </x:c>
    </x:row>
    <x:row r="9">
      <x:c r="A9" s="725" t="str">
        <x:v>S8-G-005</x:v>
      </x:c>
      <x:c r="B9" s="114" t="str">
        <x:v>Baseline model</x:v>
      </x:c>
      <x:c r="C9" s="114" t="str">
        <x:v>Yes</x:v>
      </x:c>
      <x:c r="D9" s="114" t="str">
        <x:v>Self-assessment, diagnostics, representative tasks, live evidence, AI supervision and employee review are defined.</x:v>
      </x:c>
      <x:c r="E9" s="114" t="str">
        <x:v>Baseline Assessment Model</x:v>
      </x:c>
      <x:c r="F9" s="114" t="str">
        <x:v>Draft Ready</x:v>
      </x:c>
      <x:c r="G9" s="135" t="n">
        <x:f>IF(F9="Met",1,IF(F9="Draft Ready",0.8,IF(F9="In Review",0.6,IF(F9="Owner Input",0.3,IF(F9="Blocked",0,0)))))</x:f>
        <x:v>0.8</x:v>
      </x:c>
      <x:c r="H9" s="114" t="str">
        <x:v>Baseline becomes permanent label.</x:v>
      </x:c>
      <x:c r="I9" s="726" t="str">
        <x:v>HR/Capability/Product</x:v>
      </x:c>
    </x:row>
    <x:row r="10">
      <x:c r="A10" s="730" t="str">
        <x:v>S8-G-006</x:v>
      </x:c>
      <x:c r="B10" s="731" t="str">
        <x:v>Role readiness</x:v>
      </x:c>
      <x:c r="C10" s="731" t="str">
        <x:v>Yes</x:v>
      </x:c>
      <x:c r="D10" s="731" t="str">
        <x:v>Critical floors, confidence, freshness, support, readiness statuses and advisory boundary are defined.</x:v>
      </x:c>
      <x:c r="E10" s="731" t="str">
        <x:v>Role Readiness Model</x:v>
      </x:c>
      <x:c r="F10" s="731" t="str">
        <x:v>Draft Ready</x:v>
      </x:c>
      <x:c r="G10" s="740" t="n">
        <x:f>IF(F10="Met",1,IF(F10="Draft Ready",0.8,IF(F10="In Review",0.6,IF(F10="Owner Input",0.3,IF(F10="Blocked",0,0)))))</x:f>
        <x:v>0.8</x:v>
      </x:c>
      <x:c r="H10" s="731" t="str">
        <x:v>Single percentage hides critical gap.</x:v>
      </x:c>
      <x:c r="I10" s="732" t="str">
        <x:v>HR/Role Readiness</x:v>
      </x:c>
    </x:row>
    <x:row r="11">
      <x:c r="A11" s="725" t="str">
        <x:v>S8-G-007</x:v>
      </x:c>
      <x:c r="B11" s="114" t="str">
        <x:v>Review and audit</x:v>
      </x:c>
      <x:c r="C11" s="114" t="str">
        <x:v>Yes</x:v>
      </x:c>
      <x:c r="D11" s="114" t="str">
        <x:v>Meaningful review, employee access/correction/dispute, versioning, retention and audit are defined.</x:v>
      </x:c>
      <x:c r="E11" s="114" t="str">
        <x:v>Capability Review and Audit</x:v>
      </x:c>
      <x:c r="F11" s="114" t="str">
        <x:v>Draft Ready</x:v>
      </x:c>
      <x:c r="G11" s="135" t="n">
        <x:f>IF(F11="Met",1,IF(F11="Draft Ready",0.8,IF(F11="In Review",0.6,IF(F11="Owner Input",0.3,IF(F11="Blocked",0,0)))))</x:f>
        <x:v>0.8</x:v>
      </x:c>
      <x:c r="H11" s="114" t="str">
        <x:v>High-impact state bypasses review.</x:v>
      </x:c>
      <x:c r="I11" s="726" t="str">
        <x:v>DPO/HR/Governance</x:v>
      </x:c>
    </x:row>
    <x:row r="12">
      <x:c r="A12" s="730" t="str">
        <x:v>S8-G-008</x:v>
      </x:c>
      <x:c r="B12" s="731" t="str">
        <x:v>External mappings</x:v>
      </x:c>
      <x:c r="C12" s="731" t="str">
        <x:v>Yes</x:v>
      </x:c>
      <x:c r="D12" s="731" t="str">
        <x:v>SFIA/NICE/ESCO/O*NET mapping strategy is versioned and HumanOS remains authoritative.</x:v>
      </x:c>
      <x:c r="E12" s="731" t="str">
        <x:v>Architecture/Backlog/Sources</x:v>
      </x:c>
      <x:c r="F12" s="731" t="str">
        <x:v>Draft Ready</x:v>
      </x:c>
      <x:c r="G12" s="740" t="n">
        <x:f>IF(F12="Met",1,IF(F12="Draft Ready",0.8,IF(F12="In Review",0.6,IF(F12="Owner Input",0.3,IF(F12="Blocked",0,0)))))</x:f>
        <x:v>0.8</x:v>
      </x:c>
      <x:c r="H12" s="731" t="str">
        <x:v>External framework silently rewrites internal state.</x:v>
      </x:c>
      <x:c r="I12" s="732" t="str">
        <x:v>Taxonomy/Architecture</x:v>
      </x:c>
    </x:row>
    <x:row r="13">
      <x:c r="A13" s="725" t="str">
        <x:v>S8-G-009</x:v>
      </x:c>
      <x:c r="B13" s="114" t="str">
        <x:v>Fairness</x:v>
      </x:c>
      <x:c r="C13" s="114" t="str">
        <x:v>Yes</x:v>
      </x:c>
      <x:c r="D13" s="114" t="str">
        <x:v>Single-task limits, blocker exclusions, accessibility, AI-use neutrality and insufficient evidence are represented.</x:v>
      </x:c>
      <x:c r="E13" s="114" t="str">
        <x:v>Scoring/Evidence/Risks</x:v>
      </x:c>
      <x:c r="F13" s="114" t="str">
        <x:v>Draft Ready</x:v>
      </x:c>
      <x:c r="G13" s="135" t="n">
        <x:f>IF(F13="Met",1,IF(F13="Draft Ready",0.8,IF(F13="In Review",0.6,IF(F13="Owner Input",0.3,IF(F13="Blocked",0,0)))))</x:f>
        <x:v>0.8</x:v>
      </x:c>
      <x:c r="H13" s="114" t="str">
        <x:v>Invalid negative capability inference.</x:v>
      </x:c>
      <x:c r="I13" s="726" t="str">
        <x:v>DPO/AI Governance</x:v>
      </x:c>
    </x:row>
    <x:row r="14">
      <x:c r="A14" s="730" t="str">
        <x:v>S8-G-010</x:v>
      </x:c>
      <x:c r="B14" s="731" t="str">
        <x:v>APIs/events</x:v>
      </x:c>
      <x:c r="C14" s="731" t="str">
        <x:v>Yes</x:v>
      </x:c>
      <x:c r="D14" s="731" t="str">
        <x:v>Capability evidence, scoring, claims, baseline, readiness, review and correction contracts are specified.</x:v>
      </x:c>
      <x:c r="E14" s="731" t="str">
        <x:v>Stage 8-9 APIs and Events</x:v>
      </x:c>
      <x:c r="F14" s="731" t="str">
        <x:v>Draft Ready</x:v>
      </x:c>
      <x:c r="G14" s="740" t="n">
        <x:f>IF(F14="Met",1,IF(F14="Draft Ready",0.8,IF(F14="In Review",0.6,IF(F14="Owner Input",0.3,IF(F14="Blocked",0,0)))))</x:f>
        <x:v>0.8</x:v>
      </x:c>
      <x:c r="H14" s="731" t="str">
        <x:v>No implementable service contract.</x:v>
      </x:c>
      <x:c r="I14" s="732" t="str">
        <x:v>Backend/Data</x:v>
      </x:c>
    </x:row>
    <x:row r="15">
      <x:c r="A15" s="725" t="str">
        <x:v>S8-G-011</x:v>
      </x:c>
      <x:c r="B15" s="114" t="str">
        <x:v>Backlog</x:v>
      </x:c>
      <x:c r="C15" s="114" t="str">
        <x:v>Yes</x:v>
      </x:c>
      <x:c r="D15" s="114" t="str">
        <x:v>Stage 8 backlog includes owners, dependencies, effort, tests, deliverables and privacy impact.</x:v>
      </x:c>
      <x:c r="E15" s="114" t="str">
        <x:v>Stage 8 Backlog</x:v>
      </x:c>
      <x:c r="F15" s="114" t="str">
        <x:v>Draft Ready</x:v>
      </x:c>
      <x:c r="G15" s="135" t="n">
        <x:f>IF(F15="Met",1,IF(F15="Draft Ready",0.8,IF(F15="In Review",0.6,IF(F15="Owner Input",0.3,IF(F15="Blocked",0,0)))))</x:f>
        <x:v>0.8</x:v>
      </x:c>
      <x:c r="H15" s="114" t="str">
        <x:v>No executable implementation plan.</x:v>
      </x:c>
      <x:c r="I15" s="726" t="str">
        <x:v>Programme</x:v>
      </x:c>
    </x:row>
    <x:row r="16">
      <x:c r="A16" s="730" t="str">
        <x:v>S8-G-012</x:v>
      </x:c>
      <x:c r="B16" s="731" t="str">
        <x:v>Evaluation</x:v>
      </x:c>
      <x:c r="C16" s="731" t="str">
        <x:v>Yes</x:v>
      </x:c>
      <x:c r="D16" s="731" t="str">
        <x:v>Scoring, fairness, blockers, accommodations, stale evidence, contradiction and claim cases are planned.</x:v>
      </x:c>
      <x:c r="E16" s="731" t="str">
        <x:v>Backlog/Risks/Worked Models</x:v>
      </x:c>
      <x:c r="F16" s="731" t="str">
        <x:v>Draft Ready</x:v>
      </x:c>
      <x:c r="G16" s="740" t="n">
        <x:f>IF(F16="Met",1,IF(F16="Draft Ready",0.8,IF(F16="In Review",0.6,IF(F16="Owner Input",0.3,IF(F16="Blocked",0,0)))))</x:f>
        <x:v>0.8</x:v>
      </x:c>
      <x:c r="H16" s="731" t="str">
        <x:v>No calibration or fairness evaluation.</x:v>
      </x:c>
      <x:c r="I16" s="732" t="str">
        <x:v>AI Evaluation/QA</x:v>
      </x:c>
    </x:row>
    <x:row r="17">
      <x:c r="A17" s="725" t="str">
        <x:v>S8-G-013</x:v>
      </x:c>
      <x:c r="B17" s="114" t="str">
        <x:v>HumanOS fit</x:v>
      </x:c>
      <x:c r="C17" s="114" t="str">
        <x:v>Yes</x:v>
      </x:c>
      <x:c r="D17" s="114" t="str">
        <x:v>Existing identity, organisation, role/task, workflow, policy, audit and evidence services remain authoritative.</x:v>
      </x:c>
      <x:c r="E17" s="114" t="str">
        <x:v>Architecture/ADRs</x:v>
      </x:c>
      <x:c r="F17" s="114" t="str">
        <x:v>In Review</x:v>
      </x:c>
      <x:c r="G17" s="135" t="n">
        <x:f>IF(F17="Met",1,IF(F17="Draft Ready",0.8,IF(F17="In Review",0.6,IF(F17="Owner Input",0.3,IF(F17="Blocked",0,0)))))</x:f>
        <x:v>0.6</x:v>
      </x:c>
      <x:c r="H17" s="114" t="str">
        <x:v>Duplicated HumanOS foundation.</x:v>
      </x:c>
      <x:c r="I17" s="726" t="str">
        <x:v>Enterprise Architect</x:v>
      </x:c>
    </x:row>
    <x:row r="18">
      <x:c r="A18" s="733" t="str">
        <x:v>S8-G-014</x:v>
      </x:c>
      <x:c r="B18" s="734" t="str">
        <x:v>Formal decision</x:v>
      </x:c>
      <x:c r="C18" s="734" t="str">
        <x:v>Yes</x:v>
      </x:c>
      <x:c r="D18" s="734" t="str">
        <x:v>CTO, Product, HR, DPO, Architecture, AI Governance and domain reviewers record Stage 8 decision.</x:v>
      </x:c>
      <x:c r="E18" s="734" t="str">
        <x:v>Review minutes and decision</x:v>
      </x:c>
      <x:c r="F18" s="734" t="str">
        <x:v>Not Started</x:v>
      </x:c>
      <x:c r="G18" s="742" t="n">
        <x:f>IF(F18="Met",1,IF(F18="Draft Ready",0.8,IF(F18="In Review",0.6,IF(F18="Owner Input",0.3,IF(F18="Blocked",0,0)))))</x:f>
        <x:v>0</x:v>
      </x:c>
      <x:c r="H18" s="734" t="str">
        <x:v>No formal gate decision.</x:v>
      </x:c>
      <x:c r="I18" s="735"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134.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4" hidden="0" customWidth="1"/>
    <x:col min="5" max="5" width="42" hidden="0" customWidth="1"/>
    <x:col min="6" max="6" width="18" hidden="0" customWidth="1"/>
    <x:col min="7" max="7" width="12" hidden="0" customWidth="1"/>
    <x:col min="8" max="8" width="48" hidden="0" customWidth="1"/>
    <x:col min="9" max="9" width="30" hidden="0" customWidth="1"/>
    <x:col min="11" max="11" width="28" hidden="0" customWidth="1"/>
    <x:col min="12" max="12" width="18" hidden="0" customWidth="1"/>
  </x:cols>
  <x:sheetData>
    <x:row r="1" ht="30" customHeight="1">
      <x:c r="A1" s="687" t="str">
        <x:v>Stage 9 — Growth Coach and Learning Loop Gate</x:v>
      </x:c>
      <x:c r="B1" s="687"/>
      <x:c r="C1" s="687"/>
      <x:c r="D1" s="687"/>
      <x:c r="E1" s="687"/>
      <x:c r="F1" s="687"/>
      <x:c r="G1" s="687"/>
      <x:c r="H1" s="687"/>
      <x:c r="I1" s="687"/>
    </x:row>
    <x:row r="2" ht="36" customHeight="1">
      <x:c r="A2" s="691" t="str">
        <x:v>Readiness criteria for policy-controlled coaching, employee controls, learning application, effectiveness and safe reporting.</x:v>
      </x:c>
      <x:c r="B2" s="691"/>
      <x:c r="C2" s="691"/>
      <x:c r="D2" s="691"/>
      <x:c r="E2" s="691"/>
      <x:c r="F2" s="691"/>
      <x:c r="G2" s="691"/>
      <x:c r="H2" s="691"/>
      <x:c r="I2" s="691"/>
    </x:row>
    <x:row r="4" ht="30" customHeight="1">
      <x:c r="A4" s="703" t="str">
        <x:v>Gate ID</x:v>
      </x:c>
      <x:c r="B4" s="704" t="str">
        <x:v>Category</x:v>
      </x:c>
      <x:c r="C4" s="704" t="str">
        <x:v>Mandatory</x:v>
      </x:c>
      <x:c r="D4" s="704" t="str">
        <x:v>Requirement</x:v>
      </x:c>
      <x:c r="E4" s="704" t="str">
        <x:v>Required evidence</x:v>
      </x:c>
      <x:c r="F4" s="704" t="str">
        <x:v>Status</x:v>
      </x:c>
      <x:c r="G4" s="704" t="str">
        <x:v>Readiness</x:v>
      </x:c>
      <x:c r="H4" s="704" t="str">
        <x:v>Blocking condition</x:v>
      </x:c>
      <x:c r="I4" s="705" t="str">
        <x:v>Authority</x:v>
      </x:c>
      <x:c r="K4" s="703" t="str">
        <x:v>Metric</x:v>
      </x:c>
      <x:c r="L4" s="705" t="str">
        <x:v>Value</x:v>
      </x:c>
    </x:row>
    <x:row r="5">
      <x:c r="A5" s="722" t="str">
        <x:v>S9-G-001</x:v>
      </x:c>
      <x:c r="B5" s="723" t="str">
        <x:v>Architecture</x:v>
      </x:c>
      <x:c r="C5" s="723" t="str">
        <x:v>Yes</x:v>
      </x:c>
      <x:c r="D5" s="723" t="str">
        <x:v>Policy, preferences, context, triggers, selector, generation, validation, delivery, feedback, learning and reporting boundaries are defined.</x:v>
      </x:c>
      <x:c r="E5" s="723" t="str">
        <x:v>Growth Coach Architecture</x:v>
      </x:c>
      <x:c r="F5" s="723" t="str">
        <x:v>Draft Ready</x:v>
      </x:c>
      <x:c r="G5" s="739" t="n">
        <x:f>IF(F5="Met",1,IF(F5="Draft Ready",0.8,IF(F5="In Review",0.6,IF(F5="Owner Input",0.3,IF(F5="Blocked",0,0)))))</x:f>
        <x:v>0.8</x:v>
      </x:c>
      <x:c r="H5" s="723" t="str">
        <x:v>No governed coaching architecture.</x:v>
      </x:c>
      <x:c r="I5" s="724" t="str">
        <x:v>CTO/Product/Architecture</x:v>
      </x:c>
      <x:c r="K5" s="722" t="str">
        <x:v>Stage 9 readiness</x:v>
      </x:c>
      <x:c r="L5" s="743" t="n">
        <x:f>AVERAGE(G5:G18)</x:f>
        <x:v>0.7428571428571429</x:v>
      </x:c>
    </x:row>
    <x:row r="6">
      <x:c r="A6" s="730" t="str">
        <x:v>S9-G-002</x:v>
      </x:c>
      <x:c r="B6" s="731" t="str">
        <x:v>Modes and triggers</x:v>
      </x:c>
      <x:c r="C6" s="731" t="str">
        <x:v>Yes</x:v>
      </x:c>
      <x:c r="D6" s="731" t="str">
        <x:v>Observe, Nudge, Assist, Teach, Escalate, Reflect, Practice and Mentor Handoff with evidence triggers are defined.</x:v>
      </x:c>
      <x:c r="E6" s="731" t="str">
        <x:v>Coaching Modes and Triggers</x:v>
      </x:c>
      <x:c r="F6" s="731" t="str">
        <x:v>Draft Ready</x:v>
      </x:c>
      <x:c r="G6" s="740" t="n">
        <x:f>IF(F6="Met",1,IF(F6="Draft Ready",0.8,IF(F6="In Review",0.6,IF(F6="Owner Input",0.3,IF(F6="Blocked",0,0)))))</x:f>
        <x:v>0.8</x:v>
      </x:c>
      <x:c r="H6" s="731" t="str">
        <x:v>Intervention purpose/mode ambiguous.</x:v>
      </x:c>
      <x:c r="I6" s="732" t="str">
        <x:v>Product/L&amp;D</x:v>
      </x:c>
      <x:c r="K6" s="725" t="str">
        <x:v>Mandatory not started/blocked</x:v>
      </x:c>
      <x:c r="L6" s="726" t="n">
        <x:f>COUNTIFS(C5:C18,"Yes",F5:F18,"Not Started")+COUNTIFS(C5:C18,"Yes",F5:F18,"Blocked")</x:f>
        <x:v>1</x:v>
      </x:c>
    </x:row>
    <x:row r="7">
      <x:c r="A7" s="725" t="str">
        <x:v>S9-G-003</x:v>
      </x:c>
      <x:c r="B7" s="114" t="str">
        <x:v>Intervention policy</x:v>
      </x:c>
      <x:c r="C7" s="114" t="str">
        <x:v>Yes</x:v>
      </x:c>
      <x:c r="D7" s="114" t="str">
        <x:v>Confidence, least-intrusive mode, focus/cooldown, employee controls, tone, privacy and escalation policies are defined.</x:v>
      </x:c>
      <x:c r="E7" s="114" t="str">
        <x:v>Intervention Policy</x:v>
      </x:c>
      <x:c r="F7" s="114" t="str">
        <x:v>Draft Ready</x:v>
      </x:c>
      <x:c r="G7" s="135" t="n">
        <x:f>IF(F7="Met",1,IF(F7="Draft Ready",0.8,IF(F7="In Review",0.6,IF(F7="Owner Input",0.3,IF(F7="Blocked",0,0)))))</x:f>
        <x:v>0.8</x:v>
      </x:c>
      <x:c r="H7" s="114" t="str">
        <x:v>Coaching can spam, manipulate or bypass policy.</x:v>
      </x:c>
      <x:c r="I7" s="726" t="str">
        <x:v>DPO/HR/AI Governance</x:v>
      </x:c>
      <x:c r="K7" s="725" t="str">
        <x:v>Draft-ready/met items</x:v>
      </x:c>
      <x:c r="L7" s="726" t="n">
        <x:f>COUNTIF(F5:F18,"Met")+COUNTIF(F5:F18,"Draft Ready")</x:f>
        <x:v>13</x:v>
      </x:c>
    </x:row>
    <x:row r="8">
      <x:c r="A8" s="730" t="str">
        <x:v>S9-G-004</x:v>
      </x:c>
      <x:c r="B8" s="731" t="str">
        <x:v>Privacy and employee agency</x:v>
      </x:c>
      <x:c r="C8" s="731" t="str">
        <x:v>Yes</x:v>
      </x:c>
      <x:c r="D8" s="731" t="str">
        <x:v>Private-first delivery, preference controls, correction, no punitive feedback use and manager summary limits are defined.</x:v>
      </x:c>
      <x:c r="E8" s="731" t="str">
        <x:v>Policy/Reporting/Architecture</x:v>
      </x:c>
      <x:c r="F8" s="731" t="str">
        <x:v>Draft Ready</x:v>
      </x:c>
      <x:c r="G8" s="740" t="n">
        <x:f>IF(F8="Met",1,IF(F8="Draft Ready",0.8,IF(F8="In Review",0.6,IF(F8="Owner Input",0.3,IF(F8="Blocked",0,0)))))</x:f>
        <x:v>0.8</x:v>
      </x:c>
      <x:c r="H8" s="731" t="str">
        <x:v>Private coaching exposed or employee controls absent.</x:v>
      </x:c>
      <x:c r="I8" s="732" t="str">
        <x:v>DPO/Product/HR</x:v>
      </x:c>
      <x:c r="K8" s="727" t="str">
        <x:v>Formal decision count</x:v>
      </x:c>
      <x:c r="L8" s="729" t="n">
        <x:v>0</x:v>
      </x:c>
    </x:row>
    <x:row r="9">
      <x:c r="A9" s="725" t="str">
        <x:v>S9-G-005</x:v>
      </x:c>
      <x:c r="B9" s="114" t="str">
        <x:v>Learning loop</x:v>
      </x:c>
      <x:c r="C9" s="114" t="str">
        <x:v>Yes</x:v>
      </x:c>
      <x:c r="D9" s="114" t="str">
        <x:v>Gap review, plan, content, practice, applied evidence and capability review states are defined.</x:v>
      </x:c>
      <x:c r="E9" s="114" t="str">
        <x:v>Learning Loop Model</x:v>
      </x:c>
      <x:c r="F9" s="114" t="str">
        <x:v>Draft Ready</x:v>
      </x:c>
      <x:c r="G9" s="135" t="n">
        <x:f>IF(F9="Met",1,IF(F9="Draft Ready",0.8,IF(F9="In Review",0.6,IF(F9="Owner Input",0.3,IF(F9="Blocked",0,0)))))</x:f>
        <x:v>0.8</x:v>
      </x:c>
      <x:c r="H9" s="114" t="str">
        <x:v>Training completion treated as capability.</x:v>
      </x:c>
      <x:c r="I9" s="726" t="str">
        <x:v>L&amp;D/Capability</x:v>
      </x:c>
    </x:row>
    <x:row r="10">
      <x:c r="A10" s="730" t="str">
        <x:v>S9-G-006</x:v>
      </x:c>
      <x:c r="B10" s="731" t="str">
        <x:v>Learning artefacts</x:v>
      </x:c>
      <x:c r="C10" s="731" t="str">
        <x:v>Yes</x:v>
      </x:c>
      <x:c r="D10" s="731" t="str">
        <x:v>Content/practice types define appropriate use, evidence and guardrails.</x:v>
      </x:c>
      <x:c r="E10" s="731" t="str">
        <x:v>Learning Artefacts</x:v>
      </x:c>
      <x:c r="F10" s="731" t="str">
        <x:v>Draft Ready</x:v>
      </x:c>
      <x:c r="G10" s="740" t="n">
        <x:f>IF(F10="Met",1,IF(F10="Draft Ready",0.8,IF(F10="In Review",0.6,IF(F10="Owner Input",0.3,IF(F10="Blocked",0,0)))))</x:f>
        <x:v>0.8</x:v>
      </x:c>
      <x:c r="H10" s="731" t="str">
        <x:v>Unversioned or ineffective content assigned.</x:v>
      </x:c>
      <x:c r="I10" s="732" t="str">
        <x:v>L&amp;D/Domain Experts</x:v>
      </x:c>
    </x:row>
    <x:row r="11">
      <x:c r="A11" s="725" t="str">
        <x:v>S9-G-007</x:v>
      </x:c>
      <x:c r="B11" s="114" t="str">
        <x:v>Applied-evidence rule</x:v>
      </x:c>
      <x:c r="C11" s="114" t="str">
        <x:v>Yes</x:v>
      </x:c>
      <x:c r="D11" s="114" t="str">
        <x:v>Capability improvement requires later reviewed application evidence.</x:v>
      </x:c>
      <x:c r="E11" s="114" t="str">
        <x:v>Learning Loop/ADRs</x:v>
      </x:c>
      <x:c r="F11" s="114" t="str">
        <x:v>Draft Ready</x:v>
      </x:c>
      <x:c r="G11" s="135" t="n">
        <x:f>IF(F11="Met",1,IF(F11="Draft Ready",0.8,IF(F11="In Review",0.6,IF(F11="Owner Input",0.3,IF(F11="Blocked",0,0)))))</x:f>
        <x:v>0.8</x:v>
      </x:c>
      <x:c r="H11" s="114" t="str">
        <x:v>Course completion auto-updates capability.</x:v>
      </x:c>
      <x:c r="I11" s="726" t="str">
        <x:v>Capability/L&amp;D</x:v>
      </x:c>
    </x:row>
    <x:row r="12">
      <x:c r="A12" s="730" t="str">
        <x:v>S9-G-008</x:v>
      </x:c>
      <x:c r="B12" s="731" t="str">
        <x:v>Effectiveness metrics</x:v>
      </x:c>
      <x:c r="C12" s="731" t="str">
        <x:v>Yes</x:v>
      </x:c>
      <x:c r="D12" s="731" t="str">
        <x:v>Usefulness, interruption, errors, verification, applied learning, trust, fairness and safety metrics are defined.</x:v>
      </x:c>
      <x:c r="E12" s="731" t="str">
        <x:v>Coaching Effectiveness Metrics</x:v>
      </x:c>
      <x:c r="F12" s="731" t="str">
        <x:v>Draft Ready</x:v>
      </x:c>
      <x:c r="G12" s="740" t="n">
        <x:f>IF(F12="Met",1,IF(F12="Draft Ready",0.8,IF(F12="In Review",0.6,IF(F12="Owner Input",0.3,IF(F12="Blocked",0,0)))))</x:f>
        <x:v>0.8</x:v>
      </x:c>
      <x:c r="H12" s="731" t="str">
        <x:v>No system-quality measurement or metrics used as employee scores.</x:v>
      </x:c>
      <x:c r="I12" s="732" t="str">
        <x:v>AI Evaluation/Product</x:v>
      </x:c>
    </x:row>
    <x:row r="13">
      <x:c r="A13" s="725" t="str">
        <x:v>S9-G-009</x:v>
      </x:c>
      <x:c r="B13" s="114" t="str">
        <x:v>Reporting</x:v>
      </x:c>
      <x:c r="C13" s="114" t="str">
        <x:v>Yes</x:v>
      </x:c>
      <x:c r="D13" s="114" t="str">
        <x:v>Employee, manager and L&amp;D views are purpose-limited and exclude private raw coaching by default.</x:v>
      </x:c>
      <x:c r="E13" s="114" t="str">
        <x:v>Manager and L&amp;D Reporting</x:v>
      </x:c>
      <x:c r="F13" s="114" t="str">
        <x:v>Draft Ready</x:v>
      </x:c>
      <x:c r="G13" s="135" t="n">
        <x:f>IF(F13="Met",1,IF(F13="Draft Ready",0.8,IF(F13="In Review",0.6,IF(F13="Owner Input",0.3,IF(F13="Blocked",0,0)))))</x:f>
        <x:v>0.8</x:v>
      </x:c>
      <x:c r="H13" s="114" t="str">
        <x:v>Manager receives private coaching transcript.</x:v>
      </x:c>
      <x:c r="I13" s="726" t="str">
        <x:v>DPO/HR/Product</x:v>
      </x:c>
    </x:row>
    <x:row r="14">
      <x:c r="A14" s="730" t="str">
        <x:v>S9-G-010</x:v>
      </x:c>
      <x:c r="B14" s="731" t="str">
        <x:v>APIs/events</x:v>
      </x:c>
      <x:c r="C14" s="731" t="str">
        <x:v>Yes</x:v>
      </x:c>
      <x:c r="D14" s="731" t="str">
        <x:v>Preferences, triggers, interventions, feedback, learning plans, practice, mentor and development summary contracts are specified.</x:v>
      </x:c>
      <x:c r="E14" s="731" t="str">
        <x:v>Stage 8-9 APIs and Events</x:v>
      </x:c>
      <x:c r="F14" s="731" t="str">
        <x:v>Draft Ready</x:v>
      </x:c>
      <x:c r="G14" s="740" t="n">
        <x:f>IF(F14="Met",1,IF(F14="Draft Ready",0.8,IF(F14="In Review",0.6,IF(F14="Owner Input",0.3,IF(F14="Blocked",0,0)))))</x:f>
        <x:v>0.8</x:v>
      </x:c>
      <x:c r="H14" s="731" t="str">
        <x:v>No implementable service contract.</x:v>
      </x:c>
      <x:c r="I14" s="732" t="str">
        <x:v>Backend/Data</x:v>
      </x:c>
    </x:row>
    <x:row r="15">
      <x:c r="A15" s="725" t="str">
        <x:v>S9-G-011</x:v>
      </x:c>
      <x:c r="B15" s="114" t="str">
        <x:v>Backlog</x:v>
      </x:c>
      <x:c r="C15" s="114" t="str">
        <x:v>Yes</x:v>
      </x:c>
      <x:c r="D15" s="114" t="str">
        <x:v>Stage 9 backlog includes owners, dependencies, effort, tests, deliverables and privacy impact.</x:v>
      </x:c>
      <x:c r="E15" s="114" t="str">
        <x:v>Stage 9 Backlog</x:v>
      </x:c>
      <x:c r="F15" s="114" t="str">
        <x:v>Draft Ready</x:v>
      </x:c>
      <x:c r="G15" s="135" t="n">
        <x:f>IF(F15="Met",1,IF(F15="Draft Ready",0.8,IF(F15="In Review",0.6,IF(F15="Owner Input",0.3,IF(F15="Blocked",0,0)))))</x:f>
        <x:v>0.8</x:v>
      </x:c>
      <x:c r="H15" s="114" t="str">
        <x:v>No executable implementation plan.</x:v>
      </x:c>
      <x:c r="I15" s="726" t="str">
        <x:v>Programme</x:v>
      </x:c>
    </x:row>
    <x:row r="16">
      <x:c r="A16" s="730" t="str">
        <x:v>S9-G-012</x:v>
      </x:c>
      <x:c r="B16" s="731" t="str">
        <x:v>Evaluation</x:v>
      </x:c>
      <x:c r="C16" s="731" t="str">
        <x:v>Yes</x:v>
      </x:c>
      <x:c r="D16" s="731" t="str">
        <x:v>Safety, grounding, interruption, accommodations, privacy, effectiveness and feedback tests are planned.</x:v>
      </x:c>
      <x:c r="E16" s="731" t="str">
        <x:v>Backlog/Risks/Metrics</x:v>
      </x:c>
      <x:c r="F16" s="731" t="str">
        <x:v>Draft Ready</x:v>
      </x:c>
      <x:c r="G16" s="740" t="n">
        <x:f>IF(F16="Met",1,IF(F16="Draft Ready",0.8,IF(F16="In Review",0.6,IF(F16="Owner Input",0.3,IF(F16="Blocked",0,0)))))</x:f>
        <x:v>0.8</x:v>
      </x:c>
      <x:c r="H16" s="731" t="str">
        <x:v>Coach deployed without safety/usefulness evaluation.</x:v>
      </x:c>
      <x:c r="I16" s="732" t="str">
        <x:v>QA/AI Evaluation</x:v>
      </x:c>
    </x:row>
    <x:row r="17">
      <x:c r="A17" s="725" t="str">
        <x:v>S9-G-013</x:v>
      </x:c>
      <x:c r="B17" s="114" t="str">
        <x:v>Skill Forge boundary</x:v>
      </x:c>
      <x:c r="C17" s="114" t="str">
        <x:v>Yes</x:v>
      </x:c>
      <x:c r="D17" s="114" t="str">
        <x:v>Feedback/outcomes become candidate observations only; evaluation, approval, canary and rollback remain Stage 11.</x:v>
      </x:c>
      <x:c r="E17" s="114" t="str">
        <x:v>Architecture/ADRs</x:v>
      </x:c>
      <x:c r="F17" s="114" t="str">
        <x:v>Draft Ready</x:v>
      </x:c>
      <x:c r="G17" s="135" t="n">
        <x:f>IF(F17="Met",1,IF(F17="Draft Ready",0.8,IF(F17="In Review",0.6,IF(F17="Owner Input",0.3,IF(F17="Blocked",0,0)))))</x:f>
        <x:v>0.8</x:v>
      </x:c>
      <x:c r="H17" s="114" t="str">
        <x:v>Coach self-modifies production behaviour automatically.</x:v>
      </x:c>
      <x:c r="I17" s="726" t="str">
        <x:v>AI Platform/Governance</x:v>
      </x:c>
    </x:row>
    <x:row r="18">
      <x:c r="A18" s="733" t="str">
        <x:v>S9-G-014</x:v>
      </x:c>
      <x:c r="B18" s="734" t="str">
        <x:v>Formal decision</x:v>
      </x:c>
      <x:c r="C18" s="734" t="str">
        <x:v>Yes</x:v>
      </x:c>
      <x:c r="D18" s="734" t="str">
        <x:v>CTO, Product, HR/L&amp;D, DPO, CISO, AI Governance and employee-experience representatives record Stage 9 decision.</x:v>
      </x:c>
      <x:c r="E18" s="734" t="str">
        <x:v>Review minutes and decision</x:v>
      </x:c>
      <x:c r="F18" s="734" t="str">
        <x:v>Not Started</x:v>
      </x:c>
      <x:c r="G18" s="742" t="n">
        <x:f>IF(F18="Met",1,IF(F18="Draft Ready",0.8,IF(F18="In Review",0.6,IF(F18="Owner Input",0.3,IF(F18="Blocked",0,0)))))</x:f>
        <x:v>0</x:v>
      </x:c>
      <x:c r="H18" s="734" t="str">
        <x:v>No formal gate decision.</x:v>
      </x:c>
      <x:c r="I18" s="735"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135.xml><?xml version="1.0" encoding="utf-8"?>
<x:worksheet xmlns:x="http://schemas.openxmlformats.org/spreadsheetml/2006/main">
  <x:sheetFormatPr defaultRowHeight="15"/>
  <x:cols>
    <x:col min="1" max="1" width="14" hidden="0" customWidth="1"/>
    <x:col min="2" max="2" width="40" hidden="0" customWidth="1"/>
    <x:col min="3" max="3" width="26" hidden="0" customWidth="1"/>
    <x:col min="4" max="4" width="58" hidden="0" customWidth="1"/>
    <x:col min="5" max="5" width="70" hidden="0" customWidth="1"/>
    <x:col min="6" max="6" width="12" hidden="0" customWidth="1"/>
    <x:col min="7" max="7" width="50" hidden="0" customWidth="1"/>
  </x:cols>
  <x:sheetData>
    <x:row r="1" ht="30" customHeight="1">
      <x:c r="A1" s="687" t="str">
        <x:v>Stage 8–9 — Source Register</x:v>
      </x:c>
      <x:c r="B1" s="687"/>
      <x:c r="C1" s="687"/>
      <x:c r="D1" s="687"/>
      <x:c r="E1" s="687"/>
      <x:c r="F1" s="687"/>
      <x:c r="G1" s="687"/>
    </x:row>
    <x:row r="2" ht="36" customHeight="1">
      <x:c r="A2" s="691" t="str">
        <x:v>Current skills, occupation, learning, coaching, AI-governance and contract sources used for the Capability Graph and Growth Coach design.</x:v>
      </x:c>
      <x:c r="B2" s="691"/>
      <x:c r="C2" s="691"/>
      <x:c r="D2" s="691"/>
      <x:c r="E2" s="691"/>
      <x:c r="F2" s="691"/>
      <x:c r="G2" s="691"/>
    </x:row>
    <x:row r="4" ht="30" customHeight="1">
      <x:c r="A4" s="703" t="str">
        <x:v>Source ID</x:v>
      </x:c>
      <x:c r="B4" s="704" t="str">
        <x:v>Source</x:v>
      </x:c>
      <x:c r="C4" s="704" t="str">
        <x:v>Type</x:v>
      </x:c>
      <x:c r="D4" s="704" t="str">
        <x:v>Supports</x:v>
      </x:c>
      <x:c r="E4" s="704" t="str">
        <x:v>Source URL</x:v>
      </x:c>
      <x:c r="F4" s="704" t="str">
        <x:v>Priority</x:v>
      </x:c>
      <x:c r="G4" s="705" t="str">
        <x:v>Use / note</x:v>
      </x:c>
    </x:row>
    <x:row r="5">
      <x:c r="A5" s="722" t="str">
        <x:v>S89-SRC-001</x:v>
      </x:c>
      <x:c r="B5" s="723" t="str">
        <x:v>SFIA 9</x:v>
      </x:c>
      <x:c r="C5" s="723" t="str">
        <x:v>Skills/responsibility framework</x:v>
      </x:c>
      <x:c r="D5" s="723" t="str">
        <x:v>Seven responsibility levels and professional skills framework for business and technology roles.</x:v>
      </x:c>
      <x:c r="E5" s="723" t="str">
        <x:v>https://sfia-online.org/en/sfia-9</x:v>
      </x:c>
      <x:c r="F5" s="723" t="str">
        <x:v>High</x:v>
      </x:c>
      <x:c r="G5" s="724" t="str">
        <x:v>Use as versioned mapping/reference, not HumanOS source of evidence.</x:v>
      </x:c>
    </x:row>
    <x:row r="6">
      <x:c r="A6" s="730" t="str">
        <x:v>S89-SRC-002</x:v>
      </x:c>
      <x:c r="B6" s="731" t="str">
        <x:v>SFIA 9 — Complexity</x:v>
      </x:c>
      <x:c r="C6" s="731" t="str">
        <x:v>Responsibility attribute</x:v>
      </x:c>
      <x:c r="D6" s="731" t="str">
        <x:v>Progression of work complexity across levels.</x:v>
      </x:c>
      <x:c r="E6" s="731" t="str">
        <x:v>https://sfia-online.org/en/sfia-9/responsibilities/generic-attributes-business-skills-behaviours/complexity</x:v>
      </x:c>
      <x:c r="F6" s="731" t="str">
        <x:v>High</x:v>
      </x:c>
      <x:c r="G6" s="732" t="str">
        <x:v>Supports complexity dimension and level descriptors.</x:v>
      </x:c>
    </x:row>
    <x:row r="7">
      <x:c r="A7" s="725" t="str">
        <x:v>S89-SRC-003</x:v>
      </x:c>
      <x:c r="B7" s="114" t="str">
        <x:v>NICE Framework Current Versions</x:v>
      </x:c>
      <x:c r="C7" s="114" t="str">
        <x:v>Workforce framework</x:v>
      </x:c>
      <x:c r="D7" s="114" t="str">
        <x:v>Current Work Roles, Competency Areas and Task/Knowledge/Skill components.</x:v>
      </x:c>
      <x:c r="E7" s="114" t="str">
        <x:v>https://www.nist.gov/itl/applied-cybersecurity/nice/nice-framework-resource-center/nice-framework-current-versions</x:v>
      </x:c>
      <x:c r="F7" s="114" t="str">
        <x:v>High</x:v>
      </x:c>
      <x:c r="G7" s="726" t="str">
        <x:v>Current component version 2.2.0; use for software/cyber mappings.</x:v>
      </x:c>
    </x:row>
    <x:row r="8">
      <x:c r="A8" s="730" t="str">
        <x:v>S89-SRC-004</x:v>
      </x:c>
      <x:c r="B8" s="731" t="str">
        <x:v>NICE Framework Components v2.2.0 release</x:v>
      </x:c>
      <x:c r="C8" s="731" t="str">
        <x:v>Official release</x:v>
      </x:c>
      <x:c r="D8" s="731" t="str">
        <x:v>April 2026 update including new/updated work roles and competency areas.</x:v>
      </x:c>
      <x:c r="E8" s="731" t="str">
        <x:v>https://www.nist.gov/news-events/news/2026/04/nice-releases-nice-framework-components-v220</x:v>
      </x:c>
      <x:c r="F8" s="731" t="str">
        <x:v>High</x:v>
      </x:c>
      <x:c r="G8" s="732" t="str">
        <x:v>Version/change reference.</x:v>
      </x:c>
    </x:row>
    <x:row r="9">
      <x:c r="A9" s="725" t="str">
        <x:v>S89-SRC-005</x:v>
      </x:c>
      <x:c r="B9" s="114" t="str">
        <x:v>ESCO v1.2.1</x:v>
      </x:c>
      <x:c r="C9" s="114" t="str">
        <x:v>EU skills/occupations taxonomy</x:v>
      </x:c>
      <x:c r="D9" s="114" t="str">
        <x:v>Current multilingual skills, competences and occupations classification and API/download formats.</x:v>
      </x:c>
      <x:c r="E9" s="114" t="str">
        <x:v>https://esco.ec.europa.eu/en/about-esco/escopedia/escopedia/esco-v121</x:v>
      </x:c>
      <x:c r="F9" s="114" t="str">
        <x:v>High</x:v>
      </x:c>
      <x:c r="G9" s="726" t="str">
        <x:v>Current version 1.2.1; future-vertical mapping.</x:v>
      </x:c>
    </x:row>
    <x:row r="10">
      <x:c r="A10" s="730" t="str">
        <x:v>S89-SRC-006</x:v>
      </x:c>
      <x:c r="B10" s="731" t="str">
        <x:v>What is ESCO?</x:v>
      </x:c>
      <x:c r="C10" s="731" t="str">
        <x:v>EU classification overview</x:v>
      </x:c>
      <x:c r="D10" s="731" t="str">
        <x:v>Electronic occupation-skill relationships for employment and training systems.</x:v>
      </x:c>
      <x:c r="E10" s="731" t="str">
        <x:v>https://esco.ec.europa.eu/uk/node/8</x:v>
      </x:c>
      <x:c r="F10" s="731" t="str">
        <x:v>Medium</x:v>
      </x:c>
      <x:c r="G10" s="732" t="str">
        <x:v>Mapping/interoperability rationale.</x:v>
      </x:c>
    </x:row>
    <x:row r="11">
      <x:c r="A11" s="725" t="str">
        <x:v>S89-SRC-007</x:v>
      </x:c>
      <x:c r="B11" s="114" t="str">
        <x:v>O*NET Database Releases</x:v>
      </x:c>
      <x:c r="C11" s="114" t="str">
        <x:v>Occupational database</x:v>
      </x:c>
      <x:c r="D11" s="114" t="str">
        <x:v>Current O*NET production release and formats/licensing.</x:v>
      </x:c>
      <x:c r="E11" s="114" t="str">
        <x:v>https://www.onetcenter.org/db_releases.html</x:v>
      </x:c>
      <x:c r="F11" s="114" t="str">
        <x:v>High</x:v>
      </x:c>
      <x:c r="G11" s="726" t="str">
        <x:v>Current release 30.3 in May 2026; cross-vertical reference.</x:v>
      </x:c>
    </x:row>
    <x:row r="12">
      <x:c r="A12" s="730" t="str">
        <x:v>S89-SRC-008</x:v>
      </x:c>
      <x:c r="B12" s="731" t="str">
        <x:v>O*NET What's New</x:v>
      </x:c>
      <x:c r="C12" s="731" t="str">
        <x:v>Occupational data updates</x:v>
      </x:c>
      <x:c r="D12" s="731" t="str">
        <x:v>Current job zone, occupation and data-format updates.</x:v>
      </x:c>
      <x:c r="E12" s="731" t="str">
        <x:v>https://www.onetcenter.org/whatsnew.html</x:v>
      </x:c>
      <x:c r="F12" s="731" t="str">
        <x:v>Medium</x:v>
      </x:c>
      <x:c r="G12" s="732" t="str">
        <x:v>Version/change-monitoring reference.</x:v>
      </x:c>
    </x:row>
    <x:row r="13">
      <x:c r="A13" s="725" t="str">
        <x:v>S89-SRC-009</x:v>
      </x:c>
      <x:c r="B13" s="114" t="str">
        <x:v>ADL xAPI Specification</x:v>
      </x:c>
      <x:c r="C13" s="114" t="str">
        <x:v>Learning interoperability standard</x:v>
      </x:c>
      <x:c r="D13" s="114" t="str">
        <x:v>xAPI 2.0 model for communicating learner activities and experiences.</x:v>
      </x:c>
      <x:c r="E13" s="114" t="str">
        <x:v>https://github.com/adlnet/xAPI-Spec</x:v>
      </x:c>
      <x:c r="F13" s="114" t="str">
        <x:v>High</x:v>
      </x:c>
      <x:c r="G13" s="726" t="str">
        <x:v>Optional learning-event interoperability; not capability authority.</x:v>
      </x:c>
    </x:row>
    <x:row r="14">
      <x:c r="A14" s="730" t="str">
        <x:v>S89-SRC-010</x:v>
      </x:c>
      <x:c r="B14" s="731" t="str">
        <x:v>ADL Learning Record Store</x:v>
      </x:c>
      <x:c r="C14" s="731" t="str">
        <x:v>Open-source learning infrastructure</x:v>
      </x:c>
      <x:c r="D14" s="731" t="str">
        <x:v>Learning Record Store implementation supporting xAPI 2.0.</x:v>
      </x:c>
      <x:c r="E14" s="731" t="str">
        <x:v>https://github.com/adlnet/ADL_LRS</x:v>
      </x:c>
      <x:c r="F14" s="731" t="str">
        <x:v>Medium</x:v>
      </x:c>
      <x:c r="G14" s="732" t="str">
        <x:v>Reference for LMS/LRS integrations, not required core component.</x:v>
      </x:c>
    </x:row>
    <x:row r="15">
      <x:c r="A15" s="725" t="str">
        <x:v>S89-SRC-011</x:v>
      </x:c>
      <x:c r="B15" s="114" t="str">
        <x:v>2025 ICF Core Competencies</x:v>
      </x:c>
      <x:c r="C15" s="114" t="str">
        <x:v>Coaching standard</x:v>
      </x:c>
      <x:c r="D15" s="114" t="str">
        <x:v>Ethical practice, trust, communication and cultivating learning/growth.</x:v>
      </x:c>
      <x:c r="E15" s="114" t="str">
        <x:v>https://coachingfederation.org/credentialing/coaching-competencies/icf-core-competencies/</x:v>
      </x:c>
      <x:c r="F15" s="114" t="str">
        <x:v>High</x:v>
      </x:c>
      <x:c r="G15" s="726" t="str">
        <x:v>Coaching-quality and employee-agency reference.</x:v>
      </x:c>
    </x:row>
    <x:row r="16">
      <x:c r="A16" s="730" t="str">
        <x:v>S89-SRC-012</x:v>
      </x:c>
      <x:c r="B16" s="731" t="str">
        <x:v>ICF Code of Ethics</x:v>
      </x:c>
      <x:c r="C16" s="731" t="str">
        <x:v>Coaching ethics</x:v>
      </x:c>
      <x:c r="D16" s="731" t="str">
        <x:v>Current ethical framework effective April 1, 2025, including confidentiality and professional conduct.</x:v>
      </x:c>
      <x:c r="E16" s="731" t="str">
        <x:v>https://coachingfederation.org/credentialing/coaching-ethics/icf-code-of-ethics/</x:v>
      </x:c>
      <x:c r="F16" s="731" t="str">
        <x:v>Critical</x:v>
      </x:c>
      <x:c r="G16" s="732" t="str">
        <x:v>Private-first coaching and information-sharing boundary.</x:v>
      </x:c>
    </x:row>
    <x:row r="17">
      <x:c r="A17" s="725" t="str">
        <x:v>S89-SRC-013</x:v>
      </x:c>
      <x:c r="B17" s="114" t="str">
        <x:v>ICF Mentor Coaching Handbook</x:v>
      </x:c>
      <x:c r="C17" s="114" t="str">
        <x:v>Mentor-coaching guidance</x:v>
      </x:c>
      <x:c r="D17" s="114" t="str">
        <x:v>Evidence-based, unbiased and competency-aligned feedback for coach development.</x:v>
      </x:c>
      <x:c r="E17" s="114" t="str">
        <x:v>https://coachingfederation.org/resource/mentor-coaching-handbook/</x:v>
      </x:c>
      <x:c r="F17" s="114" t="str">
        <x:v>Medium</x:v>
      </x:c>
      <x:c r="G17" s="726" t="str">
        <x:v>Human mentor handoff and review practice.</x:v>
      </x:c>
    </x:row>
    <x:row r="18">
      <x:c r="A18" s="730" t="str">
        <x:v>S89-SRC-014</x:v>
      </x:c>
      <x:c r="B18" s="731" t="str">
        <x:v>CIPD Coaching and Mentoring Factsheet</x:v>
      </x:c>
      <x:c r="C18" s="731" t="str">
        <x:v>HR/L&amp;D guidance</x:v>
      </x:c>
      <x:c r="D18" s="731" t="str">
        <x:v>Coaching/mentoring linked to organisational learning strategy, gap identification and success evaluation.</x:v>
      </x:c>
      <x:c r="E18" s="731" t="str">
        <x:v>https://www.cipd.org/en/knowledge/factsheets/coaching-mentoring-factsheet/</x:v>
      </x:c>
      <x:c r="F18" s="731" t="str">
        <x:v>High</x:v>
      </x:c>
      <x:c r="G18" s="732" t="str">
        <x:v>Workplace coaching/L&amp;D design reference.</x:v>
      </x:c>
    </x:row>
    <x:row r="19">
      <x:c r="A19" s="725" t="str">
        <x:v>S89-SRC-015</x:v>
      </x:c>
      <x:c r="B19" s="114" t="str">
        <x:v>NIST AI RMF</x:v>
      </x:c>
      <x:c r="C19" s="114" t="str">
        <x:v>AI governance framework</x:v>
      </x:c>
      <x:c r="D19" s="114" t="str">
        <x:v>Rights-preserving AI risk management across design, deployment and evaluation.</x:v>
      </x:c>
      <x:c r="E19" s="114" t="str">
        <x:v>https://www.nist.gov/itl/ai-risk-management-framework</x:v>
      </x:c>
      <x:c r="F19" s="114" t="str">
        <x:v>High</x:v>
      </x:c>
      <x:c r="G19" s="726" t="str">
        <x:v>Scoring/coaching evaluation and governance.</x:v>
      </x:c>
    </x:row>
    <x:row r="20">
      <x:c r="A20" s="730" t="str">
        <x:v>S89-SRC-016</x:v>
      </x:c>
      <x:c r="B20" s="731" t="str">
        <x:v>NIST AI Resource Center</x:v>
      </x:c>
      <x:c r="C20" s="731" t="str">
        <x:v>AI TEVV resource</x:v>
      </x:c>
      <x:c r="D20" s="731" t="str">
        <x:v>Testing, evaluation, verification and validation resources supporting AI RMF.</x:v>
      </x:c>
      <x:c r="E20" s="731" t="str">
        <x:v>https://airc.nist.gov/</x:v>
      </x:c>
      <x:c r="F20" s="731" t="str">
        <x:v>High</x:v>
      </x:c>
      <x:c r="G20" s="732" t="str">
        <x:v>Evaluator and coaching-effectiveness measurement.</x:v>
      </x:c>
    </x:row>
    <x:row r="21">
      <x:c r="A21" s="725" t="str">
        <x:v>S89-SRC-017</x:v>
      </x:c>
      <x:c r="B21" s="114" t="str">
        <x:v>NIST AI Metrology Center</x:v>
      </x:c>
      <x:c r="C21" s="114" t="str">
        <x:v>AI measurement resource</x:v>
      </x:c>
      <x:c r="D21" s="114" t="str">
        <x:v>Metrics, methods and tools for trustworthy AI evaluation.</x:v>
      </x:c>
      <x:c r="E21" s="114" t="str">
        <x:v>https://airc.nist.gov/metrology/</x:v>
      </x:c>
      <x:c r="F21" s="114" t="str">
        <x:v>Medium</x:v>
      </x:c>
      <x:c r="G21" s="726" t="str">
        <x:v>Measurement-method selection and calibration.</x:v>
      </x:c>
    </x:row>
    <x:row r="22">
      <x:c r="A22" s="730" t="str">
        <x:v>S89-SRC-018</x:v>
      </x:c>
      <x:c r="B22" s="731" t="str">
        <x:v>ICO Human Review Guidance</x:v>
      </x:c>
      <x:c r="C22" s="731" t="str">
        <x:v>Regulator guidance</x:v>
      </x:c>
      <x:c r="D22" s="731" t="str">
        <x:v>Meaningful human review, reviewer competence, authority and independence.</x:v>
      </x:c>
      <x:c r="E22" s="731" t="str">
        <x:v>https://ico.org.uk/for-organisations/advice-and-services/audits/data-protection-audit-framework/toolkits/artificial-intelligence/human-review/</x:v>
      </x:c>
      <x:c r="F22" s="731" t="str">
        <x:v>Critical</x:v>
      </x:c>
      <x:c r="G22" s="732" t="str">
        <x:v>Capability/readiness review boundary.</x:v>
      </x:c>
    </x:row>
    <x:row r="23">
      <x:c r="A23" s="725" t="str">
        <x:v>S89-SRC-019</x:v>
      </x:c>
      <x:c r="B23" s="114" t="str">
        <x:v>HumanOS Stage 2 Ontology</x:v>
      </x:c>
      <x:c r="C23" s="114" t="str">
        <x:v>Internal workbook</x:v>
      </x:c>
      <x:c r="D23" s="114" t="str">
        <x:v>Capability levels, evidence scoring, role/task contracts and fairness rules.</x:v>
      </x:c>
      <x:c r="E23" s="114" t="str">
        <x:v>Internal workbook: Stage 2 sheets</x:v>
      </x:c>
      <x:c r="F23" s="114" t="str">
        <x:v>Critical</x:v>
      </x:c>
      <x:c r="G23" s="726" t="str">
        <x:v>Authoritative internal model.</x:v>
      </x:c>
    </x:row>
    <x:row r="24">
      <x:c r="A24" s="730" t="str">
        <x:v>S89-SRC-020</x:v>
      </x:c>
      <x:c r="B24" s="731" t="str">
        <x:v>HumanOS Stage 7 Task Assurance</x:v>
      </x:c>
      <x:c r="C24" s="731" t="str">
        <x:v>Internal workbook</x:v>
      </x:c>
      <x:c r="D24" s="731" t="str">
        <x:v>Reviewed task evidence, blockers, provenance, criteria and corrections.</x:v>
      </x:c>
      <x:c r="E24" s="731" t="str">
        <x:v>Internal workbook: Stage 7 sheets</x:v>
      </x:c>
      <x:c r="F24" s="731" t="str">
        <x:v>Critical</x:v>
      </x:c>
      <x:c r="G24" s="732" t="str">
        <x:v>Primary upstream evidence source.</x:v>
      </x:c>
    </x:row>
    <x:row r="25">
      <x:c r="A25" s="725" t="str">
        <x:v>S89-SRC-021</x:v>
      </x:c>
      <x:c r="B25" s="114" t="str">
        <x:v>OpenAPI 3.1.1</x:v>
      </x:c>
      <x:c r="C25" s="114" t="str">
        <x:v>API standard</x:v>
      </x:c>
      <x:c r="D25" s="114" t="str">
        <x:v>Language-neutral HTTP API contracts.</x:v>
      </x:c>
      <x:c r="E25" s="114" t="str">
        <x:v>https://spec.openapis.org/oas/v3.1.1.html</x:v>
      </x:c>
      <x:c r="F25" s="114" t="str">
        <x:v>High</x:v>
      </x:c>
      <x:c r="G25" s="726" t="str">
        <x:v>Stage 8/9 service APIs.</x:v>
      </x:c>
    </x:row>
    <x:row r="26">
      <x:c r="A26" s="730" t="str">
        <x:v>S89-SRC-022</x:v>
      </x:c>
      <x:c r="B26" s="731" t="str">
        <x:v>JSON Schema 2020-12</x:v>
      </x:c>
      <x:c r="C26" s="731" t="str">
        <x:v>Schema standard</x:v>
      </x:c>
      <x:c r="D26" s="731" t="str">
        <x:v>Validation for capability, evidence, coaching and learning payloads.</x:v>
      </x:c>
      <x:c r="E26" s="731" t="str">
        <x:v>https://json-schema.org/draft/2020-12/json-schema-validation</x:v>
      </x:c>
      <x:c r="F26" s="731" t="str">
        <x:v>High</x:v>
      </x:c>
      <x:c r="G26" s="732" t="str">
        <x:v>Contract validation.</x:v>
      </x:c>
    </x:row>
    <x:row r="27">
      <x:c r="A27" s="727" t="str">
        <x:v>S89-SRC-023</x:v>
      </x:c>
      <x:c r="B27" s="728" t="str">
        <x:v>CloudEvents</x:v>
      </x:c>
      <x:c r="C27" s="728" t="str">
        <x:v>Event standard</x:v>
      </x:c>
      <x:c r="D27" s="728" t="str">
        <x:v>Portable event context and metadata.</x:v>
      </x:c>
      <x:c r="E27" s="728" t="str">
        <x:v>https://cloudevents.io/</x:v>
      </x:c>
      <x:c r="F27" s="728" t="str">
        <x:v>High</x:v>
      </x:c>
      <x:c r="G27" s="729" t="str">
        <x:v>Stage 8/9 event envelopes.</x:v>
      </x:c>
    </x:row>
  </x:sheetData>
  <x:mergeCells>
    <x:mergeCell ref="A1:G1"/>
    <x:mergeCell ref="A2:G2"/>
  </x:mergeCells>
  <x:dataValidations count="1">
    <x:dataValidation type="list" sqref="F5:F27">
      <x:formula1>"Critical,High,Medium,Low"</x:formula1>
    </x:dataValidation>
  </x:dataValidations>
  <x:pageMargins left="0.7" right="0.7" top="0.75" bottom="0.75" header="0.3" footer="0.3"/>
</x:worksheet>
</file>

<file path=xl/worksheets/sheet136.xml><?xml version="1.0" encoding="utf-8"?>
<x:worksheet xmlns:x="http://schemas.openxmlformats.org/spreadsheetml/2006/main">
  <x:sheetFormatPr defaultRowHeight="15"/>
  <x:cols>
    <x:col min="1" max="1" width="38" hidden="0" customWidth="1"/>
    <x:col min="2" max="2" width="18" hidden="0" customWidth="1"/>
    <x:col min="3" max="3" width="4" hidden="0" customWidth="1"/>
    <x:col min="4" max="4" width="20" hidden="0" customWidth="1"/>
    <x:col min="5" max="5" width="18"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809" t="str">
        <x:v>Stage 10–11 Dashboard — Human Experience and Skill Forge</x:v>
      </x:c>
      <x:c r="B1" s="809"/>
      <x:c r="C1" s="809"/>
      <x:c r="D1" s="809"/>
      <x:c r="E1" s="809"/>
      <x:c r="F1" s="809"/>
      <x:c r="G1" s="809"/>
      <x:c r="H1" s="809"/>
      <x:c r="I1" s="809"/>
      <x:c r="J1" s="809"/>
    </x:row>
    <x:row r="2" ht="38" customHeight="1">
      <x:c r="A2" s="813" t="str">
        <x:v>Specification status for Stage 10 employee/manager/reviewer experiences and Stage 11 governed Skill Forge. Implementation backlogs remain unstarted until separate formal gates and resourcing are approved.</x:v>
      </x:c>
      <x:c r="B2" s="813"/>
      <x:c r="C2" s="813"/>
      <x:c r="D2" s="813"/>
      <x:c r="E2" s="813"/>
      <x:c r="F2" s="813"/>
      <x:c r="G2" s="813"/>
      <x:c r="H2" s="813"/>
      <x:c r="I2" s="813"/>
      <x:c r="J2" s="813"/>
    </x:row>
    <x:row r="4" ht="30" customHeight="1">
      <x:c r="A4" s="825" t="str">
        <x:v>Metric</x:v>
      </x:c>
      <x:c r="B4" s="827" t="str">
        <x:v>Value</x:v>
      </x:c>
      <x:c r="D4" s="825" t="str">
        <x:v>Workstream</x:v>
      </x:c>
      <x:c r="E4" s="827" t="str">
        <x:v>Readiness %</x:v>
      </x:c>
    </x:row>
    <x:row r="5">
      <x:c r="A5" s="844" t="str">
        <x:v>Stage 10 gate readiness</x:v>
      </x:c>
      <x:c r="B5" s="861" t="n">
        <x:f>'Stage 10 Gate'!L5</x:f>
        <x:v>0.7444444444444446</x:v>
      </x:c>
      <x:c r="D5" s="844" t="str">
        <x:v>Stage 10 gate</x:v>
      </x:c>
      <x:c r="E5" s="869" t="n">
        <x:f>B5*100</x:f>
        <x:v>74.44444444444446</x:v>
      </x:c>
    </x:row>
    <x:row r="6">
      <x:c r="A6" s="847" t="str">
        <x:v>Stage 11 gate readiness</x:v>
      </x:c>
      <x:c r="B6" s="862" t="n">
        <x:f>'Stage 11 Gate'!L5</x:f>
        <x:v>0.7444444444444446</x:v>
      </x:c>
      <x:c r="D6" s="847" t="str">
        <x:v>Stage 11 gate</x:v>
      </x:c>
      <x:c r="E6" s="870" t="n">
        <x:f>B6*100</x:f>
        <x:v>74.44444444444446</x:v>
      </x:c>
    </x:row>
    <x:row r="7">
      <x:c r="A7" s="847" t="str">
        <x:v>Stage 10 backlog maturity</x:v>
      </x:c>
      <x:c r="B7" s="862" t="n">
        <x:f>AVERAGE('Stage 10 Backlog'!J5:J26)</x:f>
        <x:v>0</x:v>
      </x:c>
      <x:c r="D7" s="847" t="str">
        <x:v>Stage 10 backlog</x:v>
      </x:c>
      <x:c r="E7" s="870" t="n">
        <x:f>B7*100</x:f>
        <x:v>0</x:v>
      </x:c>
    </x:row>
    <x:row r="8">
      <x:c r="A8" s="847" t="str">
        <x:v>Stage 11 backlog maturity</x:v>
      </x:c>
      <x:c r="B8" s="862" t="n">
        <x:f>AVERAGE('Stage 11 Backlog'!J5:J28)</x:f>
        <x:v>0</x:v>
      </x:c>
      <x:c r="D8" s="849" t="str">
        <x:v>Stage 11 backlog</x:v>
      </x:c>
      <x:c r="E8" s="871" t="n">
        <x:f>B8*100</x:f>
        <x:v>0</x:v>
      </x:c>
    </x:row>
    <x:row r="9">
      <x:c r="A9" s="847" t="str">
        <x:v>Stage 10 mandatory not started/blocked</x:v>
      </x:c>
      <x:c r="B9" s="848" t="n">
        <x:f>'Stage 10 Gate'!L6</x:f>
        <x:v>1</x:v>
      </x:c>
    </x:row>
    <x:row r="10">
      <x:c r="A10" s="847" t="str">
        <x:v>Stage 11 mandatory not started/blocked</x:v>
      </x:c>
      <x:c r="B10" s="848" t="n">
        <x:f>'Stage 11 Gate'!L6</x:f>
        <x:v>1</x:v>
      </x:c>
    </x:row>
    <x:row r="11">
      <x:c r="A11" s="847" t="str">
        <x:v>Stage 10–11 risks open</x:v>
      </x:c>
      <x:c r="B11" s="848" t="n">
        <x:f>COUNTIF('Stage 10-11 Risks'!I5:I34,"Open")+COUNTIF('Stage 10-11 Risks'!I5:I34,"Mitigating")</x:f>
        <x:v>30</x:v>
      </x:c>
    </x:row>
    <x:row r="12">
      <x:c r="A12" s="847" t="str">
        <x:v>Stage 10–11 source count</x:v>
      </x:c>
      <x:c r="B12" s="848" t="n">
        <x:f>COUNTA('Stage 10-11 Sources'!A5:A100)</x:f>
        <x:v>30</x:v>
      </x:c>
    </x:row>
    <x:row r="13">
      <x:c r="A13" s="847" t="str">
        <x:v>Stage 10–11 ADRs accepted/in principle</x:v>
      </x:c>
      <x:c r="B13" s="848" t="n">
        <x:f>COUNTIF('Stage 10-11 ADRs'!C5:C100,"Accepted in principle")+COUNTIF('Stage 10-11 ADRs'!C5:C100,"Accepted")</x:f>
        <x:v>18</x:v>
      </x:c>
    </x:row>
    <x:row r="14">
      <x:c r="A14" s="847" t="str">
        <x:v>Employee workspace modules</x:v>
      </x:c>
      <x:c r="B14" s="848" t="n">
        <x:f>COUNTA('Employee Workspace'!A5:A100)</x:f>
        <x:v>20</x:v>
      </x:c>
    </x:row>
    <x:row r="15">
      <x:c r="A15" s="847" t="str">
        <x:v>Manager console modules</x:v>
      </x:c>
      <x:c r="B15" s="848" t="n">
        <x:f>COUNTA('Manager Console'!A5:A100)</x:f>
        <x:v>16</x:v>
      </x:c>
    </x:row>
    <x:row r="16">
      <x:c r="A16" s="847" t="str">
        <x:v>Reviewer/governance modules</x:v>
      </x:c>
      <x:c r="B16" s="848" t="n">
        <x:f>COUNTA('Review and Governance Console'!A5:A100)</x:f>
        <x:v>18</x:v>
      </x:c>
    </x:row>
    <x:row r="17">
      <x:c r="A17" s="847" t="str">
        <x:v>User journeys</x:v>
      </x:c>
      <x:c r="B17" s="848" t="n">
        <x:f>COUNTA('User Journeys and Acceptance Tests'!A5:A100)</x:f>
        <x:v>18</x:v>
      </x:c>
    </x:row>
    <x:row r="18">
      <x:c r="A18" s="847" t="str">
        <x:v>Skill observation fields</x:v>
      </x:c>
      <x:c r="B18" s="848" t="n">
        <x:f>COUNTA('Skill Observation Model'!A5:A100)</x:f>
        <x:v>24</x:v>
      </x:c>
    </x:row>
    <x:row r="19">
      <x:c r="A19" s="847" t="str">
        <x:v>Skill package fields</x:v>
      </x:c>
      <x:c r="B19" s="848" t="n">
        <x:f>COUNTA('Skill Package Contract'!A5:A100)</x:f>
        <x:v>34</x:v>
      </x:c>
    </x:row>
    <x:row r="20" ht="24" customHeight="1">
      <x:c r="A20" s="847" t="str">
        <x:v>Skill lifecycle states</x:v>
      </x:c>
      <x:c r="B20" s="848" t="n">
        <x:f>COUNTA('Skill Lifecycle'!A5:A100)</x:f>
        <x:v>18</x:v>
      </x:c>
      <x:c r="D20" s="873" t="str">
        <x:v>Current interpretation</x:v>
      </x:c>
      <x:c r="E20" s="873"/>
      <x:c r="F20" s="873"/>
      <x:c r="G20" s="873"/>
      <x:c r="H20" s="873"/>
      <x:c r="I20" s="873"/>
      <x:c r="J20" s="873"/>
    </x:row>
    <x:row r="21" ht="30" customHeight="1">
      <x:c r="A21" s="847" t="str">
        <x:v>Proposal/evaluation controls</x:v>
      </x:c>
      <x:c r="B21" s="848" t="n">
        <x:f>COUNTA('Skill Proposal and Evaluation'!A5:A100)</x:f>
        <x:v>36</x:v>
      </x:c>
      <x:c r="D21" s="825" t="str">
        <x:v>#</x:v>
      </x:c>
      <x:c r="E21" s="827" t="str">
        <x:v>Interpretation</x:v>
      </x:c>
    </x:row>
    <x:row r="22">
      <x:c r="A22" s="849" t="str">
        <x:v>Canary/rollback controls</x:v>
      </x:c>
      <x:c r="B22" s="851" t="n">
        <x:f>COUNTA('Canary Promotion and Rollback'!A5:A100)</x:f>
        <x:v>28</x:v>
      </x:c>
      <x:c r="D22" s="844" t="str">
        <x:v>1</x:v>
      </x:c>
      <x:c r="E22" s="846" t="str">
        <x:v>Stage 10 is specification-complete across employee, manager, reviewer, capability, evidence, coaching, privacy, read-model, accessibility and journey layers.</x:v>
      </x:c>
      <x:c r="F22" s="279"/>
      <x:c r="G22" s="279"/>
      <x:c r="H22" s="279"/>
      <x:c r="I22" s="279"/>
      <x:c r="J22" s="279"/>
    </x:row>
    <x:row r="23">
      <x:c r="D23" s="847" t="str">
        <x:v>2</x:v>
      </x:c>
      <x:c r="E23" s="848" t="str">
        <x:v>Stage 11 is specification-complete across observations, package contracts, evaluation, confidentiality, source/licence, signing, canary, monitoring and rollback.</x:v>
      </x:c>
      <x:c r="F23" s="279"/>
      <x:c r="G23" s="279"/>
      <x:c r="H23" s="279"/>
      <x:c r="I23" s="279"/>
      <x:c r="J23" s="279"/>
    </x:row>
    <x:row r="24">
      <x:c r="D24" s="847" t="str">
        <x:v>3</x:v>
      </x:c>
      <x:c r="E24" s="848" t="str">
        <x:v>Manager experiences are exception-led and summary-first; raw evidence remains grant-controlled and fully audited.</x:v>
      </x:c>
      <x:c r="F24" s="279"/>
      <x:c r="G24" s="279"/>
      <x:c r="H24" s="279"/>
      <x:c r="I24" s="279"/>
      <x:c r="J24" s="279"/>
    </x:row>
    <x:row r="25">
      <x:c r="D25" s="847" t="str">
        <x:v>4</x:v>
      </x:c>
      <x:c r="E25" s="848" t="str">
        <x:v>Skill Forge observations cannot change production. Active packages must be source-backed, evaluated, reviewed, signed, canaried and reversible.</x:v>
      </x:c>
      <x:c r="F25" s="279"/>
      <x:c r="G25" s="279"/>
      <x:c r="H25" s="279"/>
      <x:c r="I25" s="279"/>
      <x:c r="J25" s="279"/>
    </x:row>
    <x:row r="26">
      <x:c r="D26" s="849" t="str">
        <x:v>5</x:v>
      </x:c>
      <x:c r="E26" s="851" t="str">
        <x:v>The remaining programme stage is Stage 12: security hardening, controlled internal pilot and the proceed/modify/restrict/stop rollout decision.</x:v>
      </x:c>
      <x:c r="F26" s="279"/>
      <x:c r="G26" s="279"/>
      <x:c r="H26" s="279"/>
      <x:c r="I26" s="279"/>
      <x:c r="J26" s="279"/>
    </x:row>
  </x:sheetData>
  <x:mergeCells>
    <x:mergeCell ref="A1:J1"/>
    <x:mergeCell ref="A2:J2"/>
    <x:mergeCell ref="D20:J20"/>
    <x:mergeCell ref="E22:J22"/>
    <x:mergeCell ref="E23:J23"/>
    <x:mergeCell ref="E24:J24"/>
    <x:mergeCell ref="E25:J25"/>
    <x:mergeCell ref="E26:J26"/>
  </x:mergeCells>
  <x:conditionalFormatting sqref="B5:B8">
    <x:cfRule type="dataBar" priority="1">
      <x:dataBar>
        <x:cfvo type="min"/>
        <x:cfvo type="max"/>
        <x:color rgb="FFA02B93"/>
      </x:dataBar>
      <x:extLst>
        <x:ext xmlns:x14="http://schemas.microsoft.com/office/spreadsheetml/2009/9/main" uri="{B025F937-C7B1-47D3-B67F-A62EFF666E3E}">
          <x14:id>{E2E4823A-C295-2C38-50AD-4E52D4DF23A8}</x14:id>
        </x:ext>
      </x:extLst>
    </x:cfRule>
  </x:conditionalFormatting>
  <x:pageMargins left="0.7" right="0.7" top="0.75" bottom="0.75" header="0.3" footer="0.3"/>
  <x:drawing xmlns:r="http://schemas.openxmlformats.org/officeDocument/2006/relationships" r:id="R1fd5683f66bf4d32"/>
  <x:extLst>
    <x:ext xmlns:x14="http://schemas.microsoft.com/office/spreadsheetml/2009/9/main" xmlns:xm="http://schemas.microsoft.com/office/excel/2006/main" uri="{78C0D931-6437-407d-A8EE-F0AAD7539E65}">
      <x14:conditionalFormattings>
        <x14:conditionalFormatting>
          <x14:cfRule type="dataBar" priority="1" id="{E2E4823A-C295-2C38-50AD-4E52D4DF23A8}">
            <x14:dataBar gradient="1">
              <x14:cfvo type="min"/>
              <x14:cfvo type="max"/>
              <x14:fillColor rgb="FFA02B93"/>
            </x14:dataBar>
          </x14:cfRule>
          <xm:sqref>B5:B8</xm:sqref>
        </x14:conditionalFormatting>
      </x14:conditionalFormattings>
    </x:ext>
  </x:extLst>
</x:worksheet>
</file>

<file path=xl/worksheets/sheet137.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2" hidden="0" customWidth="1"/>
    <x:col min="5" max="5" width="48" hidden="0" customWidth="1"/>
    <x:col min="6" max="6" width="38" hidden="0" customWidth="1"/>
    <x:col min="7" max="7" width="60" hidden="0" customWidth="1"/>
    <x:col min="8" max="8" width="12" hidden="0" customWidth="1"/>
    <x:col min="9" max="9" width="18" hidden="0" customWidth="1"/>
    <x:col min="10" max="10" width="34" hidden="0" customWidth="1"/>
    <x:col min="11" max="11" width="44" hidden="0" customWidth="1"/>
  </x:cols>
  <x:sheetData>
    <x:row r="1" ht="30" customHeight="1">
      <x:c r="A1" s="809" t="str">
        <x:v>Stage 10 — Experience Architecture</x:v>
      </x:c>
      <x:c r="B1" s="809"/>
      <x:c r="C1" s="809"/>
      <x:c r="D1" s="809"/>
      <x:c r="E1" s="809"/>
      <x:c r="F1" s="809"/>
      <x:c r="G1" s="809"/>
      <x:c r="H1" s="809"/>
      <x:c r="I1" s="809"/>
      <x:c r="J1" s="809"/>
      <x:c r="K1" s="809"/>
    </x:row>
    <x:row r="2" ht="38" customHeight="1">
      <x:c r="A2" s="813" t="str">
        <x:v>Audience-specific HumanOS experiences built from reviewed, policy-filtered read models. The design targets WCAG 2.2 AA and explicitly excludes live surveillance, public ranking and raw-telemetry-driven performance scoring.</x:v>
      </x:c>
      <x:c r="B2" s="813"/>
      <x:c r="C2" s="813"/>
      <x:c r="D2" s="813"/>
      <x:c r="E2" s="813"/>
      <x:c r="F2" s="813"/>
      <x:c r="G2" s="813"/>
      <x:c r="H2" s="813"/>
      <x:c r="I2" s="813"/>
      <x:c r="J2" s="813"/>
      <x:c r="K2" s="813"/>
    </x:row>
    <x:row r="4" ht="30" customHeight="1">
      <x:c r="A4" s="825" t="str">
        <x:v>ID</x:v>
      </x:c>
      <x:c r="B4" s="826" t="str">
        <x:v>Component</x:v>
      </x:c>
      <x:c r="C4" s="826" t="str">
        <x:v>Responsibility</x:v>
      </x:c>
      <x:c r="D4" s="826" t="str">
        <x:v>Runtime / implementation</x:v>
      </x:c>
      <x:c r="E4" s="826" t="str">
        <x:v>Consumes / integrates</x:v>
      </x:c>
      <x:c r="F4" s="826" t="str">
        <x:v>Publishes / exposes</x:v>
      </x:c>
      <x:c r="G4" s="826" t="str">
        <x:v>Security / experience rule</x:v>
      </x:c>
      <x:c r="H4" s="826" t="str">
        <x:v>Priority</x:v>
      </x:c>
      <x:c r="I4" s="826" t="str">
        <x:v>Status</x:v>
      </x:c>
      <x:c r="J4" s="826" t="str">
        <x:v>Source / basis</x:v>
      </x:c>
      <x:c r="K4" s="827" t="str">
        <x:v>Implementation note</x:v>
      </x:c>
    </x:row>
    <x:row r="5">
      <x:c r="A5" s="844" t="str">
        <x:v>S10-ARC-001</x:v>
      </x:c>
      <x:c r="B5" s="845" t="str">
        <x:v>HumanOS Experience Shell</x:v>
      </x:c>
      <x:c r="C5" s="845" t="str">
        <x:v>Provide authenticated navigation, tenant/person context, design tokens, localisation, accessibility preferences and global support.</x:v>
      </x:c>
      <x:c r="D5" s="845" t="str">
        <x:v>Existing HumanOS frontend stack; TypeScript/React only if already standard</x:v>
      </x:c>
      <x:c r="E5" s="845" t="str">
        <x:v>IAM/Organisation, feature flags, notifications</x:v>
      </x:c>
      <x:c r="F5" s="845" t="str">
        <x:v>All Work Intelligence experience modules</x:v>
      </x:c>
      <x:c r="G5" s="845" t="str">
        <x:v>Reuse existing design system; do not introduce a parallel frontend framework.</x:v>
      </x:c>
      <x:c r="H5" s="845" t="str">
        <x:v>Critical</x:v>
      </x:c>
      <x:c r="I5" s="845" t="str">
        <x:v>Draft Complete</x:v>
      </x:c>
      <x:c r="J5" s="845" t="str">
        <x:v>WCAG 2.2 / HumanOS foundation</x:v>
      </x:c>
      <x:c r="K5" s="846" t="str">
        <x:v>Reuse existing HumanOS capability; split only for proven boundary.</x:v>
      </x:c>
    </x:row>
    <x:row r="6">
      <x:c r="A6" s="852" t="str">
        <x:v>S10-ARC-002</x:v>
      </x:c>
      <x:c r="B6" s="853" t="str">
        <x:v>Employee Experience BFF</x:v>
      </x:c>
      <x:c r="C6" s="853" t="str">
        <x:v>Aggregate task, evidence, capability, coaching, learning, privacy and review state for the employee workspace.</x:v>
      </x:c>
      <x:c r="D6" s="853" t="str">
        <x:v>Java/Spring Boot BFF</x:v>
      </x:c>
      <x:c r="E6" s="853" t="str">
        <x:v>Task, Evidence, Task Assurance, Capability, Coaching, Workflow, Policy, Audit</x:v>
      </x:c>
      <x:c r="F6" s="853" t="str">
        <x:v>EmployeeWorkspaceReadModel API</x:v>
      </x:c>
      <x:c r="G6" s="853" t="str">
        <x:v>Employee self-access is the default scope; raw content still requires evidence policy.</x:v>
      </x:c>
      <x:c r="H6" s="853" t="str">
        <x:v>Critical</x:v>
      </x:c>
      <x:c r="I6" s="853" t="str">
        <x:v>Draft Complete</x:v>
      </x:c>
      <x:c r="J6" s="853" t="str">
        <x:v>HumanOS services</x:v>
      </x:c>
      <x:c r="K6" s="854" t="str">
        <x:v>Reuse existing HumanOS capability; split only for proven boundary.</x:v>
      </x:c>
    </x:row>
    <x:row r="7">
      <x:c r="A7" s="847" t="str">
        <x:v>S10-ARC-003</x:v>
      </x:c>
      <x:c r="B7" s="114" t="str">
        <x:v>Manager Experience BFF</x:v>
      </x:c>
      <x:c r="C7" s="114" t="str">
        <x:v>Aggregate exception-led task, blocker, quality, review and development summaries for authorised direct reports.</x:v>
      </x:c>
      <x:c r="D7" s="114" t="str">
        <x:v>Java/Spring Boot BFF</x:v>
      </x:c>
      <x:c r="E7" s="114" t="str">
        <x:v>Organisation, Tasks, Task Assurance, Capability, Learning, Governance</x:v>
      </x:c>
      <x:c r="F7" s="114" t="str">
        <x:v>ManagerExceptionReadModel API</x:v>
      </x:c>
      <x:c r="G7" s="114" t="str">
        <x:v>No default raw screenshots, keystrokes, prompts or private coaching messages.</x:v>
      </x:c>
      <x:c r="H7" s="114" t="str">
        <x:v>Critical</x:v>
      </x:c>
      <x:c r="I7" s="114" t="str">
        <x:v>Draft Complete</x:v>
      </x:c>
      <x:c r="J7" s="114" t="str">
        <x:v>ICO monitoring guidance</x:v>
      </x:c>
      <x:c r="K7" s="848" t="str">
        <x:v>Reuse existing HumanOS capability; split only for proven boundary.</x:v>
      </x:c>
    </x:row>
    <x:row r="8">
      <x:c r="A8" s="852" t="str">
        <x:v>S10-ARC-004</x:v>
      </x:c>
      <x:c r="B8" s="853" t="str">
        <x:v>Reviewer Experience BFF</x:v>
      </x:c>
      <x:c r="C8" s="853" t="str">
        <x:v>Assemble finding packages, evidence references, completeness, corrections, employee response and reviewer workflow.</x:v>
      </x:c>
      <x:c r="D8" s="853" t="str">
        <x:v>Java/Spring Boot BFF</x:v>
      </x:c>
      <x:c r="E8" s="853" t="str">
        <x:v>Task Assurance, Evidence, Workflow, Audit, Policy</x:v>
      </x:c>
      <x:c r="F8" s="853" t="str">
        <x:v>ReviewCaseReadModel API</x:v>
      </x:c>
      <x:c r="G8" s="853" t="str">
        <x:v>Reviewer receives only task/case-scoped evidence permitted by grant.</x:v>
      </x:c>
      <x:c r="H8" s="853" t="str">
        <x:v>Critical</x:v>
      </x:c>
      <x:c r="I8" s="853" t="str">
        <x:v>Draft Complete</x:v>
      </x:c>
      <x:c r="J8" s="853" t="str">
        <x:v>ICO human review</x:v>
      </x:c>
      <x:c r="K8" s="854" t="str">
        <x:v>Reuse existing HumanOS capability; split only for proven boundary.</x:v>
      </x:c>
    </x:row>
    <x:row r="9">
      <x:c r="A9" s="847" t="str">
        <x:v>S10-ARC-005</x:v>
      </x:c>
      <x:c r="B9" s="114" t="str">
        <x:v>Governance Experience BFF</x:v>
      </x:c>
      <x:c r="C9" s="114" t="str">
        <x:v>Provide DPO/HR/security access logs, policy state, retention, legal hold, disputes, model/skill versions and audit.</x:v>
      </x:c>
      <x:c r="D9" s="114" t="str">
        <x:v>Java/Spring Boot BFF</x:v>
      </x:c>
      <x:c r="E9" s="114" t="str">
        <x:v>Policy, Audit, Retention, Workflow, Model Gateway, Skill Forge</x:v>
      </x:c>
      <x:c r="F9" s="114" t="str">
        <x:v>GovernanceReadModel API</x:v>
      </x:c>
      <x:c r="G9" s="114" t="str">
        <x:v>Restricted role and purpose; no general employee-performance browsing.</x:v>
      </x:c>
      <x:c r="H9" s="114" t="str">
        <x:v>Critical</x:v>
      </x:c>
      <x:c r="I9" s="114" t="str">
        <x:v>Draft Complete</x:v>
      </x:c>
      <x:c r="J9" s="114" t="str">
        <x:v>Stage 0/4 controls</x:v>
      </x:c>
      <x:c r="K9" s="848" t="str">
        <x:v>Reuse existing HumanOS capability; split only for proven boundary.</x:v>
      </x:c>
    </x:row>
    <x:row r="10">
      <x:c r="A10" s="852" t="str">
        <x:v>S10-ARC-006</x:v>
      </x:c>
      <x:c r="B10" s="853" t="str">
        <x:v>Read Model Projectors</x:v>
      </x:c>
      <x:c r="C10" s="853" t="str">
        <x:v>Build audience-specific, policy-filtered materialised views from reviewed domain events.</x:v>
      </x:c>
      <x:c r="D10" s="853" t="str">
        <x:v>Java/Kafka consumers</x:v>
      </x:c>
      <x:c r="E10" s="853" t="str">
        <x:v>Kafka-compatible event bus + PostgreSQL read models</x:v>
      </x:c>
      <x:c r="F10" s="853" t="str">
        <x:v>Employee/manager/reviewer/governance read models</x:v>
      </x:c>
      <x:c r="G10" s="853" t="str">
        <x:v>Read models derive from reviewed state and evidence refs—not unrestricted raw telemetry.</x:v>
      </x:c>
      <x:c r="H10" s="853" t="str">
        <x:v>Critical</x:v>
      </x:c>
      <x:c r="I10" s="853" t="str">
        <x:v>Draft Complete</x:v>
      </x:c>
      <x:c r="J10" s="853" t="str">
        <x:v>Stage 4/7/8/9</x:v>
      </x:c>
      <x:c r="K10" s="854" t="str">
        <x:v>Reuse existing HumanOS capability; split only for proven boundary.</x:v>
      </x:c>
    </x:row>
    <x:row r="11">
      <x:c r="A11" s="847" t="str">
        <x:v>S10-ARC-007</x:v>
      </x:c>
      <x:c r="B11" s="114" t="str">
        <x:v>Evidence Timeline Experience</x:v>
      </x:c>
      <x:c r="C11" s="114" t="str">
        <x:v>Present event, episode, artefact, visual and provenance evidence with gaps, corrections and versions.</x:v>
      </x:c>
      <x:c r="D11" s="114" t="str">
        <x:v>Frontend module + Evidence/Replay APIs</x:v>
      </x:c>
      <x:c r="E11" s="114" t="str">
        <x:v>Stage 4 Replay, Stage 6 semantic events, Stage 7 episodes/provenance</x:v>
      </x:c>
      <x:c r="F11" s="114" t="str">
        <x:v>Timeline UI and evidence-detail routes</x:v>
      </x:c>
      <x:c r="G11" s="114" t="str">
        <x:v>Semantic/authoritative evidence is visually prioritised over screenshots and AI inference.</x:v>
      </x:c>
      <x:c r="H11" s="114" t="str">
        <x:v>Critical</x:v>
      </x:c>
      <x:c r="I11" s="114" t="str">
        <x:v>Draft Complete</x:v>
      </x:c>
      <x:c r="J11" s="114" t="str">
        <x:v>Evidence hierarchy</x:v>
      </x:c>
      <x:c r="K11" s="848" t="str">
        <x:v>Reuse existing HumanOS capability; split only for proven boundary.</x:v>
      </x:c>
    </x:row>
    <x:row r="12">
      <x:c r="A12" s="852" t="str">
        <x:v>S10-ARC-008</x:v>
      </x:c>
      <x:c r="B12" s="853" t="str">
        <x:v>Capability Character Experience</x:v>
      </x:c>
      <x:c r="C12" s="853" t="str">
        <x:v>Present professional game-inspired capability levels, confidence, freshness, target-role path and learning quests.</x:v>
      </x:c>
      <x:c r="D12" s="853" t="str">
        <x:v>Frontend module + Capability APIs</x:v>
      </x:c>
      <x:c r="E12" s="853" t="str">
        <x:v>Stage 8 Capability/Readiness/Learning</x:v>
      </x:c>
      <x:c r="F12" s="853" t="str">
        <x:v>CapabilityCharacterReadModel</x:v>
      </x:c>
      <x:c r="G12" s="853" t="str">
        <x:v>Private developmental view; no childish styling, public ranking or permanent labels.</x:v>
      </x:c>
      <x:c r="H12" s="853" t="str">
        <x:v>High</x:v>
      </x:c>
      <x:c r="I12" s="853" t="str">
        <x:v>Draft Complete</x:v>
      </x:c>
      <x:c r="J12" s="853" t="str">
        <x:v>Stage 8 model</x:v>
      </x:c>
      <x:c r="K12" s="854" t="str">
        <x:v>Reuse existing HumanOS capability; split only for proven boundary.</x:v>
      </x:c>
    </x:row>
    <x:row r="13">
      <x:c r="A13" s="847" t="str">
        <x:v>S10-ARC-009</x:v>
      </x:c>
      <x:c r="B13" s="114" t="str">
        <x:v>Coaching and Learning Experience</x:v>
      </x:c>
      <x:c r="C13" s="114" t="str">
        <x:v>Deliver private coaching, preferences, learning plans, practice, mentor handoff and applied-learning evidence.</x:v>
      </x:c>
      <x:c r="D13" s="114" t="str">
        <x:v>Frontend module + Coaching/Learning APIs</x:v>
      </x:c>
      <x:c r="E13" s="114" t="str">
        <x:v>Stage 9 Coaching/Learning/Notification</x:v>
      </x:c>
      <x:c r="F13" s="114" t="str">
        <x:v>CoachingLearningReadModel</x:v>
      </x:c>
      <x:c r="G13" s="114" t="str">
        <x:v>Private-first; managers receive reviewed development summaries only.</x:v>
      </x:c>
      <x:c r="H13" s="114" t="str">
        <x:v>Critical</x:v>
      </x:c>
      <x:c r="I13" s="114" t="str">
        <x:v>Draft Complete</x:v>
      </x:c>
      <x:c r="J13" s="114" t="str">
        <x:v>ICF/CIPD principles</x:v>
      </x:c>
      <x:c r="K13" s="848" t="str">
        <x:v>Reuse existing HumanOS capability; split only for proven boundary.</x:v>
      </x:c>
    </x:row>
    <x:row r="14">
      <x:c r="A14" s="852" t="str">
        <x:v>S10-ARC-010</x:v>
      </x:c>
      <x:c r="B14" s="853" t="str">
        <x:v>Privacy and Access Centre</x:v>
      </x:c>
      <x:c r="C14" s="853" t="str">
        <x:v>Show active monitoring, sensors, policy version, exclusions, access history, retention, exports and rights workflows.</x:v>
      </x:c>
      <x:c r="D14" s="853" t="str">
        <x:v>Frontend module + Policy/Audit/Retention APIs</x:v>
      </x:c>
      <x:c r="E14" s="853" t="str">
        <x:v>Device Control, Policy, Audit, Evidence Access, Retention</x:v>
      </x:c>
      <x:c r="F14" s="853" t="str">
        <x:v>PrivacyCentreReadModel</x:v>
      </x:c>
      <x:c r="G14" s="853" t="str">
        <x:v>Monitoring state and reasons must remain clear and current.</x:v>
      </x:c>
      <x:c r="H14" s="853" t="str">
        <x:v>Critical</x:v>
      </x:c>
      <x:c r="I14" s="853" t="str">
        <x:v>Draft Complete</x:v>
      </x:c>
      <x:c r="J14" s="853" t="str">
        <x:v>ICO/GOV.UK monitoring guidance</x:v>
      </x:c>
      <x:c r="K14" s="854" t="str">
        <x:v>Reuse existing HumanOS capability; split only for proven boundary.</x:v>
      </x:c>
    </x:row>
    <x:row r="15">
      <x:c r="A15" s="847" t="str">
        <x:v>S10-ARC-011</x:v>
      </x:c>
      <x:c r="B15" s="114" t="str">
        <x:v>Notification and Inbox Service</x:v>
      </x:c>
      <x:c r="C15" s="114" t="str">
        <x:v>Deliver actionable private events, digests, review deadlines, blockers, coaching and policy changes.</x:v>
      </x:c>
      <x:c r="D15" s="114" t="str">
        <x:v>Existing HumanOS Notification Service + frontend inbox</x:v>
      </x:c>
      <x:c r="E15" s="114" t="str">
        <x:v>Workflow/domain events and employee preferences</x:v>
      </x:c>
      <x:c r="F15" s="114" t="str">
        <x:v>Notification state APIs/events</x:v>
      </x:c>
      <x:c r="G15" s="114" t="str">
        <x:v>Use status messages and summaries; prevent notification spam and privacy leaks.</x:v>
      </x:c>
      <x:c r="H15" s="114" t="str">
        <x:v>High</x:v>
      </x:c>
      <x:c r="I15" s="114" t="str">
        <x:v>Draft Complete</x:v>
      </x:c>
      <x:c r="J15" s="114" t="str">
        <x:v>WCAG status messages / notification patterns</x:v>
      </x:c>
      <x:c r="K15" s="848" t="str">
        <x:v>Reuse existing HumanOS capability; split only for proven boundary.</x:v>
      </x:c>
    </x:row>
    <x:row r="16">
      <x:c r="A16" s="852" t="str">
        <x:v>S10-ARC-012</x:v>
      </x:c>
      <x:c r="B16" s="853" t="str">
        <x:v>Search and Navigation</x:v>
      </x:c>
      <x:c r="C16" s="853" t="str">
        <x:v>Provide scoped search across tasks, evidence summaries, reviews, capabilities and learning.</x:v>
      </x:c>
      <x:c r="D16" s="853" t="str">
        <x:v>Existing HumanOS search or PostgreSQL/OpenSearch read index</x:v>
      </x:c>
      <x:c r="E16" s="853" t="str">
        <x:v>Policy-filtered read models</x:v>
      </x:c>
      <x:c r="F16" s="853" t="str">
        <x:v>Search API</x:v>
      </x:c>
      <x:c r="G16" s="853" t="str">
        <x:v>Search index excludes raw private coaching and unrestricted evidence content.</x:v>
      </x:c>
      <x:c r="H16" s="853" t="str">
        <x:v>High</x:v>
      </x:c>
      <x:c r="I16" s="853" t="str">
        <x:v>Draft Complete</x:v>
      </x:c>
      <x:c r="J16" s="853" t="str">
        <x:v>Data minimisation</x:v>
      </x:c>
      <x:c r="K16" s="854" t="str">
        <x:v>Reuse existing HumanOS capability; split only for proven boundary.</x:v>
      </x:c>
    </x:row>
    <x:row r="17">
      <x:c r="A17" s="847" t="str">
        <x:v>S10-ARC-013</x:v>
      </x:c>
      <x:c r="B17" s="114" t="str">
        <x:v>Export Job Service</x:v>
      </x:c>
      <x:c r="C17" s="114" t="str">
        <x:v>Produce scoped, watermarked, time-limited and auditable reports/evidence packages.</x:v>
      </x:c>
      <x:c r="D17" s="114" t="str">
        <x:v>Java/Spring async job + Object/File Service</x:v>
      </x:c>
      <x:c r="E17" s="114" t="str">
        <x:v>Audience read models, access grants, audit</x:v>
      </x:c>
      <x:c r="F17" s="114" t="str">
        <x:v>ExportJob APIs/events</x:v>
      </x:c>
      <x:c r="G17" s="114" t="str">
        <x:v>No uncontrolled bulk raw export; scope and purpose required.</x:v>
      </x:c>
      <x:c r="H17" s="114" t="str">
        <x:v>High</x:v>
      </x:c>
      <x:c r="I17" s="114" t="str">
        <x:v>Draft Complete</x:v>
      </x:c>
      <x:c r="J17" s="114" t="str">
        <x:v>Stage 4 access controls</x:v>
      </x:c>
      <x:c r="K17" s="848" t="str">
        <x:v>Reuse existing HumanOS capability; split only for proven boundary.</x:v>
      </x:c>
    </x:row>
    <x:row r="18">
      <x:c r="A18" s="852" t="str">
        <x:v>S10-ARC-014</x:v>
      </x:c>
      <x:c r="B18" s="853" t="str">
        <x:v>Accessibility Foundation</x:v>
      </x:c>
      <x:c r="C18" s="853" t="str">
        <x:v>Implement WCAG 2.2 AA target, semantic HTML, ARIA patterns, keyboard use, focus management and assistive-technology testing.</x:v>
      </x:c>
      <x:c r="D18" s="853" t="str">
        <x:v>Design system + frontend QA pipeline</x:v>
      </x:c>
      <x:c r="E18" s="853" t="str">
        <x:v>W3C WCAG/APG and HumanOS components</x:v>
      </x:c>
      <x:c r="F18" s="853" t="str">
        <x:v>Accessibility test reports</x:v>
      </x:c>
      <x:c r="G18" s="853" t="str">
        <x:v>Using accessible components does not by itself prove the complete service is accessible.</x:v>
      </x:c>
      <x:c r="H18" s="853" t="str">
        <x:v>Critical</x:v>
      </x:c>
      <x:c r="I18" s="853" t="str">
        <x:v>Draft Complete</x:v>
      </x:c>
      <x:c r="J18" s="853" t="str">
        <x:v>W3C WCAG 2.2/APG</x:v>
      </x:c>
      <x:c r="K18" s="854" t="str">
        <x:v>Reuse existing HumanOS capability; split only for proven boundary.</x:v>
      </x:c>
    </x:row>
    <x:row r="19">
      <x:c r="A19" s="847" t="str">
        <x:v>S10-ARC-015</x:v>
      </x:c>
      <x:c r="B19" s="114" t="str">
        <x:v>Localisation and Content System</x:v>
      </x:c>
      <x:c r="C19" s="114" t="str">
        <x:v>Support UK English first, localisation keys, time zones, plain-language explanations and culturally reviewed messages.</x:v>
      </x:c>
      <x:c r="D19" s="114" t="str">
        <x:v>Frontend i18n/content registry</x:v>
      </x:c>
      <x:c r="E19" s="114" t="str">
        <x:v>Organisation/user locale and content versions</x:v>
      </x:c>
      <x:c r="F19" s="114" t="str">
        <x:v>Localised content bundles</x:v>
      </x:c>
      <x:c r="G19" s="114" t="str">
        <x:v>Legal/policy text is versioned by jurisdiction; no machine-only translation for consequential notices.</x:v>
      </x:c>
      <x:c r="H19" s="114" t="str">
        <x:v>High</x:v>
      </x:c>
      <x:c r="I19" s="114" t="str">
        <x:v>Draft Complete</x:v>
      </x:c>
      <x:c r="J19" s="114" t="str">
        <x:v>WCAG understandable / jurisdiction packs</x:v>
      </x:c>
      <x:c r="K19" s="848" t="str">
        <x:v>Reuse existing HumanOS capability; split only for proven boundary.</x:v>
      </x:c>
    </x:row>
    <x:row r="20">
      <x:c r="A20" s="852" t="str">
        <x:v>S10-ARC-016</x:v>
      </x:c>
      <x:c r="B20" s="853" t="str">
        <x:v>Partial and Degraded State Handler</x:v>
      </x:c>
      <x:c r="C20" s="853" t="str">
        <x:v>Represent missing adapters, stale read models, policy outages, telemetry gaps and unavailable evidence safely.</x:v>
      </x:c>
      <x:c r="D20" s="853" t="str">
        <x:v>Frontend state machine + BFF status fields</x:v>
      </x:c>
      <x:c r="E20" s="853" t="str">
        <x:v>Coverage/completeness/health events</x:v>
      </x:c>
      <x:c r="F20" s="853" t="str">
        <x:v>Degraded-state UI</x:v>
      </x:c>
      <x:c r="G20" s="853" t="str">
        <x:v>Never convert missing data into zero activity or negative outcome.</x:v>
      </x:c>
      <x:c r="H20" s="853" t="str">
        <x:v>Critical</x:v>
      </x:c>
      <x:c r="I20" s="853" t="str">
        <x:v>Draft Complete</x:v>
      </x:c>
      <x:c r="J20" s="853" t="str">
        <x:v>Stage 4/6/7 completeness</x:v>
      </x:c>
      <x:c r="K20" s="854" t="str">
        <x:v>Reuse existing HumanOS capability; split only for proven boundary.</x:v>
      </x:c>
    </x:row>
    <x:row r="21">
      <x:c r="A21" s="847" t="str">
        <x:v>S10-ARC-017</x:v>
      </x:c>
      <x:c r="B21" s="114" t="str">
        <x:v>Feature Flag and Experiment Layer</x:v>
      </x:c>
      <x:c r="C21" s="114" t="str">
        <x:v>Control audience, cohort, canary, kill switch and rollback for new UI/report features.</x:v>
      </x:c>
      <x:c r="D21" s="114" t="str">
        <x:v>OpenFeature-compatible abstraction using existing HumanOS flag provider</x:v>
      </x:c>
      <x:c r="E21" s="114" t="str">
        <x:v>Tenant/user/task-safe evaluation context</x:v>
      </x:c>
      <x:c r="F21" s="114" t="str">
        <x:v>Flag evaluation and audit</x:v>
      </x:c>
      <x:c r="G21" s="114" t="str">
        <x:v>Minimise PII in evaluation context; emergency disable must be immediate.</x:v>
      </x:c>
      <x:c r="H21" s="114" t="str">
        <x:v>High</x:v>
      </x:c>
      <x:c r="I21" s="114" t="str">
        <x:v>Draft Complete</x:v>
      </x:c>
      <x:c r="J21" s="114" t="str">
        <x:v>OpenFeature</x:v>
      </x:c>
      <x:c r="K21" s="848" t="str">
        <x:v>Reuse existing HumanOS capability; split only for proven boundary.</x:v>
      </x:c>
    </x:row>
    <x:row r="22">
      <x:c r="A22" s="852" t="str">
        <x:v>S10-ARC-018</x:v>
      </x:c>
      <x:c r="B22" s="853" t="str">
        <x:v>Frontend Operational Telemetry</x:v>
      </x:c>
      <x:c r="C22" s="853" t="str">
        <x:v>Measure latency, errors, accessibility failures and journey completion without recording raw evidence or private coaching content.</x:v>
      </x:c>
      <x:c r="D22" s="853" t="str">
        <x:v>OpenTelemetry + privacy allowlist</x:v>
      </x:c>
      <x:c r="E22" s="853" t="str">
        <x:v>Frontend/BFF operational events</x:v>
      </x:c>
      <x:c r="F22" s="853" t="str">
        <x:v>Operational dashboards</x:v>
      </x:c>
      <x:c r="G22" s="853" t="str">
        <x:v>No screenshots, prompts, source code or private reflections in traces/logs.</x:v>
      </x:c>
      <x:c r="H22" s="853" t="str">
        <x:v>Critical</x:v>
      </x:c>
      <x:c r="I22" s="853" t="str">
        <x:v>Draft Complete</x:v>
      </x:c>
      <x:c r="J22" s="853" t="str">
        <x:v>OpenTelemetry sensitive-data guidance</x:v>
      </x:c>
      <x:c r="K22" s="854" t="str">
        <x:v>Reuse existing HumanOS capability; split only for proven boundary.</x:v>
      </x:c>
    </x:row>
    <x:row r="23">
      <x:c r="A23" s="847" t="str">
        <x:v>S10-ARC-019</x:v>
      </x:c>
      <x:c r="B23" s="114" t="str">
        <x:v>Support and Incident Entry</x:v>
      </x:c>
      <x:c r="C23" s="114" t="str">
        <x:v>Provide persistent help, privacy contact, technical issue report and urgent capture-disable route.</x:v>
      </x:c>
      <x:c r="D23" s="114" t="str">
        <x:v>Frontend + Workflow/Notification</x:v>
      </x:c>
      <x:c r="E23" s="114" t="str">
        <x:v>Support, DPO, CISO and device control</x:v>
      </x:c>
      <x:c r="F23" s="114" t="str">
        <x:v>SupportCase APIs</x:v>
      </x:c>
      <x:c r="G23" s="114" t="str">
        <x:v>Consistent help must be discoverable and accessible.</x:v>
      </x:c>
      <x:c r="H23" s="114" t="str">
        <x:v>High</x:v>
      </x:c>
      <x:c r="I23" s="114" t="str">
        <x:v>Draft Complete</x:v>
      </x:c>
      <x:c r="J23" s="114" t="str">
        <x:v>WCAG 3.2.6 / Stage 0 stop authority</x:v>
      </x:c>
      <x:c r="K23" s="848" t="str">
        <x:v>Reuse existing HumanOS capability; split only for proven boundary.</x:v>
      </x:c>
    </x:row>
    <x:row r="24">
      <x:c r="A24" s="855" t="str">
        <x:v>S10-ARC-020</x:v>
      </x:c>
      <x:c r="B24" s="856" t="str">
        <x:v>Experience Analytics Governance</x:v>
      </x:c>
      <x:c r="C24" s="856" t="str">
        <x:v>Track aggregate usability, accessibility, correction, trust and report-usefulness metrics.</x:v>
      </x:c>
      <x:c r="D24" s="856" t="str">
        <x:v>Analytics read model</x:v>
      </x:c>
      <x:c r="E24" s="856" t="str">
        <x:v>Journey events, feedback, review outcomes</x:v>
      </x:c>
      <x:c r="F24" s="856" t="str">
        <x:v>Experience KPI datasets</x:v>
      </x:c>
      <x:c r="G24" s="856" t="str">
        <x:v>No employee productivity ranking or behavioural profiling.</x:v>
      </x:c>
      <x:c r="H24" s="856" t="str">
        <x:v>High</x:v>
      </x:c>
      <x:c r="I24" s="856" t="str">
        <x:v>Draft Complete</x:v>
      </x:c>
      <x:c r="J24" s="856" t="str">
        <x:v>Product governance</x:v>
      </x:c>
      <x:c r="K24" s="857" t="str">
        <x:v>Reuse existing HumanOS capability; split only for proven boundary.</x:v>
      </x:c>
    </x:row>
  </x:sheetData>
  <x:mergeCells>
    <x:mergeCell ref="A1:K1"/>
    <x:mergeCell ref="A2:K2"/>
  </x:mergeCells>
  <x:dataValidations count="2">
    <x:dataValidation type="list" sqref="H5:H24">
      <x:formula1>"Critical,High,Medium,Low"</x:formula1>
    </x:dataValidation>
    <x:dataValidation type="list" sqref="I5:I24">
      <x:formula1>"Draft Complete,Needs Review,Approved,Deferred"</x:formula1>
    </x:dataValidation>
  </x:dataValidations>
  <x:pageMargins left="0.7" right="0.7" top="0.75" bottom="0.75" header="0.3" footer="0.3"/>
</x:worksheet>
</file>

<file path=xl/worksheets/sheet138.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54" hidden="0" customWidth="1"/>
    <x:col min="5" max="5" width="34" hidden="0" customWidth="1"/>
    <x:col min="6" max="6" width="48" hidden="0" customWidth="1"/>
    <x:col min="7" max="7" width="30" hidden="0" customWidth="1"/>
    <x:col min="8" max="8" width="44" hidden="0" customWidth="1"/>
    <x:col min="9" max="9" width="48" hidden="0" customWidth="1"/>
    <x:col min="10" max="10" width="52" hidden="0" customWidth="1"/>
    <x:col min="11" max="11" width="18" hidden="0" customWidth="1"/>
  </x:cols>
  <x:sheetData>
    <x:row r="1" ht="30" customHeight="1">
      <x:c r="A1" s="809" t="str">
        <x:v>Stage 10 — Employee Workspace</x:v>
      </x:c>
      <x:c r="B1" s="809"/>
      <x:c r="C1" s="809"/>
      <x:c r="D1" s="809"/>
      <x:c r="E1" s="809"/>
      <x:c r="F1" s="809"/>
      <x:c r="G1" s="809"/>
      <x:c r="H1" s="809"/>
      <x:c r="I1" s="809"/>
      <x:c r="J1" s="809"/>
      <x:c r="K1" s="809"/>
    </x:row>
    <x:row r="2" ht="38" customHeight="1">
      <x:c r="A2" s="813" t="str">
        <x:v>Employee-owned workspace for tasks, evidence, capability, coaching, learning, privacy and review. Every material finding exposes confidence, gaps, lineage and correction rights.</x:v>
      </x:c>
      <x:c r="B2" s="813"/>
      <x:c r="C2" s="813"/>
      <x:c r="D2" s="813"/>
      <x:c r="E2" s="813"/>
      <x:c r="F2" s="813"/>
      <x:c r="G2" s="813"/>
      <x:c r="H2" s="813"/>
      <x:c r="I2" s="813"/>
      <x:c r="J2" s="813"/>
      <x:c r="K2" s="813"/>
    </x:row>
    <x:row r="4" ht="30" customHeight="1">
      <x:c r="A4" s="825" t="str">
        <x:v>ID</x:v>
      </x:c>
      <x:c r="B4" s="826" t="str">
        <x:v>Module / screen</x:v>
      </x:c>
      <x:c r="C4" s="826" t="str">
        <x:v>Audience</x:v>
      </x:c>
      <x:c r="D4" s="826" t="str">
        <x:v>Content</x:v>
      </x:c>
      <x:c r="E4" s="826" t="str">
        <x:v>Data source</x:v>
      </x:c>
      <x:c r="F4" s="826" t="str">
        <x:v>Primary actions</x:v>
      </x:c>
      <x:c r="G4" s="826" t="str">
        <x:v>Access scope</x:v>
      </x:c>
      <x:c r="H4" s="826" t="str">
        <x:v>Loading / degraded state</x:v>
      </x:c>
      <x:c r="I4" s="826" t="str">
        <x:v>Accessibility requirement</x:v>
      </x:c>
      <x:c r="J4" s="826" t="str">
        <x:v>Prohibited use</x:v>
      </x:c>
      <x:c r="K4" s="827" t="str">
        <x:v>Status</x:v>
      </x:c>
    </x:row>
    <x:row r="5">
      <x:c r="A5" s="844" t="str">
        <x:v>EMP-001</x:v>
      </x:c>
      <x:c r="B5" s="845" t="str">
        <x:v>Today / assigned work</x:v>
      </x:c>
      <x:c r="C5" s="845" t="str">
        <x:v>Employee</x:v>
      </x:c>
      <x:c r="D5" s="845" t="str">
        <x:v>Tasks, daily plan, deadlines, blockers and active task.</x:v>
      </x:c>
      <x:c r="E5" s="845" t="str">
        <x:v>Task/Project read model</x:v>
      </x:c>
      <x:c r="F5" s="845" t="str">
        <x:v>Start/switch/pause/stop task; open criteria; report blocker.</x:v>
      </x:c>
      <x:c r="G5" s="845" t="str">
        <x:v>Own tasks only.</x:v>
      </x:c>
      <x:c r="H5" s="845" t="str">
        <x:v>Show stale/unavailable source state.</x:v>
      </x:c>
      <x:c r="I5" s="845" t="str">
        <x:v>Keyboard navigation, headings, list/table alternatives.</x:v>
      </x:c>
      <x:c r="J5" s="845" t="str">
        <x:v>No productivity ranking or forced time interpretation.</x:v>
      </x:c>
      <x:c r="K5" s="846" t="str">
        <x:v>Draft Complete</x:v>
      </x:c>
    </x:row>
    <x:row r="6">
      <x:c r="A6" s="852" t="str">
        <x:v>EMP-002</x:v>
      </x:c>
      <x:c r="B6" s="853" t="str">
        <x:v>Monitoring status bar</x:v>
      </x:c>
      <x:c r="C6" s="853" t="str">
        <x:v>Employee</x:v>
      </x:c>
      <x:c r="D6" s="853" t="str">
        <x:v>Current work/task session, sensors active, policy version, last sync and exclusions.</x:v>
      </x:c>
      <x:c r="E6" s="853" t="str">
        <x:v>Device Control/Policy/Health</x:v>
      </x:c>
      <x:c r="F6" s="853" t="str">
        <x:v>Pause/private where allowed; open details; report issue.</x:v>
      </x:c>
      <x:c r="G6" s="853" t="str">
        <x:v>Own device/session.</x:v>
      </x:c>
      <x:c r="H6" s="853" t="str">
        <x:v>Fail-safe warning if policy or sensor unavailable.</x:v>
      </x:c>
      <x:c r="I6" s="853" t="str">
        <x:v>Persistent text+icon, screen-reader live status.</x:v>
      </x:c>
      <x:c r="J6" s="853" t="str">
        <x:v>No hidden capture state.</x:v>
      </x:c>
      <x:c r="K6" s="854" t="str">
        <x:v>Draft Complete</x:v>
      </x:c>
    </x:row>
    <x:row r="7">
      <x:c r="A7" s="847" t="str">
        <x:v>EMP-003</x:v>
      </x:c>
      <x:c r="B7" s="114" t="str">
        <x:v>Task execution contract</x:v>
      </x:c>
      <x:c r="C7" s="114" t="str">
        <x:v>Employee</x:v>
      </x:c>
      <x:c r="D7" s="114" t="str">
        <x:v>Objective, acceptance criteria, quality gates, evidence requirements and version.</x:v>
      </x:c>
      <x:c r="E7" s="114" t="str">
        <x:v>Stage 2 TaskContract</x:v>
      </x:c>
      <x:c r="F7" s="114" t="str">
        <x:v>Ask clarification; acknowledge change; open evidence.</x:v>
      </x:c>
      <x:c r="G7" s="114" t="str">
        <x:v>Assigned task.</x:v>
      </x:c>
      <x:c r="H7" s="114" t="str">
        <x:v>Show missing/invalid contract and suspend assurance.</x:v>
      </x:c>
      <x:c r="I7" s="114" t="str">
        <x:v>Structured headings/checklist; non-colour status.</x:v>
      </x:c>
      <x:c r="J7" s="114" t="str">
        <x:v>No assessment against undefined task.</x:v>
      </x:c>
      <x:c r="K7" s="848" t="str">
        <x:v>Draft Complete</x:v>
      </x:c>
    </x:row>
    <x:row r="8">
      <x:c r="A8" s="852" t="str">
        <x:v>EMP-004</x:v>
      </x:c>
      <x:c r="B8" s="853" t="str">
        <x:v>Task progress and assurance</x:v>
      </x:c>
      <x:c r="C8" s="853" t="str">
        <x:v>Employee</x:v>
      </x:c>
      <x:c r="D8" s="853" t="str">
        <x:v>Criterion states, blockers, completeness, confidence and next actions.</x:v>
      </x:c>
      <x:c r="E8" s="853" t="str">
        <x:v>Stage 7 TaskAssessment</x:v>
      </x:c>
      <x:c r="F8" s="853" t="str">
        <x:v>Add evidence/bookmark; correct context; request review.</x:v>
      </x:c>
      <x:c r="G8" s="853" t="str">
        <x:v>Own task.</x:v>
      </x:c>
      <x:c r="H8" s="853" t="str">
        <x:v>Show latest reviewed version and gaps.</x:v>
      </x:c>
      <x:c r="I8" s="853" t="str">
        <x:v>Accessible status tags and summary lists.</x:v>
      </x:c>
      <x:c r="J8" s="853" t="str">
        <x:v>AI recommendation clearly distinguished from fact/review.</x:v>
      </x:c>
      <x:c r="K8" s="854" t="str">
        <x:v>Draft Complete</x:v>
      </x:c>
    </x:row>
    <x:row r="9">
      <x:c r="A9" s="847" t="str">
        <x:v>EMP-005</x:v>
      </x:c>
      <x:c r="B9" s="114" t="str">
        <x:v>Evidence timeline</x:v>
      </x:c>
      <x:c r="C9" s="114" t="str">
        <x:v>Employee</x:v>
      </x:c>
      <x:c r="D9" s="114" t="str">
        <x:v>Events, episodes, artefacts, visual states, semantic evidence, gaps and corrections.</x:v>
      </x:c>
      <x:c r="E9" s="114" t="str">
        <x:v>Stage 4/6/7 Evidence/Replay</x:v>
      </x:c>
      <x:c r="F9" s="114" t="str">
        <x:v>Filter; inspect; bookmark; correct; request raw access/export.</x:v>
      </x:c>
      <x:c r="G9" s="114" t="str">
        <x:v>Own approved sessions/tasks.</x:v>
      </x:c>
      <x:c r="H9" s="114" t="str">
        <x:v>Gap markers and partial-data warning.</x:v>
      </x:c>
      <x:c r="I9" s="114" t="str">
        <x:v>Timeline has table/list alternative; no drag-only operation.</x:v>
      </x:c>
      <x:c r="J9" s="114" t="str">
        <x:v>Do not default to screenshot firehose.</x:v>
      </x:c>
      <x:c r="K9" s="848" t="str">
        <x:v>Draft Complete</x:v>
      </x:c>
    </x:row>
    <x:row r="10">
      <x:c r="A10" s="852" t="str">
        <x:v>EMP-006</x:v>
      </x:c>
      <x:c r="B10" s="853" t="str">
        <x:v>Human–AI provenance</x:v>
      </x:c>
      <x:c r="C10" s="853" t="str">
        <x:v>Employee</x:v>
      </x:c>
      <x:c r="D10" s="853" t="str">
        <x:v>Human direction, agent sessions, tool calls, generated changes, review and accepted/rejected output.</x:v>
      </x:c>
      <x:c r="E10" s="853" t="str">
        <x:v>Stage 6/7 provenance</x:v>
      </x:c>
      <x:c r="F10" s="853" t="str">
        <x:v>Inspect origin; correct attribution; open agent session.</x:v>
      </x:c>
      <x:c r="G10" s="853" t="str">
        <x:v>Own tasks/evidence.</x:v>
      </x:c>
      <x:c r="H10" s="853" t="str">
        <x:v>UNKNOWN/MIXED shown when uncertain.</x:v>
      </x:c>
      <x:c r="I10" s="853" t="str">
        <x:v>Text description for graph; keyboard traversable.</x:v>
      </x:c>
      <x:c r="J10" s="853" t="str">
        <x:v>No manual-typing superiority metric.</x:v>
      </x:c>
      <x:c r="K10" s="854" t="str">
        <x:v>Draft Complete</x:v>
      </x:c>
    </x:row>
    <x:row r="11">
      <x:c r="A11" s="847" t="str">
        <x:v>EMP-007</x:v>
      </x:c>
      <x:c r="B11" s="114" t="str">
        <x:v>Corrections and disputes</x:v>
      </x:c>
      <x:c r="C11" s="114" t="str">
        <x:v>Employee</x:v>
      </x:c>
      <x:c r="D11" s="114" t="str">
        <x:v>Active corrections, disputes, reviewer status, SLA and prior decisions.</x:v>
      </x:c>
      <x:c r="E11" s="114" t="str">
        <x:v>Governance Workflow</x:v>
      </x:c>
      <x:c r="F11" s="114" t="str">
        <x:v>Submit/update correction; attach explanation; appeal.</x:v>
      </x:c>
      <x:c r="G11" s="114" t="str">
        <x:v>Own cases.</x:v>
      </x:c>
      <x:c r="H11" s="114" t="str">
        <x:v>Show service outage and alternative contact.</x:v>
      </x:c>
      <x:c r="I11" s="114" t="str">
        <x:v>Form errors summarised; review before submit.</x:v>
      </x:c>
      <x:c r="J11" s="114" t="str">
        <x:v>No silent rejection or hidden unresolved status.</x:v>
      </x:c>
      <x:c r="K11" s="848" t="str">
        <x:v>Draft Complete</x:v>
      </x:c>
    </x:row>
    <x:row r="12">
      <x:c r="A12" s="852" t="str">
        <x:v>EMP-008</x:v>
      </x:c>
      <x:c r="B12" s="853" t="str">
        <x:v>Capability character overview</x:v>
      </x:c>
      <x:c r="C12" s="853" t="str">
        <x:v>Employee</x:v>
      </x:c>
      <x:c r="D12" s="853" t="str">
        <x:v>Private capability levels, confidence, freshness, strengths, emerging areas and target role.</x:v>
      </x:c>
      <x:c r="E12" s="853" t="str">
        <x:v>Stage 8 Capability/Readiness</x:v>
      </x:c>
      <x:c r="F12" s="853" t="str">
        <x:v>Inspect evidence; set goal; request reassessment; dispute.</x:v>
      </x:c>
      <x:c r="G12" s="853" t="str">
        <x:v>Own capability profile.</x:v>
      </x:c>
      <x:c r="H12" s="853" t="str">
        <x:v>Stale/insufficient evidence visually explicit.</x:v>
      </x:c>
      <x:c r="I12" s="853" t="str">
        <x:v>Charts accompanied by text/table; no colour-only levels.</x:v>
      </x:c>
      <x:c r="J12" s="853" t="str">
        <x:v>No public leaderboard or permanent label.</x:v>
      </x:c>
      <x:c r="K12" s="854" t="str">
        <x:v>Draft Complete</x:v>
      </x:c>
    </x:row>
    <x:row r="13">
      <x:c r="A13" s="847" t="str">
        <x:v>EMP-009</x:v>
      </x:c>
      <x:c r="B13" s="114" t="str">
        <x:v>Skill tree and quests</x:v>
      </x:c>
      <x:c r="C13" s="114" t="str">
        <x:v>Employee</x:v>
      </x:c>
      <x:c r="D13" s="114" t="str">
        <x:v>Role capability branches, learning quests, practice, mastery contributions and progress.</x:v>
      </x:c>
      <x:c r="E13" s="114" t="str">
        <x:v>Stage 8/9 Capability/Learning</x:v>
      </x:c>
      <x:c r="F13" s="114" t="str">
        <x:v>Choose goal; accept/modify plan; start practice.</x:v>
      </x:c>
      <x:c r="G13" s="114" t="str">
        <x:v>Own development plan.</x:v>
      </x:c>
      <x:c r="H13" s="114" t="str">
        <x:v>Unavailable content/provider fallback.</x:v>
      </x:c>
      <x:c r="I13" s="114" t="str">
        <x:v>Tree has linear list and keyboard mode.</x:v>
      </x:c>
      <x:c r="J13" s="114" t="str">
        <x:v>Game-inspired, professional—not childish or manipulative.</x:v>
      </x:c>
      <x:c r="K13" s="848" t="str">
        <x:v>Draft Complete</x:v>
      </x:c>
    </x:row>
    <x:row r="14">
      <x:c r="A14" s="852" t="str">
        <x:v>EMP-010</x:v>
      </x:c>
      <x:c r="B14" s="853" t="str">
        <x:v>Role readiness path</x:v>
      </x:c>
      <x:c r="C14" s="853" t="str">
        <x:v>Employee</x:v>
      </x:c>
      <x:c r="D14" s="853" t="str">
        <x:v>Critical requirements, met/developing/unknown states, support conditions and evidence freshness.</x:v>
      </x:c>
      <x:c r="E14" s="853" t="str">
        <x:v>Stage 8 RoleReadiness</x:v>
      </x:c>
      <x:c r="F14" s="853" t="str">
        <x:v>Inspect gap; set target; request review/reassessment.</x:v>
      </x:c>
      <x:c r="G14" s="853" t="str">
        <x:v>Own current/target role.</x:v>
      </x:c>
      <x:c r="H14" s="853" t="str">
        <x:v>Display advisory/disputed/under-review status.</x:v>
      </x:c>
      <x:c r="I14" s="853" t="str">
        <x:v>Plain-language explanation of percentage/status.</x:v>
      </x:c>
      <x:c r="J14" s="853" t="str">
        <x:v>No automatic promise or denial of promotion.</x:v>
      </x:c>
      <x:c r="K14" s="854" t="str">
        <x:v>Draft Complete</x:v>
      </x:c>
    </x:row>
    <x:row r="15">
      <x:c r="A15" s="847" t="str">
        <x:v>EMP-011</x:v>
      </x:c>
      <x:c r="B15" s="114" t="str">
        <x:v>Private coaching inbox</x:v>
      </x:c>
      <x:c r="C15" s="114" t="str">
        <x:v>Employee</x:v>
      </x:c>
      <x:c r="D15" s="114" t="str">
        <x:v>Evidence-linked interventions, rationale, mode, confidence and source version.</x:v>
      </x:c>
      <x:c r="E15" s="114" t="str">
        <x:v>Stage 9 Coaching</x:v>
      </x:c>
      <x:c r="F15" s="114" t="str">
        <x:v>Accept, dismiss, snooze, report wrong context, ask why.</x:v>
      </x:c>
      <x:c r="G15" s="114" t="str">
        <x:v>Own interventions.</x:v>
      </x:c>
      <x:c r="H15" s="114" t="str">
        <x:v>Offline queue and stale-context cancellation.</x:v>
      </x:c>
      <x:c r="I15" s="114" t="str">
        <x:v>Accessible notification list and actions.</x:v>
      </x:c>
      <x:c r="J15" s="114" t="str">
        <x:v>Dismissal/snooze not performance evidence.</x:v>
      </x:c>
      <x:c r="K15" s="848" t="str">
        <x:v>Draft Complete</x:v>
      </x:c>
    </x:row>
    <x:row r="16">
      <x:c r="A16" s="852" t="str">
        <x:v>EMP-012</x:v>
      </x:c>
      <x:c r="B16" s="853" t="str">
        <x:v>Coaching preferences</x:v>
      </x:c>
      <x:c r="C16" s="853" t="str">
        <x:v>Employee</x:v>
      </x:c>
      <x:c r="D16" s="853" t="str">
        <x:v>Channels, language, focus windows, cooldown, alternate format and mentor preference.</x:v>
      </x:c>
      <x:c r="E16" s="853" t="str">
        <x:v>Stage 9 Preferences</x:v>
      </x:c>
      <x:c r="F16" s="853" t="str">
        <x:v>Edit/save/reset preferences.</x:v>
      </x:c>
      <x:c r="G16" s="853" t="str">
        <x:v>Own preferences.</x:v>
      </x:c>
      <x:c r="H16" s="853" t="str">
        <x:v>Default-safe preferences if service unavailable.</x:v>
      </x:c>
      <x:c r="I16" s="853" t="str">
        <x:v>Accessible authentication; redundant entry avoided.</x:v>
      </x:c>
      <x:c r="J16" s="853" t="str">
        <x:v>Sensitive accommodation detail not displayed broadly.</x:v>
      </x:c>
      <x:c r="K16" s="854" t="str">
        <x:v>Draft Complete</x:v>
      </x:c>
    </x:row>
    <x:row r="17">
      <x:c r="A17" s="847" t="str">
        <x:v>EMP-013</x:v>
      </x:c>
      <x:c r="B17" s="114" t="str">
        <x:v>Learning plan</x:v>
      </x:c>
      <x:c r="C17" s="114" t="str">
        <x:v>Employee</x:v>
      </x:c>
      <x:c r="D17" s="114" t="str">
        <x:v>Goals, artefacts, practice tasks, expected evidence, status and reviewer.</x:v>
      </x:c>
      <x:c r="E17" s="114" t="str">
        <x:v>Stage 9 Learning</x:v>
      </x:c>
      <x:c r="F17" s="114" t="str">
        <x:v>Accept/modify/pause/reschedule; request help.</x:v>
      </x:c>
      <x:c r="G17" s="114" t="str">
        <x:v>Own plan.</x:v>
      </x:c>
      <x:c r="H17" s="114" t="str">
        <x:v>Show source/licence/content unavailable state.</x:v>
      </x:c>
      <x:c r="I17" s="114" t="str">
        <x:v>Progress/status text; no hidden required actions.</x:v>
      </x:c>
      <x:c r="J17" s="114" t="str">
        <x:v>Completion not presented as capability increase.</x:v>
      </x:c>
      <x:c r="K17" s="848" t="str">
        <x:v>Draft Complete</x:v>
      </x:c>
    </x:row>
    <x:row r="18">
      <x:c r="A18" s="852" t="str">
        <x:v>EMP-014</x:v>
      </x:c>
      <x:c r="B18" s="853" t="str">
        <x:v>Applied learning evidence</x:v>
      </x:c>
      <x:c r="C18" s="853" t="str">
        <x:v>Employee</x:v>
      </x:c>
      <x:c r="D18" s="853" t="str">
        <x:v>Practice results and later real-work evidence linked to learning goal.</x:v>
      </x:c>
      <x:c r="E18" s="853" t="str">
        <x:v>Stage 8/9 Capability/Learning</x:v>
      </x:c>
      <x:c r="F18" s="853" t="str">
        <x:v>Inspect; explain context; request review.</x:v>
      </x:c>
      <x:c r="G18" s="853" t="str">
        <x:v>Own evidence.</x:v>
      </x:c>
      <x:c r="H18" s="853" t="str">
        <x:v>Show causal uncertainty and review state.</x:v>
      </x:c>
      <x:c r="I18" s="853" t="str">
        <x:v>Accessible evidence summary.</x:v>
      </x:c>
      <x:c r="J18" s="853" t="str">
        <x:v>Do not claim coaching caused improvement without evidence.</x:v>
      </x:c>
      <x:c r="K18" s="854" t="str">
        <x:v>Draft Complete</x:v>
      </x:c>
    </x:row>
    <x:row r="19">
      <x:c r="A19" s="847" t="str">
        <x:v>EMP-015</x:v>
      </x:c>
      <x:c r="B19" s="114" t="str">
        <x:v>Mentor handoff</x:v>
      </x:c>
      <x:c r="C19" s="114" t="str">
        <x:v>Employee</x:v>
      </x:c>
      <x:c r="D19" s="114" t="str">
        <x:v>Reason, goals, information scope, mentor, schedule and agreed summary.</x:v>
      </x:c>
      <x:c r="E19" s="114" t="str">
        <x:v>Workflow/Organisation</x:v>
      </x:c>
      <x:c r="F19" s="114" t="str">
        <x:v>Approve scope; request/change mentor; schedule.</x:v>
      </x:c>
      <x:c r="G19" s="114" t="str">
        <x:v>Own handoff.</x:v>
      </x:c>
      <x:c r="H19" s="114" t="str">
        <x:v>Alternative support contact if unavailable.</x:v>
      </x:c>
      <x:c r="I19" s="114" t="str">
        <x:v>Clear consent and scope controls.</x:v>
      </x:c>
      <x:c r="J19" s="114" t="str">
        <x:v>Private mentor notes excluded from manager view.</x:v>
      </x:c>
      <x:c r="K19" s="848" t="str">
        <x:v>Draft Complete</x:v>
      </x:c>
    </x:row>
    <x:row r="20">
      <x:c r="A20" s="852" t="str">
        <x:v>EMP-016</x:v>
      </x:c>
      <x:c r="B20" s="853" t="str">
        <x:v>Privacy centre</x:v>
      </x:c>
      <x:c r="C20" s="853" t="str">
        <x:v>Employee</x:v>
      </x:c>
      <x:c r="D20" s="853" t="str">
        <x:v>What is monitored, why, policy/notice, exclusions, retention and data locations.</x:v>
      </x:c>
      <x:c r="E20" s="853" t="str">
        <x:v>Policy/Retention/Jurisdiction</x:v>
      </x:c>
      <x:c r="F20" s="853" t="str">
        <x:v>Read/download notice; report concern; view changes.</x:v>
      </x:c>
      <x:c r="G20" s="853" t="str">
        <x:v>Own policy context.</x:v>
      </x:c>
      <x:c r="H20" s="853" t="str">
        <x:v>Show effective/expired policy status.</x:v>
      </x:c>
      <x:c r="I20" s="853" t="str">
        <x:v>Plain language, consistent help and accessible documents.</x:v>
      </x:c>
      <x:c r="J20" s="853" t="str">
        <x:v>No buried or ambiguous monitoring notice.</x:v>
      </x:c>
      <x:c r="K20" s="854" t="str">
        <x:v>Draft Complete</x:v>
      </x:c>
    </x:row>
    <x:row r="21">
      <x:c r="A21" s="847" t="str">
        <x:v>EMP-017</x:v>
      </x:c>
      <x:c r="B21" s="114" t="str">
        <x:v>Evidence access history</x:v>
      </x:c>
      <x:c r="C21" s="114" t="str">
        <x:v>Employee</x:v>
      </x:c>
      <x:c r="D21" s="114" t="str">
        <x:v>Who accessed own evidence, purpose, scope, date and result.</x:v>
      </x:c>
      <x:c r="E21" s="114" t="str">
        <x:v>Audit/Access Broker</x:v>
      </x:c>
      <x:c r="F21" s="114" t="str">
        <x:v>Inspect grant; report concern; request export.</x:v>
      </x:c>
      <x:c r="G21" s="114" t="str">
        <x:v>Own subject-access history.</x:v>
      </x:c>
      <x:c r="H21" s="114" t="str">
        <x:v>Show delayed audit ingestion notice.</x:v>
      </x:c>
      <x:c r="I21" s="114" t="str">
        <x:v>Accessible table with filters.</x:v>
      </x:c>
      <x:c r="J21" s="114" t="str">
        <x:v>No hidden manager/admin raw access.</x:v>
      </x:c>
      <x:c r="K21" s="848" t="str">
        <x:v>Draft Complete</x:v>
      </x:c>
    </x:row>
    <x:row r="22">
      <x:c r="A22" s="852" t="str">
        <x:v>EMP-018</x:v>
      </x:c>
      <x:c r="B22" s="853" t="str">
        <x:v>Retention/deletion/export</x:v>
      </x:c>
      <x:c r="C22" s="853" t="str">
        <x:v>Employee</x:v>
      </x:c>
      <x:c r="D22" s="853" t="str">
        <x:v>Retention classes, expiry, holds, deletion/export requests and status.</x:v>
      </x:c>
      <x:c r="E22" s="853" t="str">
        <x:v>Retention/Export Service</x:v>
      </x:c>
      <x:c r="F22" s="853" t="str">
        <x:v>Request export/correction/deletion where permitted.</x:v>
      </x:c>
      <x:c r="G22" s="853" t="str">
        <x:v>Own records.</x:v>
      </x:c>
      <x:c r="H22" s="853" t="str">
        <x:v>Explain legal/dispute hold and unavailable action.</x:v>
      </x:c>
      <x:c r="I22" s="853" t="str">
        <x:v>Check-answers confirmation before submit.</x:v>
      </x:c>
      <x:c r="J22" s="853" t="str">
        <x:v>Do not promise deletion where lawful hold applies.</x:v>
      </x:c>
      <x:c r="K22" s="854" t="str">
        <x:v>Draft Complete</x:v>
      </x:c>
    </x:row>
    <x:row r="23">
      <x:c r="A23" s="847" t="str">
        <x:v>EMP-019</x:v>
      </x:c>
      <x:c r="B23" s="114" t="str">
        <x:v>Notification centre</x:v>
      </x:c>
      <x:c r="C23" s="114" t="str">
        <x:v>Employee</x:v>
      </x:c>
      <x:c r="D23" s="114" t="str">
        <x:v>Task, review, coaching, policy, learning and access notifications.</x:v>
      </x:c>
      <x:c r="E23" s="114" t="str">
        <x:v>Notification Service</x:v>
      </x:c>
      <x:c r="F23" s="114" t="str">
        <x:v>Filter; mark read; action; preference.</x:v>
      </x:c>
      <x:c r="G23" s="114" t="str">
        <x:v>Own notifications.</x:v>
      </x:c>
      <x:c r="H23" s="114" t="str">
        <x:v>Digest/fallback if real-time unavailable.</x:v>
      </x:c>
      <x:c r="I23" s="114" t="str">
        <x:v>ARIA status messages and keyboard control.</x:v>
      </x:c>
      <x:c r="J23" s="114" t="str">
        <x:v>No sensitive detail in lock-screen/email preview.</x:v>
      </x:c>
      <x:c r="K23" s="848" t="str">
        <x:v>Draft Complete</x:v>
      </x:c>
    </x:row>
    <x:row r="24">
      <x:c r="A24" s="855" t="str">
        <x:v>EMP-020</x:v>
      </x:c>
      <x:c r="B24" s="856" t="str">
        <x:v>Support and safety</x:v>
      </x:c>
      <x:c r="C24" s="856" t="str">
        <x:v>Employee</x:v>
      </x:c>
      <x:c r="D24" s="856" t="str">
        <x:v>Technical support, privacy/DPO, HR, security and emergency capture-stop contacts.</x:v>
      </x:c>
      <x:c r="E24" s="856" t="str">
        <x:v>Support/Workflow/Device Control</x:v>
      </x:c>
      <x:c r="F24" s="856" t="str">
        <x:v>Open case; request disable; see SLA/status.</x:v>
      </x:c>
      <x:c r="G24" s="856" t="str">
        <x:v>Own cases and general contacts.</x:v>
      </x:c>
      <x:c r="H24" s="856" t="str">
        <x:v>Alternative contact when service down.</x:v>
      </x:c>
      <x:c r="I24" s="856" t="str">
        <x:v>Consistent help placement.</x:v>
      </x:c>
      <x:c r="J24" s="856" t="str">
        <x:v>No retaliation for raising concern.</x:v>
      </x:c>
      <x:c r="K24" s="857" t="str">
        <x:v>Draft Complete</x:v>
      </x:c>
    </x:row>
  </x:sheetData>
  <x:mergeCells>
    <x:mergeCell ref="A1:K1"/>
    <x:mergeCell ref="A2:K2"/>
  </x:mergeCells>
  <x:dataValidations count="1">
    <x:dataValidation type="list" sqref="K5:K24">
      <x:formula1>"Draft Complete,Needs Review,Approved,Deferred"</x:formula1>
    </x:dataValidation>
  </x:dataValidations>
  <x:pageMargins left="0.7" right="0.7" top="0.75" bottom="0.75" header="0.3" footer="0.3"/>
</x:worksheet>
</file>

<file path=xl/worksheets/sheet139.xml><?xml version="1.0" encoding="utf-8"?>
<x:worksheet xmlns:x="http://schemas.openxmlformats.org/spreadsheetml/2006/main">
  <x:sheetFormatPr defaultRowHeight="15"/>
  <x:cols>
    <x:col min="1" max="1" width="12" hidden="0" customWidth="1"/>
    <x:col min="2" max="2" width="32" hidden="0" customWidth="1"/>
    <x:col min="3" max="3" width="22" hidden="0" customWidth="1"/>
    <x:col min="4" max="4" width="58" hidden="0" customWidth="1"/>
    <x:col min="5" max="5" width="36" hidden="0" customWidth="1"/>
    <x:col min="6" max="6" width="46" hidden="0" customWidth="1"/>
    <x:col min="7" max="7" width="32" hidden="0" customWidth="1"/>
    <x:col min="8" max="8" width="42" hidden="0" customWidth="1"/>
    <x:col min="9" max="9" width="60" hidden="0" customWidth="1"/>
    <x:col min="10" max="10" width="18" hidden="0" customWidth="1"/>
  </x:cols>
  <x:sheetData>
    <x:row r="1" ht="30" customHeight="1">
      <x:c r="A1" s="809" t="str">
        <x:v>Stage 10 — Manager Console</x:v>
      </x:c>
      <x:c r="B1" s="809"/>
      <x:c r="C1" s="809"/>
      <x:c r="D1" s="809"/>
      <x:c r="E1" s="809"/>
      <x:c r="F1" s="809"/>
      <x:c r="G1" s="809"/>
      <x:c r="H1" s="809"/>
      <x:c r="I1" s="809"/>
      <x:c r="J1" s="809"/>
    </x:row>
    <x:row r="2" ht="38" customHeight="1">
      <x:c r="A2" s="813" t="str">
        <x:v>Exception-led manager experience focused on outcomes, blockers, quality, reviews and employee development. It deliberately excludes continuous live surveillance and simplistic productivity metrics.</x:v>
      </x:c>
      <x:c r="B2" s="813"/>
      <x:c r="C2" s="813"/>
      <x:c r="D2" s="813"/>
      <x:c r="E2" s="813"/>
      <x:c r="F2" s="813"/>
      <x:c r="G2" s="813"/>
      <x:c r="H2" s="813"/>
      <x:c r="I2" s="813"/>
      <x:c r="J2" s="813"/>
    </x:row>
    <x:row r="4" ht="30" customHeight="1">
      <x:c r="A4" s="825" t="str">
        <x:v>ID</x:v>
      </x:c>
      <x:c r="B4" s="826" t="str">
        <x:v>Module / view</x:v>
      </x:c>
      <x:c r="C4" s="826" t="str">
        <x:v>Audience</x:v>
      </x:c>
      <x:c r="D4" s="826" t="str">
        <x:v>Content</x:v>
      </x:c>
      <x:c r="E4" s="826" t="str">
        <x:v>Data source</x:v>
      </x:c>
      <x:c r="F4" s="826" t="str">
        <x:v>Primary actions</x:v>
      </x:c>
      <x:c r="G4" s="826" t="str">
        <x:v>Access scope</x:v>
      </x:c>
      <x:c r="H4" s="826" t="str">
        <x:v>Degraded / context state</x:v>
      </x:c>
      <x:c r="I4" s="826" t="str">
        <x:v>Prohibited use / guardrail</x:v>
      </x:c>
      <x:c r="J4" s="827" t="str">
        <x:v>Status</x:v>
      </x:c>
    </x:row>
    <x:row r="5">
      <x:c r="A5" s="844" t="str">
        <x:v>MGR-001</x:v>
      </x:c>
      <x:c r="B5" s="845" t="str">
        <x:v>Team exception overview</x:v>
      </x:c>
      <x:c r="C5" s="845" t="str">
        <x:v>Direct manager/team lead</x:v>
      </x:c>
      <x:c r="D5" s="845" t="str">
        <x:v>Tasks needing attention: blockers, failed/missing quality gates, overdue reviews, disputed findings and capacity risks.</x:v>
      </x:c>
      <x:c r="E5" s="845" t="str">
        <x:v>ManagerExceptionReadModel</x:v>
      </x:c>
      <x:c r="F5" s="845" t="str">
        <x:v>Prioritise support and reviews.</x:v>
      </x:c>
      <x:c r="G5" s="845" t="str">
        <x:v>Assigned direct reports/teams.</x:v>
      </x:c>
      <x:c r="H5" s="845" t="str">
        <x:v>Show data freshness and coverage.</x:v>
      </x:c>
      <x:c r="I5" s="845" t="str">
        <x:v>No all-day live activity feed or universal productivity score.</x:v>
      </x:c>
      <x:c r="J5" s="846" t="str">
        <x:v>Draft Complete</x:v>
      </x:c>
    </x:row>
    <x:row r="6">
      <x:c r="A6" s="852" t="str">
        <x:v>MGR-002</x:v>
      </x:c>
      <x:c r="B6" s="853" t="str">
        <x:v>Task assurance board</x:v>
      </x:c>
      <x:c r="C6" s="853" t="str">
        <x:v>Manager</x:v>
      </x:c>
      <x:c r="D6" s="853" t="str">
        <x:v>Objective, current criterion states, blockers, confidence, evidence completeness and reviewer status.</x:v>
      </x:c>
      <x:c r="E6" s="853" t="str">
        <x:v>Stage 7 reviewed task assessments</x:v>
      </x:c>
      <x:c r="F6" s="853" t="str">
        <x:v>Open task; assign owner; resolve blocker; request review.</x:v>
      </x:c>
      <x:c r="G6" s="853" t="str">
        <x:v>Team tasks only.</x:v>
      </x:c>
      <x:c r="H6" s="853" t="str">
        <x:v>Stale/insufficient evidence prominent.</x:v>
      </x:c>
      <x:c r="I6" s="853" t="str">
        <x:v>Do not treat AI recommendation as fact.</x:v>
      </x:c>
      <x:c r="J6" s="854" t="str">
        <x:v>Draft Complete</x:v>
      </x:c>
    </x:row>
    <x:row r="7">
      <x:c r="A7" s="847" t="str">
        <x:v>MGR-003</x:v>
      </x:c>
      <x:c r="B7" s="114" t="str">
        <x:v>Blocker queue</x:v>
      </x:c>
      <x:c r="C7" s="114" t="str">
        <x:v>Manager</x:v>
      </x:c>
      <x:c r="D7" s="114" t="str">
        <x:v>Requirement, access, environment, dependency and support blockers with owners/SLA.</x:v>
      </x:c>
      <x:c r="E7" s="114" t="str">
        <x:v>Stage 7 Blocker Model</x:v>
      </x:c>
      <x:c r="F7" s="114" t="str">
        <x:v>Assign/escalate/resolve blocker.</x:v>
      </x:c>
      <x:c r="G7" s="114" t="str">
        <x:v>Own team/project.</x:v>
      </x:c>
      <x:c r="H7" s="114" t="str">
        <x:v>Outage/dependency state shown.</x:v>
      </x:c>
      <x:c r="I7" s="114" t="str">
        <x:v>External blocker cannot appear as employee gap.</x:v>
      </x:c>
      <x:c r="J7" s="848" t="str">
        <x:v>Draft Complete</x:v>
      </x:c>
    </x:row>
    <x:row r="8">
      <x:c r="A8" s="852" t="str">
        <x:v>MGR-004</x:v>
      </x:c>
      <x:c r="B8" s="853" t="str">
        <x:v>Quality gate exceptions</x:v>
      </x:c>
      <x:c r="C8" s="853" t="str">
        <x:v>Manager/technical lead</x:v>
      </x:c>
      <x:c r="D8" s="853" t="str">
        <x:v>Failed or missing tests, security, review, deployment and acceptance gates.</x:v>
      </x:c>
      <x:c r="E8" s="853" t="str">
        <x:v>Deterministic Task Assurance</x:v>
      </x:c>
      <x:c r="F8" s="853" t="str">
        <x:v>Assign reviewer; request evidence; reopen task.</x:v>
      </x:c>
      <x:c r="G8" s="853" t="str">
        <x:v>Project/task scope.</x:v>
      </x:c>
      <x:c r="H8" s="853" t="str">
        <x:v>Show source-system availability.</x:v>
      </x:c>
      <x:c r="I8" s="853" t="str">
        <x:v>No judgement based on code volume or time.</x:v>
      </x:c>
      <x:c r="J8" s="854" t="str">
        <x:v>Draft Complete</x:v>
      </x:c>
    </x:row>
    <x:row r="9">
      <x:c r="A9" s="847" t="str">
        <x:v>MGR-005</x:v>
      </x:c>
      <x:c r="B9" s="114" t="str">
        <x:v>Review workload</x:v>
      </x:c>
      <x:c r="C9" s="114" t="str">
        <x:v>Manager/reviewer lead</x:v>
      </x:c>
      <x:c r="D9" s="114" t="str">
        <x:v>Pending reviews, reviewer conflicts, due dates and escalation.</x:v>
      </x:c>
      <x:c r="E9" s="114" t="str">
        <x:v>Workflow/Organisation</x:v>
      </x:c>
      <x:c r="F9" s="114" t="str">
        <x:v>Assign/reassign reviewer; escalate overdue case.</x:v>
      </x:c>
      <x:c r="G9" s="114" t="str">
        <x:v>Authorised reviewers/team.</x:v>
      </x:c>
      <x:c r="H9" s="114" t="str">
        <x:v>Show reviewer unavailable status.</x:v>
      </x:c>
      <x:c r="I9" s="114" t="str">
        <x:v>Cannot self-approve conflicted/high-impact case.</x:v>
      </x:c>
      <x:c r="J9" s="848" t="str">
        <x:v>Draft Complete</x:v>
      </x:c>
    </x:row>
    <x:row r="10">
      <x:c r="A10" s="852" t="str">
        <x:v>MGR-006</x:v>
      </x:c>
      <x:c r="B10" s="853" t="str">
        <x:v>Employee response and dispute status</x:v>
      </x:c>
      <x:c r="C10" s="853" t="str">
        <x:v>Manager</x:v>
      </x:c>
      <x:c r="D10" s="853" t="str">
        <x:v>Material employee explanation, correction status and active dispute marker.</x:v>
      </x:c>
      <x:c r="E10" s="853" t="str">
        <x:v>Governance read model</x:v>
      </x:c>
      <x:c r="F10" s="853" t="str">
        <x:v>Respond; pause reliance; route review.</x:v>
      </x:c>
      <x:c r="G10" s="853" t="str">
        <x:v>Direct-report cases with policy.</x:v>
      </x:c>
      <x:c r="H10" s="853" t="str">
        <x:v>Unresolved status always visible.</x:v>
      </x:c>
      <x:c r="I10" s="853" t="str">
        <x:v>Cannot hide or suppress employee response.</x:v>
      </x:c>
      <x:c r="J10" s="854" t="str">
        <x:v>Draft Complete</x:v>
      </x:c>
    </x:row>
    <x:row r="11">
      <x:c r="A11" s="847" t="str">
        <x:v>MGR-007</x:v>
      </x:c>
      <x:c r="B11" s="114" t="str">
        <x:v>Development summary</x:v>
      </x:c>
      <x:c r="C11" s="114" t="str">
        <x:v>Manager</x:v>
      </x:c>
      <x:c r="D11" s="114" t="str">
        <x:v>Reviewed strengths, support needs, applied improvement and active learning goals.</x:v>
      </x:c>
      <x:c r="E11" s="114" t="str">
        <x:v>Stage 8/9 reviewed summaries</x:v>
      </x:c>
      <x:c r="F11" s="114" t="str">
        <x:v>Offer opportunity/support; discuss in 1:1.</x:v>
      </x:c>
      <x:c r="G11" s="114" t="str">
        <x:v>Direct reports.</x:v>
      </x:c>
      <x:c r="H11" s="114" t="str">
        <x:v>Show evidence confidence/freshness.</x:v>
      </x:c>
      <x:c r="I11" s="114" t="str">
        <x:v>No raw private coaching, reflections or mentor notes.</x:v>
      </x:c>
      <x:c r="J11" s="848" t="str">
        <x:v>Draft Complete</x:v>
      </x:c>
    </x:row>
    <x:row r="12">
      <x:c r="A12" s="852" t="str">
        <x:v>MGR-008</x:v>
      </x:c>
      <x:c r="B12" s="853" t="str">
        <x:v>Role readiness summary</x:v>
      </x:c>
      <x:c r="C12" s="853" t="str">
        <x:v>Authorised manager/HR</x:v>
      </x:c>
      <x:c r="D12" s="853" t="str">
        <x:v>Target role, critical requirements, support conditions, confidence and gaps.</x:v>
      </x:c>
      <x:c r="E12" s="853" t="str">
        <x:v>Stage 8 RoleReadiness</x:v>
      </x:c>
      <x:c r="F12" s="853" t="str">
        <x:v>Discuss development; request reassessment/review.</x:v>
      </x:c>
      <x:c r="G12" s="853" t="str">
        <x:v>Policy-authorised role planning.</x:v>
      </x:c>
      <x:c r="H12" s="853" t="str">
        <x:v>Under-review/disputed status visible.</x:v>
      </x:c>
      <x:c r="I12" s="853" t="str">
        <x:v>Cannot automatically promote, reject, discipline or change pay.</x:v>
      </x:c>
      <x:c r="J12" s="854" t="str">
        <x:v>Draft Complete</x:v>
      </x:c>
    </x:row>
    <x:row r="13">
      <x:c r="A13" s="847" t="str">
        <x:v>MGR-009</x:v>
      </x:c>
      <x:c r="B13" s="114" t="str">
        <x:v>Learning and support actions</x:v>
      </x:c>
      <x:c r="C13" s="114" t="str">
        <x:v>Manager/L&amp;D</x:v>
      </x:c>
      <x:c r="D13" s="114" t="str">
        <x:v>Reviewed learning-plan milestones, practice due, support needed and applied evidence state.</x:v>
      </x:c>
      <x:c r="E13" s="114" t="str">
        <x:v>Stage 9 Learning</x:v>
      </x:c>
      <x:c r="F13" s="114" t="str">
        <x:v>Approve time/resources; assign mentor opportunity.</x:v>
      </x:c>
      <x:c r="G13" s="114" t="str">
        <x:v>Direct reports.</x:v>
      </x:c>
      <x:c r="H13" s="114" t="str">
        <x:v>Show workload/capacity constraints.</x:v>
      </x:c>
      <x:c r="I13" s="114" t="str">
        <x:v>No course-completion ranking.</x:v>
      </x:c>
      <x:c r="J13" s="848" t="str">
        <x:v>Draft Complete</x:v>
      </x:c>
    </x:row>
    <x:row r="14">
      <x:c r="A14" s="852" t="str">
        <x:v>MGR-010</x:v>
      </x:c>
      <x:c r="B14" s="853" t="str">
        <x:v>Workload and capacity signals</x:v>
      </x:c>
      <x:c r="C14" s="853" t="str">
        <x:v>Manager</x:v>
      </x:c>
      <x:c r="D14" s="853" t="str">
        <x:v>Assigned tasks, due dates, blockers and work-in-progress—not surveillance activity.</x:v>
      </x:c>
      <x:c r="E14" s="853" t="str">
        <x:v>Task/Project + reviewed exceptions</x:v>
      </x:c>
      <x:c r="F14" s="853" t="str">
        <x:v>Rebalance tasks; negotiate deadline.</x:v>
      </x:c>
      <x:c r="G14" s="853" t="str">
        <x:v>Team/project.</x:v>
      </x:c>
      <x:c r="H14" s="853" t="str">
        <x:v>Missing task attribution shown.</x:v>
      </x:c>
      <x:c r="I14" s="853" t="str">
        <x:v>No keyboard/mouse/time-online utilisation score.</x:v>
      </x:c>
      <x:c r="J14" s="854" t="str">
        <x:v>Draft Complete</x:v>
      </x:c>
    </x:row>
    <x:row r="15">
      <x:c r="A15" s="847" t="str">
        <x:v>MGR-011</x:v>
      </x:c>
      <x:c r="B15" s="114" t="str">
        <x:v>Raw evidence access request</x:v>
      </x:c>
      <x:c r="C15" s="114" t="str">
        <x:v>Manager</x:v>
      </x:c>
      <x:c r="D15" s="114" t="str">
        <x:v>Purpose, task/person scope, evidence classes, time limit and reason.</x:v>
      </x:c>
      <x:c r="E15" s="114" t="str">
        <x:v>Evidence Access Broker</x:v>
      </x:c>
      <x:c r="F15" s="114" t="str">
        <x:v>Submit grant request; review decision.</x:v>
      </x:c>
      <x:c r="G15" s="114" t="str">
        <x:v>Narrow case/task scope.</x:v>
      </x:c>
      <x:c r="H15" s="114" t="str">
        <x:v>Show policy service unavailable.</x:v>
      </x:c>
      <x:c r="I15" s="114" t="str">
        <x:v>Raw access is not self-service default and is fully audited.</x:v>
      </x:c>
      <x:c r="J15" s="848" t="str">
        <x:v>Draft Complete</x:v>
      </x:c>
    </x:row>
    <x:row r="16">
      <x:c r="A16" s="852" t="str">
        <x:v>MGR-012</x:v>
      </x:c>
      <x:c r="B16" s="853" t="str">
        <x:v>Access history for own requests</x:v>
      </x:c>
      <x:c r="C16" s="853" t="str">
        <x:v>Manager</x:v>
      </x:c>
      <x:c r="D16" s="853" t="str">
        <x:v>Requested, approved, denied, expired and viewed evidence grants.</x:v>
      </x:c>
      <x:c r="E16" s="853" t="str">
        <x:v>Audit/Access Broker</x:v>
      </x:c>
      <x:c r="F16" s="853" t="str">
        <x:v>Inspect rationale; revoke unneeded grant.</x:v>
      </x:c>
      <x:c r="G16" s="853" t="str">
        <x:v>Own requests.</x:v>
      </x:c>
      <x:c r="H16" s="853" t="str">
        <x:v>Delayed audit state indicated.</x:v>
      </x:c>
      <x:c r="I16" s="853" t="str">
        <x:v>Cannot browse evidence outside grant.</x:v>
      </x:c>
      <x:c r="J16" s="854" t="str">
        <x:v>Draft Complete</x:v>
      </x:c>
    </x:row>
    <x:row r="17">
      <x:c r="A17" s="847" t="str">
        <x:v>MGR-013</x:v>
      </x:c>
      <x:c r="B17" s="114" t="str">
        <x:v>Team trend summary</x:v>
      </x:c>
      <x:c r="C17" s="114" t="str">
        <x:v>Manager</x:v>
      </x:c>
      <x:c r="D17" s="114" t="str">
        <x:v>Aggregated blocker, quality, learning and support themes with minimum cohort safeguards.</x:v>
      </x:c>
      <x:c r="E17" s="114" t="str">
        <x:v>Reporting analytics</x:v>
      </x:c>
      <x:c r="F17" s="114" t="str">
        <x:v>Initiate process improvement.</x:v>
      </x:c>
      <x:c r="G17" s="114" t="str">
        <x:v>Team aggregate.</x:v>
      </x:c>
      <x:c r="H17" s="114" t="str">
        <x:v>Insufficient cohort/coverage hides comparison.</x:v>
      </x:c>
      <x:c r="I17" s="114" t="str">
        <x:v>No individual leaderboard or protected-trait inference.</x:v>
      </x:c>
      <x:c r="J17" s="848" t="str">
        <x:v>Draft Complete</x:v>
      </x:c>
    </x:row>
    <x:row r="18">
      <x:c r="A18" s="852" t="str">
        <x:v>MGR-014</x:v>
      </x:c>
      <x:c r="B18" s="853" t="str">
        <x:v>Process-quality actions</x:v>
      </x:c>
      <x:c r="C18" s="853" t="str">
        <x:v>Manager</x:v>
      </x:c>
      <x:c r="D18" s="853" t="str">
        <x:v>Poor task contracts, recurring access/environment failures and review bottlenecks.</x:v>
      </x:c>
      <x:c r="E18" s="853" t="str">
        <x:v>Task/Blocker analytics</x:v>
      </x:c>
      <x:c r="F18" s="853" t="str">
        <x:v>Create process improvement task.</x:v>
      </x:c>
      <x:c r="G18" s="853" t="str">
        <x:v>Team/project.</x:v>
      </x:c>
      <x:c r="H18" s="853" t="str">
        <x:v>Show uncertainty and source period.</x:v>
      </x:c>
      <x:c r="I18" s="853" t="str">
        <x:v>Do not attribute organisational failure to employees.</x:v>
      </x:c>
      <x:c r="J18" s="854" t="str">
        <x:v>Draft Complete</x:v>
      </x:c>
    </x:row>
    <x:row r="19">
      <x:c r="A19" s="847" t="str">
        <x:v>MGR-015</x:v>
      </x:c>
      <x:c r="B19" s="114" t="str">
        <x:v>Notification/inbox</x:v>
      </x:c>
      <x:c r="C19" s="114" t="str">
        <x:v>Manager</x:v>
      </x:c>
      <x:c r="D19" s="114" t="str">
        <x:v>High-priority blocker, review, security and deadline exceptions.</x:v>
      </x:c>
      <x:c r="E19" s="114" t="str">
        <x:v>Notification Service</x:v>
      </x:c>
      <x:c r="F19" s="114" t="str">
        <x:v>Action, delegate, snooze within policy.</x:v>
      </x:c>
      <x:c r="G19" s="114" t="str">
        <x:v>Own scope.</x:v>
      </x:c>
      <x:c r="H19" s="114" t="str">
        <x:v>Digest and escalation fallback.</x:v>
      </x:c>
      <x:c r="I19" s="114" t="str">
        <x:v>No raw evidence in email/push preview.</x:v>
      </x:c>
      <x:c r="J19" s="848" t="str">
        <x:v>Draft Complete</x:v>
      </x:c>
    </x:row>
    <x:row r="20">
      <x:c r="A20" s="855" t="str">
        <x:v>MGR-016</x:v>
      </x:c>
      <x:c r="B20" s="856" t="str">
        <x:v>Manager guidance</x:v>
      </x:c>
      <x:c r="C20" s="856" t="str">
        <x:v>Manager</x:v>
      </x:c>
      <x:c r="D20" s="856" t="str">
        <x:v>How to interpret confidence, evidence gaps, disputes and prohibited uses.</x:v>
      </x:c>
      <x:c r="E20" s="856" t="str">
        <x:v>Policy/content registry</x:v>
      </x:c>
      <x:c r="F20" s="856" t="str">
        <x:v>Open policy; complete training; ask governance.</x:v>
      </x:c>
      <x:c r="G20" s="856" t="str">
        <x:v>All authorised managers.</x:v>
      </x:c>
      <x:c r="H20" s="856" t="str">
        <x:v>Version/availability shown.</x:v>
      </x:c>
      <x:c r="I20" s="856" t="str">
        <x:v>No use before required manager training/acknowledgement.</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0.xml><?xml version="1.0" encoding="utf-8"?>
<x:worksheet xmlns:x="http://schemas.openxmlformats.org/spreadsheetml/2006/main">
  <x:sheetFormatPr defaultRowHeight="15"/>
  <x:cols>
    <x:col min="1" max="1" width="12" hidden="0" customWidth="1"/>
    <x:col min="2" max="2" width="32" hidden="0" customWidth="1"/>
    <x:col min="3" max="3" width="30" hidden="0" customWidth="1"/>
    <x:col min="4" max="4" width="58" hidden="0" customWidth="1"/>
    <x:col min="5" max="5" width="38" hidden="0" customWidth="1"/>
    <x:col min="6" max="6" width="48" hidden="0" customWidth="1"/>
    <x:col min="7" max="7" width="32" hidden="0" customWidth="1"/>
    <x:col min="8" max="8" width="42" hidden="0" customWidth="1"/>
    <x:col min="9" max="9" width="58" hidden="0" customWidth="1"/>
    <x:col min="10" max="10" width="18" hidden="0" customWidth="1"/>
  </x:cols>
  <x:sheetData>
    <x:row r="1" ht="30" customHeight="1">
      <x:c r="A1" s="809" t="str">
        <x:v>Stage 10 — Review and Governance Console</x:v>
      </x:c>
      <x:c r="B1" s="809"/>
      <x:c r="C1" s="809"/>
      <x:c r="D1" s="809"/>
      <x:c r="E1" s="809"/>
      <x:c r="F1" s="809"/>
      <x:c r="G1" s="809"/>
      <x:c r="H1" s="809"/>
      <x:c r="I1" s="809"/>
      <x:c r="J1" s="809"/>
    </x:row>
    <x:row r="2" ht="38" customHeight="1">
      <x:c r="A2" s="813" t="str">
        <x:v>Case-based experience for meaningful human review, employee challenge, raw-evidence grants, access audits, retention, policy, lineage and emergency controls.</x:v>
      </x:c>
      <x:c r="B2" s="813"/>
      <x:c r="C2" s="813"/>
      <x:c r="D2" s="813"/>
      <x:c r="E2" s="813"/>
      <x:c r="F2" s="813"/>
      <x:c r="G2" s="813"/>
      <x:c r="H2" s="813"/>
      <x:c r="I2" s="813"/>
      <x:c r="J2" s="813"/>
    </x:row>
    <x:row r="4" ht="30" customHeight="1">
      <x:c r="A4" s="825" t="str">
        <x:v>ID</x:v>
      </x:c>
      <x:c r="B4" s="826" t="str">
        <x:v>Module / view</x:v>
      </x:c>
      <x:c r="C4" s="826" t="str">
        <x:v>Audience</x:v>
      </x:c>
      <x:c r="D4" s="826" t="str">
        <x:v>Content</x:v>
      </x:c>
      <x:c r="E4" s="826" t="str">
        <x:v>Data source</x:v>
      </x:c>
      <x:c r="F4" s="826" t="str">
        <x:v>Primary actions</x:v>
      </x:c>
      <x:c r="G4" s="826" t="str">
        <x:v>Access scope</x:v>
      </x:c>
      <x:c r="H4" s="826" t="str">
        <x:v>Degraded / context state</x:v>
      </x:c>
      <x:c r="I4" s="826" t="str">
        <x:v>Prohibited use / guardrail</x:v>
      </x:c>
      <x:c r="J4" s="827" t="str">
        <x:v>Status</x:v>
      </x:c>
    </x:row>
    <x:row r="5">
      <x:c r="A5" s="844" t="str">
        <x:v>RGC-001</x:v>
      </x:c>
      <x:c r="B5" s="845" t="str">
        <x:v>Case queue</x:v>
      </x:c>
      <x:c r="C5" s="845" t="str">
        <x:v>Domain reviewer/HR/DPO/security by role</x:v>
      </x:c>
      <x:c r="D5" s="845" t="str">
        <x:v>Pending task, capability, dispute, access and retention cases with severity/SLA/conflict.</x:v>
      </x:c>
      <x:c r="E5" s="845" t="str">
        <x:v>Workflow read model</x:v>
      </x:c>
      <x:c r="F5" s="845" t="str">
        <x:v>Claim, assign, recuse, escalate.</x:v>
      </x:c>
      <x:c r="G5" s="845" t="str">
        <x:v>Role/purpose/case scope.</x:v>
      </x:c>
      <x:c r="H5" s="845" t="str">
        <x:v>Queue freshness/status shown.</x:v>
      </x:c>
      <x:c r="I5" s="845" t="str">
        <x:v>No broad employee browsing.</x:v>
      </x:c>
      <x:c r="J5" s="846" t="str">
        <x:v>Draft Complete</x:v>
      </x:c>
    </x:row>
    <x:row r="6">
      <x:c r="A6" s="852" t="str">
        <x:v>RGC-002</x:v>
      </x:c>
      <x:c r="B6" s="853" t="str">
        <x:v>Finding package</x:v>
      </x:c>
      <x:c r="C6" s="853" t="str">
        <x:v>Qualified reviewer</x:v>
      </x:c>
      <x:c r="D6" s="853" t="str">
        <x:v>Finding summary, evidence refs/classes, confidence, missing evidence, alternatives, model/rule version and impact class.</x:v>
      </x:c>
      <x:c r="E6" s="853" t="str">
        <x:v>Stage 7/8 finding package</x:v>
      </x:c>
      <x:c r="F6" s="853" t="str">
        <x:v>Approve, modify, reject, request evidence, mark insufficient.</x:v>
      </x:c>
      <x:c r="G6" s="853" t="str">
        <x:v>Assigned case.</x:v>
      </x:c>
      <x:c r="H6" s="853" t="str">
        <x:v>Unavailable evidence clearly flagged.</x:v>
      </x:c>
      <x:c r="I6" s="853" t="str">
        <x:v>Reviewer must not rubber-stamp recommendation.</x:v>
      </x:c>
      <x:c r="J6" s="854" t="str">
        <x:v>Draft Complete</x:v>
      </x:c>
    </x:row>
    <x:row r="7">
      <x:c r="A7" s="847" t="str">
        <x:v>RGC-003</x:v>
      </x:c>
      <x:c r="B7" s="114" t="str">
        <x:v>Evidence source hierarchy</x:v>
      </x:c>
      <x:c r="C7" s="114" t="str">
        <x:v>Reviewer</x:v>
      </x:c>
      <x:c r="D7" s="114" t="str">
        <x:v>Authoritative artefacts, semantic events, OS/UI/visual and AI inference separated.</x:v>
      </x:c>
      <x:c r="E7" s="114" t="str">
        <x:v>Evidence/Provenance</x:v>
      </x:c>
      <x:c r="F7" s="114" t="str">
        <x:v>Inspect source; compare contradictions.</x:v>
      </x:c>
      <x:c r="G7" s="114" t="str">
        <x:v>Case/task grant.</x:v>
      </x:c>
      <x:c r="H7" s="114" t="str">
        <x:v>Source unavailable status.</x:v>
      </x:c>
      <x:c r="I7" s="114" t="str">
        <x:v>Lower-reliability evidence cannot silently override higher.</x:v>
      </x:c>
      <x:c r="J7" s="848" t="str">
        <x:v>Draft Complete</x:v>
      </x:c>
    </x:row>
    <x:row r="8">
      <x:c r="A8" s="852" t="str">
        <x:v>RGC-004</x:v>
      </x:c>
      <x:c r="B8" s="853" t="str">
        <x:v>Telemetry completeness</x:v>
      </x:c>
      <x:c r="C8" s="853" t="str">
        <x:v>Reviewer</x:v>
      </x:c>
      <x:c r="D8" s="853" t="str">
        <x:v>Known gaps, unsupported adapters, excluded periods and coverage score.</x:v>
      </x:c>
      <x:c r="E8" s="853" t="str">
        <x:v>Stage 4/6/7</x:v>
      </x:c>
      <x:c r="F8" s="853" t="str">
        <x:v>Mark insufficient; request context.</x:v>
      </x:c>
      <x:c r="G8" s="853" t="str">
        <x:v>Case/session.</x:v>
      </x:c>
      <x:c r="H8" s="853" t="str">
        <x:v>Gap timeline visible.</x:v>
      </x:c>
      <x:c r="I8" s="853" t="str">
        <x:v>Missing data cannot become inactivity/failure.</x:v>
      </x:c>
      <x:c r="J8" s="854" t="str">
        <x:v>Draft Complete</x:v>
      </x:c>
    </x:row>
    <x:row r="9">
      <x:c r="A9" s="847" t="str">
        <x:v>RGC-005</x:v>
      </x:c>
      <x:c r="B9" s="114" t="str">
        <x:v>Employee response</x:v>
      </x:c>
      <x:c r="C9" s="114" t="str">
        <x:v>Reviewer</x:v>
      </x:c>
      <x:c r="D9" s="114" t="str">
        <x:v>Correction, explanation, evidence and dispute history.</x:v>
      </x:c>
      <x:c r="E9" s="114" t="str">
        <x:v>Governance Workflow</x:v>
      </x:c>
      <x:c r="F9" s="114" t="str">
        <x:v>Acknowledge; incorporate; request clarification.</x:v>
      </x:c>
      <x:c r="G9" s="114" t="str">
        <x:v>Assigned case.</x:v>
      </x:c>
      <x:c r="H9" s="114" t="str">
        <x:v>Response-not-yet-due status.</x:v>
      </x:c>
      <x:c r="I9" s="114" t="str">
        <x:v>Cannot decide without considering material response.</x:v>
      </x:c>
      <x:c r="J9" s="848" t="str">
        <x:v>Draft Complete</x:v>
      </x:c>
    </x:row>
    <x:row r="10">
      <x:c r="A10" s="852" t="str">
        <x:v>RGC-006</x:v>
      </x:c>
      <x:c r="B10" s="853" t="str">
        <x:v>Reviewer independence/conflict</x:v>
      </x:c>
      <x:c r="C10" s="853" t="str">
        <x:v>Review lead</x:v>
      </x:c>
      <x:c r="D10" s="853" t="str">
        <x:v>Reviewer role, domain competence, reporting relationship and declared conflict.</x:v>
      </x:c>
      <x:c r="E10" s="853" t="str">
        <x:v>Organisation/Workflow</x:v>
      </x:c>
      <x:c r="F10" s="853" t="str">
        <x:v>Assign/recuse/reassign.</x:v>
      </x:c>
      <x:c r="G10" s="853" t="str">
        <x:v>Case administration.</x:v>
      </x:c>
      <x:c r="H10" s="853" t="str">
        <x:v>Unavailable reviewer status.</x:v>
      </x:c>
      <x:c r="I10" s="853" t="str">
        <x:v>Conflicted reviewer cannot finalise prohibited cases.</x:v>
      </x:c>
      <x:c r="J10" s="854" t="str">
        <x:v>Draft Complete</x:v>
      </x:c>
    </x:row>
    <x:row r="11">
      <x:c r="A11" s="847" t="str">
        <x:v>RGC-007</x:v>
      </x:c>
      <x:c r="B11" s="114" t="str">
        <x:v>Decision composer</x:v>
      </x:c>
      <x:c r="C11" s="114" t="str">
        <x:v>Reviewer</x:v>
      </x:c>
      <x:c r="D11" s="114" t="str">
        <x:v>Decision, rationale, evidence relied upon, rejected evidence and next action.</x:v>
      </x:c>
      <x:c r="E11" s="114" t="str">
        <x:v>Workflow/Task/Capability domains</x:v>
      </x:c>
      <x:c r="F11" s="114" t="str">
        <x:v>Save draft; review check; submit.</x:v>
      </x:c>
      <x:c r="G11" s="114" t="str">
        <x:v>Assigned case.</x:v>
      </x:c>
      <x:c r="H11" s="114" t="str">
        <x:v>Validation errors and missing rationale shown.</x:v>
      </x:c>
      <x:c r="I11" s="114" t="str">
        <x:v>High-impact decision requires complete check-answers step.</x:v>
      </x:c>
      <x:c r="J11" s="848" t="str">
        <x:v>Draft Complete</x:v>
      </x:c>
    </x:row>
    <x:row r="12">
      <x:c r="A12" s="852" t="str">
        <x:v>RGC-008</x:v>
      </x:c>
      <x:c r="B12" s="853" t="str">
        <x:v>Appeal view</x:v>
      </x:c>
      <x:c r="C12" s="853" t="str">
        <x:v>Independent reviewer/HR/DPO</x:v>
      </x:c>
      <x:c r="D12" s="853" t="str">
        <x:v>Original package, decision, appeal grounds, new evidence and procedural history.</x:v>
      </x:c>
      <x:c r="E12" s="853" t="str">
        <x:v>Governance Workflow</x:v>
      </x:c>
      <x:c r="F12" s="853" t="str">
        <x:v>Uphold, modify, overturn, reassess.</x:v>
      </x:c>
      <x:c r="G12" s="853" t="str">
        <x:v>Appeal case.</x:v>
      </x:c>
      <x:c r="H12" s="853" t="str">
        <x:v>Missing original evidence noted.</x:v>
      </x:c>
      <x:c r="I12" s="853" t="str">
        <x:v>Appeal reviewer independence required.</x:v>
      </x:c>
      <x:c r="J12" s="854" t="str">
        <x:v>Draft Complete</x:v>
      </x:c>
    </x:row>
    <x:row r="13">
      <x:c r="A13" s="847" t="str">
        <x:v>RGC-009</x:v>
      </x:c>
      <x:c r="B13" s="114" t="str">
        <x:v>Raw evidence grant</x:v>
      </x:c>
      <x:c r="C13" s="114" t="str">
        <x:v>Authorised approver</x:v>
      </x:c>
      <x:c r="D13" s="114" t="str">
        <x:v>Requester, subject, task, purpose, evidence classes, duration and risk.</x:v>
      </x:c>
      <x:c r="E13" s="114" t="str">
        <x:v>Evidence Access Broker</x:v>
      </x:c>
      <x:c r="F13" s="114" t="str">
        <x:v>Approve/deny/narrow/revoke.</x:v>
      </x:c>
      <x:c r="G13" s="114" t="str">
        <x:v>Purpose-limited.</x:v>
      </x:c>
      <x:c r="H13" s="114" t="str">
        <x:v>Policy/region outage shown.</x:v>
      </x:c>
      <x:c r="I13" s="114" t="str">
        <x:v>No unlimited or curiosity access.</x:v>
      </x:c>
      <x:c r="J13" s="848" t="str">
        <x:v>Draft Complete</x:v>
      </x:c>
    </x:row>
    <x:row r="14">
      <x:c r="A14" s="852" t="str">
        <x:v>RGC-010</x:v>
      </x:c>
      <x:c r="B14" s="853" t="str">
        <x:v>Raw evidence viewer</x:v>
      </x:c>
      <x:c r="C14" s="853" t="str">
        <x:v>Authorised reviewer</x:v>
      </x:c>
      <x:c r="D14" s="853" t="str">
        <x:v>Watermarked visual/text/artefact evidence with purpose/grant countdown.</x:v>
      </x:c>
      <x:c r="E14" s="853" t="str">
        <x:v>Evidence Access Broker</x:v>
      </x:c>
      <x:c r="F14" s="853" t="str">
        <x:v>View; annotate; close access.</x:v>
      </x:c>
      <x:c r="G14" s="853" t="str">
        <x:v>Active grant only.</x:v>
      </x:c>
      <x:c r="H14" s="853" t="str">
        <x:v>Object unavailable/expired state.</x:v>
      </x:c>
      <x:c r="I14" s="853" t="str">
        <x:v>No download unless separately authorised; every view audited.</x:v>
      </x:c>
      <x:c r="J14" s="854" t="str">
        <x:v>Draft Complete</x:v>
      </x:c>
    </x:row>
    <x:row r="15">
      <x:c r="A15" s="847" t="str">
        <x:v>RGC-011</x:v>
      </x:c>
      <x:c r="B15" s="114" t="str">
        <x:v>Access audit</x:v>
      </x:c>
      <x:c r="C15" s="114" t="str">
        <x:v>DPO/security/audit</x:v>
      </x:c>
      <x:c r="D15" s="114" t="str">
        <x:v>Who accessed what, when, why, grant and export events.</x:v>
      </x:c>
      <x:c r="E15" s="114" t="str">
        <x:v>Audit Service</x:v>
      </x:c>
      <x:c r="F15" s="114" t="str">
        <x:v>Investigate; revoke; open incident.</x:v>
      </x:c>
      <x:c r="G15" s="114" t="str">
        <x:v>Governance purpose.</x:v>
      </x:c>
      <x:c r="H15" s="114" t="str">
        <x:v>Delayed event status.</x:v>
      </x:c>
      <x:c r="I15" s="114" t="str">
        <x:v>No deletion or alteration by viewer.</x:v>
      </x:c>
      <x:c r="J15" s="848" t="str">
        <x:v>Draft Complete</x:v>
      </x:c>
    </x:row>
    <x:row r="16">
      <x:c r="A16" s="852" t="str">
        <x:v>RGC-012</x:v>
      </x:c>
      <x:c r="B16" s="853" t="str">
        <x:v>Retention/legal hold</x:v>
      </x:c>
      <x:c r="C16" s="853" t="str">
        <x:v>DPO/legal/data governance</x:v>
      </x:c>
      <x:c r="D16" s="853" t="str">
        <x:v>Retention class, expiry, deletion state, dispute/legal hold and scope.</x:v>
      </x:c>
      <x:c r="E16" s="853" t="str">
        <x:v>Retention Service</x:v>
      </x:c>
      <x:c r="F16" s="853" t="str">
        <x:v>Apply/release hold; approve deletion; inspect propagation.</x:v>
      </x:c>
      <x:c r="G16" s="853" t="str">
        <x:v>Authorised governance.</x:v>
      </x:c>
      <x:c r="H16" s="853" t="str">
        <x:v>Downstream deletion lag shown.</x:v>
      </x:c>
      <x:c r="I16" s="853" t="str">
        <x:v>Blanket immutable retention prohibited.</x:v>
      </x:c>
      <x:c r="J16" s="854" t="str">
        <x:v>Draft Complete</x:v>
      </x:c>
    </x:row>
    <x:row r="17">
      <x:c r="A17" s="847" t="str">
        <x:v>RGC-013</x:v>
      </x:c>
      <x:c r="B17" s="114" t="str">
        <x:v>Model/skill/policy lineage</x:v>
      </x:c>
      <x:c r="C17" s="114" t="str">
        <x:v>AI governance/reviewer</x:v>
      </x:c>
      <x:c r="D17" s="114" t="str">
        <x:v>Model, prompt, skill, evaluator, adapter and policy versions used.</x:v>
      </x:c>
      <x:c r="E17" s="114" t="str">
        <x:v>Model Gateway/Skill Forge/Policy/Audit</x:v>
      </x:c>
      <x:c r="F17" s="114" t="str">
        <x:v>Open version/eval/approval history.</x:v>
      </x:c>
      <x:c r="G17" s="114" t="str">
        <x:v>Case/system governance.</x:v>
      </x:c>
      <x:c r="H17" s="114" t="str">
        <x:v>Version unavailable warning.</x:v>
      </x:c>
      <x:c r="I17" s="114" t="str">
        <x:v>No finding without reproducible lineage.</x:v>
      </x:c>
      <x:c r="J17" s="848" t="str">
        <x:v>Draft Complete</x:v>
      </x:c>
    </x:row>
    <x:row r="18">
      <x:c r="A18" s="852" t="str">
        <x:v>RGC-014</x:v>
      </x:c>
      <x:c r="B18" s="853" t="str">
        <x:v>Fairness and calibration</x:v>
      </x:c>
      <x:c r="C18" s="853" t="str">
        <x:v>DPO/AI governance</x:v>
      </x:c>
      <x:c r="D18" s="853" t="str">
        <x:v>Error, overturn, confidence calibration, coverage and subgroup-safe analyses.</x:v>
      </x:c>
      <x:c r="E18" s="853" t="str">
        <x:v>Evaluation Analytics</x:v>
      </x:c>
      <x:c r="F18" s="853" t="str">
        <x:v>Open remediation; pause model/skill.</x:v>
      </x:c>
      <x:c r="G18" s="853" t="str">
        <x:v>Restricted aggregate.</x:v>
      </x:c>
      <x:c r="H18" s="853" t="str">
        <x:v>Small cohort suppression.</x:v>
      </x:c>
      <x:c r="I18" s="853" t="str">
        <x:v>No protected-data exposure to general managers.</x:v>
      </x:c>
      <x:c r="J18" s="854" t="str">
        <x:v>Draft Complete</x:v>
      </x:c>
    </x:row>
    <x:row r="19">
      <x:c r="A19" s="847" t="str">
        <x:v>RGC-015</x:v>
      </x:c>
      <x:c r="B19" s="114" t="str">
        <x:v>Monitoring policy administration</x:v>
      </x:c>
      <x:c r="C19" s="114" t="str">
        <x:v>DPO/HR/security</x:v>
      </x:c>
      <x:c r="D19" s="114" t="str">
        <x:v>Policy versions, notices, exclusions, jurisdiction packs and worker consultation history.</x:v>
      </x:c>
      <x:c r="E19" s="114" t="str">
        <x:v>Policy Service/Audit</x:v>
      </x:c>
      <x:c r="F19" s="114" t="str">
        <x:v>Draft/review/approve/retire policy.</x:v>
      </x:c>
      <x:c r="G19" s="114" t="str">
        <x:v>Governance roles.</x:v>
      </x:c>
      <x:c r="H19" s="114" t="str">
        <x:v>Expired/effective dates visible.</x:v>
      </x:c>
      <x:c r="I19" s="114" t="str">
        <x:v>Policy changes cannot be silently deployed.</x:v>
      </x:c>
      <x:c r="J19" s="848" t="str">
        <x:v>Draft Complete</x:v>
      </x:c>
    </x:row>
    <x:row r="20">
      <x:c r="A20" s="852" t="str">
        <x:v>RGC-016</x:v>
      </x:c>
      <x:c r="B20" s="853" t="str">
        <x:v>Incident/kill switch</x:v>
      </x:c>
      <x:c r="C20" s="853" t="str">
        <x:v>DPO/CISO/executive sponsor</x:v>
      </x:c>
      <x:c r="D20" s="853" t="str">
        <x:v>Capture or feature risk, affected scope, actions and communications.</x:v>
      </x:c>
      <x:c r="E20" s="853" t="str">
        <x:v>Device Control/Feature Flags/Incident Workflow</x:v>
      </x:c>
      <x:c r="F20" s="853" t="str">
        <x:v>Pause sensor/feature/pilot; notify; investigate.</x:v>
      </x:c>
      <x:c r="G20" s="853" t="str">
        <x:v>Authorised stop roles.</x:v>
      </x:c>
      <x:c r="H20" s="853" t="str">
        <x:v>Control-plane outage fallback shown.</x:v>
      </x:c>
      <x:c r="I20" s="853" t="str">
        <x:v>Rapid stop must not require product-owner approval.</x:v>
      </x:c>
      <x:c r="J20" s="854" t="str">
        <x:v>Draft Complete</x:v>
      </x:c>
    </x:row>
    <x:row r="21">
      <x:c r="A21" s="847" t="str">
        <x:v>RGC-017</x:v>
      </x:c>
      <x:c r="B21" s="114" t="str">
        <x:v>Governance reporting</x:v>
      </x:c>
      <x:c r="C21" s="114" t="str">
        <x:v>DPO/HR/CISO/leadership</x:v>
      </x:c>
      <x:c r="D21" s="114" t="str">
        <x:v>Access misuse, disputes, incidents, model/skill changes, retention and policy compliance.</x:v>
      </x:c>
      <x:c r="E21" s="114" t="str">
        <x:v>Governance read model</x:v>
      </x:c>
      <x:c r="F21" s="114" t="str">
        <x:v>Export reviewed report; assign remediation.</x:v>
      </x:c>
      <x:c r="G21" s="114" t="str">
        <x:v>Restricted aggregate.</x:v>
      </x:c>
      <x:c r="H21" s="114" t="str">
        <x:v>Data freshness and caveats shown.</x:v>
      </x:c>
      <x:c r="I21" s="114" t="str">
        <x:v>No employee ranking.</x:v>
      </x:c>
      <x:c r="J21" s="848" t="str">
        <x:v>Draft Complete</x:v>
      </x:c>
    </x:row>
    <x:row r="22">
      <x:c r="A22" s="855" t="str">
        <x:v>RGC-018</x:v>
      </x:c>
      <x:c r="B22" s="856" t="str">
        <x:v>Audit-ready export</x:v>
      </x:c>
      <x:c r="C22" s="856" t="str">
        <x:v>Auditor/governance</x:v>
      </x:c>
      <x:c r="D22" s="856" t="str">
        <x:v>Scoped evidence of policy, decision, review, access and system version.</x:v>
      </x:c>
      <x:c r="E22" s="856" t="str">
        <x:v>Export Service/Audit</x:v>
      </x:c>
      <x:c r="F22" s="856" t="str">
        <x:v>Generate signed/watermarked package.</x:v>
      </x:c>
      <x:c r="G22" s="856" t="str">
        <x:v>Approved audit scope.</x:v>
      </x:c>
      <x:c r="H22" s="856" t="str">
        <x:v>Job status and partial failure shown.</x:v>
      </x:c>
      <x:c r="I22" s="856" t="str">
        <x:v>Export excludes unnecessary raw employee content.</x:v>
      </x:c>
      <x:c r="J22" s="857" t="str">
        <x:v>Draft Complete</x:v>
      </x:c>
    </x:row>
  </x:sheetData>
  <x:mergeCells>
    <x:mergeCell ref="A1:J1"/>
    <x:mergeCell ref="A2:J2"/>
  </x:mergeCells>
  <x:dataValidations count="1">
    <x:dataValidation type="list" sqref="J5:J22">
      <x:formula1>"Draft Complete,Needs Review,Approved,Deferred"</x:formula1>
    </x:dataValidation>
  </x:dataValidations>
  <x:pageMargins left="0.7" right="0.7" top="0.75" bottom="0.75" header="0.3" footer="0.3"/>
</x:worksheet>
</file>

<file path=xl/worksheets/sheet141.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56" hidden="0" customWidth="1"/>
    <x:col min="5" max="5" width="38" hidden="0" customWidth="1"/>
    <x:col min="6" max="6" width="30" hidden="0" customWidth="1"/>
    <x:col min="7" max="7" width="44" hidden="0" customWidth="1"/>
    <x:col min="8" max="8" width="48" hidden="0" customWidth="1"/>
    <x:col min="9" max="9" width="56" hidden="0" customWidth="1"/>
    <x:col min="10" max="10" width="18" hidden="0" customWidth="1"/>
  </x:cols>
  <x:sheetData>
    <x:row r="1" ht="30" customHeight="1">
      <x:c r="A1" s="809" t="str">
        <x:v>Stage 10 — Capability Character and Skill Tree UX</x:v>
      </x:c>
      <x:c r="B1" s="809"/>
      <x:c r="C1" s="809"/>
      <x:c r="D1" s="809"/>
      <x:c r="E1" s="809"/>
      <x:c r="F1" s="809"/>
      <x:c r="G1" s="809"/>
      <x:c r="H1" s="809"/>
      <x:c r="I1" s="809"/>
      <x:c r="J1" s="809"/>
    </x:row>
    <x:row r="2" ht="38" customHeight="1">
      <x:c r="A2" s="813" t="str">
        <x:v>Professional, private and evidence-linked capability experience. It borrows motivational structure from games without public ranking, childish language or manipulative mechanics.</x:v>
      </x:c>
      <x:c r="B2" s="813"/>
      <x:c r="C2" s="813"/>
      <x:c r="D2" s="813"/>
      <x:c r="E2" s="813"/>
      <x:c r="F2" s="813"/>
      <x:c r="G2" s="813"/>
      <x:c r="H2" s="813"/>
      <x:c r="I2" s="813"/>
      <x:c r="J2" s="813"/>
    </x:row>
    <x:row r="4" ht="30" customHeight="1">
      <x:c r="A4" s="825" t="str">
        <x:v>ID</x:v>
      </x:c>
      <x:c r="B4" s="826" t="str">
        <x:v>Experience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CCUX-001</x:v>
      </x:c>
      <x:c r="B5" s="845" t="str">
        <x:v>Character overview</x:v>
      </x:c>
      <x:c r="C5" s="845" t="str">
        <x:v>Employee</x:v>
      </x:c>
      <x:c r="D5" s="845" t="str">
        <x:v>Current role, target role, private progress summary and active development goals.</x:v>
      </x:c>
      <x:c r="E5" s="845" t="str">
        <x:v>CapabilityCharacterReadModel</x:v>
      </x:c>
      <x:c r="F5" s="845" t="str">
        <x:v>Own profile only.</x:v>
      </x:c>
      <x:c r="G5" s="845" t="str">
        <x:v>Show insufficient/stale/disputed state.</x:v>
      </x:c>
      <x:c r="H5" s="845" t="str">
        <x:v>Heading-first layout; text alternative to visuals.</x:v>
      </x:c>
      <x:c r="I5" s="845" t="str">
        <x:v>No public or comparative ranking.</x:v>
      </x:c>
      <x:c r="J5" s="846" t="str">
        <x:v>Draft Complete</x:v>
      </x:c>
    </x:row>
    <x:row r="6">
      <x:c r="A6" s="852" t="str">
        <x:v>CCUX-002</x:v>
      </x:c>
      <x:c r="B6" s="853" t="str">
        <x:v>Capability branches</x:v>
      </x:c>
      <x:c r="C6" s="853" t="str">
        <x:v>Employee</x:v>
      </x:c>
      <x:c r="D6" s="853" t="str">
        <x:v>Role capability families and individual capabilities organised as a professional skill tree.</x:v>
      </x:c>
      <x:c r="E6" s="853" t="str">
        <x:v>Capability catalogue/role contract</x:v>
      </x:c>
      <x:c r="F6" s="853" t="str">
        <x:v>Own current/target roles.</x:v>
      </x:c>
      <x:c r="G6" s="853" t="str">
        <x:v>Unavailable mapping shown as unmapped/under review.</x:v>
      </x:c>
      <x:c r="H6" s="853" t="str">
        <x:v>Tree has nested-list/table alternative and keyboard navigation.</x:v>
      </x:c>
      <x:c r="I6" s="853" t="str">
        <x:v>No fantasy labels that obscure meaning.</x:v>
      </x:c>
      <x:c r="J6" s="854" t="str">
        <x:v>Draft Complete</x:v>
      </x:c>
    </x:row>
    <x:row r="7">
      <x:c r="A7" s="847" t="str">
        <x:v>CCUX-003</x:v>
      </x:c>
      <x:c r="B7" s="114" t="str">
        <x:v>Level display</x:v>
      </x:c>
      <x:c r="C7" s="114" t="str">
        <x:v>Employee</x:v>
      </x:c>
      <x:c r="D7" s="114" t="str">
        <x:v>Level 0–5 label, observable descriptor and evidence scope.</x:v>
      </x:c>
      <x:c r="E7" s="114" t="str">
        <x:v>PersonCapabilityState/CapabilityLevel</x:v>
      </x:c>
      <x:c r="F7" s="114" t="str">
        <x:v>Own capability.</x:v>
      </x:c>
      <x:c r="G7" s="114" t="str">
        <x:v>Provisional/under-review status visible.</x:v>
      </x:c>
      <x:c r="H7" s="114" t="str">
        <x:v>Text label plus optional visual meter.</x:v>
      </x:c>
      <x:c r="I7" s="114" t="str">
        <x:v>No permanent badge or status without freshness/confidence.</x:v>
      </x:c>
      <x:c r="J7" s="848" t="str">
        <x:v>Draft Complete</x:v>
      </x:c>
    </x:row>
    <x:row r="8">
      <x:c r="A8" s="852" t="str">
        <x:v>CCUX-004</x:v>
      </x:c>
      <x:c r="B8" s="853" t="str">
        <x:v>Confidence and freshness</x:v>
      </x:c>
      <x:c r="C8" s="853" t="str">
        <x:v>Employee</x:v>
      </x:c>
      <x:c r="D8" s="853" t="str">
        <x:v>Confidence, evidence count, source diversity, recency and expiry/reassessment date.</x:v>
      </x:c>
      <x:c r="E8" s="853" t="str">
        <x:v>Capability state/evidence</x:v>
      </x:c>
      <x:c r="F8" s="853" t="str">
        <x:v>Own capability.</x:v>
      </x:c>
      <x:c r="G8" s="853" t="str">
        <x:v>Low coverage/stale evidence warning.</x:v>
      </x:c>
      <x:c r="H8" s="853" t="str">
        <x:v>Accessible summary and details.</x:v>
      </x:c>
      <x:c r="I8" s="853" t="str">
        <x:v>No false precision beyond validated calibration.</x:v>
      </x:c>
      <x:c r="J8" s="854" t="str">
        <x:v>Draft Complete</x:v>
      </x:c>
    </x:row>
    <x:row r="9">
      <x:c r="A9" s="847" t="str">
        <x:v>CCUX-005</x:v>
      </x:c>
      <x:c r="B9" s="114" t="str">
        <x:v>Evidence drawer</x:v>
      </x:c>
      <x:c r="C9" s="114" t="str">
        <x:v>Employee</x:v>
      </x:c>
      <x:c r="D9" s="114" t="str">
        <x:v>Reviewed task/evidence summaries supporting level and dimensions.</x:v>
      </x:c>
      <x:c r="E9" s="114" t="str">
        <x:v>Capability evidence/Evidence Access</x:v>
      </x:c>
      <x:c r="F9" s="114" t="str">
        <x:v>Own evidence; raw content by policy.</x:v>
      </x:c>
      <x:c r="G9" s="114" t="str">
        <x:v>Unavailable/expired evidence explained.</x:v>
      </x:c>
      <x:c r="H9" s="114" t="str">
        <x:v>Summary list; focus returns after close.</x:v>
      </x:c>
      <x:c r="I9" s="114" t="str">
        <x:v>No raw evidence firehose.</x:v>
      </x:c>
      <x:c r="J9" s="848" t="str">
        <x:v>Draft Complete</x:v>
      </x:c>
    </x:row>
    <x:row r="10">
      <x:c r="A10" s="852" t="str">
        <x:v>CCUX-006</x:v>
      </x:c>
      <x:c r="B10" s="853" t="str">
        <x:v>Dimension profile</x:v>
      </x:c>
      <x:c r="C10" s="853" t="str">
        <x:v>Employee</x:v>
      </x:c>
      <x:c r="D10" s="853" t="str">
        <x:v>Knowledge, execution, autonomy, complexity, quality, transfer, recovery and mentoring.</x:v>
      </x:c>
      <x:c r="E10" s="853" t="str">
        <x:v>Capability scoring/read model</x:v>
      </x:c>
      <x:c r="F10" s="853" t="str">
        <x:v>Own capability.</x:v>
      </x:c>
      <x:c r="G10" s="853" t="str">
        <x:v>Unknown dimensions shown as unknown, not zero.</x:v>
      </x:c>
      <x:c r="H10" s="853" t="str">
        <x:v>Radar chart only with text/table equivalent.</x:v>
      </x:c>
      <x:c r="I10" s="853" t="str">
        <x:v>No single score hiding dimensions.</x:v>
      </x:c>
      <x:c r="J10" s="854" t="str">
        <x:v>Draft Complete</x:v>
      </x:c>
    </x:row>
    <x:row r="11">
      <x:c r="A11" s="847" t="str">
        <x:v>CCUX-007</x:v>
      </x:c>
      <x:c r="B11" s="114" t="str">
        <x:v>Emerging evidence</x:v>
      </x:c>
      <x:c r="C11" s="114" t="str">
        <x:v>Employee</x:v>
      </x:c>
      <x:c r="D11" s="114" t="str">
        <x:v>One or two positive evidence episodes not yet stable enough for level update.</x:v>
      </x:c>
      <x:c r="E11" s="114" t="str">
        <x:v>Capability evidence</x:v>
      </x:c>
      <x:c r="F11" s="114" t="str">
        <x:v>Own capability.</x:v>
      </x:c>
      <x:c r="G11" s="114" t="str">
        <x:v>Show provisional/next evidence needed.</x:v>
      </x:c>
      <x:c r="H11" s="114" t="str">
        <x:v>Plain-language status.</x:v>
      </x:c>
      <x:c r="I11" s="114" t="str">
        <x:v>No premature promotion of level.</x:v>
      </x:c>
      <x:c r="J11" s="848" t="str">
        <x:v>Draft Complete</x:v>
      </x:c>
    </x:row>
    <x:row r="12">
      <x:c r="A12" s="852" t="str">
        <x:v>CCUX-008</x:v>
      </x:c>
      <x:c r="B12" s="853" t="str">
        <x:v>Strengths</x:v>
      </x:c>
      <x:c r="C12" s="853" t="str">
        <x:v>Employee</x:v>
      </x:c>
      <x:c r="D12" s="853" t="str">
        <x:v>Reviewed consistently demonstrated capabilities and examples.</x:v>
      </x:c>
      <x:c r="E12" s="853" t="str">
        <x:v>Capability state</x:v>
      </x:c>
      <x:c r="F12" s="853" t="str">
        <x:v>Own profile.</x:v>
      </x:c>
      <x:c r="G12" s="853" t="str">
        <x:v>Stale evidence warning.</x:v>
      </x:c>
      <x:c r="H12" s="853" t="str">
        <x:v>Accessible cards/list.</x:v>
      </x:c>
      <x:c r="I12" s="853" t="str">
        <x:v>No superiority ranking against colleagues.</x:v>
      </x:c>
      <x:c r="J12" s="854" t="str">
        <x:v>Draft Complete</x:v>
      </x:c>
    </x:row>
    <x:row r="13">
      <x:c r="A13" s="847" t="str">
        <x:v>CCUX-009</x:v>
      </x:c>
      <x:c r="B13" s="114" t="str">
        <x:v>Development areas</x:v>
      </x:c>
      <x:c r="C13" s="114" t="str">
        <x:v>Employee</x:v>
      </x:c>
      <x:c r="D13" s="114" t="str">
        <x:v>Reviewed gaps, missing evidence and support needs separated by cause.</x:v>
      </x:c>
      <x:c r="E13" s="114" t="str">
        <x:v>Capability/Gap review</x:v>
      </x:c>
      <x:c r="F13" s="114" t="str">
        <x:v>Own profile.</x:v>
      </x:c>
      <x:c r="G13" s="114" t="str">
        <x:v>Context-insufficient/blocked state visible.</x:v>
      </x:c>
      <x:c r="H13" s="114" t="str">
        <x:v>Supportive language and next actions.</x:v>
      </x:c>
      <x:c r="I13" s="114" t="str">
        <x:v>No accusatory deficit language.</x:v>
      </x:c>
      <x:c r="J13" s="848" t="str">
        <x:v>Draft Complete</x:v>
      </x:c>
    </x:row>
    <x:row r="14">
      <x:c r="A14" s="852" t="str">
        <x:v>CCUX-010</x:v>
      </x:c>
      <x:c r="B14" s="853" t="str">
        <x:v>Target-role path</x:v>
      </x:c>
      <x:c r="C14" s="853" t="str">
        <x:v>Employee</x:v>
      </x:c>
      <x:c r="D14" s="853" t="str">
        <x:v>Critical requirements, current state, evidence gap, learning/practice and review path.</x:v>
      </x:c>
      <x:c r="E14" s="853" t="str">
        <x:v>RoleReadiness/Learning</x:v>
      </x:c>
      <x:c r="F14" s="853" t="str">
        <x:v>Own target role.</x:v>
      </x:c>
      <x:c r="G14" s="853" t="str">
        <x:v>Advisory/under-review state shown.</x:v>
      </x:c>
      <x:c r="H14" s="853" t="str">
        <x:v>Linear checklist alternative.</x:v>
      </x:c>
      <x:c r="I14" s="853" t="str">
        <x:v>No automatic promise or denial of role change.</x:v>
      </x:c>
      <x:c r="J14" s="854" t="str">
        <x:v>Draft Complete</x:v>
      </x:c>
    </x:row>
    <x:row r="15">
      <x:c r="A15" s="847" t="str">
        <x:v>CCUX-011</x:v>
      </x:c>
      <x:c r="B15" s="114" t="str">
        <x:v>Learning quests</x:v>
      </x:c>
      <x:c r="C15" s="114" t="str">
        <x:v>Employee</x:v>
      </x:c>
      <x:c r="D15" s="114" t="str">
        <x:v>Voluntary/approved micro-lessons, practice and reassessment tied to development goals.</x:v>
      </x:c>
      <x:c r="E15" s="114" t="str">
        <x:v>Learning plan</x:v>
      </x:c>
      <x:c r="F15" s="114" t="str">
        <x:v>Own plan.</x:v>
      </x:c>
      <x:c r="G15" s="114" t="str">
        <x:v>Unavailable content alternative.</x:v>
      </x:c>
      <x:c r="H15" s="114" t="str">
        <x:v>Progress state text and accessible actions.</x:v>
      </x:c>
      <x:c r="I15" s="114" t="str">
        <x:v>No manipulative streaks or public competition.</x:v>
      </x:c>
      <x:c r="J15" s="848" t="str">
        <x:v>Draft Complete</x:v>
      </x:c>
    </x:row>
    <x:row r="16">
      <x:c r="A16" s="852" t="str">
        <x:v>CCUX-012</x:v>
      </x:c>
      <x:c r="B16" s="853" t="str">
        <x:v>Mastery contributions</x:v>
      </x:c>
      <x:c r="C16" s="853" t="str">
        <x:v>Employee</x:v>
      </x:c>
      <x:c r="D16" s="853" t="str">
        <x:v>Mentoring, standards, reusable methods and Skill Forge contributions.</x:v>
      </x:c>
      <x:c r="E16" s="853" t="str">
        <x:v>Capability/Skill Forge candidate data</x:v>
      </x:c>
      <x:c r="F16" s="853" t="str">
        <x:v>Own contributions.</x:v>
      </x:c>
      <x:c r="G16" s="853" t="str">
        <x:v>Candidate/approved state differentiated.</x:v>
      </x:c>
      <x:c r="H16" s="853" t="str">
        <x:v>Accessible list and evidence links.</x:v>
      </x:c>
      <x:c r="I16" s="853" t="str">
        <x:v>No credit from raw volume or title alone.</x:v>
      </x:c>
      <x:c r="J16" s="854" t="str">
        <x:v>Draft Complete</x:v>
      </x:c>
    </x:row>
    <x:row r="17">
      <x:c r="A17" s="847" t="str">
        <x:v>CCUX-013</x:v>
      </x:c>
      <x:c r="B17" s="114" t="str">
        <x:v>Claim comparison</x:v>
      </x:c>
      <x:c r="C17" s="114" t="str">
        <x:v>Employee</x:v>
      </x:c>
      <x:c r="D17" s="114" t="str">
        <x:v>Declared claim vs observed/reviewed evidence and neutral discrepancy status.</x:v>
      </x:c>
      <x:c r="E17" s="114" t="str">
        <x:v>Claim reconciliation</x:v>
      </x:c>
      <x:c r="F17" s="114" t="str">
        <x:v>Own claims.</x:v>
      </x:c>
      <x:c r="G17" s="114" t="str">
        <x:v>Active response/review status.</x:v>
      </x:c>
      <x:c r="H17" s="114" t="str">
        <x:v>Side-by-side summary with explanation.</x:v>
      </x:c>
      <x:c r="I17" s="114" t="str">
        <x:v>Never use dishonesty terminology.</x:v>
      </x:c>
      <x:c r="J17" s="848" t="str">
        <x:v>Draft Complete</x:v>
      </x:c>
    </x:row>
    <x:row r="18">
      <x:c r="A18" s="852" t="str">
        <x:v>CCUX-014</x:v>
      </x:c>
      <x:c r="B18" s="853" t="str">
        <x:v>Reassessment request</x:v>
      </x:c>
      <x:c r="C18" s="853" t="str">
        <x:v>Employee</x:v>
      </x:c>
      <x:c r="D18" s="853" t="str">
        <x:v>Reason, task options, accessibility needs and reviewer.</x:v>
      </x:c>
      <x:c r="E18" s="853" t="str">
        <x:v>Capability workflow</x:v>
      </x:c>
      <x:c r="F18" s="853" t="str">
        <x:v>Own capability/role.</x:v>
      </x:c>
      <x:c r="G18" s="853" t="str">
        <x:v>Scheduling unavailable alternative.</x:v>
      </x:c>
      <x:c r="H18" s="853" t="str">
        <x:v>Check-answers flow before submit.</x:v>
      </x:c>
      <x:c r="I18" s="853" t="str">
        <x:v>No punitive reassessment framing.</x:v>
      </x:c>
      <x:c r="J18" s="854" t="str">
        <x:v>Draft Complete</x:v>
      </x:c>
    </x:row>
    <x:row r="19">
      <x:c r="A19" s="847" t="str">
        <x:v>CCUX-015</x:v>
      </x:c>
      <x:c r="B19" s="114" t="str">
        <x:v>Progress history</x:v>
      </x:c>
      <x:c r="C19" s="114" t="str">
        <x:v>Employee</x:v>
      </x:c>
      <x:c r="D19" s="114" t="str">
        <x:v>Versioned capability/readiness changes, evidence and review decisions over time.</x:v>
      </x:c>
      <x:c r="E19" s="114" t="str">
        <x:v>Capability audit</x:v>
      </x:c>
      <x:c r="F19" s="114" t="str">
        <x:v>Own profile.</x:v>
      </x:c>
      <x:c r="G19" s="114" t="str">
        <x:v>Missing historical evidence explained.</x:v>
      </x:c>
      <x:c r="H19" s="114" t="str">
        <x:v>Chronological table/list.</x:v>
      </x:c>
      <x:c r="I19" s="114" t="str">
        <x:v>No silent retroactive changes.</x:v>
      </x:c>
      <x:c r="J19" s="848" t="str">
        <x:v>Draft Complete</x:v>
      </x:c>
    </x:row>
    <x:row r="20">
      <x:c r="A20" s="855" t="str">
        <x:v>CCUX-016</x:v>
      </x:c>
      <x:c r="B20" s="856" t="str">
        <x:v>Privacy controls</x:v>
      </x:c>
      <x:c r="C20" s="856" t="str">
        <x:v>Employee</x:v>
      </x:c>
      <x:c r="D20" s="856" t="str">
        <x:v>Who can see capability/readiness, permitted uses, retention and access history.</x:v>
      </x:c>
      <x:c r="E20" s="856" t="str">
        <x:v>Policy/Audit/Retention</x:v>
      </x:c>
      <x:c r="F20" s="856" t="str">
        <x:v>Own records.</x:v>
      </x:c>
      <x:c r="G20" s="856" t="str">
        <x:v>Policy changes visible.</x:v>
      </x:c>
      <x:c r="H20" s="856" t="str">
        <x:v>Plain-language policy link.</x:v>
      </x:c>
      <x:c r="I20" s="856" t="str">
        <x:v>No hidden downstream employment use.</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2.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58" hidden="0" customWidth="1"/>
    <x:col min="5" max="5" width="38" hidden="0" customWidth="1"/>
    <x:col min="6" max="6" width="32" hidden="0" customWidth="1"/>
    <x:col min="7" max="7" width="46" hidden="0" customWidth="1"/>
    <x:col min="8" max="8" width="48" hidden="0" customWidth="1"/>
    <x:col min="9" max="9" width="56" hidden="0" customWidth="1"/>
    <x:col min="10" max="10" width="18" hidden="0" customWidth="1"/>
  </x:cols>
  <x:sheetData>
    <x:row r="1" ht="30" customHeight="1">
      <x:c r="A1" s="809" t="str">
        <x:v>Stage 10 — Evidence Timeline UX</x:v>
      </x:c>
      <x:c r="B1" s="809"/>
      <x:c r="C1" s="809"/>
      <x:c r="D1" s="809"/>
      <x:c r="E1" s="809"/>
      <x:c r="F1" s="809"/>
      <x:c r="G1" s="809"/>
      <x:c r="H1" s="809"/>
      <x:c r="I1" s="809"/>
      <x:c r="J1" s="809"/>
    </x:row>
    <x:row r="2" ht="38" customHeight="1">
      <x:c r="A2" s="813" t="str">
        <x:v>Explainable, policy-filtered replay of semantic events, episodes, artefacts, provenance, visual states, gaps, corrections and assessment versions.</x:v>
      </x:c>
      <x:c r="B2" s="813"/>
      <x:c r="C2" s="813"/>
      <x:c r="D2" s="813"/>
      <x:c r="E2" s="813"/>
      <x:c r="F2" s="813"/>
      <x:c r="G2" s="813"/>
      <x:c r="H2" s="813"/>
      <x:c r="I2" s="813"/>
      <x:c r="J2" s="813"/>
    </x:row>
    <x:row r="4" ht="30" customHeight="1">
      <x:c r="A4" s="825" t="str">
        <x:v>ID</x:v>
      </x:c>
      <x:c r="B4" s="826" t="str">
        <x:v>Timeline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ETUX-001</x:v>
      </x:c>
      <x:c r="B5" s="845" t="str">
        <x:v>Timeline summary</x:v>
      </x:c>
      <x:c r="C5" s="845" t="str">
        <x:v>Employee/reviewer</x:v>
      </x:c>
      <x:c r="D5" s="845" t="str">
        <x:v>Session/task duration, evidence coverage, gaps, active policy and assessment version.</x:v>
      </x:c>
      <x:c r="E5" s="845" t="str">
        <x:v>Replay/Completeness/Assessment</x:v>
      </x:c>
      <x:c r="F5" s="845" t="str">
        <x:v>Own or case-scoped.</x:v>
      </x:c>
      <x:c r="G5" s="845" t="str">
        <x:v>Show partial/stale/replaying status.</x:v>
      </x:c>
      <x:c r="H5" s="845" t="str">
        <x:v>Summary before detail; accessible date/time.</x:v>
      </x:c>
      <x:c r="I5" s="845" t="str">
        <x:v>Do not present duration as productivity.</x:v>
      </x:c>
      <x:c r="J5" s="846" t="str">
        <x:v>Draft Complete</x:v>
      </x:c>
    </x:row>
    <x:row r="6">
      <x:c r="A6" s="852" t="str">
        <x:v>ETUX-002</x:v>
      </x:c>
      <x:c r="B6" s="853" t="str">
        <x:v>Event stream</x:v>
      </x:c>
      <x:c r="C6" s="853" t="str">
        <x:v>Employee/reviewer</x:v>
      </x:c>
      <x:c r="D6" s="853" t="str">
        <x:v>Ordered semantic, artefact, input metadata, visual and system events.</x:v>
      </x:c>
      <x:c r="E6" s="853" t="str">
        <x:v>Stage 4/5/6</x:v>
      </x:c>
      <x:c r="F6" s="853" t="str">
        <x:v>Policy-filtered task/session.</x:v>
      </x:c>
      <x:c r="G6" s="853" t="str">
        <x:v>Late events and replay updates labelled.</x:v>
      </x:c>
      <x:c r="H6" s="853" t="str">
        <x:v>Virtualised list remains keyboard/screen-reader usable.</x:v>
      </x:c>
      <x:c r="I6" s="853" t="str">
        <x:v>No raw sensitive content inline.</x:v>
      </x:c>
      <x:c r="J6" s="854" t="str">
        <x:v>Draft Complete</x:v>
      </x:c>
    </x:row>
    <x:row r="7">
      <x:c r="A7" s="847" t="str">
        <x:v>ETUX-003</x:v>
      </x:c>
      <x:c r="B7" s="114" t="str">
        <x:v>Episode view</x:v>
      </x:c>
      <x:c r="C7" s="114" t="str">
        <x:v>Employee/reviewer</x:v>
      </x:c>
      <x:c r="D7" s="114" t="str">
        <x:v>Task-focused, research, review, AI execution, wait, collaboration, blocked, idle or insufficient-evidence periods.</x:v>
      </x:c>
      <x:c r="E7" s="114" t="str">
        <x:v>Stage 7 WorkEpisodes</x:v>
      </x:c>
      <x:c r="F7" s="114" t="str">
        <x:v>Own/case scope.</x:v>
      </x:c>
      <x:c r="G7" s="114" t="str">
        <x:v>Alternatives/confidence shown.</x:v>
      </x:c>
      <x:c r="H7" s="114" t="str">
        <x:v>Episode list/table alternative.</x:v>
      </x:c>
      <x:c r="I7" s="114" t="str">
        <x:v>Derived label never shown as unquestionable fact.</x:v>
      </x:c>
      <x:c r="J7" s="848" t="str">
        <x:v>Draft Complete</x:v>
      </x:c>
    </x:row>
    <x:row r="8">
      <x:c r="A8" s="852" t="str">
        <x:v>ETUX-004</x:v>
      </x:c>
      <x:c r="B8" s="853" t="str">
        <x:v>Artefact lane</x:v>
      </x:c>
      <x:c r="C8" s="853" t="str">
        <x:v>Employee/reviewer</x:v>
      </x:c>
      <x:c r="D8" s="853" t="str">
        <x:v>Files, commits, PRs, tests, builds, documents and deployment outcomes.</x:v>
      </x:c>
      <x:c r="E8" s="853" t="str">
        <x:v>Artefact Registry/Git/CI</x:v>
      </x:c>
      <x:c r="F8" s="853" t="str">
        <x:v>Task/project scope.</x:v>
      </x:c>
      <x:c r="G8" s="853" t="str">
        <x:v>Source-system unavailable state.</x:v>
      </x:c>
      <x:c r="H8" s="853" t="str">
        <x:v>Links have descriptive accessible names.</x:v>
      </x:c>
      <x:c r="I8" s="853" t="str">
        <x:v>Line count/code volume not emphasised.</x:v>
      </x:c>
      <x:c r="J8" s="854" t="str">
        <x:v>Draft Complete</x:v>
      </x:c>
    </x:row>
    <x:row r="9">
      <x:c r="A9" s="847" t="str">
        <x:v>ETUX-005</x:v>
      </x:c>
      <x:c r="B9" s="114" t="str">
        <x:v>Provenance lane</x:v>
      </x:c>
      <x:c r="C9" s="114" t="str">
        <x:v>Employee/reviewer</x:v>
      </x:c>
      <x:c r="D9" s="114" t="str">
        <x:v>Human, AI-agent, automation, system, mixed and unknown origin relationships.</x:v>
      </x:c>
      <x:c r="E9" s="114" t="str">
        <x:v>Stage 7 Provenance</x:v>
      </x:c>
      <x:c r="F9" s="114" t="str">
        <x:v>Own/case scope.</x:v>
      </x:c>
      <x:c r="G9" s="114" t="str">
        <x:v>Unknown/mixed and confidence visible.</x:v>
      </x:c>
      <x:c r="H9" s="114" t="str">
        <x:v>Graph plus linear textual relation list.</x:v>
      </x:c>
      <x:c r="I9" s="114" t="str">
        <x:v>No forced actor attribution.</x:v>
      </x:c>
      <x:c r="J9" s="848" t="str">
        <x:v>Draft Complete</x:v>
      </x:c>
    </x:row>
    <x:row r="10">
      <x:c r="A10" s="852" t="str">
        <x:v>ETUX-006</x:v>
      </x:c>
      <x:c r="B10" s="853" t="str">
        <x:v>Visual-state thumbnails</x:v>
      </x:c>
      <x:c r="C10" s="853" t="str">
        <x:v>Employee/reviewer with policy</x:v>
      </x:c>
      <x:c r="D10" s="853" t="str">
        <x:v>Redacted event-driven screenshots/changed regions.</x:v>
      </x:c>
      <x:c r="E10" s="853" t="str">
        <x:v>Visual Evidence</x:v>
      </x:c>
      <x:c r="F10" s="853" t="str">
        <x:v>Own/case grant; thumbnails by default.</x:v>
      </x:c>
      <x:c r="G10" s="853" t="str">
        <x:v>Expired/suppressed/unavailable state.</x:v>
      </x:c>
      <x:c r="H10" s="853" t="str">
        <x:v>Alt text describes context, not sensitive content.</x:v>
      </x:c>
      <x:c r="I10" s="853" t="str">
        <x:v>No continuous playback by default.</x:v>
      </x:c>
      <x:c r="J10" s="854" t="str">
        <x:v>Draft Complete</x:v>
      </x:c>
    </x:row>
    <x:row r="11">
      <x:c r="A11" s="847" t="str">
        <x:v>ETUX-007</x:v>
      </x:c>
      <x:c r="B11" s="114" t="str">
        <x:v>Semantic evidence priority</x:v>
      </x:c>
      <x:c r="C11" s="114" t="str">
        <x:v>Employee/reviewer</x:v>
      </x:c>
      <x:c r="D11" s="114" t="str">
        <x:v>Source-system result and semantic events displayed before visual/AI evidence.</x:v>
      </x:c>
      <x:c r="E11" s="114" t="str">
        <x:v>Evidence hierarchy</x:v>
      </x:c>
      <x:c r="F11" s="114" t="str">
        <x:v>Task/case.</x:v>
      </x:c>
      <x:c r="G11" s="114" t="str">
        <x:v>Conflicting source status shown.</x:v>
      </x:c>
      <x:c r="H11" s="114" t="str">
        <x:v>Structured source badges/text.</x:v>
      </x:c>
      <x:c r="I11" s="114" t="str">
        <x:v>Screenshot/OCR cannot override authoritative fact.</x:v>
      </x:c>
      <x:c r="J11" s="848" t="str">
        <x:v>Draft Complete</x:v>
      </x:c>
    </x:row>
    <x:row r="12">
      <x:c r="A12" s="852" t="str">
        <x:v>ETUX-008</x:v>
      </x:c>
      <x:c r="B12" s="853" t="str">
        <x:v>Evidence details panel</x:v>
      </x:c>
      <x:c r="C12" s="853" t="str">
        <x:v>Employee/reviewer</x:v>
      </x:c>
      <x:c r="D12" s="853" t="str">
        <x:v>Source, timestamp, actor hint, confidence, policy, schema/model/adapter version and refs.</x:v>
      </x:c>
      <x:c r="E12" s="853" t="str">
        <x:v>Evidence metadata</x:v>
      </x:c>
      <x:c r="F12" s="853" t="str">
        <x:v>Authorised scope.</x:v>
      </x:c>
      <x:c r="G12" s="853" t="str">
        <x:v>Missing lineage warning.</x:v>
      </x:c>
      <x:c r="H12" s="853" t="str">
        <x:v>Focus trap and close/return behaviour.</x:v>
      </x:c>
      <x:c r="I12" s="853" t="str">
        <x:v>Do not expose raw secrets or unrelated third-party data.</x:v>
      </x:c>
      <x:c r="J12" s="854" t="str">
        <x:v>Draft Complete</x:v>
      </x:c>
    </x:row>
    <x:row r="13">
      <x:c r="A13" s="847" t="str">
        <x:v>ETUX-009</x:v>
      </x:c>
      <x:c r="B13" s="114" t="str">
        <x:v>Gap markers</x:v>
      </x:c>
      <x:c r="C13" s="114" t="str">
        <x:v>Employee/reviewer</x:v>
      </x:c>
      <x:c r="D13" s="114" t="str">
        <x:v>Sensor, adapter, policy, sequence, clock and excluded-period gaps.</x:v>
      </x:c>
      <x:c r="E13" s="114" t="str">
        <x:v>TelemetryGap/Coverage</x:v>
      </x:c>
      <x:c r="F13" s="114" t="str">
        <x:v>Own/case scope.</x:v>
      </x:c>
      <x:c r="G13" s="114" t="str">
        <x:v>Gap reason and confidence impact.</x:v>
      </x:c>
      <x:c r="H13" s="114" t="str">
        <x:v>Text/icon and non-colour coding.</x:v>
      </x:c>
      <x:c r="I13" s="114" t="str">
        <x:v>No inference from absent evidence.</x:v>
      </x:c>
      <x:c r="J13" s="848" t="str">
        <x:v>Draft Complete</x:v>
      </x:c>
    </x:row>
    <x:row r="14">
      <x:c r="A14" s="852" t="str">
        <x:v>ETUX-010</x:v>
      </x:c>
      <x:c r="B14" s="853" t="str">
        <x:v>Corrections overlay</x:v>
      </x:c>
      <x:c r="C14" s="853" t="str">
        <x:v>Employee/reviewer</x:v>
      </x:c>
      <x:c r="D14" s="853" t="str">
        <x:v>Original task/context, correction, reviewer status and current interpretation.</x:v>
      </x:c>
      <x:c r="E14" s="853" t="str">
        <x:v>Correction/Audit</x:v>
      </x:c>
      <x:c r="F14" s="853" t="str">
        <x:v>Own/case scope.</x:v>
      </x:c>
      <x:c r="G14" s="853" t="str">
        <x:v>Unresolved correction highlighted.</x:v>
      </x:c>
      <x:c r="H14" s="853" t="str">
        <x:v>Version comparison accessible as summary list.</x:v>
      </x:c>
      <x:c r="I14" s="853" t="str">
        <x:v>Original cannot disappear.</x:v>
      </x:c>
      <x:c r="J14" s="854" t="str">
        <x:v>Draft Complete</x:v>
      </x:c>
    </x:row>
    <x:row r="15">
      <x:c r="A15" s="847" t="str">
        <x:v>ETUX-011</x:v>
      </x:c>
      <x:c r="B15" s="114" t="str">
        <x:v>Assessment versions</x:v>
      </x:c>
      <x:c r="C15" s="114" t="str">
        <x:v>Employee/reviewer</x:v>
      </x:c>
      <x:c r="D15" s="114" t="str">
        <x:v>Which evidence and rules produced each task/capability assessment version.</x:v>
      </x:c>
      <x:c r="E15" s="114" t="str">
        <x:v>Task/Capability Audit</x:v>
      </x:c>
      <x:c r="F15" s="114" t="str">
        <x:v>Own/case scope.</x:v>
      </x:c>
      <x:c r="G15" s="114" t="str">
        <x:v>Superseded/current status visible.</x:v>
      </x:c>
      <x:c r="H15" s="114" t="str">
        <x:v>Version selector keyboard accessible.</x:v>
      </x:c>
      <x:c r="I15" s="114" t="str">
        <x:v>No silent historical rewrite.</x:v>
      </x:c>
      <x:c r="J15" s="848" t="str">
        <x:v>Draft Complete</x:v>
      </x:c>
    </x:row>
    <x:row r="16">
      <x:c r="A16" s="852" t="str">
        <x:v>ETUX-012</x:v>
      </x:c>
      <x:c r="B16" s="853" t="str">
        <x:v>Filter and search</x:v>
      </x:c>
      <x:c r="C16" s="853" t="str">
        <x:v>Employee/reviewer</x:v>
      </x:c>
      <x:c r="D16" s="853" t="str">
        <x:v>Task, time, app/tool, evidence class, actor, criterion, confidence and status filters.</x:v>
      </x:c>
      <x:c r="E16" s="853" t="str">
        <x:v>Read model/search</x:v>
      </x:c>
      <x:c r="F16" s="853" t="str">
        <x:v>Authorised scope.</x:v>
      </x:c>
      <x:c r="G16" s="853" t="str">
        <x:v>Search index delay shown.</x:v>
      </x:c>
      <x:c r="H16" s="853" t="str">
        <x:v>Filters have labels, clear-all and no drag-only control.</x:v>
      </x:c>
      <x:c r="I16" s="853" t="str">
        <x:v>No unrestricted cross-person search.</x:v>
      </x:c>
      <x:c r="J16" s="854" t="str">
        <x:v>Draft Complete</x:v>
      </x:c>
    </x:row>
    <x:row r="17">
      <x:c r="A17" s="847" t="str">
        <x:v>ETUX-013</x:v>
      </x:c>
      <x:c r="B17" s="114" t="str">
        <x:v>Bookmark/annotation</x:v>
      </x:c>
      <x:c r="C17" s="114" t="str">
        <x:v>Employee/reviewer</x:v>
      </x:c>
      <x:c r="D17" s="114" t="str">
        <x:v>Employee bookmark or reviewer annotation linked to evidence.</x:v>
      </x:c>
      <x:c r="E17" s="114" t="str">
        <x:v>Evidence Bookmark/Review</x:v>
      </x:c>
      <x:c r="F17" s="114" t="str">
        <x:v>Own or assigned case.</x:v>
      </x:c>
      <x:c r="G17" s="114" t="str">
        <x:v>Save failure/offline state.</x:v>
      </x:c>
      <x:c r="H17" s="114" t="str">
        <x:v>Accessible form and review-before-submit.</x:v>
      </x:c>
      <x:c r="I17" s="114" t="str">
        <x:v>Reviewer annotation does not overwrite employee note.</x:v>
      </x:c>
      <x:c r="J17" s="848" t="str">
        <x:v>Draft Complete</x:v>
      </x:c>
    </x:row>
    <x:row r="18">
      <x:c r="A18" s="852" t="str">
        <x:v>ETUX-014</x:v>
      </x:c>
      <x:c r="B18" s="853" t="str">
        <x:v>Raw evidence grant flow</x:v>
      </x:c>
      <x:c r="C18" s="853" t="str">
        <x:v>Employee/reviewer/manager requester</x:v>
      </x:c>
      <x:c r="D18" s="853" t="str">
        <x:v>Purpose, task, class, duration, approver and access status.</x:v>
      </x:c>
      <x:c r="E18" s="853" t="str">
        <x:v>Access Broker</x:v>
      </x:c>
      <x:c r="F18" s="853" t="str">
        <x:v>Narrow grant.</x:v>
      </x:c>
      <x:c r="G18" s="853" t="str">
        <x:v>Policy unavailable/expired state.</x:v>
      </x:c>
      <x:c r="H18" s="853" t="str">
        <x:v>Check-answers and confirmation.</x:v>
      </x:c>
      <x:c r="I18" s="853" t="str">
        <x:v>No default direct raw view.</x:v>
      </x:c>
      <x:c r="J18" s="854" t="str">
        <x:v>Draft Complete</x:v>
      </x:c>
    </x:row>
    <x:row r="19">
      <x:c r="A19" s="847" t="str">
        <x:v>ETUX-015</x:v>
      </x:c>
      <x:c r="B19" s="114" t="str">
        <x:v>Export package</x:v>
      </x:c>
      <x:c r="C19" s="114" t="str">
        <x:v>Employee/reviewer</x:v>
      </x:c>
      <x:c r="D19" s="114" t="str">
        <x:v>Scoped timeline/evidence summary with provenance, gaps, corrections and audit.</x:v>
      </x:c>
      <x:c r="E19" s="114" t="str">
        <x:v>Export Service</x:v>
      </x:c>
      <x:c r="F19" s="114" t="str">
        <x:v>Own/case grant.</x:v>
      </x:c>
      <x:c r="G19" s="114" t="str">
        <x:v>Partial export and expiry state.</x:v>
      </x:c>
      <x:c r="H19" s="114" t="str">
        <x:v>Accessible PDF/HTML/CSV alternatives where suitable.</x:v>
      </x:c>
      <x:c r="I19" s="114" t="str">
        <x:v>No bulk unscoped export.</x:v>
      </x:c>
      <x:c r="J19" s="848" t="str">
        <x:v>Draft Complete</x:v>
      </x:c>
    </x:row>
    <x:row r="20">
      <x:c r="A20" s="855" t="str">
        <x:v>ETUX-016</x:v>
      </x:c>
      <x:c r="B20" s="856" t="str">
        <x:v>Performance/degraded UX</x:v>
      </x:c>
      <x:c r="C20" s="856" t="str">
        <x:v>All</x:v>
      </x:c>
      <x:c r="D20" s="856" t="str">
        <x:v>Incremental loading, pagination, summarisation and clear long-running replay status.</x:v>
      </x:c>
      <x:c r="E20" s="856" t="str">
        <x:v>BFF/Replay job</x:v>
      </x:c>
      <x:c r="F20" s="856" t="str">
        <x:v>Current user scope.</x:v>
      </x:c>
      <x:c r="G20" s="856" t="str">
        <x:v>Retry/cancel/resume actions.</x:v>
      </x:c>
      <x:c r="H20" s="856" t="str">
        <x:v>Status messages announced to assistive tech.</x:v>
      </x:c>
      <x:c r="I20" s="856" t="str">
        <x:v>Do not hide missing evidence behind loading spinner.</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3.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58" hidden="0" customWidth="1"/>
    <x:col min="5" max="5" width="38" hidden="0" customWidth="1"/>
    <x:col min="6" max="6" width="32" hidden="0" customWidth="1"/>
    <x:col min="7" max="7" width="46" hidden="0" customWidth="1"/>
    <x:col min="8" max="8" width="48" hidden="0" customWidth="1"/>
    <x:col min="9" max="9" width="58" hidden="0" customWidth="1"/>
    <x:col min="10" max="10" width="18" hidden="0" customWidth="1"/>
  </x:cols>
  <x:sheetData>
    <x:row r="1" ht="30" customHeight="1">
      <x:c r="A1" s="809" t="str">
        <x:v>Stage 10 — Coaching and Learning UX</x:v>
      </x:c>
      <x:c r="B1" s="809"/>
      <x:c r="C1" s="809"/>
      <x:c r="D1" s="809"/>
      <x:c r="E1" s="809"/>
      <x:c r="F1" s="809"/>
      <x:c r="G1" s="809"/>
      <x:c r="H1" s="809"/>
      <x:c r="I1" s="809"/>
      <x:c r="J1" s="809"/>
    </x:row>
    <x:row r="2" ht="38" customHeight="1">
      <x:c r="A2" s="813" t="str">
        <x:v>Private, interrupt-safe experience for interventions, lessons, practice, learning plans, mentor handoff, applied evidence and feedback.</x:v>
      </x:c>
      <x:c r="B2" s="813"/>
      <x:c r="C2" s="813"/>
      <x:c r="D2" s="813"/>
      <x:c r="E2" s="813"/>
      <x:c r="F2" s="813"/>
      <x:c r="G2" s="813"/>
      <x:c r="H2" s="813"/>
      <x:c r="I2" s="813"/>
      <x:c r="J2" s="813"/>
    </x:row>
    <x:row r="4" ht="30" customHeight="1">
      <x:c r="A4" s="825" t="str">
        <x:v>ID</x:v>
      </x:c>
      <x:c r="B4" s="826" t="str">
        <x:v>Experience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CLUX-001</x:v>
      </x:c>
      <x:c r="B5" s="845" t="str">
        <x:v>Private coaching inbox</x:v>
      </x:c>
      <x:c r="C5" s="845" t="str">
        <x:v>Employee</x:v>
      </x:c>
      <x:c r="D5" s="845" t="str">
        <x:v>Interventions grouped by task/goal, mode, urgency, status and rationale.</x:v>
      </x:c>
      <x:c r="E5" s="845" t="str">
        <x:v>Coaching read model</x:v>
      </x:c>
      <x:c r="F5" s="845" t="str">
        <x:v>Own interventions.</x:v>
      </x:c>
      <x:c r="G5" s="845" t="str">
        <x:v>Stale-context or withdrawn message shown.</x:v>
      </x:c>
      <x:c r="H5" s="845" t="str">
        <x:v>Accessible inbox/list and action labels.</x:v>
      </x:c>
      <x:c r="I5" s="845" t="str">
        <x:v>No manager-visible transcript by default.</x:v>
      </x:c>
      <x:c r="J5" s="846" t="str">
        <x:v>Draft Complete</x:v>
      </x:c>
    </x:row>
    <x:row r="6">
      <x:c r="A6" s="852" t="str">
        <x:v>CLUX-002</x:v>
      </x:c>
      <x:c r="B6" s="853" t="str">
        <x:v>Intervention card</x:v>
      </x:c>
      <x:c r="C6" s="853" t="str">
        <x:v>Employee</x:v>
      </x:c>
      <x:c r="D6" s="853" t="str">
        <x:v>What was observed, why guidance is offered, confidence, suggested action and evidence link.</x:v>
      </x:c>
      <x:c r="E6" s="853" t="str">
        <x:v>Coaching Intervention</x:v>
      </x:c>
      <x:c r="F6" s="853" t="str">
        <x:v>Own intervention.</x:v>
      </x:c>
      <x:c r="G6" s="853" t="str">
        <x:v>Missing evidence/low confidence explanation.</x:v>
      </x:c>
      <x:c r="H6" s="853" t="str">
        <x:v>Concise content; expandable details.</x:v>
      </x:c>
      <x:c r="I6" s="853" t="str">
        <x:v>No accusatory or personality language.</x:v>
      </x:c>
      <x:c r="J6" s="854" t="str">
        <x:v>Draft Complete</x:v>
      </x:c>
    </x:row>
    <x:row r="7">
      <x:c r="A7" s="847" t="str">
        <x:v>CLUX-003</x:v>
      </x:c>
      <x:c r="B7" s="114" t="str">
        <x:v>Employee response controls</x:v>
      </x:c>
      <x:c r="C7" s="114" t="str">
        <x:v>Employee</x:v>
      </x:c>
      <x:c r="D7" s="114" t="str">
        <x:v>Accept, modify, dismiss, snooze, ask why, wrong context and mentor request.</x:v>
      </x:c>
      <x:c r="E7" s="114" t="str">
        <x:v>Coaching APIs</x:v>
      </x:c>
      <x:c r="F7" s="114" t="str">
        <x:v>Own intervention.</x:v>
      </x:c>
      <x:c r="G7" s="114" t="str">
        <x:v>Offline queued response.</x:v>
      </x:c>
      <x:c r="H7" s="114" t="str">
        <x:v>Large targets, keyboard and screen-reader support.</x:v>
      </x:c>
      <x:c r="I7" s="114" t="str">
        <x:v>Dismissal/snooze not negative performance evidence.</x:v>
      </x:c>
      <x:c r="J7" s="848" t="str">
        <x:v>Draft Complete</x:v>
      </x:c>
    </x:row>
    <x:row r="8">
      <x:c r="A8" s="852" t="str">
        <x:v>CLUX-004</x:v>
      </x:c>
      <x:c r="B8" s="853" t="str">
        <x:v>Focus and quiet settings</x:v>
      </x:c>
      <x:c r="C8" s="853" t="str">
        <x:v>Employee</x:v>
      </x:c>
      <x:c r="D8" s="853" t="str">
        <x:v>Do-not-disturb, focus windows, daily limits and channel preferences.</x:v>
      </x:c>
      <x:c r="E8" s="853" t="str">
        <x:v>Coaching Preferences</x:v>
      </x:c>
      <x:c r="F8" s="853" t="str">
        <x:v>Own settings.</x:v>
      </x:c>
      <x:c r="G8" s="853" t="str">
        <x:v>Default-safe fallback.</x:v>
      </x:c>
      <x:c r="H8" s="853" t="str">
        <x:v>Accessible time/choice controls.</x:v>
      </x:c>
      <x:c r="I8" s="853" t="str">
        <x:v>Urgent exceptions must be separately defined.</x:v>
      </x:c>
      <x:c r="J8" s="854" t="str">
        <x:v>Draft Complete</x:v>
      </x:c>
    </x:row>
    <x:row r="9">
      <x:c r="A9" s="847" t="str">
        <x:v>CLUX-005</x:v>
      </x:c>
      <x:c r="B9" s="114" t="str">
        <x:v>Micro-lesson</x:v>
      </x:c>
      <x:c r="C9" s="114" t="str">
        <x:v>Employee</x:v>
      </x:c>
      <x:c r="D9" s="114" t="str">
        <x:v>Concept, rationale, example, check and relevant task link.</x:v>
      </x:c>
      <x:c r="E9" s="114" t="str">
        <x:v>Learning Artefact</x:v>
      </x:c>
      <x:c r="F9" s="114" t="str">
        <x:v>Own plan/request.</x:v>
      </x:c>
      <x:c r="G9" s="114" t="str">
        <x:v>Unavailable version or licence state.</x:v>
      </x:c>
      <x:c r="H9" s="114" t="str">
        <x:v>Readable line length, headings, captions and alternatives.</x:v>
      </x:c>
      <x:c r="I9" s="114" t="str">
        <x:v>Lesson completion not presented as capability change.</x:v>
      </x:c>
      <x:c r="J9" s="848" t="str">
        <x:v>Draft Complete</x:v>
      </x:c>
    </x:row>
    <x:row r="10">
      <x:c r="A10" s="852" t="str">
        <x:v>CLUX-006</x:v>
      </x:c>
      <x:c r="B10" s="853" t="str">
        <x:v>Practice task</x:v>
      </x:c>
      <x:c r="C10" s="853" t="str">
        <x:v>Employee</x:v>
      </x:c>
      <x:c r="D10" s="853" t="str">
        <x:v>Objective, support level, criteria, evidence and reviewer.</x:v>
      </x:c>
      <x:c r="E10" s="853" t="str">
        <x:v>Learning/Task Service</x:v>
      </x:c>
      <x:c r="F10" s="853" t="str">
        <x:v>Own assigned practice.</x:v>
      </x:c>
      <x:c r="G10" s="853" t="str">
        <x:v>Sandbox/service outage status.</x:v>
      </x:c>
      <x:c r="H10" s="853" t="str">
        <x:v>Same accessible task-contract pattern as live work.</x:v>
      </x:c>
      <x:c r="I10" s="853" t="str">
        <x:v>Practice evidence not labelled independent live capability.</x:v>
      </x:c>
      <x:c r="J10" s="854" t="str">
        <x:v>Draft Complete</x:v>
      </x:c>
    </x:row>
    <x:row r="11">
      <x:c r="A11" s="847" t="str">
        <x:v>CLUX-007</x:v>
      </x:c>
      <x:c r="B11" s="114" t="str">
        <x:v>Learning-plan planner</x:v>
      </x:c>
      <x:c r="C11" s="114" t="str">
        <x:v>Employee/L&amp;D</x:v>
      </x:c>
      <x:c r="D11" s="114" t="str">
        <x:v>Goals, sequencing, workload, artefacts, practice, mentor and expected applied evidence.</x:v>
      </x:c>
      <x:c r="E11" s="114" t="str">
        <x:v>Learning Plan</x:v>
      </x:c>
      <x:c r="F11" s="114" t="str">
        <x:v>Employee and authorised reviewer.</x:v>
      </x:c>
      <x:c r="G11" s="114" t="str">
        <x:v>Content/resource availability shown.</x:v>
      </x:c>
      <x:c r="H11" s="114" t="str">
        <x:v>Drag-and-drop has keyboard alternative.</x:v>
      </x:c>
      <x:c r="I11" s="114" t="str">
        <x:v>Plan should not become punitive workload.</x:v>
      </x:c>
      <x:c r="J11" s="848" t="str">
        <x:v>Draft Complete</x:v>
      </x:c>
    </x:row>
    <x:row r="12">
      <x:c r="A12" s="852" t="str">
        <x:v>CLUX-008</x:v>
      </x:c>
      <x:c r="B12" s="853" t="str">
        <x:v>Applied evidence tracker</x:v>
      </x:c>
      <x:c r="C12" s="853" t="str">
        <x:v>Employee</x:v>
      </x:c>
      <x:c r="D12" s="853" t="str">
        <x:v>Later real-work evidence, review status and capability update consideration.</x:v>
      </x:c>
      <x:c r="E12" s="853" t="str">
        <x:v>Learning/Capability Evidence</x:v>
      </x:c>
      <x:c r="F12" s="853" t="str">
        <x:v>Own evidence.</x:v>
      </x:c>
      <x:c r="G12" s="853" t="str">
        <x:v>Causal uncertainty and more-evidence-needed state.</x:v>
      </x:c>
      <x:c r="H12" s="853" t="str">
        <x:v>Text timeline and status.</x:v>
      </x:c>
      <x:c r="I12" s="853" t="str">
        <x:v>Do not claim coaching caused outcome automatically.</x:v>
      </x:c>
      <x:c r="J12" s="854" t="str">
        <x:v>Draft Complete</x:v>
      </x:c>
    </x:row>
    <x:row r="13">
      <x:c r="A13" s="847" t="str">
        <x:v>CLUX-009</x:v>
      </x:c>
      <x:c r="B13" s="114" t="str">
        <x:v>Mentor handoff</x:v>
      </x:c>
      <x:c r="C13" s="114" t="str">
        <x:v>Employee/mentor</x:v>
      </x:c>
      <x:c r="D13" s="114" t="str">
        <x:v>Goals, information scope, scheduling, mentor and agreed summary.</x:v>
      </x:c>
      <x:c r="E13" s="114" t="str">
        <x:v>Workflow/Organisation</x:v>
      </x:c>
      <x:c r="F13" s="114" t="str">
        <x:v>Employee-approved scope.</x:v>
      </x:c>
      <x:c r="G13" s="114" t="str">
        <x:v>Mentor unavailable/alternative state.</x:v>
      </x:c>
      <x:c r="H13" s="114" t="str">
        <x:v>Accessible scheduling and consent.</x:v>
      </x:c>
      <x:c r="I13" s="114" t="str">
        <x:v>Private conversation content excluded.</x:v>
      </x:c>
      <x:c r="J13" s="848" t="str">
        <x:v>Draft Complete</x:v>
      </x:c>
    </x:row>
    <x:row r="14">
      <x:c r="A14" s="852" t="str">
        <x:v>CLUX-010</x:v>
      </x:c>
      <x:c r="B14" s="853" t="str">
        <x:v>Learning feedback</x:v>
      </x:c>
      <x:c r="C14" s="853" t="str">
        <x:v>Employee</x:v>
      </x:c>
      <x:c r="D14" s="853" t="str">
        <x:v>Usefulness, relevance, accessibility, timing and suggested improvement.</x:v>
      </x:c>
      <x:c r="E14" s="853" t="str">
        <x:v>Learning/Coaching Feedback</x:v>
      </x:c>
      <x:c r="F14" s="853" t="str">
        <x:v>Own feedback.</x:v>
      </x:c>
      <x:c r="G14" s="853" t="str">
        <x:v>Save/anonymous option where policy permits.</x:v>
      </x:c>
      <x:c r="H14" s="853" t="str">
        <x:v>Accessible rating plus text alternative.</x:v>
      </x:c>
      <x:c r="I14" s="853" t="str">
        <x:v>Feedback not used to rank employee.</x:v>
      </x:c>
      <x:c r="J14" s="854" t="str">
        <x:v>Draft Complete</x:v>
      </x:c>
    </x:row>
    <x:row r="15">
      <x:c r="A15" s="847" t="str">
        <x:v>CLUX-011</x:v>
      </x:c>
      <x:c r="B15" s="114" t="str">
        <x:v>Coach explanation</x:v>
      </x:c>
      <x:c r="C15" s="114" t="str">
        <x:v>Employee</x:v>
      </x:c>
      <x:c r="D15" s="114" t="str">
        <x:v>Model/skill/policy version, evidence source and limitations in plain language.</x:v>
      </x:c>
      <x:c r="E15" s="114" t="str">
        <x:v>Coaching Audit</x:v>
      </x:c>
      <x:c r="F15" s="114" t="str">
        <x:v>Own intervention.</x:v>
      </x:c>
      <x:c r="G15" s="114" t="str">
        <x:v>Version unavailable warning.</x:v>
      </x:c>
      <x:c r="H15" s="114" t="str">
        <x:v>Details component only for secondary detail.</x:v>
      </x:c>
      <x:c r="I15" s="114" t="str">
        <x:v>No opaque 'AI says' explanation.</x:v>
      </x:c>
      <x:c r="J15" s="848" t="str">
        <x:v>Draft Complete</x:v>
      </x:c>
    </x:row>
    <x:row r="16">
      <x:c r="A16" s="852" t="str">
        <x:v>CLUX-012</x:v>
      </x:c>
      <x:c r="B16" s="853" t="str">
        <x:v>Learning history</x:v>
      </x:c>
      <x:c r="C16" s="853" t="str">
        <x:v>Employee</x:v>
      </x:c>
      <x:c r="D16" s="853" t="str">
        <x:v>Completed content, practice, applied evidence and reviewed outcomes.</x:v>
      </x:c>
      <x:c r="E16" s="853" t="str">
        <x:v>Learning Audit</x:v>
      </x:c>
      <x:c r="F16" s="853" t="str">
        <x:v>Own history.</x:v>
      </x:c>
      <x:c r="G16" s="853" t="str">
        <x:v>Expired/deleted artefact state.</x:v>
      </x:c>
      <x:c r="H16" s="853" t="str">
        <x:v>Chronological table/list.</x:v>
      </x:c>
      <x:c r="I16" s="853" t="str">
        <x:v>No completion leaderboard.</x:v>
      </x:c>
      <x:c r="J16" s="854" t="str">
        <x:v>Draft Complete</x:v>
      </x:c>
    </x:row>
    <x:row r="17">
      <x:c r="A17" s="847" t="str">
        <x:v>CLUX-013</x:v>
      </x:c>
      <x:c r="B17" s="114" t="str">
        <x:v>Manager/L&amp;D summary boundary</x:v>
      </x:c>
      <x:c r="C17" s="114" t="str">
        <x:v>Employee/manager/L&amp;D</x:v>
      </x:c>
      <x:c r="D17" s="114" t="str">
        <x:v>Exactly what reviewed development summary is shared and what remains private.</x:v>
      </x:c>
      <x:c r="E17" s="114" t="str">
        <x:v>Policy/Reporting</x:v>
      </x:c>
      <x:c r="F17" s="114" t="str">
        <x:v>Audience specific.</x:v>
      </x:c>
      <x:c r="G17" s="114" t="str">
        <x:v>Policy change highlighted.</x:v>
      </x:c>
      <x:c r="H17" s="114" t="str">
        <x:v>Plain-language audience labels.</x:v>
      </x:c>
      <x:c r="I17" s="114" t="str">
        <x:v>No hidden sharing of reflections or coaching text.</x:v>
      </x:c>
      <x:c r="J17" s="848" t="str">
        <x:v>Draft Complete</x:v>
      </x:c>
    </x:row>
    <x:row r="18">
      <x:c r="A18" s="852" t="str">
        <x:v>CLUX-014</x:v>
      </x:c>
      <x:c r="B18" s="853" t="str">
        <x:v>Coach safety reporting</x:v>
      </x:c>
      <x:c r="C18" s="853" t="str">
        <x:v>Employee</x:v>
      </x:c>
      <x:c r="D18" s="853" t="str">
        <x:v>Report harmful, incorrect, sensitive or manipulative guidance.</x:v>
      </x:c>
      <x:c r="E18" s="853" t="str">
        <x:v>Incident/Feedback Workflow</x:v>
      </x:c>
      <x:c r="F18" s="853" t="str">
        <x:v>Own incident.</x:v>
      </x:c>
      <x:c r="G18" s="853" t="str">
        <x:v>Alternative privacy contact when service unavailable.</x:v>
      </x:c>
      <x:c r="H18" s="853" t="str">
        <x:v>Consistent help and confirmation.</x:v>
      </x:c>
      <x:c r="I18" s="853" t="str">
        <x:v>No retaliation.</x:v>
      </x:c>
      <x:c r="J18" s="854" t="str">
        <x:v>Draft Complete</x:v>
      </x:c>
    </x:row>
    <x:row r="19">
      <x:c r="A19" s="849" t="str">
        <x:v>CLUX-015</x:v>
      </x:c>
      <x:c r="B19" s="850" t="str">
        <x:v>Success recognition</x:v>
      </x:c>
      <x:c r="C19" s="850" t="str">
        <x:v>Employee</x:v>
      </x:c>
      <x:c r="D19" s="850" t="str">
        <x:v>Private acknowledgement of reviewed improvement, recovery, verification or mentoring.</x:v>
      </x:c>
      <x:c r="E19" s="850" t="str">
        <x:v>Reviewed task/capability evidence</x:v>
      </x:c>
      <x:c r="F19" s="850" t="str">
        <x:v>Own profile.</x:v>
      </x:c>
      <x:c r="G19" s="850" t="str">
        <x:v>Evidence under review state.</x:v>
      </x:c>
      <x:c r="H19" s="850" t="str">
        <x:v>Respect reduced-motion and non-gamified option.</x:v>
      </x:c>
      <x:c r="I19" s="850" t="str">
        <x:v>No public comparison, streak pressure or variable-reward manipulation.</x:v>
      </x:c>
      <x:c r="J19" s="851" t="str">
        <x:v>Draft Complete</x:v>
      </x:c>
    </x:row>
  </x:sheetData>
  <x:mergeCells>
    <x:mergeCell ref="A1:J1"/>
    <x:mergeCell ref="A2:J2"/>
  </x:mergeCells>
  <x:dataValidations count="1">
    <x:dataValidation type="list" sqref="J5:J19">
      <x:formula1>"Draft Complete,Needs Review,Approved,Deferred"</x:formula1>
    </x:dataValidation>
  </x:dataValidations>
  <x:pageMargins left="0.7" right="0.7" top="0.75" bottom="0.75" header="0.3" footer="0.3"/>
</x:worksheet>
</file>

<file path=xl/worksheets/sheet144.xml><?xml version="1.0" encoding="utf-8"?>
<x:worksheet xmlns:x="http://schemas.openxmlformats.org/spreadsheetml/2006/main">
  <x:sheetFormatPr defaultRowHeight="15"/>
  <x:cols>
    <x:col min="1" max="1" width="12" hidden="0" customWidth="1"/>
    <x:col min="2" max="2" width="32" hidden="0" customWidth="1"/>
    <x:col min="3" max="3" width="16" hidden="0" customWidth="1"/>
    <x:col min="4" max="4" width="38" hidden="0" customWidth="1"/>
    <x:col min="5" max="5" width="50" hidden="0" customWidth="1"/>
    <x:col min="6" max="6" width="46" hidden="0" customWidth="1"/>
    <x:col min="7" max="7" width="30" hidden="0" customWidth="1"/>
    <x:col min="8" max="8" width="58" hidden="0" customWidth="1"/>
    <x:col min="9" max="9" width="18" hidden="0" customWidth="1"/>
  </x:cols>
  <x:sheetData>
    <x:row r="1" ht="30" customHeight="1">
      <x:c r="A1" s="809" t="str">
        <x:v>Stage 10 — Notification and Interaction Model</x:v>
      </x:c>
      <x:c r="B1" s="809"/>
      <x:c r="C1" s="809"/>
      <x:c r="D1" s="809"/>
      <x:c r="E1" s="809"/>
      <x:c r="F1" s="809"/>
      <x:c r="G1" s="809"/>
      <x:c r="H1" s="809"/>
      <x:c r="I1" s="809"/>
    </x:row>
    <x:row r="2" ht="38" customHeight="1">
      <x:c r="A2" s="813" t="str">
        <x:v>Priority, channel, timing, state, action and accessibility rules for task, review, privacy, coaching, learning and system notifications.</x:v>
      </x:c>
      <x:c r="B2" s="813"/>
      <x:c r="C2" s="813"/>
      <x:c r="D2" s="813"/>
      <x:c r="E2" s="813"/>
      <x:c r="F2" s="813"/>
      <x:c r="G2" s="813"/>
      <x:c r="H2" s="813"/>
      <x:c r="I2" s="813"/>
    </x:row>
    <x:row r="4" ht="30" customHeight="1">
      <x:c r="A4" s="825" t="str">
        <x:v>ID</x:v>
      </x:c>
      <x:c r="B4" s="826" t="str">
        <x:v>Notification class / rule</x:v>
      </x:c>
      <x:c r="C4" s="826" t="str">
        <x:v>Priority</x:v>
      </x:c>
      <x:c r="D4" s="826" t="str">
        <x:v>Channel / surface</x:v>
      </x:c>
      <x:c r="E4" s="826" t="str">
        <x:v>Purpose</x:v>
      </x:c>
      <x:c r="F4" s="826" t="str">
        <x:v>Timing / interruption rule</x:v>
      </x:c>
      <x:c r="G4" s="826" t="str">
        <x:v>Audience</x:v>
      </x:c>
      <x:c r="H4" s="826" t="str">
        <x:v>Privacy / accessibility guardrail</x:v>
      </x:c>
      <x:c r="I4" s="827" t="str">
        <x:v>Status</x:v>
      </x:c>
    </x:row>
    <x:row r="5">
      <x:c r="A5" s="844" t="str">
        <x:v>NIM-001</x:v>
      </x:c>
      <x:c r="B5" s="845" t="str">
        <x:v>SECURITY_CRITICAL</x:v>
      </x:c>
      <x:c r="C5" s="845" t="str">
        <x:v>Immediate</x:v>
      </x:c>
      <x:c r="D5" s="845" t="str">
        <x:v>Endpoint + HumanOS inbox; optional approved external channel</x:v>
      </x:c>
      <x:c r="E5" s="845" t="str">
        <x:v>Security/capture issue requiring prompt action.</x:v>
      </x:c>
      <x:c r="F5" s="845" t="str">
        <x:v>No batching; interrupt allowed by policy.</x:v>
      </x:c>
      <x:c r="G5" s="845" t="str">
        <x:v>CISO/employee as applicable</x:v>
      </x:c>
      <x:c r="H5" s="845" t="str">
        <x:v>Sensitive details withheld from push/email preview.</x:v>
      </x:c>
      <x:c r="I5" s="846" t="str">
        <x:v>Draft Complete</x:v>
      </x:c>
    </x:row>
    <x:row r="6">
      <x:c r="A6" s="852" t="str">
        <x:v>NIM-002</x:v>
      </x:c>
      <x:c r="B6" s="853" t="str">
        <x:v>PRIVACY_POLICY_CHANGE</x:v>
      </x:c>
      <x:c r="C6" s="853" t="str">
        <x:v>High</x:v>
      </x:c>
      <x:c r="D6" s="853" t="str">
        <x:v>HumanOS inbox + persistent banner</x:v>
      </x:c>
      <x:c r="E6" s="853" t="str">
        <x:v>Monitoring policy/notice/sensor/exclusion change.</x:v>
      </x:c>
      <x:c r="F6" s="853" t="str">
        <x:v>Must remain until acknowledged where policy requires.</x:v>
      </x:c>
      <x:c r="G6" s="853" t="str">
        <x:v>Affected employee</x:v>
      </x:c>
      <x:c r="H6" s="853" t="str">
        <x:v>Show effective date and change summary.</x:v>
      </x:c>
      <x:c r="I6" s="854" t="str">
        <x:v>Draft Complete</x:v>
      </x:c>
    </x:row>
    <x:row r="7">
      <x:c r="A7" s="847" t="str">
        <x:v>NIM-003</x:v>
      </x:c>
      <x:c r="B7" s="114" t="str">
        <x:v>REVIEW_ACTION_REQUIRED</x:v>
      </x:c>
      <x:c r="C7" s="114" t="str">
        <x:v>High</x:v>
      </x:c>
      <x:c r="D7" s="114" t="str">
        <x:v>Inbox + task/reviewer workspace</x:v>
      </x:c>
      <x:c r="E7" s="114" t="str">
        <x:v>Employee/reviewer response or decision due.</x:v>
      </x:c>
      <x:c r="F7" s="114" t="str">
        <x:v>Reminder cadence and escalation SLA.</x:v>
      </x:c>
      <x:c r="G7" s="114" t="str">
        <x:v>Assigned employee/reviewer</x:v>
      </x:c>
      <x:c r="H7" s="114" t="str">
        <x:v>No case detail in insecure channel.</x:v>
      </x:c>
      <x:c r="I7" s="848" t="str">
        <x:v>Draft Complete</x:v>
      </x:c>
    </x:row>
    <x:row r="8">
      <x:c r="A8" s="852" t="str">
        <x:v>NIM-004</x:v>
      </x:c>
      <x:c r="B8" s="853" t="str">
        <x:v>RAW_ACCESS_EVENT</x:v>
      </x:c>
      <x:c r="C8" s="853" t="str">
        <x:v>High</x:v>
      </x:c>
      <x:c r="D8" s="853" t="str">
        <x:v>Employee privacy inbox</x:v>
      </x:c>
      <x:c r="E8" s="853" t="str">
        <x:v>Evidence access grant requested/approved/viewed/exported.</x:v>
      </x:c>
      <x:c r="F8" s="853" t="str">
        <x:v>No digest-only mode for material raw access.</x:v>
      </x:c>
      <x:c r="G8" s="853" t="str">
        <x:v>Subject employee/governance</x:v>
      </x:c>
      <x:c r="H8" s="853" t="str">
        <x:v>Purpose, scope and actor visible.</x:v>
      </x:c>
      <x:c r="I8" s="854" t="str">
        <x:v>Draft Complete</x:v>
      </x:c>
    </x:row>
    <x:row r="9">
      <x:c r="A9" s="847" t="str">
        <x:v>NIM-005</x:v>
      </x:c>
      <x:c r="B9" s="114" t="str">
        <x:v>BLOCKER_ESCALATION</x:v>
      </x:c>
      <x:c r="C9" s="114" t="str">
        <x:v>High/medium</x:v>
      </x:c>
      <x:c r="D9" s="114" t="str">
        <x:v>Manager/employee inbox and task view</x:v>
      </x:c>
      <x:c r="E9" s="114" t="str">
        <x:v>Blocker needs owner/support.</x:v>
      </x:c>
      <x:c r="F9" s="114" t="str">
        <x:v>Respect task severity and duplicate suppression.</x:v>
      </x:c>
      <x:c r="G9" s="114" t="str">
        <x:v>Employee/manager/owner</x:v>
      </x:c>
      <x:c r="H9" s="114" t="str">
        <x:v>External blocker not framed as employee failure.</x:v>
      </x:c>
      <x:c r="I9" s="848" t="str">
        <x:v>Draft Complete</x:v>
      </x:c>
    </x:row>
    <x:row r="10">
      <x:c r="A10" s="852" t="str">
        <x:v>NIM-006</x:v>
      </x:c>
      <x:c r="B10" s="853" t="str">
        <x:v>QUALITY_GATE</x:v>
      </x:c>
      <x:c r="C10" s="853" t="str">
        <x:v>Medium/high</x:v>
      </x:c>
      <x:c r="D10" s="853" t="str">
        <x:v>Task workspace/inbox</x:v>
      </x:c>
      <x:c r="E10" s="853" t="str">
        <x:v>Required test/review/security/deployment gate missing or failed.</x:v>
      </x:c>
      <x:c r="F10" s="853" t="str">
        <x:v>Suppress if gate already running/resolving.</x:v>
      </x:c>
      <x:c r="G10" s="853" t="str">
        <x:v>Employee/reviewer/manager</x:v>
      </x:c>
      <x:c r="H10" s="853" t="str">
        <x:v>Fact vs AI recommendation labelled.</x:v>
      </x:c>
      <x:c r="I10" s="854" t="str">
        <x:v>Draft Complete</x:v>
      </x:c>
    </x:row>
    <x:row r="11">
      <x:c r="A11" s="847" t="str">
        <x:v>NIM-007</x:v>
      </x:c>
      <x:c r="B11" s="114" t="str">
        <x:v>COACHING_INTERVENTION</x:v>
      </x:c>
      <x:c r="C11" s="114" t="str">
        <x:v>Policy-defined</x:v>
      </x:c>
      <x:c r="D11" s="114" t="str">
        <x:v>Private coaching inbox/IDE/endpoint</x:v>
      </x:c>
      <x:c r="E11" s="114" t="str">
        <x:v>Nudge, assist, teach or reflect.</x:v>
      </x:c>
      <x:c r="F11" s="114" t="str">
        <x:v>Focus windows, cooldown and preference apply.</x:v>
      </x:c>
      <x:c r="G11" s="114" t="str">
        <x:v>Employee</x:v>
      </x:c>
      <x:c r="H11" s="114" t="str">
        <x:v>No manager copy by default.</x:v>
      </x:c>
      <x:c r="I11" s="848" t="str">
        <x:v>Draft Complete</x:v>
      </x:c>
    </x:row>
    <x:row r="12">
      <x:c r="A12" s="852" t="str">
        <x:v>NIM-008</x:v>
      </x:c>
      <x:c r="B12" s="853" t="str">
        <x:v>LEARNING_MILESTONE</x:v>
      </x:c>
      <x:c r="C12" s="853" t="str">
        <x:v>Medium/low</x:v>
      </x:c>
      <x:c r="D12" s="853" t="str">
        <x:v>Learning workspace/digest</x:v>
      </x:c>
      <x:c r="E12" s="853" t="str">
        <x:v>Plan, practice, mentor or reassessment milestone.</x:v>
      </x:c>
      <x:c r="F12" s="853" t="str">
        <x:v>Digest unless deadline/employee preference.</x:v>
      </x:c>
      <x:c r="G12" s="853" t="str">
        <x:v>Employee/L&amp;D as permitted</x:v>
      </x:c>
      <x:c r="H12" s="853" t="str">
        <x:v>Completion not capability proof.</x:v>
      </x:c>
      <x:c r="I12" s="854" t="str">
        <x:v>Draft Complete</x:v>
      </x:c>
    </x:row>
    <x:row r="13">
      <x:c r="A13" s="847" t="str">
        <x:v>NIM-009</x:v>
      </x:c>
      <x:c r="B13" s="114" t="str">
        <x:v>TASK_STATUS</x:v>
      </x:c>
      <x:c r="C13" s="114" t="str">
        <x:v>Low/medium</x:v>
      </x:c>
      <x:c r="D13" s="114" t="str">
        <x:v>Task workspace/digest</x:v>
      </x:c>
      <x:c r="E13" s="114" t="str">
        <x:v>Task assignment, criteria change, deadline or reviewer update.</x:v>
      </x:c>
      <x:c r="F13" s="114" t="str">
        <x:v>Batch similar updates.</x:v>
      </x:c>
      <x:c r="G13" s="114" t="str">
        <x:v>Employee/manager/reviewer</x:v>
      </x:c>
      <x:c r="H13" s="114" t="str">
        <x:v>Criteria version change highlighted.</x:v>
      </x:c>
      <x:c r="I13" s="848" t="str">
        <x:v>Draft Complete</x:v>
      </x:c>
    </x:row>
    <x:row r="14">
      <x:c r="A14" s="852" t="str">
        <x:v>NIM-010</x:v>
      </x:c>
      <x:c r="B14" s="853" t="str">
        <x:v>SYSTEM_DEGRADED</x:v>
      </x:c>
      <x:c r="C14" s="853" t="str">
        <x:v>Medium/high</x:v>
      </x:c>
      <x:c r="D14" s="853" t="str">
        <x:v>Relevant workspace status/banner</x:v>
      </x:c>
      <x:c r="E14" s="853" t="str">
        <x:v>Adapter, replay, policy, read model or evidence service unavailable.</x:v>
      </x:c>
      <x:c r="F14" s="853" t="str">
        <x:v>Do not spam repeated known incident.</x:v>
      </x:c>
      <x:c r="G14" s="853" t="str">
        <x:v>Affected audience</x:v>
      </x:c>
      <x:c r="H14" s="853" t="str">
        <x:v>Explain effect on confidence/availability.</x:v>
      </x:c>
      <x:c r="I14" s="854" t="str">
        <x:v>Draft Complete</x:v>
      </x:c>
    </x:row>
    <x:row r="15">
      <x:c r="A15" s="847" t="str">
        <x:v>NIM-011</x:v>
      </x:c>
      <x:c r="B15" s="114" t="str">
        <x:v>Notification state</x:v>
      </x:c>
      <x:c r="C15" s="114" t="str">
        <x:v>N/A</x:v>
      </x:c>
      <x:c r="D15" s="114" t="str">
        <x:v>All channels</x:v>
      </x:c>
      <x:c r="E15" s="114" t="str">
        <x:v>Created, queued, delivered, seen, actioned, snoozed, expired, withdrawn, failed.</x:v>
      </x:c>
      <x:c r="F15" s="114" t="str">
        <x:v>Versioned state.</x:v>
      </x:c>
      <x:c r="G15" s="114" t="str">
        <x:v>System/user</x:v>
      </x:c>
      <x:c r="H15" s="114" t="str">
        <x:v>Withdraw stale-context coaching automatically.</x:v>
      </x:c>
      <x:c r="I15" s="848" t="str">
        <x:v>Draft Complete</x:v>
      </x:c>
    </x:row>
    <x:row r="16">
      <x:c r="A16" s="852" t="str">
        <x:v>NIM-012</x:v>
      </x:c>
      <x:c r="B16" s="853" t="str">
        <x:v>Digest model</x:v>
      </x:c>
      <x:c r="C16" s="853" t="str">
        <x:v>Low/medium</x:v>
      </x:c>
      <x:c r="D16" s="853" t="str">
        <x:v>Scheduled HumanOS inbox/email summary</x:v>
      </x:c>
      <x:c r="E16" s="853" t="str">
        <x:v>Combine non-urgent task, learning and review updates.</x:v>
      </x:c>
      <x:c r="F16" s="853" t="str">
        <x:v>Employee preferences/time zone.</x:v>
      </x:c>
      <x:c r="G16" s="853" t="str">
        <x:v>Audience-specific</x:v>
      </x:c>
      <x:c r="H16" s="853" t="str">
        <x:v>No raw evidence/sensitive content.</x:v>
      </x:c>
      <x:c r="I16" s="854" t="str">
        <x:v>Draft Complete</x:v>
      </x:c>
    </x:row>
    <x:row r="17">
      <x:c r="A17" s="847" t="str">
        <x:v>NIM-013</x:v>
      </x:c>
      <x:c r="B17" s="114" t="str">
        <x:v>Action semantics</x:v>
      </x:c>
      <x:c r="C17" s="114" t="str">
        <x:v>N/A</x:v>
      </x:c>
      <x:c r="D17" s="114" t="str">
        <x:v>Notification action links/buttons</x:v>
      </x:c>
      <x:c r="E17" s="114" t="str">
        <x:v>Each notification has one primary action and optional secondary actions.</x:v>
      </x:c>
      <x:c r="F17" s="114" t="str">
        <x:v>Actions deep-link to authorised view.</x:v>
      </x:c>
      <x:c r="G17" s="114" t="str">
        <x:v>All</x:v>
      </x:c>
      <x:c r="H17" s="114" t="str">
        <x:v>Status tag is never interactive; use actual button/link.</x:v>
      </x:c>
      <x:c r="I17" s="848" t="str">
        <x:v>Draft Complete</x:v>
      </x:c>
    </x:row>
    <x:row r="18">
      <x:c r="A18" s="852" t="str">
        <x:v>NIM-014</x:v>
      </x:c>
      <x:c r="B18" s="853" t="str">
        <x:v>Status announcements</x:v>
      </x:c>
      <x:c r="C18" s="853" t="str">
        <x:v>N/A</x:v>
      </x:c>
      <x:c r="D18" s="853" t="str">
        <x:v>In-page/live region</x:v>
      </x:c>
      <x:c r="E18" s="853" t="str">
        <x:v>Save, load, background job and validation result messages.</x:v>
      </x:c>
      <x:c r="F18" s="853" t="str">
        <x:v>ARIA status/alert based on urgency.</x:v>
      </x:c>
      <x:c r="G18" s="853" t="str">
        <x:v>All</x:v>
      </x:c>
      <x:c r="H18" s="853" t="str">
        <x:v>Avoid duplicate banner/error-summary announcements.</x:v>
      </x:c>
      <x:c r="I18" s="854" t="str">
        <x:v>Draft Complete</x:v>
      </x:c>
    </x:row>
    <x:row r="19">
      <x:c r="A19" s="847" t="str">
        <x:v>NIM-015</x:v>
      </x:c>
      <x:c r="B19" s="114" t="str">
        <x:v>Quiet hours and focus</x:v>
      </x:c>
      <x:c r="C19" s="114" t="str">
        <x:v>N/A</x:v>
      </x:c>
      <x:c r="D19" s="114" t="str">
        <x:v>Notification policy</x:v>
      </x:c>
      <x:c r="E19" s="114" t="str">
        <x:v>Employee/team/jurisdiction quiet periods and focus mode.</x:v>
      </x:c>
      <x:c r="F19" s="114" t="str">
        <x:v>Critical exceptions separately enumerated.</x:v>
      </x:c>
      <x:c r="G19" s="114" t="str">
        <x:v>Employee</x:v>
      </x:c>
      <x:c r="H19" s="114" t="str">
        <x:v>No hidden override for ordinary coaching.</x:v>
      </x:c>
      <x:c r="I19" s="848" t="str">
        <x:v>Draft Complete</x:v>
      </x:c>
    </x:row>
    <x:row r="20">
      <x:c r="A20" s="852" t="str">
        <x:v>NIM-016</x:v>
      </x:c>
      <x:c r="B20" s="853" t="str">
        <x:v>Channel security</x:v>
      </x:c>
      <x:c r="C20" s="853" t="str">
        <x:v>N/A</x:v>
      </x:c>
      <x:c r="D20" s="853" t="str">
        <x:v>Email/push/desktop/inbox</x:v>
      </x:c>
      <x:c r="E20" s="853" t="str">
        <x:v>Classify what detail may appear by channel.</x:v>
      </x:c>
      <x:c r="F20" s="853" t="str">
        <x:v>Sensitive items show generic notice and secure deep link.</x:v>
      </x:c>
      <x:c r="G20" s="853" t="str">
        <x:v>All</x:v>
      </x:c>
      <x:c r="H20" s="853" t="str">
        <x:v>No screenshots, prompts, findings or private notes in external preview.</x:v>
      </x:c>
      <x:c r="I20" s="854" t="str">
        <x:v>Draft Complete</x:v>
      </x:c>
    </x:row>
    <x:row r="21">
      <x:c r="A21" s="847" t="str">
        <x:v>NIM-017</x:v>
      </x:c>
      <x:c r="B21" s="114" t="str">
        <x:v>Reminder/escalation</x:v>
      </x:c>
      <x:c r="C21" s="114" t="str">
        <x:v>N/A</x:v>
      </x:c>
      <x:c r="D21" s="114" t="str">
        <x:v>Workflow</x:v>
      </x:c>
      <x:c r="E21" s="114" t="str">
        <x:v>Reminder cadence, max attempts, escalation owner and stop conditions.</x:v>
      </x:c>
      <x:c r="F21" s="114" t="str">
        <x:v>Avoid harassment and duplicate escalation.</x:v>
      </x:c>
      <x:c r="G21" s="114" t="str">
        <x:v>Workflow roles</x:v>
      </x:c>
      <x:c r="H21" s="114" t="str">
        <x:v>Employee response/dispute pauses inappropriate reminders.</x:v>
      </x:c>
      <x:c r="I21" s="848" t="str">
        <x:v>Draft Complete</x:v>
      </x:c>
    </x:row>
    <x:row r="22">
      <x:c r="A22" s="855" t="str">
        <x:v>NIM-018</x:v>
      </x:c>
      <x:c r="B22" s="856" t="str">
        <x:v>Notification accessibility</x:v>
      </x:c>
      <x:c r="C22" s="856" t="str">
        <x:v>N/A</x:v>
      </x:c>
      <x:c r="D22" s="856" t="str">
        <x:v>All channels</x:v>
      </x:c>
      <x:c r="E22" s="856" t="str">
        <x:v>Clear titles, accessible names, keyboard action, reduced motion and non-colour severity.</x:v>
      </x:c>
      <x:c r="F22" s="856" t="str">
        <x:v>WCAG 2.2 AA.</x:v>
      </x:c>
      <x:c r="G22" s="856" t="str">
        <x:v>All</x:v>
      </x:c>
      <x:c r="H22" s="856" t="str">
        <x:v>No auto-disappearing critical information without history.</x:v>
      </x:c>
      <x:c r="I22" s="857" t="str">
        <x:v>Draft Complete</x:v>
      </x:c>
    </x:row>
  </x:sheetData>
  <x:mergeCells>
    <x:mergeCell ref="A1:I1"/>
    <x:mergeCell ref="A2:I2"/>
  </x:mergeCells>
  <x:dataValidations count="1">
    <x:dataValidation type="list" sqref="I5:I22">
      <x:formula1>"Draft Complete,Needs Review,Approved,Deferred"</x:formula1>
    </x:dataValidation>
  </x:dataValidations>
  <x:pageMargins left="0.7" right="0.7" top="0.75" bottom="0.75" header="0.3" footer="0.3"/>
</x:worksheet>
</file>

<file path=xl/worksheets/sheet145.xml><?xml version="1.0" encoding="utf-8"?>
<x:worksheet xmlns:x="http://schemas.openxmlformats.org/spreadsheetml/2006/main">
  <x:sheetFormatPr defaultRowHeight="15"/>
  <x:cols>
    <x:col min="1" max="1" width="12" hidden="0" customWidth="1"/>
    <x:col min="2" max="2" width="32" hidden="0" customWidth="1"/>
    <x:col min="3" max="3" width="24" hidden="0" customWidth="1"/>
    <x:col min="4" max="4" width="60" hidden="0" customWidth="1"/>
    <x:col min="5" max="5" width="38" hidden="0" customWidth="1"/>
    <x:col min="6" max="6" width="34" hidden="0" customWidth="1"/>
    <x:col min="7" max="7" width="50" hidden="0" customWidth="1"/>
    <x:col min="8" max="8" width="58" hidden="0" customWidth="1"/>
    <x:col min="9" max="9" width="18" hidden="0" customWidth="1"/>
  </x:cols>
  <x:sheetData>
    <x:row r="1" ht="30" customHeight="1">
      <x:c r="A1" s="809" t="str">
        <x:v>Stage 10 — Access and Privacy UX</x:v>
      </x:c>
      <x:c r="B1" s="809"/>
      <x:c r="C1" s="809"/>
      <x:c r="D1" s="809"/>
      <x:c r="E1" s="809"/>
      <x:c r="F1" s="809"/>
      <x:c r="G1" s="809"/>
      <x:c r="H1" s="809"/>
      <x:c r="I1" s="809"/>
    </x:row>
    <x:row r="2" ht="38" customHeight="1">
      <x:c r="A2" s="813" t="str">
        <x:v>Employee-visible monitoring, policy, sensor, exclusion, access, retention, correction, export and support experience.</x:v>
      </x:c>
      <x:c r="B2" s="813"/>
      <x:c r="C2" s="813"/>
      <x:c r="D2" s="813"/>
      <x:c r="E2" s="813"/>
      <x:c r="F2" s="813"/>
      <x:c r="G2" s="813"/>
      <x:c r="H2" s="813"/>
      <x:c r="I2" s="813"/>
    </x:row>
    <x:row r="4" ht="30" customHeight="1">
      <x:c r="A4" s="825" t="str">
        <x:v>ID</x:v>
      </x:c>
      <x:c r="B4" s="826" t="str">
        <x:v>Privacy experience</x:v>
      </x:c>
      <x:c r="C4" s="826" t="str">
        <x:v>Audience</x:v>
      </x:c>
      <x:c r="D4" s="826" t="str">
        <x:v>Content / requirement</x:v>
      </x:c>
      <x:c r="E4" s="826" t="str">
        <x:v>Data source</x:v>
      </x:c>
      <x:c r="F4" s="826" t="str">
        <x:v>Access scope</x:v>
      </x:c>
      <x:c r="G4" s="826" t="str">
        <x:v>UX / degraded-state rule</x:v>
      </x:c>
      <x:c r="H4" s="826" t="str">
        <x:v>Prohibited use / guardrail</x:v>
      </x:c>
      <x:c r="I4" s="827" t="str">
        <x:v>Status</x:v>
      </x:c>
    </x:row>
    <x:row r="5">
      <x:c r="A5" s="844" t="str">
        <x:v>APUX-001</x:v>
      </x:c>
      <x:c r="B5" s="845" t="str">
        <x:v>Monitoring status</x:v>
      </x:c>
      <x:c r="C5" s="845" t="str">
        <x:v>Employee</x:v>
      </x:c>
      <x:c r="D5" s="845" t="str">
        <x:v>Whether monitoring is active, current task/session, sensors and last policy check.</x:v>
      </x:c>
      <x:c r="E5" s="845" t="str">
        <x:v>Device Control/Policy/Health</x:v>
      </x:c>
      <x:c r="F5" s="845" t="str">
        <x:v>Own device/session.</x:v>
      </x:c>
      <x:c r="G5" s="845" t="str">
        <x:v>Persistent indicator; status change announced.</x:v>
      </x:c>
      <x:c r="H5" s="845" t="str">
        <x:v>No ambiguous or hidden active state.</x:v>
      </x:c>
      <x:c r="I5" s="846" t="str">
        <x:v>Draft Complete</x:v>
      </x:c>
    </x:row>
    <x:row r="6">
      <x:c r="A6" s="852" t="str">
        <x:v>APUX-002</x:v>
      </x:c>
      <x:c r="B6" s="853" t="str">
        <x:v>What is collected</x:v>
      </x:c>
      <x:c r="C6" s="853" t="str">
        <x:v>Employee</x:v>
      </x:c>
      <x:c r="D6" s="853" t="str">
        <x:v>Data categories, examples, purpose, minimisation and prohibited uses.</x:v>
      </x:c>
      <x:c r="E6" s="853" t="str">
        <x:v>Purpose Policy Matrix/Policy Service</x:v>
      </x:c>
      <x:c r="F6" s="853" t="str">
        <x:v>Applicable policy.</x:v>
      </x:c>
      <x:c r="G6" s="853" t="str">
        <x:v>Plain-language layered notice with detailed link.</x:v>
      </x:c>
      <x:c r="H6" s="853" t="str">
        <x:v>No vague 'activity data' catch-all.</x:v>
      </x:c>
      <x:c r="I6" s="854" t="str">
        <x:v>Draft Complete</x:v>
      </x:c>
    </x:row>
    <x:row r="7">
      <x:c r="A7" s="847" t="str">
        <x:v>APUX-003</x:v>
      </x:c>
      <x:c r="B7" s="114" t="str">
        <x:v>Why it is collected</x:v>
      </x:c>
      <x:c r="C7" s="114" t="str">
        <x:v>Employee</x:v>
      </x:c>
      <x:c r="D7" s="114" t="str">
        <x:v>Task assurance, evidence, coaching, security or legal purpose codes.</x:v>
      </x:c>
      <x:c r="E7" s="114" t="str">
        <x:v>Policy/Purpose registry</x:v>
      </x:c>
      <x:c r="F7" s="114" t="str">
        <x:v>Applicable policy.</x:v>
      </x:c>
      <x:c r="G7" s="114" t="str">
        <x:v>Purpose shown beside relevant data class.</x:v>
      </x:c>
      <x:c r="H7" s="114" t="str">
        <x:v>No secondary use without new approval/notice.</x:v>
      </x:c>
      <x:c r="I7" s="848" t="str">
        <x:v>Draft Complete</x:v>
      </x:c>
    </x:row>
    <x:row r="8">
      <x:c r="A8" s="852" t="str">
        <x:v>APUX-004</x:v>
      </x:c>
      <x:c r="B8" s="853" t="str">
        <x:v>Policy version/history</x:v>
      </x:c>
      <x:c r="C8" s="853" t="str">
        <x:v>Employee/governance</x:v>
      </x:c>
      <x:c r="D8" s="853" t="str">
        <x:v>Effective policy, prior versions, changes, approval and jurisdiction.</x:v>
      </x:c>
      <x:c r="E8" s="853" t="str">
        <x:v>Policy/Audit</x:v>
      </x:c>
      <x:c r="F8" s="853" t="str">
        <x:v>Own policy context or governance scope.</x:v>
      </x:c>
      <x:c r="G8" s="853" t="str">
        <x:v>Change summary and effective date.</x:v>
      </x:c>
      <x:c r="H8" s="853" t="str">
        <x:v>No silent policy replacement.</x:v>
      </x:c>
      <x:c r="I8" s="854" t="str">
        <x:v>Draft Complete</x:v>
      </x:c>
    </x:row>
    <x:row r="9">
      <x:c r="A9" s="847" t="str">
        <x:v>APUX-005</x:v>
      </x:c>
      <x:c r="B9" s="114" t="str">
        <x:v>Active sensors</x:v>
      </x:c>
      <x:c r="C9" s="114" t="str">
        <x:v>Employee</x:v>
      </x:c>
      <x:c r="D9" s="114" t="str">
        <x:v>Application/window, process, visual, input metadata, text delta, browser, shell, Git/agent adapters and status.</x:v>
      </x:c>
      <x:c r="E9" s="114" t="str">
        <x:v>Agent health/coverage</x:v>
      </x:c>
      <x:c r="F9" s="114" t="str">
        <x:v>Own device/session.</x:v>
      </x:c>
      <x:c r="G9" s="114" t="str">
        <x:v>Supported/degraded/denied/disabled labels.</x:v>
      </x:c>
      <x:c r="H9" s="114" t="str">
        <x:v>No sensor hidden from employee.</x:v>
      </x:c>
      <x:c r="I9" s="848" t="str">
        <x:v>Draft Complete</x:v>
      </x:c>
    </x:row>
    <x:row r="10">
      <x:c r="A10" s="852" t="str">
        <x:v>APUX-006</x:v>
      </x:c>
      <x:c r="B10" s="853" t="str">
        <x:v>Exclusions</x:v>
      </x:c>
      <x:c r="C10" s="853" t="str">
        <x:v>Employee/IT/DPO</x:v>
      </x:c>
      <x:c r="D10" s="853" t="str">
        <x:v>Excluded apps, domains, displays, controls and approved project roots.</x:v>
      </x:c>
      <x:c r="E10" s="853" t="str">
        <x:v>Policy bundle</x:v>
      </x:c>
      <x:c r="F10" s="853" t="str">
        <x:v>Employee-readable; edit rights by role.</x:v>
      </x:c>
      <x:c r="G10" s="853" t="str">
        <x:v>Clear exact/ category exclusions and test status.</x:v>
      </x:c>
      <x:c r="H10" s="853" t="str">
        <x:v>No exposure of sensitive exclusion details beyond need.</x:v>
      </x:c>
      <x:c r="I10" s="854" t="str">
        <x:v>Draft Complete</x:v>
      </x:c>
    </x:row>
    <x:row r="11">
      <x:c r="A11" s="847" t="str">
        <x:v>APUX-007</x:v>
      </x:c>
      <x:c r="B11" s="114" t="str">
        <x:v>Pause/private control</x:v>
      </x:c>
      <x:c r="C11" s="114" t="str">
        <x:v>Employee</x:v>
      </x:c>
      <x:c r="D11" s="114" t="str">
        <x:v>Pause reason optional, permitted duration, current effect and resume status.</x:v>
      </x:c>
      <x:c r="E11" s="114" t="str">
        <x:v>Session Controller/Policy</x:v>
      </x:c>
      <x:c r="F11" s="114" t="str">
        <x:v>Own active session.</x:v>
      </x:c>
      <x:c r="G11" s="114" t="str">
        <x:v>Immediate visible confirmation and audit.</x:v>
      </x:c>
      <x:c r="H11" s="114" t="str">
        <x:v>Pause use not performance evidence.</x:v>
      </x:c>
      <x:c r="I11" s="848" t="str">
        <x:v>Draft Complete</x:v>
      </x:c>
    </x:row>
    <x:row r="12">
      <x:c r="A12" s="852" t="str">
        <x:v>APUX-008</x:v>
      </x:c>
      <x:c r="B12" s="853" t="str">
        <x:v>Secure-field protection</x:v>
      </x:c>
      <x:c r="C12" s="853" t="str">
        <x:v>Employee</x:v>
      </x:c>
      <x:c r="D12" s="853" t="str">
        <x:v>How passwords/authentication/secrets are suppressed and how to report leakage.</x:v>
      </x:c>
      <x:c r="E12" s="853" t="str">
        <x:v>Security policy/test status</x:v>
      </x:c>
      <x:c r="F12" s="853" t="str">
        <x:v>General/own incident.</x:v>
      </x:c>
      <x:c r="G12" s="853" t="str">
        <x:v>No display of secret examples beyond synthetic guidance.</x:v>
      </x:c>
      <x:c r="H12" s="853" t="str">
        <x:v>No claim of perfect detection without limitations.</x:v>
      </x:c>
      <x:c r="I12" s="854" t="str">
        <x:v>Draft Complete</x:v>
      </x:c>
    </x:row>
    <x:row r="13">
      <x:c r="A13" s="847" t="str">
        <x:v>APUX-009</x:v>
      </x:c>
      <x:c r="B13" s="114" t="str">
        <x:v>Data location/processor</x:v>
      </x:c>
      <x:c r="C13" s="114" t="str">
        <x:v>Employee/governance</x:v>
      </x:c>
      <x:c r="D13" s="114" t="str">
        <x:v>Region, processor/model route and transfer status by evidence class.</x:v>
      </x:c>
      <x:c r="E13" s="114" t="str">
        <x:v>Jurisdiction/Model Gateway/Object Service</x:v>
      </x:c>
      <x:c r="F13" s="114" t="str">
        <x:v>Own records/general policy.</x:v>
      </x:c>
      <x:c r="G13" s="114" t="str">
        <x:v>Unavailable/conditional processing stated.</x:v>
      </x:c>
      <x:c r="H13" s="114" t="str">
        <x:v>No unsupported data-residency promise.</x:v>
      </x:c>
      <x:c r="I13" s="848" t="str">
        <x:v>Draft Complete</x:v>
      </x:c>
    </x:row>
    <x:row r="14">
      <x:c r="A14" s="852" t="str">
        <x:v>APUX-010</x:v>
      </x:c>
      <x:c r="B14" s="853" t="str">
        <x:v>Retention schedule</x:v>
      </x:c>
      <x:c r="C14" s="853" t="str">
        <x:v>Employee</x:v>
      </x:c>
      <x:c r="D14" s="853" t="str">
        <x:v>Raw metadata, visual/text, task assessment, capability, coaching and audit retention.</x:v>
      </x:c>
      <x:c r="E14" s="853" t="str">
        <x:v>Retention Service</x:v>
      </x:c>
      <x:c r="F14" s="853" t="str">
        <x:v>Own/applicable classes.</x:v>
      </x:c>
      <x:c r="G14" s="853" t="str">
        <x:v>Expiry/hold/deletion state.</x:v>
      </x:c>
      <x:c r="H14" s="853" t="str">
        <x:v>No single indefinite retention statement.</x:v>
      </x:c>
      <x:c r="I14" s="854" t="str">
        <x:v>Draft Complete</x:v>
      </x:c>
    </x:row>
    <x:row r="15">
      <x:c r="A15" s="847" t="str">
        <x:v>APUX-011</x:v>
      </x:c>
      <x:c r="B15" s="114" t="str">
        <x:v>Access history</x:v>
      </x:c>
      <x:c r="C15" s="114" t="str">
        <x:v>Employee</x:v>
      </x:c>
      <x:c r="D15" s="114" t="str">
        <x:v>Requester/viewer, purpose, evidence scope, grant and export history.</x:v>
      </x:c>
      <x:c r="E15" s="114" t="str">
        <x:v>Audit/Access Broker</x:v>
      </x:c>
      <x:c r="F15" s="114" t="str">
        <x:v>Own subject records.</x:v>
      </x:c>
      <x:c r="G15" s="114" t="str">
        <x:v>Delayed-event indicator and report concern action.</x:v>
      </x:c>
      <x:c r="H15" s="114" t="str">
        <x:v>No hidden raw access.</x:v>
      </x:c>
      <x:c r="I15" s="848" t="str">
        <x:v>Draft Complete</x:v>
      </x:c>
    </x:row>
    <x:row r="16">
      <x:c r="A16" s="852" t="str">
        <x:v>APUX-012</x:v>
      </x:c>
      <x:c r="B16" s="853" t="str">
        <x:v>Access grant details</x:v>
      </x:c>
      <x:c r="C16" s="853" t="str">
        <x:v>Employee/reviewer/manager requester</x:v>
      </x:c>
      <x:c r="D16" s="853" t="str">
        <x:v>Scope, purpose, approver, duration, status and viewed items.</x:v>
      </x:c>
      <x:c r="E16" s="853" t="str">
        <x:v>Access Broker</x:v>
      </x:c>
      <x:c r="F16" s="853" t="str">
        <x:v>Subject/requester/approver-specific.</x:v>
      </x:c>
      <x:c r="G16" s="853" t="str">
        <x:v>Countdown/expiry and revoke status.</x:v>
      </x:c>
      <x:c r="H16" s="853" t="str">
        <x:v>No broad reusable grant.</x:v>
      </x:c>
      <x:c r="I16" s="854" t="str">
        <x:v>Draft Complete</x:v>
      </x:c>
    </x:row>
    <x:row r="17">
      <x:c r="A17" s="847" t="str">
        <x:v>APUX-013</x:v>
      </x:c>
      <x:c r="B17" s="114" t="str">
        <x:v>Correction and rectification</x:v>
      </x:c>
      <x:c r="C17" s="114" t="str">
        <x:v>Employee</x:v>
      </x:c>
      <x:c r="D17" s="114" t="str">
        <x:v>Correct factual data, task attribution, context and misleading inference.</x:v>
      </x:c>
      <x:c r="E17" s="114" t="str">
        <x:v>Governance/Domain services</x:v>
      </x:c>
      <x:c r="F17" s="114" t="str">
        <x:v>Own records.</x:v>
      </x:c>
      <x:c r="G17" s="114" t="str">
        <x:v>Original/current version and review status.</x:v>
      </x:c>
      <x:c r="H17" s="114" t="str">
        <x:v>No silent correction denial.</x:v>
      </x:c>
      <x:c r="I17" s="848" t="str">
        <x:v>Draft Complete</x:v>
      </x:c>
    </x:row>
    <x:row r="18">
      <x:c r="A18" s="852" t="str">
        <x:v>APUX-014</x:v>
      </x:c>
      <x:c r="B18" s="853" t="str">
        <x:v>Deletion/restriction request</x:v>
      </x:c>
      <x:c r="C18" s="853" t="str">
        <x:v>Employee</x:v>
      </x:c>
      <x:c r="D18" s="853" t="str">
        <x:v>Request deletion, restriction or processing review where applicable.</x:v>
      </x:c>
      <x:c r="E18" s="853" t="str">
        <x:v>Retention/Workflow</x:v>
      </x:c>
      <x:c r="F18" s="853" t="str">
        <x:v>Own records.</x:v>
      </x:c>
      <x:c r="G18" s="853" t="str">
        <x:v>Explain legal/dispute hold and partial approval.</x:v>
      </x:c>
      <x:c r="H18" s="853" t="str">
        <x:v>No false promise of immediate deletion.</x:v>
      </x:c>
      <x:c r="I18" s="854" t="str">
        <x:v>Draft Complete</x:v>
      </x:c>
    </x:row>
    <x:row r="19">
      <x:c r="A19" s="847" t="str">
        <x:v>APUX-015</x:v>
      </x:c>
      <x:c r="B19" s="114" t="str">
        <x:v>Export/access request</x:v>
      </x:c>
      <x:c r="C19" s="114" t="str">
        <x:v>Employee</x:v>
      </x:c>
      <x:c r="D19" s="114" t="str">
        <x:v>Generate scoped machine/human-readable data package.</x:v>
      </x:c>
      <x:c r="E19" s="114" t="str">
        <x:v>Export Service</x:v>
      </x:c>
      <x:c r="F19" s="114" t="str">
        <x:v>Own records.</x:v>
      </x:c>
      <x:c r="G19" s="114" t="str">
        <x:v>Check-answers, job status, expiry and partial errors.</x:v>
      </x:c>
      <x:c r="H19" s="114" t="str">
        <x:v>No unrelated third-party data.</x:v>
      </x:c>
      <x:c r="I19" s="848" t="str">
        <x:v>Draft Complete</x:v>
      </x:c>
    </x:row>
    <x:row r="20">
      <x:c r="A20" s="852" t="str">
        <x:v>APUX-016</x:v>
      </x:c>
      <x:c r="B20" s="853" t="str">
        <x:v>Automated-analysis explanation</x:v>
      </x:c>
      <x:c r="C20" s="853" t="str">
        <x:v>Employee</x:v>
      </x:c>
      <x:c r="D20" s="853" t="str">
        <x:v>Which AI/rules were used, confidence, limitations and human-review boundary.</x:v>
      </x:c>
      <x:c r="E20" s="853" t="str">
        <x:v>Task/Capability/Coaching audit</x:v>
      </x:c>
      <x:c r="F20" s="853" t="str">
        <x:v>Own findings/interventions.</x:v>
      </x:c>
      <x:c r="G20" s="853" t="str">
        <x:v>Plain-language explanation with version refs.</x:v>
      </x:c>
      <x:c r="H20" s="853" t="str">
        <x:v>No opaque automated conclusion.</x:v>
      </x:c>
      <x:c r="I20" s="854" t="str">
        <x:v>Draft Complete</x:v>
      </x:c>
    </x:row>
    <x:row r="21">
      <x:c r="A21" s="847" t="str">
        <x:v>APUX-017</x:v>
      </x:c>
      <x:c r="B21" s="114" t="str">
        <x:v>Complaint/support route</x:v>
      </x:c>
      <x:c r="C21" s="114" t="str">
        <x:v>Employee</x:v>
      </x:c>
      <x:c r="D21" s="114" t="str">
        <x:v>DPO/privacy, HR, technical support, security incident and external rights information.</x:v>
      </x:c>
      <x:c r="E21" s="114" t="str">
        <x:v>Support/Policy content</x:v>
      </x:c>
      <x:c r="F21" s="114" t="str">
        <x:v>All employees.</x:v>
      </x:c>
      <x:c r="G21" s="114" t="str">
        <x:v>Consistent placement and offline alternative.</x:v>
      </x:c>
      <x:c r="H21" s="114" t="str">
        <x:v>No retaliation or hidden channel.</x:v>
      </x:c>
      <x:c r="I21" s="848" t="str">
        <x:v>Draft Complete</x:v>
      </x:c>
    </x:row>
    <x:row r="22">
      <x:c r="A22" s="852" t="str">
        <x:v>APUX-018</x:v>
      </x:c>
      <x:c r="B22" s="853" t="str">
        <x:v>Consent/acknowledgement semantics</x:v>
      </x:c>
      <x:c r="C22" s="853" t="str">
        <x:v>Employee/HR</x:v>
      </x:c>
      <x:c r="D22" s="853" t="str">
        <x:v>Record notice acknowledgement or optional consent where legally appropriate.</x:v>
      </x:c>
      <x:c r="E22" s="853" t="str">
        <x:v>Policy/Workflow</x:v>
      </x:c>
      <x:c r="F22" s="853" t="str">
        <x:v>Own policy interaction.</x:v>
      </x:c>
      <x:c r="G22" s="853" t="str">
        <x:v>Distinguish acknowledgement, preference and lawful basis.</x:v>
      </x:c>
      <x:c r="H22" s="853" t="str">
        <x:v>Do not present employment consent as automatically freely given.</x:v>
      </x:c>
      <x:c r="I22" s="854" t="str">
        <x:v>Draft Complete</x:v>
      </x:c>
    </x:row>
    <x:row r="23">
      <x:c r="A23" s="847" t="str">
        <x:v>APUX-019</x:v>
      </x:c>
      <x:c r="B23" s="114" t="str">
        <x:v>Homeworking warning</x:v>
      </x:c>
      <x:c r="C23" s="114" t="str">
        <x:v>Employee</x:v>
      </x:c>
      <x:c r="D23" s="114" t="str">
        <x:v>Higher private-life risk, monitor/display/app exclusions and household-content protection.</x:v>
      </x:c>
      <x:c r="E23" s="114" t="str">
        <x:v>Jurisdiction/Policy</x:v>
      </x:c>
      <x:c r="F23" s="114" t="str">
        <x:v>Remote workers.</x:v>
      </x:c>
      <x:c r="G23" s="114" t="str">
        <x:v>Prompt before first remote session and policy change.</x:v>
      </x:c>
      <x:c r="H23" s="114" t="str">
        <x:v>No capture outside approved device/session.</x:v>
      </x:c>
      <x:c r="I23" s="848" t="str">
        <x:v>Draft Complete</x:v>
      </x:c>
    </x:row>
    <x:row r="24">
      <x:c r="A24" s="855" t="str">
        <x:v>APUX-020</x:v>
      </x:c>
      <x:c r="B24" s="856" t="str">
        <x:v>Privacy dashboard accessibility</x:v>
      </x:c>
      <x:c r="C24" s="856" t="str">
        <x:v>All</x:v>
      </x:c>
      <x:c r="D24" s="856" t="str">
        <x:v>Keyboard, screen-reader, zoom/reflow, accessible authentication, focus and plain-language support.</x:v>
      </x:c>
      <x:c r="E24" s="856" t="str">
        <x:v>Design system/WCAG tests</x:v>
      </x:c>
      <x:c r="F24" s="856" t="str">
        <x:v>All authorised users.</x:v>
      </x:c>
      <x:c r="G24" s="856" t="str">
        <x:v>WCAG 2.2 AA test status shown internally.</x:v>
      </x:c>
      <x:c r="H24" s="856" t="str">
        <x:v>Accessible component use alone is not considered full conformance.</x:v>
      </x:c>
      <x:c r="I24" s="85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146.xml><?xml version="1.0" encoding="utf-8"?>
<x:worksheet xmlns:x="http://schemas.openxmlformats.org/spreadsheetml/2006/main">
  <x:sheetFormatPr defaultRowHeight="15"/>
  <x:cols>
    <x:col min="1" max="1" width="12" hidden="0" customWidth="1"/>
    <x:col min="2" max="2" width="34" hidden="0" customWidth="1"/>
    <x:col min="3" max="3" width="24" hidden="0" customWidth="1"/>
    <x:col min="4" max="4" width="58" hidden="0" customWidth="1"/>
    <x:col min="5" max="5" width="50" hidden="0" customWidth="1"/>
    <x:col min="6" max="6" width="34" hidden="0" customWidth="1"/>
    <x:col min="7" max="7" width="36" hidden="0" customWidth="1"/>
    <x:col min="8" max="8" width="58" hidden="0" customWidth="1"/>
    <x:col min="9" max="9" width="38" hidden="0" customWidth="1"/>
    <x:col min="10" max="10" width="18" hidden="0" customWidth="1"/>
  </x:cols>
  <x:sheetData>
    <x:row r="1" ht="30" customHeight="1">
      <x:c r="A1" s="809" t="str">
        <x:v>Stage 10 — Reporting and Experience Read Models</x:v>
      </x:c>
      <x:c r="B1" s="809"/>
      <x:c r="C1" s="809"/>
      <x:c r="D1" s="809"/>
      <x:c r="E1" s="809"/>
      <x:c r="F1" s="809"/>
      <x:c r="G1" s="809"/>
      <x:c r="H1" s="809"/>
      <x:c r="I1" s="809"/>
      <x:c r="J1" s="809"/>
    </x:row>
    <x:row r="2" ht="38" customHeight="1">
      <x:c r="A2" s="813" t="str">
        <x:v>Audience-specific materialised views derived from reviewed domain events. Every model defines freshness, access scope and prohibited content.</x:v>
      </x:c>
      <x:c r="B2" s="813"/>
      <x:c r="C2" s="813"/>
      <x:c r="D2" s="813"/>
      <x:c r="E2" s="813"/>
      <x:c r="F2" s="813"/>
      <x:c r="G2" s="813"/>
      <x:c r="H2" s="813"/>
      <x:c r="I2" s="813"/>
      <x:c r="J2" s="813"/>
    </x:row>
    <x:row r="4" ht="30" customHeight="1">
      <x:c r="A4" s="825" t="str">
        <x:v>ID</x:v>
      </x:c>
      <x:c r="B4" s="826" t="str">
        <x:v>Read model</x:v>
      </x:c>
      <x:c r="C4" s="826" t="str">
        <x:v>Audience</x:v>
      </x:c>
      <x:c r="D4" s="826" t="str">
        <x:v>Content</x:v>
      </x:c>
      <x:c r="E4" s="826" t="str">
        <x:v>Source events/services</x:v>
      </x:c>
      <x:c r="F4" s="826" t="str">
        <x:v>Freshness / versioning</x:v>
      </x:c>
      <x:c r="G4" s="826" t="str">
        <x:v>Access scope</x:v>
      </x:c>
      <x:c r="H4" s="826" t="str">
        <x:v>Prohibited content / use</x:v>
      </x:c>
      <x:c r="I4" s="826" t="str">
        <x:v>Implementation</x:v>
      </x:c>
      <x:c r="J4" s="827" t="str">
        <x:v>Status</x:v>
      </x:c>
    </x:row>
    <x:row r="5">
      <x:c r="A5" s="844" t="str">
        <x:v>RM-001</x:v>
      </x:c>
      <x:c r="B5" s="845" t="str">
        <x:v>EmployeeWorkspaceReadModel</x:v>
      </x:c>
      <x:c r="C5" s="845" t="str">
        <x:v>Employee</x:v>
      </x:c>
      <x:c r="D5" s="845" t="str">
        <x:v>Tasks, active session, assurance, evidence summary, capability, coaching, learning, reviews and privacy alerts.</x:v>
      </x:c>
      <x:c r="E5" s="845" t="str">
        <x:v>Task/Assurance/Evidence/Capability/Coaching/Workflow events</x:v>
      </x:c>
      <x:c r="F5" s="845" t="str">
        <x:v>Near-real-time; version/freshness fields.</x:v>
      </x:c>
      <x:c r="G5" s="845" t="str">
        <x:v>person_id self; tenant; policy.</x:v>
      </x:c>
      <x:c r="H5" s="845" t="str">
        <x:v>No raw evidence/private third-party content.</x:v>
      </x:c>
      <x:c r="I5" s="845" t="str">
        <x:v>Java/Kafka projector + PostgreSQL</x:v>
      </x:c>
      <x:c r="J5" s="846" t="str">
        <x:v>Draft Complete</x:v>
      </x:c>
    </x:row>
    <x:row r="6">
      <x:c r="A6" s="852" t="str">
        <x:v>RM-002</x:v>
      </x:c>
      <x:c r="B6" s="853" t="str">
        <x:v>EmployeeEvidenceTimelineReadModel</x:v>
      </x:c>
      <x:c r="C6" s="853" t="str">
        <x:v>Employee/reviewer</x:v>
      </x:c>
      <x:c r="D6" s="853" t="str">
        <x:v>Ordered events, episodes, artefacts, gaps, provenance, corrections and assessment versions.</x:v>
      </x:c>
      <x:c r="E6" s="853" t="str">
        <x:v>Evidence/Replay/Provenance events</x:v>
      </x:c>
      <x:c r="F6" s="853" t="str">
        <x:v>Seconds/minutes depending replay.</x:v>
      </x:c>
      <x:c r="G6" s="853" t="str">
        <x:v>Self or case/grant scope.</x:v>
      </x:c>
      <x:c r="H6" s="853" t="str">
        <x:v>Raw objects referenced and grant-controlled.</x:v>
      </x:c>
      <x:c r="I6" s="853" t="str">
        <x:v>Java/Kafka + PostgreSQL/search</x:v>
      </x:c>
      <x:c r="J6" s="854" t="str">
        <x:v>Draft Complete</x:v>
      </x:c>
    </x:row>
    <x:row r="7">
      <x:c r="A7" s="847" t="str">
        <x:v>RM-003</x:v>
      </x:c>
      <x:c r="B7" s="114" t="str">
        <x:v>EmployeeCapabilityCharacterReadModel</x:v>
      </x:c>
      <x:c r="C7" s="114" t="str">
        <x:v>Employee</x:v>
      </x:c>
      <x:c r="D7" s="114" t="str">
        <x:v>Capability branches, levels, dimensions, confidence, freshness, claims, goals and target role.</x:v>
      </x:c>
      <x:c r="E7" s="114" t="str">
        <x:v>Capability/RoleReadiness/Learning events</x:v>
      </x:c>
      <x:c r="F7" s="114" t="str">
        <x:v>On approved state/version change.</x:v>
      </x:c>
      <x:c r="G7" s="114" t="str">
        <x:v>Self; authorised reviewer by policy.</x:v>
      </x:c>
      <x:c r="H7" s="114" t="str">
        <x:v>No public ranking.</x:v>
      </x:c>
      <x:c r="I7" s="114" t="str">
        <x:v>Java projector + PostgreSQL</x:v>
      </x:c>
      <x:c r="J7" s="848" t="str">
        <x:v>Draft Complete</x:v>
      </x:c>
    </x:row>
    <x:row r="8">
      <x:c r="A8" s="852" t="str">
        <x:v>RM-004</x:v>
      </x:c>
      <x:c r="B8" s="853" t="str">
        <x:v>EmployeeCoachingLearningReadModel</x:v>
      </x:c>
      <x:c r="C8" s="853" t="str">
        <x:v>Employee</x:v>
      </x:c>
      <x:c r="D8" s="853" t="str">
        <x:v>Private interventions, preferences, plan, artefacts, practice, mentor and applied evidence.</x:v>
      </x:c>
      <x:c r="E8" s="853" t="str">
        <x:v>Coaching/Learning/Feedback events</x:v>
      </x:c>
      <x:c r="F8" s="853" t="str">
        <x:v>Near-real-time.</x:v>
      </x:c>
      <x:c r="G8" s="853" t="str">
        <x:v>Self; L&amp;D summary separate.</x:v>
      </x:c>
      <x:c r="H8" s="853" t="str">
        <x:v>Private coaching content excluded from manager model.</x:v>
      </x:c>
      <x:c r="I8" s="853" t="str">
        <x:v>Java projector + PostgreSQL</x:v>
      </x:c>
      <x:c r="J8" s="854" t="str">
        <x:v>Draft Complete</x:v>
      </x:c>
    </x:row>
    <x:row r="9">
      <x:c r="A9" s="847" t="str">
        <x:v>RM-005</x:v>
      </x:c>
      <x:c r="B9" s="114" t="str">
        <x:v>EmployeePrivacyReadModel</x:v>
      </x:c>
      <x:c r="C9" s="114" t="str">
        <x:v>Employee</x:v>
      </x:c>
      <x:c r="D9" s="114" t="str">
        <x:v>Policy, sensors, exclusions, access history, retention, exports and rights cases.</x:v>
      </x:c>
      <x:c r="E9" s="114" t="str">
        <x:v>Policy/Health/Audit/Retention/Workflow events</x:v>
      </x:c>
      <x:c r="F9" s="114" t="str">
        <x:v>Near-real-time/audit-lag field.</x:v>
      </x:c>
      <x:c r="G9" s="114" t="str">
        <x:v>Self.</x:v>
      </x:c>
      <x:c r="H9" s="114" t="str">
        <x:v>No other employee records.</x:v>
      </x:c>
      <x:c r="I9" s="114" t="str">
        <x:v>Java projector + PostgreSQL</x:v>
      </x:c>
      <x:c r="J9" s="848" t="str">
        <x:v>Draft Complete</x:v>
      </x:c>
    </x:row>
    <x:row r="10">
      <x:c r="A10" s="852" t="str">
        <x:v>RM-006</x:v>
      </x:c>
      <x:c r="B10" s="853" t="str">
        <x:v>ManagerExceptionReadModel</x:v>
      </x:c>
      <x:c r="C10" s="853" t="str">
        <x:v>Manager/team lead</x:v>
      </x:c>
      <x:c r="D10" s="853" t="str">
        <x:v>Task/blocker/quality/review exceptions, workload and reviewed development themes.</x:v>
      </x:c>
      <x:c r="E10" s="853" t="str">
        <x:v>Task/Assurance/Workflow/Capability summary events</x:v>
      </x:c>
      <x:c r="F10" s="853" t="str">
        <x:v>Near-real-time.</x:v>
      </x:c>
      <x:c r="G10" s="853" t="str">
        <x:v>Organisation direct-report/team scope.</x:v>
      </x:c>
      <x:c r="H10" s="853" t="str">
        <x:v>No raw/private coaching or activity-volume score.</x:v>
      </x:c>
      <x:c r="I10" s="853" t="str">
        <x:v>Java projector + PostgreSQL</x:v>
      </x:c>
      <x:c r="J10" s="854" t="str">
        <x:v>Draft Complete</x:v>
      </x:c>
    </x:row>
    <x:row r="11">
      <x:c r="A11" s="847" t="str">
        <x:v>RM-007</x:v>
      </x:c>
      <x:c r="B11" s="114" t="str">
        <x:v>ManagerTaskAssuranceReadModel</x:v>
      </x:c>
      <x:c r="C11" s="114" t="str">
        <x:v>Manager/reviewer</x:v>
      </x:c>
      <x:c r="D11" s="114" t="str">
        <x:v>Criterion/gate status, blockers, confidence, completeness, review and dispute.</x:v>
      </x:c>
      <x:c r="E11" s="114" t="str">
        <x:v>TaskAssessment/Review/Correction events</x:v>
      </x:c>
      <x:c r="F11" s="114" t="str">
        <x:v>Versioned on assessment change.</x:v>
      </x:c>
      <x:c r="G11" s="114" t="str">
        <x:v>Task/project/team scope.</x:v>
      </x:c>
      <x:c r="H11" s="114" t="str">
        <x:v>Employee response/dispute always included.</x:v>
      </x:c>
      <x:c r="I11" s="114" t="str">
        <x:v>Java projector + PostgreSQL</x:v>
      </x:c>
      <x:c r="J11" s="848" t="str">
        <x:v>Draft Complete</x:v>
      </x:c>
    </x:row>
    <x:row r="12">
      <x:c r="A12" s="852" t="str">
        <x:v>RM-008</x:v>
      </x:c>
      <x:c r="B12" s="853" t="str">
        <x:v>DevelopmentSummaryReadModel</x:v>
      </x:c>
      <x:c r="C12" s="853" t="str">
        <x:v>Employee/manager/L&amp;D</x:v>
      </x:c>
      <x:c r="D12" s="853" t="str">
        <x:v>Reviewed strengths, support needs, plan milestones, applied improvement and unresolved blockers.</x:v>
      </x:c>
      <x:c r="E12" s="853" t="str">
        <x:v>Capability/Learning/Review events</x:v>
      </x:c>
      <x:c r="F12" s="853" t="str">
        <x:v>Daily/event-driven.</x:v>
      </x:c>
      <x:c r="G12" s="853" t="str">
        <x:v>Audience-specific field projection.</x:v>
      </x:c>
      <x:c r="H12" s="853" t="str">
        <x:v>No raw private coaching/reflection.</x:v>
      </x:c>
      <x:c r="I12" s="853" t="str">
        <x:v>Java projector + PostgreSQL</x:v>
      </x:c>
      <x:c r="J12" s="854" t="str">
        <x:v>Draft Complete</x:v>
      </x:c>
    </x:row>
    <x:row r="13">
      <x:c r="A13" s="847" t="str">
        <x:v>RM-009</x:v>
      </x:c>
      <x:c r="B13" s="114" t="str">
        <x:v>ReviewCaseReadModel</x:v>
      </x:c>
      <x:c r="C13" s="114" t="str">
        <x:v>Reviewer</x:v>
      </x:c>
      <x:c r="D13" s="114" t="str">
        <x:v>Finding package, evidence classes, completeness, employee response, lineage and workflow.</x:v>
      </x:c>
      <x:c r="E13" s="114" t="str">
        <x:v>Task/Capability/Workflow/Audit events</x:v>
      </x:c>
      <x:c r="F13" s="114" t="str">
        <x:v>Near-real-time.</x:v>
      </x:c>
      <x:c r="G13" s="114" t="str">
        <x:v>Assigned reviewer/case.</x:v>
      </x:c>
      <x:c r="H13" s="114" t="str">
        <x:v>No unrelated employee browsing.</x:v>
      </x:c>
      <x:c r="I13" s="114" t="str">
        <x:v>Java projector + PostgreSQL</x:v>
      </x:c>
      <x:c r="J13" s="848" t="str">
        <x:v>Draft Complete</x:v>
      </x:c>
    </x:row>
    <x:row r="14">
      <x:c r="A14" s="852" t="str">
        <x:v>RM-010</x:v>
      </x:c>
      <x:c r="B14" s="853" t="str">
        <x:v>GovernanceAccessReadModel</x:v>
      </x:c>
      <x:c r="C14" s="853" t="str">
        <x:v>DPO/security/audit</x:v>
      </x:c>
      <x:c r="D14" s="853" t="str">
        <x:v>Evidence grants/views/exports, incidents, policy/retention state.</x:v>
      </x:c>
      <x:c r="E14" s="853" t="str">
        <x:v>Audit/Access/Retention/Policy events</x:v>
      </x:c>
      <x:c r="F14" s="853" t="str">
        <x:v>Near-real-time with audit-lag field.</x:v>
      </x:c>
      <x:c r="G14" s="853" t="str">
        <x:v>Purpose/role/tenant scope.</x:v>
      </x:c>
      <x:c r="H14" s="853" t="str">
        <x:v>Restricted; no performance use.</x:v>
      </x:c>
      <x:c r="I14" s="853" t="str">
        <x:v>Java projector + PostgreSQL</x:v>
      </x:c>
      <x:c r="J14" s="854" t="str">
        <x:v>Draft Complete</x:v>
      </x:c>
    </x:row>
    <x:row r="15">
      <x:c r="A15" s="847" t="str">
        <x:v>RM-011</x:v>
      </x:c>
      <x:c r="B15" s="114" t="str">
        <x:v>ModelSkillLineageReadModel</x:v>
      </x:c>
      <x:c r="C15" s="114" t="str">
        <x:v>AI governance/reviewer</x:v>
      </x:c>
      <x:c r="D15" s="114" t="str">
        <x:v>Model, prompt, skill, adapter, policy and evaluation versions used in findings/interventions.</x:v>
      </x:c>
      <x:c r="E15" s="114" t="str">
        <x:v>Model Gateway/Skill Forge/Audit events</x:v>
      </x:c>
      <x:c r="F15" s="114" t="str">
        <x:v>On version/use event.</x:v>
      </x:c>
      <x:c r="G15" s="114" t="str">
        <x:v>Governance/case scope.</x:v>
      </x:c>
      <x:c r="H15" s="114" t="str">
        <x:v>No prompt/private content by default.</x:v>
      </x:c>
      <x:c r="I15" s="114" t="str">
        <x:v>Java projector + PostgreSQL</x:v>
      </x:c>
      <x:c r="J15" s="848" t="str">
        <x:v>Draft Complete</x:v>
      </x:c>
    </x:row>
    <x:row r="16">
      <x:c r="A16" s="852" t="str">
        <x:v>RM-012</x:v>
      </x:c>
      <x:c r="B16" s="853" t="str">
        <x:v>NotificationInboxReadModel</x:v>
      </x:c>
      <x:c r="C16" s="853" t="str">
        <x:v>All authorised users</x:v>
      </x:c>
      <x:c r="D16" s="853" t="str">
        <x:v>Notification state, priority, action and expiration.</x:v>
      </x:c>
      <x:c r="E16" s="853" t="str">
        <x:v>Notification/workflow/domain events</x:v>
      </x:c>
      <x:c r="F16" s="853" t="str">
        <x:v>Near-real-time.</x:v>
      </x:c>
      <x:c r="G16" s="853" t="str">
        <x:v>Recipient-specific.</x:v>
      </x:c>
      <x:c r="H16" s="853" t="str">
        <x:v>External channel previews minimised.</x:v>
      </x:c>
      <x:c r="I16" s="853" t="str">
        <x:v>Existing notification store/read model</x:v>
      </x:c>
      <x:c r="J16" s="854" t="str">
        <x:v>Draft Complete</x:v>
      </x:c>
    </x:row>
    <x:row r="17">
      <x:c r="A17" s="847" t="str">
        <x:v>RM-013</x:v>
      </x:c>
      <x:c r="B17" s="114" t="str">
        <x:v>ExperienceSearchIndex</x:v>
      </x:c>
      <x:c r="C17" s="114" t="str">
        <x:v>Employee/manager/reviewer</x:v>
      </x:c>
      <x:c r="D17" s="114" t="str">
        <x:v>Policy-filtered searchable summaries and identifiers.</x:v>
      </x:c>
      <x:c r="E17" s="114" t="str">
        <x:v>Approved read models only</x:v>
      </x:c>
      <x:c r="F17" s="114" t="str">
        <x:v>Eventual; index-lag field.</x:v>
      </x:c>
      <x:c r="G17" s="114" t="str">
        <x:v>Audience-specific document security.</x:v>
      </x:c>
      <x:c r="H17" s="114" t="str">
        <x:v>No raw sensitive content or cross-person free search.</x:v>
      </x:c>
      <x:c r="I17" s="114" t="str">
        <x:v>Existing search/OpenSearch</x:v>
      </x:c>
      <x:c r="J17" s="848" t="str">
        <x:v>Draft Complete</x:v>
      </x:c>
    </x:row>
    <x:row r="18">
      <x:c r="A18" s="852" t="str">
        <x:v>RM-014</x:v>
      </x:c>
      <x:c r="B18" s="853" t="str">
        <x:v>ExperienceMetricsReadModel</x:v>
      </x:c>
      <x:c r="C18" s="853" t="str">
        <x:v>Product/UX/accessibility/governance</x:v>
      </x:c>
      <x:c r="D18" s="853" t="str">
        <x:v>Journey completion, errors, accessibility findings, correction and usefulness aggregates.</x:v>
      </x:c>
      <x:c r="E18" s="853" t="str">
        <x:v>Frontend/BFF operational and feedback events</x:v>
      </x:c>
      <x:c r="F18" s="853" t="str">
        <x:v>Daily/weekly.</x:v>
      </x:c>
      <x:c r="G18" s="853" t="str">
        <x:v>Aggregate; minimum cohort.</x:v>
      </x:c>
      <x:c r="H18" s="853" t="str">
        <x:v>No employee ranking or raw evidence.</x:v>
      </x:c>
      <x:c r="I18" s="853" t="str">
        <x:v>Analytics warehouse/read model</x:v>
      </x:c>
      <x:c r="J18" s="854" t="str">
        <x:v>Draft Complete</x:v>
      </x:c>
    </x:row>
    <x:row r="19">
      <x:c r="A19" s="847" t="str">
        <x:v>RM-015</x:v>
      </x:c>
      <x:c r="B19" s="114" t="str">
        <x:v>ExportJobReadModel</x:v>
      </x:c>
      <x:c r="C19" s="114" t="str">
        <x:v>Requester/governance</x:v>
      </x:c>
      <x:c r="D19" s="114" t="str">
        <x:v>Export scope, purpose, status, errors, expiry and download audit.</x:v>
      </x:c>
      <x:c r="E19" s="114" t="str">
        <x:v>Export/Access/Audit events</x:v>
      </x:c>
      <x:c r="F19" s="114" t="str">
        <x:v>Near-real-time.</x:v>
      </x:c>
      <x:c r="G19" s="114" t="str">
        <x:v>Requester/approver/subject.</x:v>
      </x:c>
      <x:c r="H19" s="114" t="str">
        <x:v>Signed/watermarked and time-limited.</x:v>
      </x:c>
      <x:c r="I19" s="114" t="str">
        <x:v>Java projector + PostgreSQL</x:v>
      </x:c>
      <x:c r="J19" s="848" t="str">
        <x:v>Draft Complete</x:v>
      </x:c>
    </x:row>
    <x:row r="20">
      <x:c r="A20" s="855" t="str">
        <x:v>RM-016</x:v>
      </x:c>
      <x:c r="B20" s="856" t="str">
        <x:v>FeatureExposureReadModel</x:v>
      </x:c>
      <x:c r="C20" s="856" t="str">
        <x:v>Product/AI governance</x:v>
      </x:c>
      <x:c r="D20" s="856" t="str">
        <x:v>Feature/skill/version exposure, cohort, flag reason and rollback status.</x:v>
      </x:c>
      <x:c r="E20" s="856" t="str">
        <x:v>OpenFeature/Skill Forge/Deployment events</x:v>
      </x:c>
      <x:c r="F20" s="856" t="str">
        <x:v>Near-real-time.</x:v>
      </x:c>
      <x:c r="G20" s="856" t="str">
        <x:v>Governance aggregate/case.</x:v>
      </x:c>
      <x:c r="H20" s="856" t="str">
        <x:v>Minimise PII in flag context.</x:v>
      </x:c>
      <x:c r="I20" s="856" t="str">
        <x:v>Java/OpenFeature events + PostgreSQL</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7.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62" hidden="0" customWidth="1"/>
    <x:col min="5" max="5" width="42" hidden="0" customWidth="1"/>
    <x:col min="6" max="6" width="64" hidden="0" customWidth="1"/>
    <x:col min="7" max="7" width="50" hidden="0" customWidth="1"/>
    <x:col min="8" max="8" width="58" hidden="0" customWidth="1"/>
    <x:col min="9" max="9" width="12" hidden="0" customWidth="1"/>
    <x:col min="10" max="10" width="18" hidden="0" customWidth="1"/>
  </x:cols>
  <x:sheetData>
    <x:row r="1" ht="30" customHeight="1">
      <x:c r="A1" s="809" t="str">
        <x:v>Stage 10 — User Journeys and Acceptance Tests</x:v>
      </x:c>
      <x:c r="B1" s="809"/>
      <x:c r="C1" s="809"/>
      <x:c r="D1" s="809"/>
      <x:c r="E1" s="809"/>
      <x:c r="F1" s="809"/>
      <x:c r="G1" s="809"/>
      <x:c r="H1" s="809"/>
      <x:c r="I1" s="809"/>
      <x:c r="J1" s="809"/>
    </x:row>
    <x:row r="2" ht="38" customHeight="1">
      <x:c r="A2" s="813" t="str">
        <x:v>End-to-end journeys for employees, managers, reviewers and governance, including accessibility, degraded state, privacy and human-review acceptance criteria.</x:v>
      </x:c>
      <x:c r="B2" s="813"/>
      <x:c r="C2" s="813"/>
      <x:c r="D2" s="813"/>
      <x:c r="E2" s="813"/>
      <x:c r="F2" s="813"/>
      <x:c r="G2" s="813"/>
      <x:c r="H2" s="813"/>
      <x:c r="I2" s="813"/>
      <x:c r="J2" s="813"/>
    </x:row>
    <x:row r="4" ht="30" customHeight="1">
      <x:c r="A4" s="825" t="str">
        <x:v>ID</x:v>
      </x:c>
      <x:c r="B4" s="826" t="str">
        <x:v>Journey</x:v>
      </x:c>
      <x:c r="C4" s="826" t="str">
        <x:v>Actors</x:v>
      </x:c>
      <x:c r="D4" s="826" t="str">
        <x:v>Flow</x:v>
      </x:c>
      <x:c r="E4" s="826" t="str">
        <x:v>Preconditions</x:v>
      </x:c>
      <x:c r="F4" s="826" t="str">
        <x:v>Acceptance criteria</x:v>
      </x:c>
      <x:c r="G4" s="826" t="str">
        <x:v>Accessibility test</x:v>
      </x:c>
      <x:c r="H4" s="826" t="str">
        <x:v>Privacy / prohibited-use test</x:v>
      </x:c>
      <x:c r="I4" s="826" t="str">
        <x:v>Priority</x:v>
      </x:c>
      <x:c r="J4" s="827" t="str">
        <x:v>Status</x:v>
      </x:c>
    </x:row>
    <x:row r="5">
      <x:c r="A5" s="844" t="str">
        <x:v>UJ-001</x:v>
      </x:c>
      <x:c r="B5" s="845" t="str">
        <x:v>Employee starts assigned task</x:v>
      </x:c>
      <x:c r="C5" s="845" t="str">
        <x:v>Employee</x:v>
      </x:c>
      <x:c r="D5" s="845" t="str">
        <x:v>Open task → review objective/criteria/policy → start work/task session → see active sensors.</x:v>
      </x:c>
      <x:c r="E5" s="845" t="str">
        <x:v>Task assigned; valid policy/device.</x:v>
      </x:c>
      <x:c r="F5" s="845" t="str">
        <x:v>Active task/session shown; monitoring status clear; criteria accessible; start event audited.</x:v>
      </x:c>
      <x:c r="G5" s="845" t="str">
        <x:v>Keyboard/screen-reader and 400% zoom; no drag-only action.</x:v>
      </x:c>
      <x:c r="H5" s="845" t="str">
        <x:v>No capture before confirmed active state.</x:v>
      </x:c>
      <x:c r="I5" s="845" t="str">
        <x:v>Critical</x:v>
      </x:c>
      <x:c r="J5" s="846" t="str">
        <x:v>Draft Complete</x:v>
      </x:c>
    </x:row>
    <x:row r="6">
      <x:c r="A6" s="852" t="str">
        <x:v>UJ-002</x:v>
      </x:c>
      <x:c r="B6" s="853" t="str">
        <x:v>Employee reviews own evidence</x:v>
      </x:c>
      <x:c r="C6" s="853" t="str">
        <x:v>Employee</x:v>
      </x:c>
      <x:c r="D6" s="853" t="str">
        <x:v>Open timeline → filter task → inspect semantic evidence/gaps → open details.</x:v>
      </x:c>
      <x:c r="E6" s="853" t="str">
        <x:v>Evidence available.</x:v>
      </x:c>
      <x:c r="F6" s="853" t="str">
        <x:v>Semantic evidence prioritised; gaps visible; raw objects grant-controlled.</x:v>
      </x:c>
      <x:c r="G6" s="853" t="str">
        <x:v>List/table alternative to visual timeline.</x:v>
      </x:c>
      <x:c r="H6" s="853" t="str">
        <x:v>No screenshot firehose or hidden access.</x:v>
      </x:c>
      <x:c r="I6" s="853" t="str">
        <x:v>Critical</x:v>
      </x:c>
      <x:c r="J6" s="854" t="str">
        <x:v>Draft Complete</x:v>
      </x:c>
    </x:row>
    <x:row r="7">
      <x:c r="A7" s="847" t="str">
        <x:v>UJ-003</x:v>
      </x:c>
      <x:c r="B7" s="114" t="str">
        <x:v>Employee corrects task alignment</x:v>
      </x:c>
      <x:c r="C7" s="114" t="str">
        <x:v>Employee</x:v>
      </x:c>
      <x:c r="D7" s="114" t="str">
        <x:v>Open episode → choose correct task/context → explain → review answers → submit.</x:v>
      </x:c>
      <x:c r="E7" s="114" t="str">
        <x:v>Derived alignment exists.</x:v>
      </x:c>
      <x:c r="F7" s="114" t="str">
        <x:v>Correction version created; finding marked pending; original preserved; manager/reviewer sees status.</x:v>
      </x:c>
      <x:c r="G7" s="114" t="str">
        <x:v>Error summary/check-answers/focus management.</x:v>
      </x:c>
      <x:c r="H7" s="114" t="str">
        <x:v>No negative reliance while material correction unresolved.</x:v>
      </x:c>
      <x:c r="I7" s="114" t="str">
        <x:v>Critical</x:v>
      </x:c>
      <x:c r="J7" s="848" t="str">
        <x:v>Draft Complete</x:v>
      </x:c>
    </x:row>
    <x:row r="8">
      <x:c r="A8" s="852" t="str">
        <x:v>UJ-004</x:v>
      </x:c>
      <x:c r="B8" s="853" t="str">
        <x:v>Employee disputes material finding</x:v>
      </x:c>
      <x:c r="C8" s="853" t="str">
        <x:v>Employee</x:v>
      </x:c>
      <x:c r="D8" s="853" t="str">
        <x:v>Open finding → inspect evidence/confidence → submit dispute/evidence → track SLA/decision → appeal.</x:v>
      </x:c>
      <x:c r="E8" s="853" t="str">
        <x:v>Material finding exists.</x:v>
      </x:c>
      <x:c r="F8" s="853" t="str">
        <x:v>Meaningful review workflow; employee response visible; version superseded if changed.</x:v>
      </x:c>
      <x:c r="G8" s="853" t="str">
        <x:v>Accessible forms/status/notifications.</x:v>
      </x:c>
      <x:c r="H8" s="853" t="str">
        <x:v>No automatic final employment action.</x:v>
      </x:c>
      <x:c r="I8" s="853" t="str">
        <x:v>Critical</x:v>
      </x:c>
      <x:c r="J8" s="854" t="str">
        <x:v>Draft Complete</x:v>
      </x:c>
    </x:row>
    <x:row r="9">
      <x:c r="A9" s="847" t="str">
        <x:v>UJ-005</x:v>
      </x:c>
      <x:c r="B9" s="114" t="str">
        <x:v>Employee responds to coaching</x:v>
      </x:c>
      <x:c r="C9" s="114" t="str">
        <x:v>Employee</x:v>
      </x:c>
      <x:c r="D9" s="114" t="str">
        <x:v>Receive private intervention → open rationale → accept/modify/snooze/wrong-context.</x:v>
      </x:c>
      <x:c r="E9" s="114" t="str">
        <x:v>Validated coaching intervention.</x:v>
      </x:c>
      <x:c r="F9" s="114" t="str">
        <x:v>Preference/cooldown respected; feedback recorded; wrong context invalidates repeat trigger.</x:v>
      </x:c>
      <x:c r="G9" s="114" t="str">
        <x:v>Accessible notification/actions; reduced motion.</x:v>
      </x:c>
      <x:c r="H9" s="114" t="str">
        <x:v>No manager copy or punitive response metric.</x:v>
      </x:c>
      <x:c r="I9" s="114" t="str">
        <x:v>High</x:v>
      </x:c>
      <x:c r="J9" s="848" t="str">
        <x:v>Draft Complete</x:v>
      </x:c>
    </x:row>
    <x:row r="10">
      <x:c r="A10" s="852" t="str">
        <x:v>UJ-006</x:v>
      </x:c>
      <x:c r="B10" s="853" t="str">
        <x:v>Employee completes learning and applies it</x:v>
      </x:c>
      <x:c r="C10" s="853" t="str">
        <x:v>Employee/Reviewer</x:v>
      </x:c>
      <x:c r="D10" s="853" t="str">
        <x:v>Open plan → complete lesson → practice task → later live evidence → capability review.</x:v>
      </x:c>
      <x:c r="E10" s="853" t="str">
        <x:v>Reviewed learning plan.</x:v>
      </x:c>
      <x:c r="F10" s="853" t="str">
        <x:v>Completion stays separate from applied evidence; reviewed capability version updated only if qualified.</x:v>
      </x:c>
      <x:c r="G10" s="853" t="str">
        <x:v>Accessible lesson/practice and alternative formats.</x:v>
      </x:c>
      <x:c r="H10" s="853" t="str">
        <x:v>No automatic skill increase.</x:v>
      </x:c>
      <x:c r="I10" s="853" t="str">
        <x:v>Critical</x:v>
      </x:c>
      <x:c r="J10" s="854" t="str">
        <x:v>Draft Complete</x:v>
      </x:c>
    </x:row>
    <x:row r="11">
      <x:c r="A11" s="847" t="str">
        <x:v>UJ-007</x:v>
      </x:c>
      <x:c r="B11" s="114" t="str">
        <x:v>Employee inspects monitoring/access history</x:v>
      </x:c>
      <x:c r="C11" s="114" t="str">
        <x:v>Employee</x:v>
      </x:c>
      <x:c r="D11" s="114" t="str">
        <x:v>Open privacy centre → view sensors/policy/exclusions → inspect evidence access events → report concern.</x:v>
      </x:c>
      <x:c r="E11" s="114" t="str">
        <x:v>Own employee record.</x:v>
      </x:c>
      <x:c r="F11" s="114" t="str">
        <x:v>Clear who/why/what/when; report creates case; policy version visible.</x:v>
      </x:c>
      <x:c r="G11" s="114" t="str">
        <x:v>Plain language, keyboard table/filter.</x:v>
      </x:c>
      <x:c r="H11" s="114" t="str">
        <x:v>No hidden raw evidence access.</x:v>
      </x:c>
      <x:c r="I11" s="114" t="str">
        <x:v>Critical</x:v>
      </x:c>
      <x:c r="J11" s="848" t="str">
        <x:v>Draft Complete</x:v>
      </x:c>
    </x:row>
    <x:row r="12">
      <x:c r="A12" s="852" t="str">
        <x:v>UJ-008</x:v>
      </x:c>
      <x:c r="B12" s="853" t="str">
        <x:v>Employee changes preferences</x:v>
      </x:c>
      <x:c r="C12" s="853" t="str">
        <x:v>Employee</x:v>
      </x:c>
      <x:c r="D12" s="853" t="str">
        <x:v>Open coaching/privacy settings → change focus/channel/format → check answers → save.</x:v>
      </x:c>
      <x:c r="E12" s="853" t="str">
        <x:v>Authenticated employee.</x:v>
      </x:c>
      <x:c r="F12" s="853" t="str">
        <x:v>New version effective and auditable; no medical detail exposed.</x:v>
      </x:c>
      <x:c r="G12" s="853" t="str">
        <x:v>Accessible authentication and redundant-entry avoidance.</x:v>
      </x:c>
      <x:c r="H12" s="853" t="str">
        <x:v>Preference choice not performance evidence.</x:v>
      </x:c>
      <x:c r="I12" s="853" t="str">
        <x:v>High</x:v>
      </x:c>
      <x:c r="J12" s="854" t="str">
        <x:v>Draft Complete</x:v>
      </x:c>
    </x:row>
    <x:row r="13">
      <x:c r="A13" s="847" t="str">
        <x:v>UJ-009</x:v>
      </x:c>
      <x:c r="B13" s="114" t="str">
        <x:v>Manager resolves external blocker</x:v>
      </x:c>
      <x:c r="C13" s="114" t="str">
        <x:v>Manager/Employee</x:v>
      </x:c>
      <x:c r="D13" s="114" t="str">
        <x:v>Open blocker queue → inspect evidence/context → assign owner → update resolution → employee notified.</x:v>
      </x:c>
      <x:c r="E13" s="114" t="str">
        <x:v>Reviewed blocker exists.</x:v>
      </x:c>
      <x:c r="F13" s="114" t="str">
        <x:v>Blocker remains separate from capability gap; owner/SLA and outcome visible.</x:v>
      </x:c>
      <x:c r="G13" s="114" t="str">
        <x:v>Accessible task/table actions.</x:v>
      </x:c>
      <x:c r="H13" s="114" t="str">
        <x:v>No employee blame from environment/access issue.</x:v>
      </x:c>
      <x:c r="I13" s="114" t="str">
        <x:v>Critical</x:v>
      </x:c>
      <x:c r="J13" s="848" t="str">
        <x:v>Draft Complete</x:v>
      </x:c>
    </x:row>
    <x:row r="14">
      <x:c r="A14" s="852" t="str">
        <x:v>UJ-010</x:v>
      </x:c>
      <x:c r="B14" s="853" t="str">
        <x:v>Manager requests raw evidence</x:v>
      </x:c>
      <x:c r="C14" s="853" t="str">
        <x:v>Manager/Approver/Employee</x:v>
      </x:c>
      <x:c r="D14" s="853" t="str">
        <x:v>Open task → request scope/purpose/duration → approver narrows/decides → subject notified → access audited.</x:v>
      </x:c>
      <x:c r="E14" s="853" t="str">
        <x:v>Manager authorised to request, not automatically view.</x:v>
      </x:c>
      <x:c r="F14" s="853" t="str">
        <x:v>Default deny; grant time-limited; every view logged; employee sees material access.</x:v>
      </x:c>
      <x:c r="G14" s="853" t="str">
        <x:v>Check-answers and explicit confirmation.</x:v>
      </x:c>
      <x:c r="H14" s="853" t="str">
        <x:v>No broad reusable grant or live surveillance.</x:v>
      </x:c>
      <x:c r="I14" s="853" t="str">
        <x:v>Critical</x:v>
      </x:c>
      <x:c r="J14" s="854" t="str">
        <x:v>Draft Complete</x:v>
      </x:c>
    </x:row>
    <x:row r="15">
      <x:c r="A15" s="847" t="str">
        <x:v>UJ-011</x:v>
      </x:c>
      <x:c r="B15" s="114" t="str">
        <x:v>Reviewer resolves contradiction</x:v>
      </x:c>
      <x:c r="C15" s="114" t="str">
        <x:v>Reviewer</x:v>
      </x:c>
      <x:c r="D15" s="114" t="str">
        <x:v>Open case → compare authoritative and lower-level evidence → review employee response/gaps → decide/rationale.</x:v>
      </x:c>
      <x:c r="E15" s="114" t="str">
        <x:v>Assigned qualified reviewer.</x:v>
      </x:c>
      <x:c r="F15" s="114" t="str">
        <x:v>Higher evidence hierarchy enforced; decision versioned; employee notified.</x:v>
      </x:c>
      <x:c r="G15" s="114" t="str">
        <x:v>Keyboard evidence navigation and accessible decision form.</x:v>
      </x:c>
      <x:c r="H15" s="114" t="str">
        <x:v>No rubber-stamp or hidden contradiction.</x:v>
      </x:c>
      <x:c r="I15" s="114" t="str">
        <x:v>Critical</x:v>
      </x:c>
      <x:c r="J15" s="848" t="str">
        <x:v>Draft Complete</x:v>
      </x:c>
    </x:row>
    <x:row r="16">
      <x:c r="A16" s="852" t="str">
        <x:v>UJ-012</x:v>
      </x:c>
      <x:c r="B16" s="853" t="str">
        <x:v>DPO audits evidence access</x:v>
      </x:c>
      <x:c r="C16" s="853" t="str">
        <x:v>DPO</x:v>
      </x:c>
      <x:c r="D16" s="853" t="str">
        <x:v>Filter access log → inspect grant/view/export → open anomaly → revoke/incident if needed.</x:v>
      </x:c>
      <x:c r="E16" s="853" t="str">
        <x:v>Governance role.</x:v>
      </x:c>
      <x:c r="F16" s="853" t="str">
        <x:v>Complete purpose/scope/actor/time audit and remediation path.</x:v>
      </x:c>
      <x:c r="G16" s="853" t="str">
        <x:v>Accessible data table/export.</x:v>
      </x:c>
      <x:c r="H16" s="853" t="str">
        <x:v>No use for performance browsing.</x:v>
      </x:c>
      <x:c r="I16" s="853" t="str">
        <x:v>Critical</x:v>
      </x:c>
      <x:c r="J16" s="854" t="str">
        <x:v>Draft Complete</x:v>
      </x:c>
    </x:row>
    <x:row r="17">
      <x:c r="A17" s="847" t="str">
        <x:v>UJ-013</x:v>
      </x:c>
      <x:c r="B17" s="114" t="str">
        <x:v>Reviewer handles insufficient evidence</x:v>
      </x:c>
      <x:c r="C17" s="114" t="str">
        <x:v>Reviewer</x:v>
      </x:c>
      <x:c r="D17" s="114" t="str">
        <x:v>Open finding with gaps → inspect coverage → mark insufficient/request evidence/reassessment.</x:v>
      </x:c>
      <x:c r="E17" s="114" t="str">
        <x:v>Coverage below threshold.</x:v>
      </x:c>
      <x:c r="F17" s="114" t="str">
        <x:v>No negative state; gap reason and next action recorded.</x:v>
      </x:c>
      <x:c r="G17" s="114" t="str">
        <x:v>Clear warning/status.</x:v>
      </x:c>
      <x:c r="H17" s="114" t="str">
        <x:v>No forced conclusion.</x:v>
      </x:c>
      <x:c r="I17" s="114" t="str">
        <x:v>Critical</x:v>
      </x:c>
      <x:c r="J17" s="848" t="str">
        <x:v>Draft Complete</x:v>
      </x:c>
    </x:row>
    <x:row r="18">
      <x:c r="A18" s="852" t="str">
        <x:v>UJ-014</x:v>
      </x:c>
      <x:c r="B18" s="853" t="str">
        <x:v>Employee requests reassessment</x:v>
      </x:c>
      <x:c r="C18" s="853" t="str">
        <x:v>Employee/Reviewer</x:v>
      </x:c>
      <x:c r="D18" s="853" t="str">
        <x:v>Open stale/disputed capability → choose reason/assessment option/accessibility need → submit → schedule.</x:v>
      </x:c>
      <x:c r="E18" s="853" t="str">
        <x:v>Capability eligible for reassessment.</x:v>
      </x:c>
      <x:c r="F18" s="853" t="str">
        <x:v>Representative accessible assessment created; old state remains until reviewed evidence.</x:v>
      </x:c>
      <x:c r="G18" s="853" t="str">
        <x:v>Check-answers and accessible scheduling.</x:v>
      </x:c>
      <x:c r="H18" s="853" t="str">
        <x:v>No punitive framing.</x:v>
      </x:c>
      <x:c r="I18" s="853" t="str">
        <x:v>High</x:v>
      </x:c>
      <x:c r="J18" s="854" t="str">
        <x:v>Draft Complete</x:v>
      </x:c>
    </x:row>
    <x:row r="19">
      <x:c r="A19" s="847" t="str">
        <x:v>UJ-015</x:v>
      </x:c>
      <x:c r="B19" s="114" t="str">
        <x:v>Manager reviews development summary</x:v>
      </x:c>
      <x:c r="C19" s="114" t="str">
        <x:v>Manager/Employee</x:v>
      </x:c>
      <x:c r="D19" s="114" t="str">
        <x:v>Open reviewed summary → see strengths/support/learning/blockers/dispute → prepare 1:1.</x:v>
      </x:c>
      <x:c r="E19" s="114" t="str">
        <x:v>Authorised manager.</x:v>
      </x:c>
      <x:c r="F19" s="114" t="str">
        <x:v>Same material summary visible to employee; private content excluded.</x:v>
      </x:c>
      <x:c r="G19" s="114" t="str">
        <x:v>Readable summary and print/export accessibility.</x:v>
      </x:c>
      <x:c r="H19" s="114" t="str">
        <x:v>No hidden private coach/mentor content.</x:v>
      </x:c>
      <x:c r="I19" s="114" t="str">
        <x:v>High</x:v>
      </x:c>
      <x:c r="J19" s="848" t="str">
        <x:v>Draft Complete</x:v>
      </x:c>
    </x:row>
    <x:row r="20">
      <x:c r="A20" s="852" t="str">
        <x:v>UJ-016</x:v>
      </x:c>
      <x:c r="B20" s="853" t="str">
        <x:v>System operates in degraded mode</x:v>
      </x:c>
      <x:c r="C20" s="853" t="str">
        <x:v>Any user</x:v>
      </x:c>
      <x:c r="D20" s="853" t="str">
        <x:v>Service/read model unavailable → show precise limitation → safe retry/alternative route.</x:v>
      </x:c>
      <x:c r="E20" s="853" t="str">
        <x:v>Injected outage/stale data.</x:v>
      </x:c>
      <x:c r="F20" s="853" t="str">
        <x:v>No false zero state; actions that could cause harm disabled; support path available.</x:v>
      </x:c>
      <x:c r="G20" s="853" t="str">
        <x:v>Status announced; focus not trapped.</x:v>
      </x:c>
      <x:c r="H20" s="853" t="str">
        <x:v>No silent fallback to negative inference.</x:v>
      </x:c>
      <x:c r="I20" s="853" t="str">
        <x:v>Critical</x:v>
      </x:c>
      <x:c r="J20" s="854" t="str">
        <x:v>Draft Complete</x:v>
      </x:c>
    </x:row>
    <x:row r="21">
      <x:c r="A21" s="847" t="str">
        <x:v>UJ-017</x:v>
      </x:c>
      <x:c r="B21" s="114" t="str">
        <x:v>Accessibility end-to-end</x:v>
      </x:c>
      <x:c r="C21" s="114" t="str">
        <x:v>Keyboard/screen-reader/zoom/speech user</x:v>
      </x:c>
      <x:c r="D21" s="114" t="str">
        <x:v>Complete primary employee and reviewer journeys using assistive technology.</x:v>
      </x:c>
      <x:c r="E21" s="114" t="str">
        <x:v>Test environment and representative users.</x:v>
      </x:c>
      <x:c r="F21" s="114" t="str">
        <x:v>WCAG 2.2 AA target, semantic controls, focus, names, reflow and consistent help pass.</x:v>
      </x:c>
      <x:c r="G21" s="114" t="str">
        <x:v>Manual AT and disabled-user testing.</x:v>
      </x:c>
      <x:c r="H21" s="114" t="str">
        <x:v>No claim of conformance from automated scan alone.</x:v>
      </x:c>
      <x:c r="I21" s="114" t="str">
        <x:v>Critical</x:v>
      </x:c>
      <x:c r="J21" s="848" t="str">
        <x:v>Draft Complete</x:v>
      </x:c>
    </x:row>
    <x:row r="22">
      <x:c r="A22" s="855" t="str">
        <x:v>UJ-018</x:v>
      </x:c>
      <x:c r="B22" s="856" t="str">
        <x:v>Localisation/time-zone journey</x:v>
      </x:c>
      <x:c r="C22" s="856" t="str">
        <x:v>UK/Lahore user</x:v>
      </x:c>
      <x:c r="D22" s="856" t="str">
        <x:v>View dates, policy, task deadline, notification and export in local time/language context.</x:v>
      </x:c>
      <x:c r="E22" s="856" t="str">
        <x:v>Locale/time zone configured.</x:v>
      </x:c>
      <x:c r="F22" s="856" t="str">
        <x:v>No ambiguous time; legal text uses approved locale version.</x:v>
      </x:c>
      <x:c r="G22" s="856" t="str">
        <x:v>Language/reading direction and date semantics.</x:v>
      </x:c>
      <x:c r="H22" s="856" t="str">
        <x:v>No machine-translated consequential notice without approval.</x:v>
      </x:c>
      <x:c r="I22" s="856" t="str">
        <x:v>High</x:v>
      </x:c>
      <x:c r="J22" s="85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48.xml><?xml version="1.0" encoding="utf-8"?>
<x:worksheet xmlns:x="http://schemas.openxmlformats.org/spreadsheetml/2006/main">
  <x:sheetFormatPr defaultRowHeight="15"/>
  <x:cols>
    <x:col min="1" max="1" width="14" hidden="0" customWidth="1"/>
    <x:col min="2" max="2" width="34" hidden="0" customWidth="1"/>
    <x:col min="3" max="3" width="60" hidden="0" customWidth="1"/>
    <x:col min="4" max="4" width="42" hidden="0" customWidth="1"/>
    <x:col min="5" max="5" width="36" hidden="0" customWidth="1"/>
    <x:col min="6" max="6" width="46" hidden="0" customWidth="1"/>
    <x:col min="7" max="7" width="40" hidden="0" customWidth="1"/>
    <x:col min="8" max="8" width="60" hidden="0" customWidth="1"/>
    <x:col min="9" max="9" width="12" hidden="0" customWidth="1"/>
    <x:col min="10" max="10" width="18" hidden="0" customWidth="1"/>
    <x:col min="11" max="11" width="34" hidden="0" customWidth="1"/>
  </x:cols>
  <x:sheetData>
    <x:row r="1" ht="30" customHeight="1">
      <x:c r="A1" s="809" t="str">
        <x:v>Stage 11 — Skill Forge Architecture</x:v>
      </x:c>
      <x:c r="B1" s="809"/>
      <x:c r="C1" s="809"/>
      <x:c r="D1" s="809"/>
      <x:c r="E1" s="809"/>
      <x:c r="F1" s="809"/>
      <x:c r="G1" s="809"/>
      <x:c r="H1" s="809"/>
      <x:c r="I1" s="809"/>
      <x:c r="J1" s="809"/>
      <x:c r="K1" s="809"/>
    </x:row>
    <x:row r="2" ht="38" customHeight="1">
      <x:c r="A2" s="813" t="str">
        <x:v>Governed observation-to-skill improvement architecture. Source observations remain separate from signed, evaluated and approved production packages.</x:v>
      </x:c>
      <x:c r="B2" s="813"/>
      <x:c r="C2" s="813"/>
      <x:c r="D2" s="813"/>
      <x:c r="E2" s="813"/>
      <x:c r="F2" s="813"/>
      <x:c r="G2" s="813"/>
      <x:c r="H2" s="813"/>
      <x:c r="I2" s="813"/>
      <x:c r="J2" s="813"/>
      <x:c r="K2" s="813"/>
    </x:row>
    <x:row r="4" ht="30" customHeight="1">
      <x:c r="A4" s="825" t="str">
        <x:v>ID</x:v>
      </x:c>
      <x:c r="B4" s="826" t="str">
        <x:v>Component</x:v>
      </x:c>
      <x:c r="C4" s="826" t="str">
        <x:v>Responsibility</x:v>
      </x:c>
      <x:c r="D4" s="826" t="str">
        <x:v>Runtime / implementation</x:v>
      </x:c>
      <x:c r="E4" s="826" t="str">
        <x:v>Data / state</x:v>
      </x:c>
      <x:c r="F4" s="826" t="str">
        <x:v>Consumes / integrates</x:v>
      </x:c>
      <x:c r="G4" s="826" t="str">
        <x:v>Publishes / exposes</x:v>
      </x:c>
      <x:c r="H4" s="826" t="str">
        <x:v>Security / governance rule</x:v>
      </x:c>
      <x:c r="I4" s="826" t="str">
        <x:v>Priority</x:v>
      </x:c>
      <x:c r="J4" s="826" t="str">
        <x:v>Status</x:v>
      </x:c>
      <x:c r="K4" s="827" t="str">
        <x:v>Source / basis</x:v>
      </x:c>
    </x:row>
    <x:row r="5">
      <x:c r="A5" s="844" t="str">
        <x:v>S11-ARC-001</x:v>
      </x:c>
      <x:c r="B5" s="845" t="str">
        <x:v>Observation Intake</x:v>
      </x:c>
      <x:c r="C5" s="845" t="str">
        <x:v>Receive candidate observations from corrections, overrides, failures, successful patterns, feedback, incidents, drift and approved research.</x:v>
      </x:c>
      <x:c r="D5" s="845" t="str">
        <x:v>Java/Spring Boot event consumers</x:v>
      </x:c>
      <x:c r="E5" s="845" t="str">
        <x:v>Kafka topics + PostgreSQL observation metadata</x:v>
      </x:c>
      <x:c r="F5" s="845" t="str">
        <x:v>Stages 6–10 events, support/research workflows</x:v>
      </x:c>
      <x:c r="G5" s="845" t="str">
        <x:v>skill.observation.ingested.v1</x:v>
      </x:c>
      <x:c r="H5" s="845" t="str">
        <x:v>Observation is evidence for improvement—not an instruction to change production.</x:v>
      </x:c>
      <x:c r="I5" s="845" t="str">
        <x:v>Critical</x:v>
      </x:c>
      <x:c r="J5" s="845" t="str">
        <x:v>Draft Complete</x:v>
      </x:c>
      <x:c r="K5" s="846" t="str">
        <x:v>HumanOS events</x:v>
      </x:c>
    </x:row>
    <x:row r="6">
      <x:c r="A6" s="852" t="str">
        <x:v>S11-ARC-002</x:v>
      </x:c>
      <x:c r="B6" s="853" t="str">
        <x:v>Observation Classifier</x:v>
      </x:c>
      <x:c r="C6" s="853" t="str">
        <x:v>Classify category, severity, confidentiality, recurrence, affected versions and potential generalisability.</x:v>
      </x:c>
      <x:c r="D6" s="853" t="str">
        <x:v>Python recommendation + Java durable state</x:v>
      </x:c>
      <x:c r="E6" s="853" t="str">
        <x:v>Observation metadata/eval features</x:v>
      </x:c>
      <x:c r="F6" s="853" t="str">
        <x:v>Observation Intake</x:v>
      </x:c>
      <x:c r="G6" s="853" t="str">
        <x:v>skill.observation.classified.v1</x:v>
      </x:c>
      <x:c r="H6" s="853" t="str">
        <x:v>AI classification is versioned and reviewable.</x:v>
      </x:c>
      <x:c r="I6" s="853" t="str">
        <x:v>High</x:v>
      </x:c>
      <x:c r="J6" s="853" t="str">
        <x:v>Draft Complete</x:v>
      </x:c>
      <x:c r="K6" s="854" t="str">
        <x:v>NIST AI RMF</x:v>
      </x:c>
    </x:row>
    <x:row r="7">
      <x:c r="A7" s="847" t="str">
        <x:v>S11-ARC-003</x:v>
      </x:c>
      <x:c r="B7" s="114" t="str">
        <x:v>Pattern Clusterer</x:v>
      </x:c>
      <x:c r="C7" s="114" t="str">
        <x:v>Cluster repeated observations and distinguish local one-off, tenant-specific and general pattern.</x:v>
      </x:c>
      <x:c r="D7" s="114" t="str">
        <x:v>Python analytics/embedding with approved summaries</x:v>
      </x:c>
      <x:c r="E7" s="114" t="str">
        <x:v>Vector/index + PostgreSQL cluster state</x:v>
      </x:c>
      <x:c r="F7" s="114" t="str">
        <x:v>Observation summaries and source refs</x:v>
      </x:c>
      <x:c r="G7" s="114" t="str">
        <x:v>skill.pattern.cluster.updated.v1</x:v>
      </x:c>
      <x:c r="H7" s="114" t="str">
        <x:v>Do not embed unrestricted raw employee/customer content.</x:v>
      </x:c>
      <x:c r="I7" s="114" t="str">
        <x:v>High</x:v>
      </x:c>
      <x:c r="J7" s="114" t="str">
        <x:v>Draft Complete</x:v>
      </x:c>
      <x:c r="K7" s="848" t="str">
        <x:v>Data minimisation</x:v>
      </x:c>
    </x:row>
    <x:row r="8">
      <x:c r="A8" s="852" t="str">
        <x:v>S11-ARC-004</x:v>
      </x:c>
      <x:c r="B8" s="853" t="str">
        <x:v>Proposal Generator</x:v>
      </x:c>
      <x:c r="C8" s="853" t="str">
        <x:v>Create draft skill/package change with expected benefit, scope, risks and evaluation plan.</x:v>
      </x:c>
      <x:c r="D8" s="853" t="str">
        <x:v>Python via Model Gateway</x:v>
      </x:c>
      <x:c r="E8" s="853" t="str">
        <x:v>Proposal artefacts/refs</x:v>
      </x:c>
      <x:c r="F8" s="853" t="str">
        <x:v>Patterns, existing packages, research sources</x:v>
      </x:c>
      <x:c r="G8" s="853" t="str">
        <x:v>skill.proposal.created.v1</x:v>
      </x:c>
      <x:c r="H8" s="853" t="str">
        <x:v>Generated proposal cannot deploy or approve itself.</x:v>
      </x:c>
      <x:c r="I8" s="853" t="str">
        <x:v>Critical</x:v>
      </x:c>
      <x:c r="J8" s="853" t="str">
        <x:v>Draft Complete</x:v>
      </x:c>
      <x:c r="K8" s="854" t="str">
        <x:v>OpenAI/GitHub/Claude skill patterns</x:v>
      </x:c>
    </x:row>
    <x:row r="9">
      <x:c r="A9" s="847" t="str">
        <x:v>S11-ARC-005</x:v>
      </x:c>
      <x:c r="B9" s="114" t="str">
        <x:v>Skill Registry</x:v>
      </x:c>
      <x:c r="C9" s="114" t="str">
        <x:v>Own skill identity, category, version, owner, lifecycle, approvals, compatibility and deployment state.</x:v>
      </x:c>
      <x:c r="D9" s="114" t="str">
        <x:v>Java/Spring Boot</x:v>
      </x:c>
      <x:c r="E9" s="114" t="str">
        <x:v>PostgreSQL</x:v>
      </x:c>
      <x:c r="F9" s="114" t="str">
        <x:v>Proposal, package store, workflow, feature flags</x:v>
      </x:c>
      <x:c r="G9" s="114" t="str">
        <x:v>skill.version.registered.v1</x:v>
      </x:c>
      <x:c r="H9" s="114" t="str">
        <x:v>One authoritative lifecycle record per package version.</x:v>
      </x:c>
      <x:c r="I9" s="114" t="str">
        <x:v>Critical</x:v>
      </x:c>
      <x:c r="J9" s="114" t="str">
        <x:v>Draft Complete</x:v>
      </x:c>
      <x:c r="K9" s="848" t="str">
        <x:v>HumanOS domain</x:v>
      </x:c>
    </x:row>
    <x:row r="10">
      <x:c r="A10" s="852" t="str">
        <x:v>S11-ARC-006</x:v>
      </x:c>
      <x:c r="B10" s="853" t="str">
        <x:v>Package Source Repository</x:v>
      </x:c>
      <x:c r="C10" s="853" t="str">
        <x:v>Store human-reviewable package source, manifests, tests and documentation.</x:v>
      </x:c>
      <x:c r="D10" s="853" t="str">
        <x:v>Git repository using existing Nessovo Git platform</x:v>
      </x:c>
      <x:c r="E10" s="853" t="str">
        <x:v>Git/object refs</x:v>
      </x:c>
      <x:c r="F10" s="853" t="str">
        <x:v>Skill owners/reviewers/CI</x:v>
      </x:c>
      <x:c r="G10" s="853" t="str">
        <x:v>skill.source.revision.created.v1</x:v>
      </x:c>
      <x:c r="H10" s="853" t="str">
        <x:v>Protected branches, reviews and provenance required.</x:v>
      </x:c>
      <x:c r="I10" s="853" t="str">
        <x:v>Critical</x:v>
      </x:c>
      <x:c r="J10" s="853" t="str">
        <x:v>Draft Complete</x:v>
      </x:c>
      <x:c r="K10" s="854" t="str">
        <x:v>SLSA Source provenance</x:v>
      </x:c>
    </x:row>
    <x:row r="11">
      <x:c r="A11" s="847" t="str">
        <x:v>S11-ARC-007</x:v>
      </x:c>
      <x:c r="B11" s="114" t="str">
        <x:v>Signed Package Store</x:v>
      </x:c>
      <x:c r="C11" s="114" t="str">
        <x:v>Store immutable packaged prompts, skills, adapters, evaluators, workflows and content.</x:v>
      </x:c>
      <x:c r="D11" s="114" t="str">
        <x:v>OCI registry/artifact store + HumanOS Object Service</x:v>
      </x:c>
      <x:c r="E11" s="114" t="str">
        <x:v>OCI artifact manifests/blobs</x:v>
      </x:c>
      <x:c r="F11" s="114" t="str">
        <x:v>CI build/sign pipeline</x:v>
      </x:c>
      <x:c r="G11" s="114" t="str">
        <x:v>skill.package.published.v1</x:v>
      </x:c>
      <x:c r="H11" s="114" t="str">
        <x:v>Package digest, signature and attestation verified before use.</x:v>
      </x:c>
      <x:c r="I11" s="114" t="str">
        <x:v>Critical</x:v>
      </x:c>
      <x:c r="J11" s="114" t="str">
        <x:v>Draft Complete</x:v>
      </x:c>
      <x:c r="K11" s="848" t="str">
        <x:v>OCI 1.1 / Sigstore</x:v>
      </x:c>
    </x:row>
    <x:row r="12">
      <x:c r="A12" s="852" t="str">
        <x:v>S11-ARC-008</x:v>
      </x:c>
      <x:c r="B12" s="853" t="str">
        <x:v>Source and Licence Registry</x:v>
      </x:c>
      <x:c r="C12" s="853" t="str">
        <x:v>Record source URLs, retrieval dates, reliability, licences, attribution, conflicts and expiry.</x:v>
      </x:c>
      <x:c r="D12" s="853" t="str">
        <x:v>Java/Spring Boot</x:v>
      </x:c>
      <x:c r="E12" s="853" t="str">
        <x:v>PostgreSQL + document refs</x:v>
      </x:c>
      <x:c r="F12" s="853" t="str">
        <x:v>Research, OSS scan, legal review</x:v>
      </x:c>
      <x:c r="G12" s="853" t="str">
        <x:v>skill.source.reviewed.v1</x:v>
      </x:c>
      <x:c r="H12" s="853" t="str">
        <x:v>No code/content reuse without licence decision.</x:v>
      </x:c>
      <x:c r="I12" s="853" t="str">
        <x:v>Critical</x:v>
      </x:c>
      <x:c r="J12" s="853" t="str">
        <x:v>Draft Complete</x:v>
      </x:c>
      <x:c r="K12" s="854" t="str">
        <x:v>SPDX/source governance</x:v>
      </x:c>
    </x:row>
    <x:row r="13">
      <x:c r="A13" s="847" t="str">
        <x:v>S11-ARC-009</x:v>
      </x:c>
      <x:c r="B13" s="114" t="str">
        <x:v>Package Dependency and BOM Service</x:v>
      </x:c>
      <x:c r="C13" s="114" t="str">
        <x:v>Track scripts, models, libraries, datasets, tools and other skill dependencies.</x:v>
      </x:c>
      <x:c r="D13" s="114" t="str">
        <x:v>CI tooling + Java registry</x:v>
      </x:c>
      <x:c r="E13" s="114" t="str">
        <x:v>SPDX 3.0 and/or CycloneDX 1.7 BOM refs</x:v>
      </x:c>
      <x:c r="F13" s="114" t="str">
        <x:v>Package build pipeline</x:v>
      </x:c>
      <x:c r="G13" s="114" t="str">
        <x:v>skill.bom.attached.v1</x:v>
      </x:c>
      <x:c r="H13" s="114" t="str">
        <x:v>Dependencies, licences and vulnerabilities are review inputs.</x:v>
      </x:c>
      <x:c r="I13" s="114" t="str">
        <x:v>High</x:v>
      </x:c>
      <x:c r="J13" s="114" t="str">
        <x:v>Draft Complete</x:v>
      </x:c>
      <x:c r="K13" s="848" t="str">
        <x:v>SPDX/CycloneDX</x:v>
      </x:c>
    </x:row>
    <x:row r="14">
      <x:c r="A14" s="852" t="str">
        <x:v>S11-ARC-010</x:v>
      </x:c>
      <x:c r="B14" s="853" t="str">
        <x:v>Evaluation Dataset Store</x:v>
      </x:c>
      <x:c r="C14" s="853" t="str">
        <x:v>Store positive, negative, adversarial, privacy, fairness, compatibility and regression cases.</x:v>
      </x:c>
      <x:c r="D14" s="853" t="str">
        <x:v>Object/Git store + PostgreSQL metadata</x:v>
      </x:c>
      <x:c r="E14" s="853" t="str">
        <x:v>Evaluation artefacts</x:v>
      </x:c>
      <x:c r="F14" s="853" t="str">
        <x:v>Observation/proposal/reviewer inputs</x:v>
      </x:c>
      <x:c r="G14" s="853" t="str">
        <x:v>skill.eval.dataset.versioned.v1</x:v>
      </x:c>
      <x:c r="H14" s="853" t="str">
        <x:v>No real secrets or unnecessary personal data.</x:v>
      </x:c>
      <x:c r="I14" s="853" t="str">
        <x:v>Critical</x:v>
      </x:c>
      <x:c r="J14" s="853" t="str">
        <x:v>Draft Complete</x:v>
      </x:c>
      <x:c r="K14" s="854" t="str">
        <x:v>OpenAI Evals/NIST TEVV</x:v>
      </x:c>
    </x:row>
    <x:row r="15">
      <x:c r="A15" s="847" t="str">
        <x:v>S11-ARC-011</x:v>
      </x:c>
      <x:c r="B15" s="114" t="str">
        <x:v>Evaluation Orchestrator</x:v>
      </x:c>
      <x:c r="C15" s="114" t="str">
        <x:v>Run deterministic tests, model evals, security/privacy, performance, cost and regression suites.</x:v>
      </x:c>
      <x:c r="D15" s="114" t="str">
        <x:v>Java orchestration + Python eval workers</x:v>
      </x:c>
      <x:c r="E15" s="114" t="str">
        <x:v>Eval run/results store</x:v>
      </x:c>
      <x:c r="F15" s="114" t="str">
        <x:v>Model Gateway, sandboxes, CI</x:v>
      </x:c>
      <x:c r="G15" s="114" t="str">
        <x:v>skill.eval.run.completed.v1</x:v>
      </x:c>
      <x:c r="H15" s="114" t="str">
        <x:v>Evaluation result is evidence; approval remains human.</x:v>
      </x:c>
      <x:c r="I15" s="114" t="str">
        <x:v>Critical</x:v>
      </x:c>
      <x:c r="J15" s="114" t="str">
        <x:v>Draft Complete</x:v>
      </x:c>
      <x:c r="K15" s="848" t="str">
        <x:v>OpenAI Evals / NIST AI RMF</x:v>
      </x:c>
    </x:row>
    <x:row r="16">
      <x:c r="A16" s="852" t="str">
        <x:v>S11-ARC-012</x:v>
      </x:c>
      <x:c r="B16" s="853" t="str">
        <x:v>Sandbox Runner</x:v>
      </x:c>
      <x:c r="C16" s="853" t="str">
        <x:v>Execute package scripts/adapters/evaluators with scoped tools, data and network.</x:v>
      </x:c>
      <x:c r="D16" s="853" t="str">
        <x:v>Ephemeral container/sandbox platform</x:v>
      </x:c>
      <x:c r="E16" s="853" t="str">
        <x:v>Temporary isolated workspaces</x:v>
      </x:c>
      <x:c r="F16" s="853" t="str">
        <x:v>CI/eval orchestrator</x:v>
      </x:c>
      <x:c r="G16" s="853" t="str">
        <x:v>skill.sandbox.run.completed.v1</x:v>
      </x:c>
      <x:c r="H16" s="853" t="str">
        <x:v>Default deny network/tools; secrets never exposed by default.</x:v>
      </x:c>
      <x:c r="I16" s="853" t="str">
        <x:v>Critical</x:v>
      </x:c>
      <x:c r="J16" s="853" t="str">
        <x:v>Draft Complete</x:v>
      </x:c>
      <x:c r="K16" s="854" t="str">
        <x:v>Agent/tool security</x:v>
      </x:c>
    </x:row>
    <x:row r="17">
      <x:c r="A17" s="847" t="str">
        <x:v>S11-ARC-013</x:v>
      </x:c>
      <x:c r="B17" s="114" t="str">
        <x:v>Multi-Disciplinary Review Workflow</x:v>
      </x:c>
      <x:c r="C17" s="114" t="str">
        <x:v>Coordinate domain, AI evaluation, security, privacy, legal/licence and deployment approvals.</x:v>
      </x:c>
      <x:c r="D17" s="114" t="str">
        <x:v>HumanOS Workflow Runtime</x:v>
      </x:c>
      <x:c r="E17" s="114" t="str">
        <x:v>PostgreSQL workflow state + Audit</x:v>
      </x:c>
      <x:c r="F17" s="114" t="str">
        <x:v>Skill Registry/eval/source records</x:v>
      </x:c>
      <x:c r="G17" s="114" t="str">
        <x:v>skill.review.decision.recorded.v1</x:v>
      </x:c>
      <x:c r="H17" s="114" t="str">
        <x:v>Required reviewers depend on category/data/tool impact.</x:v>
      </x:c>
      <x:c r="I17" s="114" t="str">
        <x:v>Critical</x:v>
      </x:c>
      <x:c r="J17" s="114" t="str">
        <x:v>Draft Complete</x:v>
      </x:c>
      <x:c r="K17" s="848" t="str">
        <x:v>Governance</x:v>
      </x:c>
    </x:row>
    <x:row r="18">
      <x:c r="A18" s="852" t="str">
        <x:v>S11-ARC-014</x:v>
      </x:c>
      <x:c r="B18" s="853" t="str">
        <x:v>Supply-Chain Signing and Attestation</x:v>
      </x:c>
      <x:c r="C18" s="853" t="str">
        <x:v>Sign package digest and attach provenance, evaluation, BOM and approval attestations.</x:v>
      </x:c>
      <x:c r="D18" s="853" t="str">
        <x:v>CI + Sigstore/Cosign/in-toto/SLSA</x:v>
      </x:c>
      <x:c r="E18" s="853" t="str">
        <x:v>Signature/attestation bundles</x:v>
      </x:c>
      <x:c r="F18" s="853" t="str">
        <x:v>Package pipeline</x:v>
      </x:c>
      <x:c r="G18" s="853" t="str">
        <x:v>skill.package.attested.v1</x:v>
      </x:c>
      <x:c r="H18" s="853" t="str">
        <x:v>Verify signer identity, digest, builder and approved predicates.</x:v>
      </x:c>
      <x:c r="I18" s="853" t="str">
        <x:v>Critical</x:v>
      </x:c>
      <x:c r="J18" s="853" t="str">
        <x:v>Draft Complete</x:v>
      </x:c>
      <x:c r="K18" s="854" t="str">
        <x:v>Sigstore/SLSA</x:v>
      </x:c>
    </x:row>
    <x:row r="19">
      <x:c r="A19" s="847" t="str">
        <x:v>S11-ARC-015</x:v>
      </x:c>
      <x:c r="B19" s="114" t="str">
        <x:v>Canary and Feature Control</x:v>
      </x:c>
      <x:c r="C19" s="114" t="str">
        <x:v>Expose approved package version to selected tenant/user/task cohorts.</x:v>
      </x:c>
      <x:c r="D19" s="114" t="str">
        <x:v>OpenFeature-compatible flag abstraction + existing HumanOS provider</x:v>
      </x:c>
      <x:c r="E19" s="114" t="str">
        <x:v>Flag rules/exposure state</x:v>
      </x:c>
      <x:c r="F19" s="114" t="str">
        <x:v>Skill Registry and runtime gateways</x:v>
      </x:c>
      <x:c r="G19" s="114" t="str">
        <x:v>skill.canary.exposure.changed.v1</x:v>
      </x:c>
      <x:c r="H19" s="114" t="str">
        <x:v>Evaluation context minimises PII; safe defaults on provider failure.</x:v>
      </x:c>
      <x:c r="I19" s="114" t="str">
        <x:v>Critical</x:v>
      </x:c>
      <x:c r="J19" s="114" t="str">
        <x:v>Draft Complete</x:v>
      </x:c>
      <x:c r="K19" s="848" t="str">
        <x:v>OpenFeature</x:v>
      </x:c>
    </x:row>
    <x:row r="20">
      <x:c r="A20" s="852" t="str">
        <x:v>S11-ARC-016</x:v>
      </x:c>
      <x:c r="B20" s="853" t="str">
        <x:v>Progressive Deployment Controller</x:v>
      </x:c>
      <x:c r="C20" s="853" t="str">
        <x:v>Apply staged rollout, metric analysis, pause, promotion and rollback.</x:v>
      </x:c>
      <x:c r="D20" s="853" t="str">
        <x:v>Existing Kubernetes/GitOps platform; Argo Rollouts/Flagger only if platform-approved</x:v>
      </x:c>
      <x:c r="E20" s="853" t="str">
        <x:v>Rollout/evaluation state</x:v>
      </x:c>
      <x:c r="F20" s="853" t="str">
        <x:v>Feature flags, SRE metrics, employee feedback</x:v>
      </x:c>
      <x:c r="G20" s="853" t="str">
        <x:v>skill.deployment.state.changed.v1</x:v>
      </x:c>
      <x:c r="H20" s="853" t="str">
        <x:v>Human promotion; automatic pause/rollback on critical thresholds.</x:v>
      </x:c>
      <x:c r="I20" s="853" t="str">
        <x:v>High</x:v>
      </x:c>
      <x:c r="J20" s="853" t="str">
        <x:v>Draft Complete</x:v>
      </x:c>
      <x:c r="K20" s="854" t="str">
        <x:v>Argo Rollouts/Flagger</x:v>
      </x:c>
    </x:row>
    <x:row r="21">
      <x:c r="A21" s="847" t="str">
        <x:v>S11-ARC-017</x:v>
      </x:c>
      <x:c r="B21" s="114" t="str">
        <x:v>Runtime Package Resolver</x:v>
      </x:c>
      <x:c r="C21" s="114" t="str">
        <x:v>Resolve active package version by tenant, task, domain, provider and policy.</x:v>
      </x:c>
      <x:c r="D21" s="114" t="str">
        <x:v>Java gateway/library</x:v>
      </x:c>
      <x:c r="E21" s="114" t="str">
        <x:v>Registry + flag state + cache</x:v>
      </x:c>
      <x:c r="F21" s="114" t="str">
        <x:v>Model Gateway, adapter hub, task/capability/coaching services</x:v>
      </x:c>
      <x:c r="G21" s="114" t="str">
        <x:v>skill.package.resolved.v1</x:v>
      </x:c>
      <x:c r="H21" s="114" t="str">
        <x:v>Fail to approved stable/default version when control plane unavailable.</x:v>
      </x:c>
      <x:c r="I21" s="114" t="str">
        <x:v>Critical</x:v>
      </x:c>
      <x:c r="J21" s="114" t="str">
        <x:v>Draft Complete</x:v>
      </x:c>
      <x:c r="K21" s="848" t="str">
        <x:v>OpenFeature lifecycle</x:v>
      </x:c>
    </x:row>
    <x:row r="22">
      <x:c r="A22" s="852" t="str">
        <x:v>S11-ARC-018</x:v>
      </x:c>
      <x:c r="B22" s="853" t="str">
        <x:v>Post-Deployment Monitor</x:v>
      </x:c>
      <x:c r="C22" s="853" t="str">
        <x:v>Monitor safety, quality, accuracy, fairness, usefulness, latency, cost and drift by version.</x:v>
      </x:c>
      <x:c r="D22" s="853" t="str">
        <x:v>Analytics/SRE/AI evaluation</x:v>
      </x:c>
      <x:c r="E22" s="853" t="str">
        <x:v>Read models/metrics</x:v>
      </x:c>
      <x:c r="F22" s="853" t="str">
        <x:v>Runtime events, review, corrections, feedback</x:v>
      </x:c>
      <x:c r="G22" s="853" t="str">
        <x:v>skill.monitoring.alert.created.v1</x:v>
      </x:c>
      <x:c r="H22" s="853" t="str">
        <x:v>Metrics evaluate package/system—not employee performance.</x:v>
      </x:c>
      <x:c r="I22" s="853" t="str">
        <x:v>Critical</x:v>
      </x:c>
      <x:c r="J22" s="853" t="str">
        <x:v>Draft Complete</x:v>
      </x:c>
      <x:c r="K22" s="854" t="str">
        <x:v>NIST TEVV</x:v>
      </x:c>
    </x:row>
    <x:row r="23">
      <x:c r="A23" s="847" t="str">
        <x:v>S11-ARC-019</x:v>
      </x:c>
      <x:c r="B23" s="114" t="str">
        <x:v>Rollback and Quarantine</x:v>
      </x:c>
      <x:c r="C23" s="114" t="str">
        <x:v>Pause or roll back version, quarantine package and preserve evidence/incident state.</x:v>
      </x:c>
      <x:c r="D23" s="114" t="str">
        <x:v>Java lifecycle + deployment/flag control</x:v>
      </x:c>
      <x:c r="E23" s="114" t="str">
        <x:v>Registry/audit/incident records</x:v>
      </x:c>
      <x:c r="F23" s="114" t="str">
        <x:v>Monitoring/incident/manual stop</x:v>
      </x:c>
      <x:c r="G23" s="114" t="str">
        <x:v>skill.version.rolled_back.v1</x:v>
      </x:c>
      <x:c r="H23" s="114" t="str">
        <x:v>Critical rollback does not require package owner approval.</x:v>
      </x:c>
      <x:c r="I23" s="114" t="str">
        <x:v>Critical</x:v>
      </x:c>
      <x:c r="J23" s="114" t="str">
        <x:v>Draft Complete</x:v>
      </x:c>
      <x:c r="K23" s="848" t="str">
        <x:v>Progressive delivery</x:v>
      </x:c>
    </x:row>
    <x:row r="24">
      <x:c r="A24" s="852" t="str">
        <x:v>S11-ARC-020</x:v>
      </x:c>
      <x:c r="B24" s="853" t="str">
        <x:v>Deprecation and Migration</x:v>
      </x:c>
      <x:c r="C24" s="853" t="str">
        <x:v>Retire obsolete versions and migrate dependent packages/read models safely.</x:v>
      </x:c>
      <x:c r="D24" s="853" t="str">
        <x:v>Java lifecycle + dependency graph</x:v>
      </x:c>
      <x:c r="E24" s="853" t="str">
        <x:v>Registry/dependency state</x:v>
      </x:c>
      <x:c r="F24" s="853" t="str">
        <x:v>Compatibility scanner</x:v>
      </x:c>
      <x:c r="G24" s="853" t="str">
        <x:v>skill.version.deprecated.v1</x:v>
      </x:c>
      <x:c r="H24" s="853" t="str">
        <x:v>Historical findings retain original version lineage.</x:v>
      </x:c>
      <x:c r="I24" s="853" t="str">
        <x:v>High</x:v>
      </x:c>
      <x:c r="J24" s="853" t="str">
        <x:v>Draft Complete</x:v>
      </x:c>
      <x:c r="K24" s="854" t="str">
        <x:v>Semantic versioning</x:v>
      </x:c>
    </x:row>
    <x:row r="25">
      <x:c r="A25" s="847" t="str">
        <x:v>S11-ARC-021</x:v>
      </x:c>
      <x:c r="B25" s="114" t="str">
        <x:v>Tenant and Domain Overlays</x:v>
      </x:c>
      <x:c r="C25" s="114" t="str">
        <x:v>Support tenant/domain-specific packages without contaminating global baseline.</x:v>
      </x:c>
      <x:c r="D25" s="114" t="str">
        <x:v>Registry hierarchy/policy</x:v>
      </x:c>
      <x:c r="E25" s="114" t="str">
        <x:v>PostgreSQL/package refs</x:v>
      </x:c>
      <x:c r="F25" s="114" t="str">
        <x:v>Organisation, policy and package resolver</x:v>
      </x:c>
      <x:c r="G25" s="114" t="str">
        <x:v>skill.overlay.activated.v1</x:v>
      </x:c>
      <x:c r="H25" s="114" t="str">
        <x:v>Tenant-specific confidential knowledge cannot become global/public automatically.</x:v>
      </x:c>
      <x:c r="I25" s="114" t="str">
        <x:v>High</x:v>
      </x:c>
      <x:c r="J25" s="114" t="str">
        <x:v>Draft Complete</x:v>
      </x:c>
      <x:c r="K25" s="848" t="str">
        <x:v>Multi-tenant governance</x:v>
      </x:c>
    </x:row>
    <x:row r="26">
      <x:c r="A26" s="852" t="str">
        <x:v>S11-ARC-022</x:v>
      </x:c>
      <x:c r="B26" s="853" t="str">
        <x:v>Research Candidate Service</x:v>
      </x:c>
      <x:c r="C26" s="853" t="str">
        <x:v>Capture approved external research and propose source-backed changes.</x:v>
      </x:c>
      <x:c r="D26" s="853" t="str">
        <x:v>Python research synthesis + Java source workflow</x:v>
      </x:c>
      <x:c r="E26" s="853" t="str">
        <x:v>Source registry/proposal refs</x:v>
      </x:c>
      <x:c r="F26" s="853" t="str">
        <x:v>Official docs, papers, standards and connected sources</x:v>
      </x:c>
      <x:c r="G26" s="853" t="str">
        <x:v>skill.research.candidate.created.v1</x:v>
      </x:c>
      <x:c r="H26" s="853" t="str">
        <x:v>Research is candidate evidence; freshness and conflicts recorded.</x:v>
      </x:c>
      <x:c r="I26" s="853" t="str">
        <x:v>High</x:v>
      </x:c>
      <x:c r="J26" s="853" t="str">
        <x:v>Draft Complete</x:v>
      </x:c>
      <x:c r="K26" s="854" t="str">
        <x:v>Research governance</x:v>
      </x:c>
    </x:row>
    <x:row r="27">
      <x:c r="A27" s="847" t="str">
        <x:v>S11-ARC-023</x:v>
      </x:c>
      <x:c r="B27" s="114" t="str">
        <x:v>Publication and Export</x:v>
      </x:c>
      <x:c r="C27" s="114" t="str">
        <x:v>Package approved reusable or open-source candidates with attribution and confidentiality checks.</x:v>
      </x:c>
      <x:c r="D27" s="114" t="str">
        <x:v>Java workflow + Git/OCI export</x:v>
      </x:c>
      <x:c r="E27" s="114" t="str">
        <x:v>Publication package and audit</x:v>
      </x:c>
      <x:c r="F27" s="114" t="str">
        <x:v>Legal/licence/security/privacy reviewers</x:v>
      </x:c>
      <x:c r="G27" s="114" t="str">
        <x:v>skill.publication.approved.v1</x:v>
      </x:c>
      <x:c r="H27" s="114" t="str">
        <x:v>No publication without explicit classification and approval.</x:v>
      </x:c>
      <x:c r="I27" s="114" t="str">
        <x:v>High</x:v>
      </x:c>
      <x:c r="J27" s="114" t="str">
        <x:v>Draft Complete</x:v>
      </x:c>
      <x:c r="K27" s="848" t="str">
        <x:v>SPDX/licence governance</x:v>
      </x:c>
    </x:row>
    <x:row r="28">
      <x:c r="A28" s="855" t="str">
        <x:v>S11-ARC-024</x:v>
      </x:c>
      <x:c r="B28" s="856" t="str">
        <x:v>Skill Forge Audit</x:v>
      </x:c>
      <x:c r="C28" s="856" t="str">
        <x:v>Record observation, proposal, source, evaluation, reviews, signing, exposure, promotion and rollback.</x:v>
      </x:c>
      <x:c r="D28" s="856" t="str">
        <x:v>HumanOS Audit extension</x:v>
      </x:c>
      <x:c r="E28" s="856" t="str">
        <x:v>Append-only audit</x:v>
      </x:c>
      <x:c r="F28" s="856" t="str">
        <x:v>All Skill Forge components</x:v>
      </x:c>
      <x:c r="G28" s="856" t="str">
        <x:v>Audit reports</x:v>
      </x:c>
      <x:c r="H28" s="856" t="str">
        <x:v>Every active version must be reconstructable and attributable.</x:v>
      </x:c>
      <x:c r="I28" s="856" t="str">
        <x:v>Critical</x:v>
      </x:c>
      <x:c r="J28" s="856" t="str">
        <x:v>Draft Complete</x:v>
      </x:c>
      <x:c r="K28" s="857" t="str">
        <x:v>HumanOS audit</x:v>
      </x:c>
    </x:row>
  </x:sheetData>
  <x:mergeCells>
    <x:mergeCell ref="A1:K1"/>
    <x:mergeCell ref="A2:K2"/>
  </x:mergeCells>
  <x:dataValidations count="2">
    <x:dataValidation type="list" sqref="I5:I28">
      <x:formula1>"Critical,High,Medium,Low"</x:formula1>
    </x:dataValidation>
    <x:dataValidation type="list" sqref="J5:J28">
      <x:formula1>"Draft Complete,Needs Review,Approved,Deferred"</x:formula1>
    </x:dataValidation>
  </x:dataValidations>
  <x:pageMargins left="0.7" right="0.7" top="0.75" bottom="0.75" header="0.3" footer="0.3"/>
</x:worksheet>
</file>

<file path=xl/worksheets/sheet149.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22" hidden="0" customWidth="1"/>
    <x:col min="5" max="5" width="24" hidden="0" customWidth="1"/>
    <x:col min="6" max="6" width="38" hidden="0" customWidth="1"/>
    <x:col min="7" max="7" width="34" hidden="0" customWidth="1"/>
    <x:col min="8" max="8" width="60" hidden="0" customWidth="1"/>
    <x:col min="9" max="9" width="18" hidden="0" customWidth="1"/>
  </x:cols>
  <x:sheetData>
    <x:row r="1" ht="30" customHeight="1">
      <x:c r="A1" s="809" t="str">
        <x:v>Stage 11 — Skill Observation Model</x:v>
      </x:c>
      <x:c r="B1" s="809"/>
      <x:c r="C1" s="809"/>
      <x:c r="D1" s="809"/>
      <x:c r="E1" s="809"/>
      <x:c r="F1" s="809"/>
      <x:c r="G1" s="809"/>
      <x:c r="H1" s="809"/>
      <x:c r="I1" s="809"/>
    </x:row>
    <x:row r="2" ht="38" customHeight="1">
      <x:c r="A2" s="813" t="str">
        <x:v>Traceable observations from corrections, overrides, successful patterns, feedback, drift, incidents and research. Facts, inference and proposed change are explicitly separated.</x:v>
      </x:c>
      <x:c r="B2" s="813"/>
      <x:c r="C2" s="813"/>
      <x:c r="D2" s="813"/>
      <x:c r="E2" s="813"/>
      <x:c r="F2" s="813"/>
      <x:c r="G2" s="813"/>
      <x:c r="H2" s="813"/>
      <x:c r="I2" s="813"/>
    </x:row>
    <x:row r="4" ht="30" customHeight="1">
      <x:c r="A4" s="825" t="str">
        <x:v>ID</x:v>
      </x:c>
      <x:c r="B4" s="826" t="str">
        <x:v>Field / concept</x:v>
      </x:c>
      <x:c r="C4" s="826" t="str">
        <x:v>Definition</x:v>
      </x:c>
      <x:c r="D4" s="826" t="str">
        <x:v>Type</x:v>
      </x:c>
      <x:c r="E4" s="826" t="str">
        <x:v>Requirement</x:v>
      </x:c>
      <x:c r="F4" s="826" t="str">
        <x:v>Purpose</x:v>
      </x:c>
      <x:c r="G4" s="826" t="str">
        <x:v>Source / owner</x:v>
      </x:c>
      <x:c r="H4" s="826" t="str">
        <x:v>Validation / guardrail</x:v>
      </x:c>
      <x:c r="I4" s="827" t="str">
        <x:v>Status</x:v>
      </x:c>
    </x:row>
    <x:row r="5">
      <x:c r="A5" s="844" t="str">
        <x:v>SOM-001</x:v>
      </x:c>
      <x:c r="B5" s="845" t="str">
        <x:v>observation_id</x:v>
      </x:c>
      <x:c r="C5" s="845" t="str">
        <x:v>Unique immutable observation ID.</x:v>
      </x:c>
      <x:c r="D5" s="845" t="str">
        <x:v>string</x:v>
      </x:c>
      <x:c r="E5" s="845" t="str">
        <x:v>Required</x:v>
      </x:c>
      <x:c r="F5" s="845" t="str">
        <x:v>Identity/audit.</x:v>
      </x:c>
      <x:c r="G5" s="845" t="str">
        <x:v>All sources</x:v>
      </x:c>
      <x:c r="H5" s="845" t="str">
        <x:v>Stable across retries.</x:v>
      </x:c>
      <x:c r="I5" s="846" t="str">
        <x:v>Draft Complete</x:v>
      </x:c>
    </x:row>
    <x:row r="6">
      <x:c r="A6" s="852" t="str">
        <x:v>SOM-002</x:v>
      </x:c>
      <x:c r="B6" s="853" t="str">
        <x:v>observation_type</x:v>
      </x:c>
      <x:c r="C6" s="853" t="str">
        <x:v>Correction, override, false finding, success pattern, feedback, drift, incident, research, suggestion or regression.</x:v>
      </x:c>
      <x:c r="D6" s="853" t="str">
        <x:v>enum</x:v>
      </x:c>
      <x:c r="E6" s="853" t="str">
        <x:v>Required</x:v>
      </x:c>
      <x:c r="F6" s="853" t="str">
        <x:v>Routing and clustering.</x:v>
      </x:c>
      <x:c r="G6" s="853" t="str">
        <x:v>Source service</x:v>
      </x:c>
      <x:c r="H6" s="853" t="str">
        <x:v>Type is factual source classification, not improvement conclusion.</x:v>
      </x:c>
      <x:c r="I6" s="854" t="str">
        <x:v>Draft Complete</x:v>
      </x:c>
    </x:row>
    <x:row r="7">
      <x:c r="A7" s="847" t="str">
        <x:v>SOM-003</x:v>
      </x:c>
      <x:c r="B7" s="114" t="str">
        <x:v>source_event_refs</x:v>
      </x:c>
      <x:c r="C7" s="114" t="str">
        <x:v>References to original reviewed events/cases/evaluations.</x:v>
      </x:c>
      <x:c r="D7" s="114" t="str">
        <x:v>array</x:v>
      </x:c>
      <x:c r="E7" s="114" t="str">
        <x:v>Required</x:v>
      </x:c>
      <x:c r="F7" s="114" t="str">
        <x:v>Evidence lineage.</x:v>
      </x:c>
      <x:c r="G7" s="114" t="str">
        <x:v>HumanOS Evidence/Audit</x:v>
      </x:c>
      <x:c r="H7" s="114" t="str">
        <x:v>Use references; do not copy unnecessary raw content.</x:v>
      </x:c>
      <x:c r="I7" s="848" t="str">
        <x:v>Draft Complete</x:v>
      </x:c>
    </x:row>
    <x:row r="8">
      <x:c r="A8" s="852" t="str">
        <x:v>SOM-004</x:v>
      </x:c>
      <x:c r="B8" s="853" t="str">
        <x:v>source_fact_summary</x:v>
      </x:c>
      <x:c r="C8" s="853" t="str">
        <x:v>Minimised factual description of what occurred.</x:v>
      </x:c>
      <x:c r="D8" s="853" t="str">
        <x:v>text/ref</x:v>
      </x:c>
      <x:c r="E8" s="853" t="str">
        <x:v>Required</x:v>
      </x:c>
      <x:c r="F8" s="853" t="str">
        <x:v>Human review and clustering.</x:v>
      </x:c>
      <x:c r="G8" s="853" t="str">
        <x:v>Observation Intake</x:v>
      </x:c>
      <x:c r="H8" s="853" t="str">
        <x:v>Separate facts from inference/proposed change.</x:v>
      </x:c>
      <x:c r="I8" s="854" t="str">
        <x:v>Draft Complete</x:v>
      </x:c>
    </x:row>
    <x:row r="9">
      <x:c r="A9" s="847" t="str">
        <x:v>SOM-005</x:v>
      </x:c>
      <x:c r="B9" s="114" t="str">
        <x:v>source_class</x:v>
      </x:c>
      <x:c r="C9" s="114" t="str">
        <x:v>Employee correction, reviewer decision, evaluator result, runtime metric, incident, research or human suggestion.</x:v>
      </x:c>
      <x:c r="D9" s="114" t="str">
        <x:v>enum</x:v>
      </x:c>
      <x:c r="E9" s="114" t="str">
        <x:v>Required</x:v>
      </x:c>
      <x:c r="F9" s="114" t="str">
        <x:v>Reliability and review.</x:v>
      </x:c>
      <x:c r="G9" s="114" t="str">
        <x:v>Source system</x:v>
      </x:c>
      <x:c r="H9" s="114" t="str">
        <x:v>Employee feedback remains visible and protected.</x:v>
      </x:c>
      <x:c r="I9" s="848" t="str">
        <x:v>Draft Complete</x:v>
      </x:c>
    </x:row>
    <x:row r="10">
      <x:c r="A10" s="852" t="str">
        <x:v>SOM-006</x:v>
      </x:c>
      <x:c r="B10" s="853" t="str">
        <x:v>affected_package_refs</x:v>
      </x:c>
      <x:c r="C10" s="853" t="str">
        <x:v>Skill/evaluator/adapter/prompt/workflow/content versions involved.</x:v>
      </x:c>
      <x:c r="D10" s="853" t="str">
        <x:v>array</x:v>
      </x:c>
      <x:c r="E10" s="853" t="str">
        <x:v>Recommended</x:v>
      </x:c>
      <x:c r="F10" s="853" t="str">
        <x:v>Impact analysis.</x:v>
      </x:c>
      <x:c r="G10" s="853" t="str">
        <x:v>Skill Registry/Audit</x:v>
      </x:c>
      <x:c r="H10" s="853" t="str">
        <x:v>Unknown package/version is valid and triggers investigation.</x:v>
      </x:c>
      <x:c r="I10" s="854" t="str">
        <x:v>Draft Complete</x:v>
      </x:c>
    </x:row>
    <x:row r="11">
      <x:c r="A11" s="847" t="str">
        <x:v>SOM-007</x:v>
      </x:c>
      <x:c r="B11" s="114" t="str">
        <x:v>affected_domain/task/provider</x:v>
      </x:c>
      <x:c r="C11" s="114" t="str">
        <x:v>Domain, role, task template, tool or provider context.</x:v>
      </x:c>
      <x:c r="D11" s="114" t="str">
        <x:v>object</x:v>
      </x:c>
      <x:c r="E11" s="114" t="str">
        <x:v>Recommended</x:v>
      </x:c>
      <x:c r="F11" s="114" t="str">
        <x:v>Generalisation boundary.</x:v>
      </x:c>
      <x:c r="G11" s="114" t="str">
        <x:v>Task/Adapter/Capability services</x:v>
      </x:c>
      <x:c r="H11" s="114" t="str">
        <x:v>Do not overgeneralise one domain incident.</x:v>
      </x:c>
      <x:c r="I11" s="848" t="str">
        <x:v>Draft Complete</x:v>
      </x:c>
    </x:row>
    <x:row r="12">
      <x:c r="A12" s="852" t="str">
        <x:v>SOM-008</x:v>
      </x:c>
      <x:c r="B12" s="853" t="str">
        <x:v>tenant_scope</x:v>
      </x:c>
      <x:c r="C12" s="853" t="str">
        <x:v>Global candidate, tenant-specific, customer-specific or unknown.</x:v>
      </x:c>
      <x:c r="D12" s="853" t="str">
        <x:v>enum</x:v>
      </x:c>
      <x:c r="E12" s="853" t="str">
        <x:v>Required</x:v>
      </x:c>
      <x:c r="F12" s="853" t="str">
        <x:v>Confidentiality and deployment.</x:v>
      </x:c>
      <x:c r="G12" s="853" t="str">
        <x:v>Organisation/Policy</x:v>
      </x:c>
      <x:c r="H12" s="853" t="str">
        <x:v>Tenant-specific observation cannot enter global package automatically.</x:v>
      </x:c>
      <x:c r="I12" s="854" t="str">
        <x:v>Draft Complete</x:v>
      </x:c>
    </x:row>
    <x:row r="13">
      <x:c r="A13" s="847" t="str">
        <x:v>SOM-009</x:v>
      </x:c>
      <x:c r="B13" s="114" t="str">
        <x:v>confidentiality_class</x:v>
      </x:c>
      <x:c r="C13" s="114" t="str">
        <x:v>Internal confidential, internal reusable, tenant-confidential, publishable candidate or prohibited publication.</x:v>
      </x:c>
      <x:c r="D13" s="114" t="str">
        <x:v>enum</x:v>
      </x:c>
      <x:c r="E13" s="114" t="str">
        <x:v>Required</x:v>
      </x:c>
      <x:c r="F13" s="114" t="str">
        <x:v>Data handling.</x:v>
      </x:c>
      <x:c r="G13" s="114" t="str">
        <x:v>DPO/Legal/CISO</x:v>
      </x:c>
      <x:c r="H13" s="114" t="str">
        <x:v>Default conservative classification.</x:v>
      </x:c>
      <x:c r="I13" s="848" t="str">
        <x:v>Draft Complete</x:v>
      </x:c>
    </x:row>
    <x:row r="14">
      <x:c r="A14" s="852" t="str">
        <x:v>SOM-010</x:v>
      </x:c>
      <x:c r="B14" s="853" t="str">
        <x:v>personal_data_class</x:v>
      </x:c>
      <x:c r="C14" s="853" t="str">
        <x:v>None, pseudonymous, employee, customer, special/restricted or unknown.</x:v>
      </x:c>
      <x:c r="D14" s="853" t="str">
        <x:v>enum</x:v>
      </x:c>
      <x:c r="E14" s="853" t="str">
        <x:v>Required</x:v>
      </x:c>
      <x:c r="F14" s="853" t="str">
        <x:v>Privacy processing.</x:v>
      </x:c>
      <x:c r="G14" s="853" t="str">
        <x:v>DPO/Data</x:v>
      </x:c>
      <x:c r="H14" s="853" t="str">
        <x:v>Generalisation must remove personal data where possible.</x:v>
      </x:c>
      <x:c r="I14" s="854" t="str">
        <x:v>Draft Complete</x:v>
      </x:c>
    </x:row>
    <x:row r="15">
      <x:c r="A15" s="847" t="str">
        <x:v>SOM-011</x:v>
      </x:c>
      <x:c r="B15" s="114" t="str">
        <x:v>severity</x:v>
      </x:c>
      <x:c r="C15" s="114" t="str">
        <x:v>Informational, low, medium, high or critical.</x:v>
      </x:c>
      <x:c r="D15" s="114" t="str">
        <x:v>enum</x:v>
      </x:c>
      <x:c r="E15" s="114" t="str">
        <x:v>Required</x:v>
      </x:c>
      <x:c r="F15" s="114" t="str">
        <x:v>Triage and stop actions.</x:v>
      </x:c>
      <x:c r="G15" s="114" t="str">
        <x:v>Source/triage</x:v>
      </x:c>
      <x:c r="H15" s="114" t="str">
        <x:v>Critical privacy/security/safety observations can pause package immediately.</x:v>
      </x:c>
      <x:c r="I15" s="848" t="str">
        <x:v>Draft Complete</x:v>
      </x:c>
    </x:row>
    <x:row r="16">
      <x:c r="A16" s="852" t="str">
        <x:v>SOM-012</x:v>
      </x:c>
      <x:c r="B16" s="853" t="str">
        <x:v>recurrence_count/cohort</x:v>
      </x:c>
      <x:c r="C16" s="853" t="str">
        <x:v>Number of independent occurrences and comparable contexts.</x:v>
      </x:c>
      <x:c r="D16" s="853" t="str">
        <x:v>object</x:v>
      </x:c>
      <x:c r="E16" s="853" t="str">
        <x:v>Recommended</x:v>
      </x:c>
      <x:c r="F16" s="853" t="str">
        <x:v>Generalisability.</x:v>
      </x:c>
      <x:c r="G16" s="853" t="str">
        <x:v>Pattern Clusterer</x:v>
      </x:c>
      <x:c r="H16" s="853" t="str">
        <x:v>Correlated events from same case do not inflate recurrence.</x:v>
      </x:c>
      <x:c r="I16" s="854" t="str">
        <x:v>Draft Complete</x:v>
      </x:c>
    </x:row>
    <x:row r="17">
      <x:c r="A17" s="847" t="str">
        <x:v>SOM-013</x:v>
      </x:c>
      <x:c r="B17" s="114" t="str">
        <x:v>expected_vs_actual</x:v>
      </x:c>
      <x:c r="C17" s="114" t="str">
        <x:v>Expected package/system behaviour and observed result.</x:v>
      </x:c>
      <x:c r="D17" s="114" t="str">
        <x:v>object</x:v>
      </x:c>
      <x:c r="E17" s="114" t="str">
        <x:v>Recommended</x:v>
      </x:c>
      <x:c r="F17" s="114" t="str">
        <x:v>Regression proposal.</x:v>
      </x:c>
      <x:c r="G17" s="114" t="str">
        <x:v>Eval/Runtime source</x:v>
      </x:c>
      <x:c r="H17" s="114" t="str">
        <x:v>Expectation must reference contract/eval where available.</x:v>
      </x:c>
      <x:c r="I17" s="848" t="str">
        <x:v>Draft Complete</x:v>
      </x:c>
    </x:row>
    <x:row r="18">
      <x:c r="A18" s="852" t="str">
        <x:v>SOM-014</x:v>
      </x:c>
      <x:c r="B18" s="853" t="str">
        <x:v>employee_or_user_feedback</x:v>
      </x:c>
      <x:c r="C18" s="853" t="str">
        <x:v>Feedback category and protected content reference.</x:v>
      </x:c>
      <x:c r="D18" s="853" t="str">
        <x:v>ref/object</x:v>
      </x:c>
      <x:c r="E18" s="853" t="str">
        <x:v>Conditional</x:v>
      </x:c>
      <x:c r="F18" s="853" t="str">
        <x:v>Voice of user.</x:v>
      </x:c>
      <x:c r="G18" s="853" t="str">
        <x:v>Employee/customer feedback</x:v>
      </x:c>
      <x:c r="H18" s="853" t="str">
        <x:v>Feedback cannot become employee performance data.</x:v>
      </x:c>
      <x:c r="I18" s="854" t="str">
        <x:v>Draft Complete</x:v>
      </x:c>
    </x:row>
    <x:row r="19">
      <x:c r="A19" s="847" t="str">
        <x:v>SOM-015</x:v>
      </x:c>
      <x:c r="B19" s="114" t="str">
        <x:v>reviewer_override</x:v>
      </x:c>
      <x:c r="C19" s="114" t="str">
        <x:v>Recommendation, original outcome, reviewer decision and rationale refs.</x:v>
      </x:c>
      <x:c r="D19" s="114" t="str">
        <x:v>object</x:v>
      </x:c>
      <x:c r="E19" s="114" t="str">
        <x:v>Conditional</x:v>
      </x:c>
      <x:c r="F19" s="114" t="str">
        <x:v>False-finding improvement.</x:v>
      </x:c>
      <x:c r="G19" s="114" t="str">
        <x:v>Review workflow</x:v>
      </x:c>
      <x:c r="H19" s="114" t="str">
        <x:v>Reviewer override itself can be wrong; use pattern/evaluation.</x:v>
      </x:c>
      <x:c r="I19" s="848" t="str">
        <x:v>Draft Complete</x:v>
      </x:c>
    </x:row>
    <x:row r="20">
      <x:c r="A20" s="852" t="str">
        <x:v>SOM-016</x:v>
      </x:c>
      <x:c r="B20" s="853" t="str">
        <x:v>evaluation_failure</x:v>
      </x:c>
      <x:c r="C20" s="853" t="str">
        <x:v>Eval case, expected result, actual result and version.</x:v>
      </x:c>
      <x:c r="D20" s="853" t="str">
        <x:v>object</x:v>
      </x:c>
      <x:c r="E20" s="853" t="str">
        <x:v>Conditional</x:v>
      </x:c>
      <x:c r="F20" s="853" t="str">
        <x:v>Regression detection.</x:v>
      </x:c>
      <x:c r="G20" s="853" t="str">
        <x:v>Evaluation Orchestrator</x:v>
      </x:c>
      <x:c r="H20" s="853" t="str">
        <x:v>Test data classification recorded.</x:v>
      </x:c>
      <x:c r="I20" s="854" t="str">
        <x:v>Draft Complete</x:v>
      </x:c>
    </x:row>
    <x:row r="21">
      <x:c r="A21" s="847" t="str">
        <x:v>SOM-017</x:v>
      </x:c>
      <x:c r="B21" s="114" t="str">
        <x:v>adapter_drift</x:v>
      </x:c>
      <x:c r="C21" s="114" t="str">
        <x:v>Provider/API version, missing events and coverage impact.</x:v>
      </x:c>
      <x:c r="D21" s="114" t="str">
        <x:v>object</x:v>
      </x:c>
      <x:c r="E21" s="114" t="str">
        <x:v>Conditional</x:v>
      </x:c>
      <x:c r="F21" s="114" t="str">
        <x:v>Adapter update.</x:v>
      </x:c>
      <x:c r="G21" s="114" t="str">
        <x:v>Stage 6 Adapter Hub</x:v>
      </x:c>
      <x:c r="H21" s="114" t="str">
        <x:v>Do not infer employee behaviour from drift.</x:v>
      </x:c>
      <x:c r="I21" s="848" t="str">
        <x:v>Draft Complete</x:v>
      </x:c>
    </x:row>
    <x:row r="22">
      <x:c r="A22" s="852" t="str">
        <x:v>SOM-018</x:v>
      </x:c>
      <x:c r="B22" s="853" t="str">
        <x:v>security_privacy_incident</x:v>
      </x:c>
      <x:c r="C22" s="853" t="str">
        <x:v>Incident/ref, affected data/tool/package and containment state.</x:v>
      </x:c>
      <x:c r="D22" s="853" t="str">
        <x:v>restricted ref</x:v>
      </x:c>
      <x:c r="E22" s="853" t="str">
        <x:v>Conditional</x:v>
      </x:c>
      <x:c r="F22" s="853" t="str">
        <x:v>Immediate containment/improvement.</x:v>
      </x:c>
      <x:c r="G22" s="853" t="str">
        <x:v>Incident workflow</x:v>
      </x:c>
      <x:c r="H22" s="853" t="str">
        <x:v>Restricted access; no incident content in general cluster.</x:v>
      </x:c>
      <x:c r="I22" s="854" t="str">
        <x:v>Draft Complete</x:v>
      </x:c>
    </x:row>
    <x:row r="23">
      <x:c r="A23" s="847" t="str">
        <x:v>SOM-019</x:v>
      </x:c>
      <x:c r="B23" s="114" t="str">
        <x:v>research_source_refs</x:v>
      </x:c>
      <x:c r="C23" s="114" t="str">
        <x:v>URLs/doc IDs, retrieval date, reliability, licence and conflicting sources.</x:v>
      </x:c>
      <x:c r="D23" s="114" t="str">
        <x:v>array</x:v>
      </x:c>
      <x:c r="E23" s="114" t="str">
        <x:v>Conditional</x:v>
      </x:c>
      <x:c r="F23" s="114" t="str">
        <x:v>Research-backed proposal.</x:v>
      </x:c>
      <x:c r="G23" s="114" t="str">
        <x:v>Source Registry</x:v>
      </x:c>
      <x:c r="H23" s="114" t="str">
        <x:v>Research freshness/expiry required.</x:v>
      </x:c>
      <x:c r="I23" s="848" t="str">
        <x:v>Draft Complete</x:v>
      </x:c>
    </x:row>
    <x:row r="24">
      <x:c r="A24" s="852" t="str">
        <x:v>SOM-020</x:v>
      </x:c>
      <x:c r="B24" s="853" t="str">
        <x:v>inference_summary</x:v>
      </x:c>
      <x:c r="C24" s="853" t="str">
        <x:v>AI/human interpretation of why pattern matters.</x:v>
      </x:c>
      <x:c r="D24" s="853" t="str">
        <x:v>text/ref</x:v>
      </x:c>
      <x:c r="E24" s="853" t="str">
        <x:v>Optional</x:v>
      </x:c>
      <x:c r="F24" s="853" t="str">
        <x:v>Triage/proposal.</x:v>
      </x:c>
      <x:c r="G24" s="853" t="str">
        <x:v>Classifier/reviewer</x:v>
      </x:c>
      <x:c r="H24" s="853" t="str">
        <x:v>Explicitly labelled inference with version/confidence.</x:v>
      </x:c>
      <x:c r="I24" s="854" t="str">
        <x:v>Draft Complete</x:v>
      </x:c>
    </x:row>
    <x:row r="25">
      <x:c r="A25" s="847" t="str">
        <x:v>SOM-021</x:v>
      </x:c>
      <x:c r="B25" s="114" t="str">
        <x:v>proposed_category</x:v>
      </x:c>
      <x:c r="C25" s="114" t="str">
        <x:v>Prompt, evaluator, coach, content, adapter, workflow, report, policy or task template candidate.</x:v>
      </x:c>
      <x:c r="D25" s="114" t="str">
        <x:v>enum</x:v>
      </x:c>
      <x:c r="E25" s="114" t="str">
        <x:v>Optional</x:v>
      </x:c>
      <x:c r="F25" s="114" t="str">
        <x:v>Proposal routing.</x:v>
      </x:c>
      <x:c r="G25" s="114" t="str">
        <x:v>Classifier</x:v>
      </x:c>
      <x:c r="H25" s="114" t="str">
        <x:v>Category can be changed by triage reviewer.</x:v>
      </x:c>
      <x:c r="I25" s="848" t="str">
        <x:v>Draft Complete</x:v>
      </x:c>
    </x:row>
    <x:row r="26">
      <x:c r="A26" s="852" t="str">
        <x:v>SOM-022</x:v>
      </x:c>
      <x:c r="B26" s="853" t="str">
        <x:v>generalisation_status</x:v>
      </x:c>
      <x:c r="C26" s="853" t="str">
        <x:v>One-off, recurring local, tenant pattern, cross-tenant pattern or insufficient evidence.</x:v>
      </x:c>
      <x:c r="D26" s="853" t="str">
        <x:v>enum</x:v>
      </x:c>
      <x:c r="E26" s="853" t="str">
        <x:v>Required after triage</x:v>
      </x:c>
      <x:c r="F26" s="853" t="str">
        <x:v>Proposal decision.</x:v>
      </x:c>
      <x:c r="G26" s="853" t="str">
        <x:v>Pattern Clusterer/reviewer</x:v>
      </x:c>
      <x:c r="H26" s="853" t="str">
        <x:v>Human approval before cross-tenant/global status.</x:v>
      </x:c>
      <x:c r="I26" s="854" t="str">
        <x:v>Draft Complete</x:v>
      </x:c>
    </x:row>
    <x:row r="27">
      <x:c r="A27" s="847" t="str">
        <x:v>SOM-023</x:v>
      </x:c>
      <x:c r="B27" s="114" t="str">
        <x:v>triage_decision</x:v>
      </x:c>
      <x:c r="C27" s="114" t="str">
        <x:v>Reject, observe, cluster, investigate, immediate pause or create proposal.</x:v>
      </x:c>
      <x:c r="D27" s="114" t="str">
        <x:v>enum</x:v>
      </x:c>
      <x:c r="E27" s="114" t="str">
        <x:v>Required after triage</x:v>
      </x:c>
      <x:c r="F27" s="114" t="str">
        <x:v>Lifecycle.</x:v>
      </x:c>
      <x:c r="G27" s="114" t="str">
        <x:v>Triage reviewer</x:v>
      </x:c>
      <x:c r="H27" s="114" t="str">
        <x:v>Rationale required for pause/reject/proposal.</x:v>
      </x:c>
      <x:c r="I27" s="848" t="str">
        <x:v>Draft Complete</x:v>
      </x:c>
    </x:row>
    <x:row r="28">
      <x:c r="A28" s="855" t="str">
        <x:v>SOM-024</x:v>
      </x:c>
      <x:c r="B28" s="856" t="str">
        <x:v>retention_expiry</x:v>
      </x:c>
      <x:c r="C28" s="856" t="str">
        <x:v>Observation retention, legal/incident hold and deletion state.</x:v>
      </x:c>
      <x:c r="D28" s="856" t="str">
        <x:v>object</x:v>
      </x:c>
      <x:c r="E28" s="856" t="str">
        <x:v>Required</x:v>
      </x:c>
      <x:c r="F28" s="856" t="str">
        <x:v>Governance.</x:v>
      </x:c>
      <x:c r="G28" s="856" t="str">
        <x:v>Retention Service</x:v>
      </x:c>
      <x:c r="H28" s="856" t="str">
        <x:v>Source content may expire while minimal lineage remains.</x:v>
      </x:c>
      <x:c r="I28" s="857" t="str">
        <x:v>Draft Complete</x:v>
      </x:c>
    </x:row>
  </x:sheetData>
  <x:mergeCells>
    <x:mergeCell ref="A1:I1"/>
    <x:mergeCell ref="A2:I2"/>
  </x:mergeCells>
  <x:dataValidations count="1">
    <x:dataValidation type="list" sqref="I5:I28">
      <x:formula1>"Draft Complete,Needs Review,Approved,Deferred"</x:formula1>
    </x:dataValidation>
  </x:dataValidations>
  <x:pageMargins left="0.7" right="0.7" top="0.75" bottom="0.75" header="0.3" footer="0.3"/>
</x:worksheet>
</file>

<file path=xl/worksheets/sheet150.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4" hidden="0" customWidth="1"/>
    <x:col min="5" max="5" width="28" hidden="0" customWidth="1"/>
    <x:col min="6" max="6" width="40" hidden="0" customWidth="1"/>
    <x:col min="7" max="7" width="64" hidden="0" customWidth="1"/>
    <x:col min="8" max="8" width="18" hidden="0" customWidth="1"/>
  </x:cols>
  <x:sheetData>
    <x:row r="1" ht="30" customHeight="1">
      <x:c r="A1" s="809" t="str">
        <x:v>Stage 11 — Skill Package Contract</x:v>
      </x:c>
      <x:c r="B1" s="809"/>
      <x:c r="C1" s="809"/>
      <x:c r="D1" s="809"/>
      <x:c r="E1" s="809"/>
      <x:c r="F1" s="809"/>
      <x:c r="G1" s="809"/>
      <x:c r="H1" s="809"/>
    </x:row>
    <x:row r="2" ht="38" customHeight="1">
      <x:c r="A2" s="813" t="str">
        <x:v>Versioned contract for prompts, agent skills, evaluators, coaching, content, adapters, workflows, reports, policies and task templates. Packages are immutable, signed and evaluated.</x:v>
      </x:c>
      <x:c r="B2" s="813"/>
      <x:c r="C2" s="813"/>
      <x:c r="D2" s="813"/>
      <x:c r="E2" s="813"/>
      <x:c r="F2" s="813"/>
      <x:c r="G2" s="813"/>
      <x:c r="H2" s="813"/>
    </x:row>
    <x:row r="4" ht="30" customHeight="1">
      <x:c r="A4" s="825" t="str">
        <x:v>ID</x:v>
      </x:c>
      <x:c r="B4" s="826" t="str">
        <x:v>Field</x:v>
      </x:c>
      <x:c r="C4" s="826" t="str">
        <x:v>Definition</x:v>
      </x:c>
      <x:c r="D4" s="826" t="str">
        <x:v>Type</x:v>
      </x:c>
      <x:c r="E4" s="826" t="str">
        <x:v>Requirement</x:v>
      </x:c>
      <x:c r="F4" s="826" t="str">
        <x:v>Purpose</x:v>
      </x:c>
      <x:c r="G4" s="826" t="str">
        <x:v>Validation / guardrail</x:v>
      </x:c>
      <x:c r="H4" s="827" t="str">
        <x:v>Status</x:v>
      </x:c>
    </x:row>
    <x:row r="5">
      <x:c r="A5" s="844" t="str">
        <x:v>SPC-001</x:v>
      </x:c>
      <x:c r="B5" s="845" t="str">
        <x:v>skill_id</x:v>
      </x:c>
      <x:c r="C5" s="845" t="str">
        <x:v>Stable global HumanOS skill/package identifier.</x:v>
      </x:c>
      <x:c r="D5" s="845" t="str">
        <x:v>string</x:v>
      </x:c>
      <x:c r="E5" s="845" t="str">
        <x:v>Required</x:v>
      </x:c>
      <x:c r="F5" s="845" t="str">
        <x:v>Registry identity.</x:v>
      </x:c>
      <x:c r="G5" s="845" t="str">
        <x:v>Immutable across versions.</x:v>
      </x:c>
      <x:c r="H5" s="846" t="str">
        <x:v>Draft Complete</x:v>
      </x:c>
    </x:row>
    <x:row r="6">
      <x:c r="A6" s="852" t="str">
        <x:v>SPC-002</x:v>
      </x:c>
      <x:c r="B6" s="853" t="str">
        <x:v>category</x:v>
      </x:c>
      <x:c r="C6" s="853" t="str">
        <x:v>prompt_agent_skill, task_evaluator, capability_evaluator, coaching_skill, learning_artefact, adapter, privacy_rule, workflow, report, task_template, policy_template or research_synthesis.</x:v>
      </x:c>
      <x:c r="D6" s="853" t="str">
        <x:v>enum</x:v>
      </x:c>
      <x:c r="E6" s="853" t="str">
        <x:v>Required</x:v>
      </x:c>
      <x:c r="F6" s="853" t="str">
        <x:v>Runtime/review routing.</x:v>
      </x:c>
      <x:c r="G6" s="853" t="str">
        <x:v>Category-specific schema applies.</x:v>
      </x:c>
      <x:c r="H6" s="854" t="str">
        <x:v>Draft Complete</x:v>
      </x:c>
    </x:row>
    <x:row r="7">
      <x:c r="A7" s="847" t="str">
        <x:v>SPC-003</x:v>
      </x:c>
      <x:c r="B7" s="114" t="str">
        <x:v>version</x:v>
      </x:c>
      <x:c r="C7" s="114" t="str">
        <x:v>Semantic version plus immutable package digest.</x:v>
      </x:c>
      <x:c r="D7" s="114" t="str">
        <x:v>semver + digest</x:v>
      </x:c>
      <x:c r="E7" s="114" t="str">
        <x:v>Required</x:v>
      </x:c>
      <x:c r="F7" s="114" t="str">
        <x:v>Compatibility and rollback.</x:v>
      </x:c>
      <x:c r="G7" s="114" t="str">
        <x:v>Breaking behaviour requires major version unless policy says stricter.</x:v>
      </x:c>
      <x:c r="H7" s="848" t="str">
        <x:v>Draft Complete</x:v>
      </x:c>
    </x:row>
    <x:row r="8">
      <x:c r="A8" s="852" t="str">
        <x:v>SPC-004</x:v>
      </x:c>
      <x:c r="B8" s="853" t="str">
        <x:v>display_name/description</x:v>
      </x:c>
      <x:c r="C8" s="853" t="str">
        <x:v>Human-readable purpose and bounded behaviour.</x:v>
      </x:c>
      <x:c r="D8" s="853" t="str">
        <x:v>text</x:v>
      </x:c>
      <x:c r="E8" s="853" t="str">
        <x:v>Required</x:v>
      </x:c>
      <x:c r="F8" s="853" t="str">
        <x:v>Discovery/review.</x:v>
      </x:c>
      <x:c r="G8" s="853" t="str">
        <x:v>Must state what package does not do.</x:v>
      </x:c>
      <x:c r="H8" s="854" t="str">
        <x:v>Draft Complete</x:v>
      </x:c>
    </x:row>
    <x:row r="9">
      <x:c r="A9" s="847" t="str">
        <x:v>SPC-005</x:v>
      </x:c>
      <x:c r="B9" s="114" t="str">
        <x:v>owner/team</x:v>
      </x:c>
      <x:c r="C9" s="114" t="str">
        <x:v>Accountable owner and support/escalation route.</x:v>
      </x:c>
      <x:c r="D9" s="114" t="str">
        <x:v>refs</x:v>
      </x:c>
      <x:c r="E9" s="114" t="str">
        <x:v>Required</x:v>
      </x:c>
      <x:c r="F9" s="114" t="str">
        <x:v>Governance.</x:v>
      </x:c>
      <x:c r="G9" s="114" t="str">
        <x:v>No orphan active package.</x:v>
      </x:c>
      <x:c r="H9" s="848" t="str">
        <x:v>Draft Complete</x:v>
      </x:c>
    </x:row>
    <x:row r="10">
      <x:c r="A10" s="852" t="str">
        <x:v>SPC-006</x:v>
      </x:c>
      <x:c r="B10" s="853" t="str">
        <x:v>domain/tenant_scope</x:v>
      </x:c>
      <x:c r="C10" s="853" t="str">
        <x:v>Global, domain, tenant/customer or project scope.</x:v>
      </x:c>
      <x:c r="D10" s="853" t="str">
        <x:v>object</x:v>
      </x:c>
      <x:c r="E10" s="853" t="str">
        <x:v>Required</x:v>
      </x:c>
      <x:c r="F10" s="853" t="str">
        <x:v>Resolution/confidentiality.</x:v>
      </x:c>
      <x:c r="G10" s="853" t="str">
        <x:v>Global promotion requires cross-tenant/generalisation review.</x:v>
      </x:c>
      <x:c r="H10" s="854" t="str">
        <x:v>Draft Complete</x:v>
      </x:c>
    </x:row>
    <x:row r="11">
      <x:c r="A11" s="847" t="str">
        <x:v>SPC-007</x:v>
      </x:c>
      <x:c r="B11" s="114" t="str">
        <x:v>trigger</x:v>
      </x:c>
      <x:c r="C11" s="114" t="str">
        <x:v>When/why package is selected or invoked.</x:v>
      </x:c>
      <x:c r="D11" s="114" t="str">
        <x:v>object</x:v>
      </x:c>
      <x:c r="E11" s="114" t="str">
        <x:v>Required</x:v>
      </x:c>
      <x:c r="F11" s="114" t="str">
        <x:v>Runtime resolution.</x:v>
      </x:c>
      <x:c r="G11" s="114" t="str">
        <x:v>Trigger excludes prohibited contexts.</x:v>
      </x:c>
      <x:c r="H11" s="848" t="str">
        <x:v>Draft Complete</x:v>
      </x:c>
    </x:row>
    <x:row r="12">
      <x:c r="A12" s="852" t="str">
        <x:v>SPC-008</x:v>
      </x:c>
      <x:c r="B12" s="853" t="str">
        <x:v>inputs_schema</x:v>
      </x:c>
      <x:c r="C12" s="853" t="str">
        <x:v>Required inputs, data classes, optionality and validation.</x:v>
      </x:c>
      <x:c r="D12" s="853" t="str">
        <x:v>JSON Schema ref</x:v>
      </x:c>
      <x:c r="E12" s="853" t="str">
        <x:v>Required</x:v>
      </x:c>
      <x:c r="F12" s="853" t="str">
        <x:v>Safety/interoperability.</x:v>
      </x:c>
      <x:c r="G12" s="853" t="str">
        <x:v>Sensitive inputs minimised and policy-controlled.</x:v>
      </x:c>
      <x:c r="H12" s="854" t="str">
        <x:v>Draft Complete</x:v>
      </x:c>
    </x:row>
    <x:row r="13">
      <x:c r="A13" s="847" t="str">
        <x:v>SPC-009</x:v>
      </x:c>
      <x:c r="B13" s="114" t="str">
        <x:v>outputs_schema</x:v>
      </x:c>
      <x:c r="C13" s="114" t="str">
        <x:v>Expected output structure, confidence, evidence and error states.</x:v>
      </x:c>
      <x:c r="D13" s="114" t="str">
        <x:v>JSON Schema ref</x:v>
      </x:c>
      <x:c r="E13" s="114" t="str">
        <x:v>Required</x:v>
      </x:c>
      <x:c r="F13" s="114" t="str">
        <x:v>Contract testing.</x:v>
      </x:c>
      <x:c r="G13" s="114" t="str">
        <x:v>High-impact output cannot omit confidence/lineage where applicable.</x:v>
      </x:c>
      <x:c r="H13" s="848" t="str">
        <x:v>Draft Complete</x:v>
      </x:c>
    </x:row>
    <x:row r="14">
      <x:c r="A14" s="852" t="str">
        <x:v>SPC-010</x:v>
      </x:c>
      <x:c r="B14" s="853" t="str">
        <x:v>runtime/model_requirements</x:v>
      </x:c>
      <x:c r="C14" s="853" t="str">
        <x:v>Java/Python/script/model/provider/tool requirements and pinned ranges.</x:v>
      </x:c>
      <x:c r="D14" s="853" t="str">
        <x:v>object</x:v>
      </x:c>
      <x:c r="E14" s="853" t="str">
        <x:v>Required</x:v>
      </x:c>
      <x:c r="F14" s="853" t="str">
        <x:v>Compatibility.</x:v>
      </x:c>
      <x:c r="G14" s="853" t="str">
        <x:v>Model/provider snapshot or compatibility policy recorded.</x:v>
      </x:c>
      <x:c r="H14" s="854" t="str">
        <x:v>Draft Complete</x:v>
      </x:c>
    </x:row>
    <x:row r="15">
      <x:c r="A15" s="847" t="str">
        <x:v>SPC-011</x:v>
      </x:c>
      <x:c r="B15" s="114" t="str">
        <x:v>permitted_tools_capabilities</x:v>
      </x:c>
      <x:c r="C15" s="114" t="str">
        <x:v>Explicit allowed tools, APIs, file paths, network and actions.</x:v>
      </x:c>
      <x:c r="D15" s="114" t="str">
        <x:v>object</x:v>
      </x:c>
      <x:c r="E15" s="114" t="str">
        <x:v>Required</x:v>
      </x:c>
      <x:c r="F15" s="114" t="str">
        <x:v>Least privilege.</x:v>
      </x:c>
      <x:c r="G15" s="114" t="str">
        <x:v>Default deny; enforced by runtime/hook/policy, not prompt request alone.</x:v>
      </x:c>
      <x:c r="H15" s="848" t="str">
        <x:v>Draft Complete</x:v>
      </x:c>
    </x:row>
    <x:row r="16">
      <x:c r="A16" s="852" t="str">
        <x:v>SPC-012</x:v>
      </x:c>
      <x:c r="B16" s="853" t="str">
        <x:v>data_classifications</x:v>
      </x:c>
      <x:c r="C16" s="853" t="str">
        <x:v>Input/output/persistent data classes and retention.</x:v>
      </x:c>
      <x:c r="D16" s="853" t="str">
        <x:v>object</x:v>
      </x:c>
      <x:c r="E16" s="853" t="str">
        <x:v>Required</x:v>
      </x:c>
      <x:c r="F16" s="853" t="str">
        <x:v>Privacy/security.</x:v>
      </x:c>
      <x:c r="G16" s="853" t="str">
        <x:v>No undeclared data class.</x:v>
      </x:c>
      <x:c r="H16" s="854" t="str">
        <x:v>Draft Complete</x:v>
      </x:c>
    </x:row>
    <x:row r="17">
      <x:c r="A17" s="847" t="str">
        <x:v>SPC-013</x:v>
      </x:c>
      <x:c r="B17" s="114" t="str">
        <x:v>policy_requirements</x:v>
      </x:c>
      <x:c r="C17" s="114" t="str">
        <x:v>Jurisdiction, user/role, task, tenant and approval prerequisites.</x:v>
      </x:c>
      <x:c r="D17" s="114" t="str">
        <x:v>object</x:v>
      </x:c>
      <x:c r="E17" s="114" t="str">
        <x:v>Required</x:v>
      </x:c>
      <x:c r="F17" s="114" t="str">
        <x:v>Safe activation.</x:v>
      </x:c>
      <x:c r="G17" s="114" t="str">
        <x:v>Runtime resolver enforces current policy.</x:v>
      </x:c>
      <x:c r="H17" s="848" t="str">
        <x:v>Draft Complete</x:v>
      </x:c>
    </x:row>
    <x:row r="18">
      <x:c r="A18" s="852" t="str">
        <x:v>SPC-014</x:v>
      </x:c>
      <x:c r="B18" s="853" t="str">
        <x:v>source_refs</x:v>
      </x:c>
      <x:c r="C18" s="853" t="str">
        <x:v>Observation, research, issue, correction and prior package sources.</x:v>
      </x:c>
      <x:c r="D18" s="853" t="str">
        <x:v>array</x:v>
      </x:c>
      <x:c r="E18" s="853" t="str">
        <x:v>Required</x:v>
      </x:c>
      <x:c r="F18" s="853" t="str">
        <x:v>Lineage.</x:v>
      </x:c>
      <x:c r="G18" s="853" t="str">
        <x:v>Every material change has source/evidence rationale.</x:v>
      </x:c>
      <x:c r="H18" s="854" t="str">
        <x:v>Draft Complete</x:v>
      </x:c>
    </x:row>
    <x:row r="19">
      <x:c r="A19" s="847" t="str">
        <x:v>SPC-015</x:v>
      </x:c>
      <x:c r="B19" s="114" t="str">
        <x:v>licence_and_attribution</x:v>
      </x:c>
      <x:c r="C19" s="114" t="str">
        <x:v>Package/content/code/data licences, notices and attribution.</x:v>
      </x:c>
      <x:c r="D19" s="114" t="str">
        <x:v>object</x:v>
      </x:c>
      <x:c r="E19" s="114" t="str">
        <x:v>Required</x:v>
      </x:c>
      <x:c r="F19" s="114" t="str">
        <x:v>Legal compliance.</x:v>
      </x:c>
      <x:c r="G19" s="114" t="str">
        <x:v>SPDX identifiers where applicable; legal review state included.</x:v>
      </x:c>
      <x:c r="H19" s="848" t="str">
        <x:v>Draft Complete</x:v>
      </x:c>
    </x:row>
    <x:row r="20">
      <x:c r="A20" s="852" t="str">
        <x:v>SPC-016</x:v>
      </x:c>
      <x:c r="B20" s="853" t="str">
        <x:v>confidentiality_class</x:v>
      </x:c>
      <x:c r="C20" s="853" t="str">
        <x:v>Internal confidential, internal reusable, tenant-specific, publishable or prohibited publication.</x:v>
      </x:c>
      <x:c r="D20" s="853" t="str">
        <x:v>enum</x:v>
      </x:c>
      <x:c r="E20" s="853" t="str">
        <x:v>Required</x:v>
      </x:c>
      <x:c r="F20" s="853" t="str">
        <x:v>Distribution.</x:v>
      </x:c>
      <x:c r="G20" s="853" t="str">
        <x:v>Classification reviewed before export/promotion.</x:v>
      </x:c>
      <x:c r="H20" s="854" t="str">
        <x:v>Draft Complete</x:v>
      </x:c>
    </x:row>
    <x:row r="21">
      <x:c r="A21" s="847" t="str">
        <x:v>SPC-017</x:v>
      </x:c>
      <x:c r="B21" s="114" t="str">
        <x:v>dependency_bom</x:v>
      </x:c>
      <x:c r="C21" s="114" t="str">
        <x:v>SPDX/CycloneDX BOM and resolved dependencies.</x:v>
      </x:c>
      <x:c r="D21" s="114" t="str">
        <x:v>ref</x:v>
      </x:c>
      <x:c r="E21" s="114" t="str">
        <x:v>Required where dependencies exist</x:v>
      </x:c>
      <x:c r="F21" s="114" t="str">
        <x:v>Supply-chain risk.</x:v>
      </x:c>
      <x:c r="G21" s="114" t="str">
        <x:v>Digest/signature and vulnerability/licence review linked.</x:v>
      </x:c>
      <x:c r="H21" s="848" t="str">
        <x:v>Draft Complete</x:v>
      </x:c>
    </x:row>
    <x:row r="22">
      <x:c r="A22" s="852" t="str">
        <x:v>SPC-018</x:v>
      </x:c>
      <x:c r="B22" s="853" t="str">
        <x:v>package_artifact</x:v>
      </x:c>
      <x:c r="C22" s="853" t="str">
        <x:v>OCI/Git/Object reference and cryptographic digest.</x:v>
      </x:c>
      <x:c r="D22" s="853" t="str">
        <x:v>ref</x:v>
      </x:c>
      <x:c r="E22" s="853" t="str">
        <x:v>Required</x:v>
      </x:c>
      <x:c r="F22" s="853" t="str">
        <x:v>Immutable delivery.</x:v>
      </x:c>
      <x:c r="G22" s="853" t="str">
        <x:v>Digest must match signature/attestation.</x:v>
      </x:c>
      <x:c r="H22" s="854" t="str">
        <x:v>Draft Complete</x:v>
      </x:c>
    </x:row>
    <x:row r="23">
      <x:c r="A23" s="847" t="str">
        <x:v>SPC-019</x:v>
      </x:c>
      <x:c r="B23" s="114" t="str">
        <x:v>build_source_provenance</x:v>
      </x:c>
      <x:c r="C23" s="114" t="str">
        <x:v>Source revision, builder, workflow and SLSA provenance.</x:v>
      </x:c>
      <x:c r="D23" s="114" t="str">
        <x:v>attestation ref</x:v>
      </x:c>
      <x:c r="E23" s="114" t="str">
        <x:v>Required for executable/package build</x:v>
      </x:c>
      <x:c r="F23" s="114" t="str">
        <x:v>Supply-chain assurance.</x:v>
      </x:c>
      <x:c r="G23" s="114" t="str">
        <x:v>Approved builder/signer pair required.</x:v>
      </x:c>
      <x:c r="H23" s="848" t="str">
        <x:v>Draft Complete</x:v>
      </x:c>
    </x:row>
    <x:row r="24">
      <x:c r="A24" s="852" t="str">
        <x:v>SPC-020</x:v>
      </x:c>
      <x:c r="B24" s="853" t="str">
        <x:v>known_limitations</x:v>
      </x:c>
      <x:c r="C24" s="853" t="str">
        <x:v>Unsupported domains, tools, edge cases, confidence limits and failure modes.</x:v>
      </x:c>
      <x:c r="D24" s="853" t="str">
        <x:v>text/object</x:v>
      </x:c>
      <x:c r="E24" s="853" t="str">
        <x:v>Required</x:v>
      </x:c>
      <x:c r="F24" s="853" t="str">
        <x:v>Review and runtime caution.</x:v>
      </x:c>
      <x:c r="G24" s="853" t="str">
        <x:v>Limitations shown in relevant UI/governance views.</x:v>
      </x:c>
      <x:c r="H24" s="854" t="str">
        <x:v>Draft Complete</x:v>
      </x:c>
    </x:row>
    <x:row r="25">
      <x:c r="A25" s="847" t="str">
        <x:v>SPC-021</x:v>
      </x:c>
      <x:c r="B25" s="114" t="str">
        <x:v>fallback_and_failure</x:v>
      </x:c>
      <x:c r="C25" s="114" t="str">
        <x:v>Safe default, timeout, retry, degraded behaviour and stop condition.</x:v>
      </x:c>
      <x:c r="D25" s="114" t="str">
        <x:v>object</x:v>
      </x:c>
      <x:c r="E25" s="114" t="str">
        <x:v>Required</x:v>
      </x:c>
      <x:c r="F25" s="114" t="str">
        <x:v>Reliability.</x:v>
      </x:c>
      <x:c r="G25" s="114" t="str">
        <x:v>Failure cannot silently broaden permissions or create negative finding.</x:v>
      </x:c>
      <x:c r="H25" s="848" t="str">
        <x:v>Draft Complete</x:v>
      </x:c>
    </x:row>
    <x:row r="26">
      <x:c r="A26" s="852" t="str">
        <x:v>SPC-022</x:v>
      </x:c>
      <x:c r="B26" s="853" t="str">
        <x:v>evaluation_suite</x:v>
      </x:c>
      <x:c r="C26" s="853" t="str">
        <x:v>Positive, negative, adversarial, fairness, privacy, performance and regression eval refs.</x:v>
      </x:c>
      <x:c r="D26" s="853" t="str">
        <x:v>array/ref</x:v>
      </x:c>
      <x:c r="E26" s="853" t="str">
        <x:v>Required</x:v>
      </x:c>
      <x:c r="F26" s="853" t="str">
        <x:v>Approval evidence.</x:v>
      </x:c>
      <x:c r="G26" s="853" t="str">
        <x:v>Suite version and required pass thresholds recorded.</x:v>
      </x:c>
      <x:c r="H26" s="854" t="str">
        <x:v>Draft Complete</x:v>
      </x:c>
    </x:row>
    <x:row r="27">
      <x:c r="A27" s="847" t="str">
        <x:v>SPC-023</x:v>
      </x:c>
      <x:c r="B27" s="114" t="str">
        <x:v>evaluation_results</x:v>
      </x:c>
      <x:c r="C27" s="114" t="str">
        <x:v>Latest qualifying eval run and historical results.</x:v>
      </x:c>
      <x:c r="D27" s="114" t="str">
        <x:v>refs</x:v>
      </x:c>
      <x:c r="E27" s="114" t="str">
        <x:v>Required for approval</x:v>
      </x:c>
      <x:c r="F27" s="114" t="str">
        <x:v>Gate/promotion.</x:v>
      </x:c>
      <x:c r="G27" s="114" t="str">
        <x:v>Results cannot be self-certified by proposal generator.</x:v>
      </x:c>
      <x:c r="H27" s="848" t="str">
        <x:v>Draft Complete</x:v>
      </x:c>
    </x:row>
    <x:row r="28">
      <x:c r="A28" s="852" t="str">
        <x:v>SPC-024</x:v>
      </x:c>
      <x:c r="B28" s="853" t="str">
        <x:v>security_privacy_reviews</x:v>
      </x:c>
      <x:c r="C28" s="853" t="str">
        <x:v>Reviewer decisions, threat/data-flow analysis and unresolved conditions.</x:v>
      </x:c>
      <x:c r="D28" s="853" t="str">
        <x:v>refs</x:v>
      </x:c>
      <x:c r="E28" s="853" t="str">
        <x:v>Required by impact</x:v>
      </x:c>
      <x:c r="F28" s="853" t="str">
        <x:v>Governance.</x:v>
      </x:c>
      <x:c r="G28" s="853" t="str">
        <x:v>Critical unresolved condition blocks activation.</x:v>
      </x:c>
      <x:c r="H28" s="854" t="str">
        <x:v>Draft Complete</x:v>
      </x:c>
    </x:row>
    <x:row r="29">
      <x:c r="A29" s="847" t="str">
        <x:v>SPC-025</x:v>
      </x:c>
      <x:c r="B29" s="114" t="str">
        <x:v>domain_review</x:v>
      </x:c>
      <x:c r="C29" s="114" t="str">
        <x:v>Domain expert decision and rationale.</x:v>
      </x:c>
      <x:c r="D29" s="114" t="str">
        <x:v>ref</x:v>
      </x:c>
      <x:c r="E29" s="114" t="str">
        <x:v>Required for domain behaviour</x:v>
      </x:c>
      <x:c r="F29" s="114" t="str">
        <x:v>Correctness.</x:v>
      </x:c>
      <x:c r="G29" s="114" t="str">
        <x:v>Reviewer competence recorded.</x:v>
      </x:c>
      <x:c r="H29" s="848" t="str">
        <x:v>Draft Complete</x:v>
      </x:c>
    </x:row>
    <x:row r="30">
      <x:c r="A30" s="852" t="str">
        <x:v>SPC-026</x:v>
      </x:c>
      <x:c r="B30" s="853" t="str">
        <x:v>approval_status</x:v>
      </x:c>
      <x:c r="C30" s="853" t="str">
        <x:v>Draft, evaluating, review required, approved, rejected or conditional.</x:v>
      </x:c>
      <x:c r="D30" s="853" t="str">
        <x:v>enum</x:v>
      </x:c>
      <x:c r="E30" s="853" t="str">
        <x:v>Required</x:v>
      </x:c>
      <x:c r="F30" s="853" t="str">
        <x:v>Lifecycle.</x:v>
      </x:c>
      <x:c r="G30" s="853" t="str">
        <x:v>Approval conditions machine-readable.</x:v>
      </x:c>
      <x:c r="H30" s="854" t="str">
        <x:v>Draft Complete</x:v>
      </x:c>
    </x:row>
    <x:row r="31">
      <x:c r="A31" s="847" t="str">
        <x:v>SPC-027</x:v>
      </x:c>
      <x:c r="B31" s="114" t="str">
        <x:v>deployment_status</x:v>
      </x:c>
      <x:c r="C31" s="114" t="str">
        <x:v>Not deployed, canary, active, paused, deprecated or rolled back.</x:v>
      </x:c>
      <x:c r="D31" s="114" t="str">
        <x:v>enum</x:v>
      </x:c>
      <x:c r="E31" s="114" t="str">
        <x:v>Required</x:v>
      </x:c>
      <x:c r="F31" s="114" t="str">
        <x:v>Runtime state.</x:v>
      </x:c>
      <x:c r="G31" s="114" t="str">
        <x:v>Separate from approval status.</x:v>
      </x:c>
      <x:c r="H31" s="848" t="str">
        <x:v>Draft Complete</x:v>
      </x:c>
    </x:row>
    <x:row r="32">
      <x:c r="A32" s="852" t="str">
        <x:v>SPC-028</x:v>
      </x:c>
      <x:c r="B32" s="853" t="str">
        <x:v>canary_plan</x:v>
      </x:c>
      <x:c r="C32" s="853" t="str">
        <x:v>Cohort, flags, duration, metrics, thresholds, approvals and rollback.</x:v>
      </x:c>
      <x:c r="D32" s="853" t="str">
        <x:v>object/ref</x:v>
      </x:c>
      <x:c r="E32" s="853" t="str">
        <x:v>Required before canary</x:v>
      </x:c>
      <x:c r="F32" s="853" t="str">
        <x:v>Progressive delivery.</x:v>
      </x:c>
      <x:c r="G32" s="853" t="str">
        <x:v>PII-minimised targeting and employee notice where relevant.</x:v>
      </x:c>
      <x:c r="H32" s="854" t="str">
        <x:v>Draft Complete</x:v>
      </x:c>
    </x:row>
    <x:row r="33">
      <x:c r="A33" s="847" t="str">
        <x:v>SPC-029</x:v>
      </x:c>
      <x:c r="B33" s="114" t="str">
        <x:v>monitoring_plan</x:v>
      </x:c>
      <x:c r="C33" s="114" t="str">
        <x:v>Safety, quality, effectiveness, drift, cost and feedback metrics.</x:v>
      </x:c>
      <x:c r="D33" s="114" t="str">
        <x:v>object</x:v>
      </x:c>
      <x:c r="E33" s="114" t="str">
        <x:v>Required before deployment</x:v>
      </x:c>
      <x:c r="F33" s="114" t="str">
        <x:v>Post-release assurance.</x:v>
      </x:c>
      <x:c r="G33" s="114" t="str">
        <x:v>Metrics cannot become employee performance ranking.</x:v>
      </x:c>
      <x:c r="H33" s="848" t="str">
        <x:v>Draft Complete</x:v>
      </x:c>
    </x:row>
    <x:row r="34">
      <x:c r="A34" s="852" t="str">
        <x:v>SPC-030</x:v>
      </x:c>
      <x:c r="B34" s="853" t="str">
        <x:v>effective_and_review_dates</x:v>
      </x:c>
      <x:c r="C34" s="853" t="str">
        <x:v>Effective, expiry, review and deprecation dates.</x:v>
      </x:c>
      <x:c r="D34" s="853" t="str">
        <x:v>date-times</x:v>
      </x:c>
      <x:c r="E34" s="853" t="str">
        <x:v>Required</x:v>
      </x:c>
      <x:c r="F34" s="853" t="str">
        <x:v>Lifecycle freshness.</x:v>
      </x:c>
      <x:c r="G34" s="853" t="str">
        <x:v>Expired package cannot resolve except controlled rollback.</x:v>
      </x:c>
      <x:c r="H34" s="854" t="str">
        <x:v>Draft Complete</x:v>
      </x:c>
    </x:row>
    <x:row r="35">
      <x:c r="A35" s="847" t="str">
        <x:v>SPC-031</x:v>
      </x:c>
      <x:c r="B35" s="114" t="str">
        <x:v>previous_and_rollback_version</x:v>
      </x:c>
      <x:c r="C35" s="114" t="str">
        <x:v>Prior stable version and verified rollback target.</x:v>
      </x:c>
      <x:c r="D35" s="114" t="str">
        <x:v>refs</x:v>
      </x:c>
      <x:c r="E35" s="114" t="str">
        <x:v>Required for active package</x:v>
      </x:c>
      <x:c r="F35" s="114" t="str">
        <x:v>Recovery.</x:v>
      </x:c>
      <x:c r="G35" s="114" t="str">
        <x:v>Rollback target compatibility verified.</x:v>
      </x:c>
      <x:c r="H35" s="848" t="str">
        <x:v>Draft Complete</x:v>
      </x:c>
    </x:row>
    <x:row r="36">
      <x:c r="A36" s="852" t="str">
        <x:v>SPC-032</x:v>
      </x:c>
      <x:c r="B36" s="853" t="str">
        <x:v>change_log</x:v>
      </x:c>
      <x:c r="C36" s="853" t="str">
        <x:v>Material changes, expected benefit, affected contracts and migration notes.</x:v>
      </x:c>
      <x:c r="D36" s="853" t="str">
        <x:v>array/text</x:v>
      </x:c>
      <x:c r="E36" s="853" t="str">
        <x:v>Required</x:v>
      </x:c>
      <x:c r="F36" s="853" t="str">
        <x:v>Transparency.</x:v>
      </x:c>
      <x:c r="G36" s="853" t="str">
        <x:v>No hidden behavioural change.</x:v>
      </x:c>
      <x:c r="H36" s="854" t="str">
        <x:v>Draft Complete</x:v>
      </x:c>
    </x:row>
    <x:row r="37">
      <x:c r="A37" s="847" t="str">
        <x:v>SPC-033</x:v>
      </x:c>
      <x:c r="B37" s="114" t="str">
        <x:v>publication_metadata</x:v>
      </x:c>
      <x:c r="C37" s="114" t="str">
        <x:v>Export/publication state, attribution, redactions and repository.</x:v>
      </x:c>
      <x:c r="D37" s="114" t="str">
        <x:v>object</x:v>
      </x:c>
      <x:c r="E37" s="114" t="str">
        <x:v>Conditional</x:v>
      </x:c>
      <x:c r="F37" s="114" t="str">
        <x:v>External distribution.</x:v>
      </x:c>
      <x:c r="G37" s="114" t="str">
        <x:v>Publication requires explicit legal/privacy/security approval.</x:v>
      </x:c>
      <x:c r="H37" s="848" t="str">
        <x:v>Draft Complete</x:v>
      </x:c>
    </x:row>
    <x:row r="38">
      <x:c r="A38" s="855" t="str">
        <x:v>SPC-034</x:v>
      </x:c>
      <x:c r="B38" s="856" t="str">
        <x:v>signature_bundle</x:v>
      </x:c>
      <x:c r="C38" s="856" t="str">
        <x:v>Sigstore/Cosign or approved enterprise signature verification bundle.</x:v>
      </x:c>
      <x:c r="D38" s="856" t="str">
        <x:v>ref</x:v>
      </x:c>
      <x:c r="E38" s="856" t="str">
        <x:v>Required for package distribution</x:v>
      </x:c>
      <x:c r="F38" s="856" t="str">
        <x:v>Authenticity/integrity.</x:v>
      </x:c>
      <x:c r="G38" s="856" t="str">
        <x:v>Runtime verifies expected identity and digest.</x:v>
      </x:c>
      <x:c r="H38" s="857" t="str">
        <x:v>Draft Complete</x:v>
      </x:c>
    </x:row>
  </x:sheetData>
  <x:mergeCells>
    <x:mergeCell ref="A1:H1"/>
    <x:mergeCell ref="A2:H2"/>
  </x:mergeCells>
  <x:dataValidations count="1">
    <x:dataValidation type="list" sqref="H5:H38">
      <x:formula1>"Draft Complete,Needs Review,Approved,Deferred"</x:formula1>
    </x:dataValidation>
  </x:dataValidations>
  <x:pageMargins left="0.7" right="0.7" top="0.75" bottom="0.75" header="0.3" footer="0.3"/>
</x:worksheet>
</file>

<file path=xl/worksheets/sheet151.xml><?xml version="1.0" encoding="utf-8"?>
<x:worksheet xmlns:x="http://schemas.openxmlformats.org/spreadsheetml/2006/main">
  <x:sheetFormatPr defaultRowHeight="15"/>
  <x:cols>
    <x:col min="1" max="1" width="12" hidden="0" customWidth="1"/>
    <x:col min="2" max="2" width="26" hidden="0" customWidth="1"/>
    <x:col min="3" max="3" width="54" hidden="0" customWidth="1"/>
    <x:col min="4" max="4" width="44" hidden="0" customWidth="1"/>
    <x:col min="5" max="5" width="52" hidden="0" customWidth="1"/>
    <x:col min="6" max="6" width="54" hidden="0" customWidth="1"/>
    <x:col min="7" max="7" width="30" hidden="0" customWidth="1"/>
    <x:col min="8" max="8" width="18" hidden="0" customWidth="1"/>
  </x:cols>
  <x:sheetData>
    <x:row r="1" ht="30" customHeight="1">
      <x:c r="A1" s="809" t="str">
        <x:v>Stage 11 — Skill Lifecycle</x:v>
      </x:c>
      <x:c r="B1" s="809"/>
      <x:c r="C1" s="809"/>
      <x:c r="D1" s="809"/>
      <x:c r="E1" s="809"/>
      <x:c r="F1" s="809"/>
      <x:c r="G1" s="809"/>
      <x:c r="H1" s="809"/>
    </x:row>
    <x:row r="2" ht="38" customHeight="1">
      <x:c r="A2" s="813" t="str">
        <x:v>Governed lifecycle from observation through proposal, evaluation, review, canary, active use, pause, rollback, deprecation and expiry.</x:v>
      </x:c>
      <x:c r="B2" s="813"/>
      <x:c r="C2" s="813"/>
      <x:c r="D2" s="813"/>
      <x:c r="E2" s="813"/>
      <x:c r="F2" s="813"/>
      <x:c r="G2" s="813"/>
      <x:c r="H2" s="813"/>
    </x:row>
    <x:row r="4" ht="30" customHeight="1">
      <x:c r="A4" s="825" t="str">
        <x:v>ID</x:v>
      </x:c>
      <x:c r="B4" s="826" t="str">
        <x:v>State</x:v>
      </x:c>
      <x:c r="C4" s="826" t="str">
        <x:v>Definition</x:v>
      </x:c>
      <x:c r="D4" s="826" t="str">
        <x:v>Entry condition</x:v>
      </x:c>
      <x:c r="E4" s="826" t="str">
        <x:v>Permitted next states</x:v>
      </x:c>
      <x:c r="F4" s="826" t="str">
        <x:v>Guardrail</x:v>
      </x:c>
      <x:c r="G4" s="826" t="str">
        <x:v>Authority</x:v>
      </x:c>
      <x:c r="H4" s="827" t="str">
        <x:v>Status</x:v>
      </x:c>
    </x:row>
    <x:row r="5">
      <x:c r="A5" s="844" t="str">
        <x:v>SLC-001</x:v>
      </x:c>
      <x:c r="B5" s="845" t="str">
        <x:v>OBSERVED</x:v>
      </x:c>
      <x:c r="C5" s="845" t="str">
        <x:v>A source-backed observation exists.</x:v>
      </x:c>
      <x:c r="D5" s="845" t="str">
        <x:v>Observation accepted.</x:v>
      </x:c>
      <x:c r="E5" s="845" t="str">
        <x:v>TRIAGED / REJECTED / PAUSED_PACKAGE</x:v>
      </x:c>
      <x:c r="F5" s="845" t="str">
        <x:v>No proposal yet.</x:v>
      </x:c>
      <x:c r="G5" s="845" t="str">
        <x:v>Observation Intake/Triage</x:v>
      </x:c>
      <x:c r="H5" s="846" t="str">
        <x:v>Draft Complete</x:v>
      </x:c>
    </x:row>
    <x:row r="6">
      <x:c r="A6" s="852" t="str">
        <x:v>SLC-002</x:v>
      </x:c>
      <x:c r="B6" s="853" t="str">
        <x:v>TRIAGED</x:v>
      </x:c>
      <x:c r="C6" s="853" t="str">
        <x:v>Observation reviewed for severity, recurrence, scope and confidentiality.</x:v>
      </x:c>
      <x:c r="D6" s="853" t="str">
        <x:v>Triage decision.</x:v>
      </x:c>
      <x:c r="E6" s="853" t="str">
        <x:v>OBSERVING / DRAFT / INVESTIGATING / REJECTED</x:v>
      </x:c>
      <x:c r="F6" s="853" t="str">
        <x:v>Rationale and owner required.</x:v>
      </x:c>
      <x:c r="G6" s="853" t="str">
        <x:v>Triage Reviewer</x:v>
      </x:c>
      <x:c r="H6" s="854" t="str">
        <x:v>Draft Complete</x:v>
      </x:c>
    </x:row>
    <x:row r="7">
      <x:c r="A7" s="847" t="str">
        <x:v>SLC-003</x:v>
      </x:c>
      <x:c r="B7" s="114" t="str">
        <x:v>OBSERVING</x:v>
      </x:c>
      <x:c r="C7" s="114" t="str">
        <x:v>More evidence/occurrences needed before proposing change.</x:v>
      </x:c>
      <x:c r="D7" s="114" t="str">
        <x:v>Insufficient generalisability.</x:v>
      </x:c>
      <x:c r="E7" s="114" t="str">
        <x:v>TRIAGED / DRAFT / EXPIRED</x:v>
      </x:c>
      <x:c r="F7" s="114" t="str">
        <x:v>No production change.</x:v>
      </x:c>
      <x:c r="G7" s="114" t="str">
        <x:v>Skill Owner</x:v>
      </x:c>
      <x:c r="H7" s="848" t="str">
        <x:v>Draft Complete</x:v>
      </x:c>
    </x:row>
    <x:row r="8">
      <x:c r="A8" s="852" t="str">
        <x:v>SLC-004</x:v>
      </x:c>
      <x:c r="B8" s="853" t="str">
        <x:v>INVESTIGATING</x:v>
      </x:c>
      <x:c r="C8" s="853" t="str">
        <x:v>Root cause, incident or provider drift is under investigation.</x:v>
      </x:c>
      <x:c r="D8" s="853" t="str">
        <x:v>Triage investigation.</x:v>
      </x:c>
      <x:c r="E8" s="853" t="str">
        <x:v>DRAFT / REJECTED / PAUSED_PACKAGE</x:v>
      </x:c>
      <x:c r="F8" s="853" t="str">
        <x:v>May pause affected active version if critical.</x:v>
      </x:c>
      <x:c r="G8" s="853" t="str">
        <x:v>Incident/Skill Owner</x:v>
      </x:c>
      <x:c r="H8" s="854" t="str">
        <x:v>Draft Complete</x:v>
      </x:c>
    </x:row>
    <x:row r="9">
      <x:c r="A9" s="847" t="str">
        <x:v>SLC-005</x:v>
      </x:c>
      <x:c r="B9" s="114" t="str">
        <x:v>DRAFT</x:v>
      </x:c>
      <x:c r="C9" s="114" t="str">
        <x:v>Versioned proposal and package source exist.</x:v>
      </x:c>
      <x:c r="D9" s="114" t="str">
        <x:v>Proposal approved for evaluation.</x:v>
      </x:c>
      <x:c r="E9" s="114" t="str">
        <x:v>EVALUATING / REJECTED</x:v>
      </x:c>
      <x:c r="F9" s="114" t="str">
        <x:v>Not deployable.</x:v>
      </x:c>
      <x:c r="G9" s="114" t="str">
        <x:v>Skill Owner</x:v>
      </x:c>
      <x:c r="H9" s="848" t="str">
        <x:v>Draft Complete</x:v>
      </x:c>
    </x:row>
    <x:row r="10">
      <x:c r="A10" s="852" t="str">
        <x:v>SLC-006</x:v>
      </x:c>
      <x:c r="B10" s="853" t="str">
        <x:v>EVALUATING</x:v>
      </x:c>
      <x:c r="C10" s="853" t="str">
        <x:v>Automated and human evaluation suites are running.</x:v>
      </x:c>
      <x:c r="D10" s="853" t="str">
        <x:v>Eval started.</x:v>
      </x:c>
      <x:c r="E10" s="853" t="str">
        <x:v>REVIEW_REQUIRED / DRAFT / REJECTED</x:v>
      </x:c>
      <x:c r="F10" s="853" t="str">
        <x:v>Failures and limitations retained.</x:v>
      </x:c>
      <x:c r="G10" s="853" t="str">
        <x:v>Evaluation Orchestrator</x:v>
      </x:c>
      <x:c r="H10" s="854" t="str">
        <x:v>Draft Complete</x:v>
      </x:c>
    </x:row>
    <x:row r="11">
      <x:c r="A11" s="847" t="str">
        <x:v>SLC-007</x:v>
      </x:c>
      <x:c r="B11" s="114" t="str">
        <x:v>REVIEW_REQUIRED</x:v>
      </x:c>
      <x:c r="C11" s="114" t="str">
        <x:v>Evaluation evidence is ready for required reviewers.</x:v>
      </x:c>
      <x:c r="D11" s="114" t="str">
        <x:v>Required evals complete.</x:v>
      </x:c>
      <x:c r="E11" s="114" t="str">
        <x:v>APPROVED / CONDITIONAL / DRAFT / REJECTED</x:v>
      </x:c>
      <x:c r="F11" s="114" t="str">
        <x:v>Category/impact determines reviewers.</x:v>
      </x:c>
      <x:c r="G11" s="114" t="str">
        <x:v>Review Workflow</x:v>
      </x:c>
      <x:c r="H11" s="848" t="str">
        <x:v>Draft Complete</x:v>
      </x:c>
    </x:row>
    <x:row r="12">
      <x:c r="A12" s="852" t="str">
        <x:v>SLC-008</x:v>
      </x:c>
      <x:c r="B12" s="853" t="str">
        <x:v>CONDITIONAL</x:v>
      </x:c>
      <x:c r="C12" s="853" t="str">
        <x:v>Approved only if explicit conditions are met.</x:v>
      </x:c>
      <x:c r="D12" s="853" t="str">
        <x:v>Review decision.</x:v>
      </x:c>
      <x:c r="E12" s="853" t="str">
        <x:v>APPROVED / DRAFT / REJECTED / EXPIRED</x:v>
      </x:c>
      <x:c r="F12" s="853" t="str">
        <x:v>Conditions machine-readable and verified.</x:v>
      </x:c>
      <x:c r="G12" s="853" t="str">
        <x:v>Approvers</x:v>
      </x:c>
      <x:c r="H12" s="854" t="str">
        <x:v>Draft Complete</x:v>
      </x:c>
    </x:row>
    <x:row r="13">
      <x:c r="A13" s="847" t="str">
        <x:v>SLC-009</x:v>
      </x:c>
      <x:c r="B13" s="114" t="str">
        <x:v>APPROVED</x:v>
      </x:c>
      <x:c r="C13" s="114" t="str">
        <x:v>Package is signed and eligible for controlled deployment.</x:v>
      </x:c>
      <x:c r="D13" s="114" t="str">
        <x:v>All conditions/reviews complete.</x:v>
      </x:c>
      <x:c r="E13" s="114" t="str">
        <x:v>CANARY / DEPRECATED / EXPIRED</x:v>
      </x:c>
      <x:c r="F13" s="114" t="str">
        <x:v>Approval does not mean globally active.</x:v>
      </x:c>
      <x:c r="G13" s="114" t="str">
        <x:v>Deployment Approver</x:v>
      </x:c>
      <x:c r="H13" s="848" t="str">
        <x:v>Draft Complete</x:v>
      </x:c>
    </x:row>
    <x:row r="14">
      <x:c r="A14" s="852" t="str">
        <x:v>SLC-010</x:v>
      </x:c>
      <x:c r="B14" s="853" t="str">
        <x:v>CANARY</x:v>
      </x:c>
      <x:c r="C14" s="853" t="str">
        <x:v>Package exposed to bounded cohort with monitoring.</x:v>
      </x:c>
      <x:c r="D14" s="853" t="str">
        <x:v>Canary approved/started.</x:v>
      </x:c>
      <x:c r="E14" s="853" t="str">
        <x:v>ACTIVE / PAUSED / ROLLED_BACK / DRAFT</x:v>
      </x:c>
      <x:c r="F14" s="853" t="str">
        <x:v>Automatic pause/rollback thresholds active.</x:v>
      </x:c>
      <x:c r="G14" s="853" t="str">
        <x:v>Deployment Controller</x:v>
      </x:c>
      <x:c r="H14" s="854" t="str">
        <x:v>Draft Complete</x:v>
      </x:c>
    </x:row>
    <x:row r="15">
      <x:c r="A15" s="847" t="str">
        <x:v>SLC-011</x:v>
      </x:c>
      <x:c r="B15" s="114" t="str">
        <x:v>ACTIVE</x:v>
      </x:c>
      <x:c r="C15" s="114" t="str">
        <x:v>Package is approved stable version for defined scope.</x:v>
      </x:c>
      <x:c r="D15" s="114" t="str">
        <x:v>Promotion decision.</x:v>
      </x:c>
      <x:c r="E15" s="114" t="str">
        <x:v>PAUSED / DEPRECATED / ROLLED_BACK / EXPIRED</x:v>
      </x:c>
      <x:c r="F15" s="114" t="str">
        <x:v>Ongoing monitoring and review date.</x:v>
      </x:c>
      <x:c r="G15" s="114" t="str">
        <x:v>Skill Owner/Operations</x:v>
      </x:c>
      <x:c r="H15" s="848" t="str">
        <x:v>Draft Complete</x:v>
      </x:c>
    </x:row>
    <x:row r="16">
      <x:c r="A16" s="852" t="str">
        <x:v>SLC-012</x:v>
      </x:c>
      <x:c r="B16" s="853" t="str">
        <x:v>PAUSED</x:v>
      </x:c>
      <x:c r="C16" s="853" t="str">
        <x:v>New invocations/exposure stopped while preserving investigation state.</x:v>
      </x:c>
      <x:c r="D16" s="853" t="str">
        <x:v>Manual/automatic stop.</x:v>
      </x:c>
      <x:c r="E16" s="853" t="str">
        <x:v>CANARY / ACTIVE / DRAFT / ROLLED_BACK / REJECTED</x:v>
      </x:c>
      <x:c r="F16" s="853" t="str">
        <x:v>Fail to prior stable/default.</x:v>
      </x:c>
      <x:c r="G16" s="853" t="str">
        <x:v>CISO/DPO/Owner/Operations</x:v>
      </x:c>
      <x:c r="H16" s="854" t="str">
        <x:v>Draft Complete</x:v>
      </x:c>
    </x:row>
    <x:row r="17">
      <x:c r="A17" s="847" t="str">
        <x:v>SLC-013</x:v>
      </x:c>
      <x:c r="B17" s="114" t="str">
        <x:v>ROLLED_BACK</x:v>
      </x:c>
      <x:c r="C17" s="114" t="str">
        <x:v>Resolver/deployment returned to prior verified version.</x:v>
      </x:c>
      <x:c r="D17" s="114" t="str">
        <x:v>Rollback decision/threshold.</x:v>
      </x:c>
      <x:c r="E17" s="114" t="str">
        <x:v>DRAFT / DEPRECATED / REJECTED</x:v>
      </x:c>
      <x:c r="F17" s="114" t="str">
        <x:v>Incident and affected outcomes reviewed.</x:v>
      </x:c>
      <x:c r="G17" s="114" t="str">
        <x:v>Operations/Governance</x:v>
      </x:c>
      <x:c r="H17" s="848" t="str">
        <x:v>Draft Complete</x:v>
      </x:c>
    </x:row>
    <x:row r="18">
      <x:c r="A18" s="852" t="str">
        <x:v>SLC-014</x:v>
      </x:c>
      <x:c r="B18" s="853" t="str">
        <x:v>DEPRECATED</x:v>
      </x:c>
      <x:c r="C18" s="853" t="str">
        <x:v>Package remains resolvable only for migration/history or approved legacy use.</x:v>
      </x:c>
      <x:c r="D18" s="853" t="str">
        <x:v>Replacement/retirement decision.</x:v>
      </x:c>
      <x:c r="E18" s="853" t="str">
        <x:v>EXPIRED / ROLLED_BACK / ACTIVE_EXCEPTION</x:v>
      </x:c>
      <x:c r="F18" s="853" t="str">
        <x:v>New adoption blocked.</x:v>
      </x:c>
      <x:c r="G18" s="853" t="str">
        <x:v>Skill Owner/Architecture</x:v>
      </x:c>
      <x:c r="H18" s="854" t="str">
        <x:v>Draft Complete</x:v>
      </x:c>
    </x:row>
    <x:row r="19">
      <x:c r="A19" s="847" t="str">
        <x:v>SLC-015</x:v>
      </x:c>
      <x:c r="B19" s="114" t="str">
        <x:v>ACTIVE_EXCEPTION</x:v>
      </x:c>
      <x:c r="C19" s="114" t="str">
        <x:v>Temporary legacy activation for approved compatibility case.</x:v>
      </x:c>
      <x:c r="D19" s="114" t="str">
        <x:v>Exception approval.</x:v>
      </x:c>
      <x:c r="E19" s="114" t="str">
        <x:v>DEPRECATED / ROLLED_BACK / EXPIRED</x:v>
      </x:c>
      <x:c r="F19" s="114" t="str">
        <x:v>Time-limited and audited.</x:v>
      </x:c>
      <x:c r="G19" s="114" t="str">
        <x:v>Architecture/Governance</x:v>
      </x:c>
      <x:c r="H19" s="848" t="str">
        <x:v>Draft Complete</x:v>
      </x:c>
    </x:row>
    <x:row r="20">
      <x:c r="A20" s="852" t="str">
        <x:v>SLC-016</x:v>
      </x:c>
      <x:c r="B20" s="853" t="str">
        <x:v>REJECTED</x:v>
      </x:c>
      <x:c r="C20" s="853" t="str">
        <x:v>Observation/proposal/package is not approved.</x:v>
      </x:c>
      <x:c r="D20" s="853" t="str">
        <x:v>Triage/eval/review rejection.</x:v>
      </x:c>
      <x:c r="E20" s="853" t="str">
        <x:v>DRAFT_NEW_VERSION / CLOSED</x:v>
      </x:c>
      <x:c r="F20" s="853" t="str">
        <x:v>Reason recorded; source observation retained per policy.</x:v>
      </x:c>
      <x:c r="G20" s="853" t="str">
        <x:v>Reviewer</x:v>
      </x:c>
      <x:c r="H20" s="854" t="str">
        <x:v>Draft Complete</x:v>
      </x:c>
    </x:row>
    <x:row r="21">
      <x:c r="A21" s="847" t="str">
        <x:v>SLC-017</x:v>
      </x:c>
      <x:c r="B21" s="114" t="str">
        <x:v>EXPIRED</x:v>
      </x:c>
      <x:c r="C21" s="114" t="str">
        <x:v>Review/effective period ended or dependencies/source became stale.</x:v>
      </x:c>
      <x:c r="D21" s="114" t="str">
        <x:v>Expiry trigger.</x:v>
      </x:c>
      <x:c r="E21" s="114" t="str">
        <x:v>DRAFT / DEPRECATED / CLOSED</x:v>
      </x:c>
      <x:c r="F21" s="114" t="str">
        <x:v>Cannot resolve for new use.</x:v>
      </x:c>
      <x:c r="G21" s="114" t="str">
        <x:v>Registry/Owner</x:v>
      </x:c>
      <x:c r="H21" s="848" t="str">
        <x:v>Draft Complete</x:v>
      </x:c>
    </x:row>
    <x:row r="22">
      <x:c r="A22" s="855" t="str">
        <x:v>SLC-018</x:v>
      </x:c>
      <x:c r="B22" s="856" t="str">
        <x:v>CLOSED</x:v>
      </x:c>
      <x:c r="C22" s="856" t="str">
        <x:v>Observation/proposal lifecycle closed with no further action.</x:v>
      </x:c>
      <x:c r="D22" s="856" t="str">
        <x:v>Resolved/rejected/expired.</x:v>
      </x:c>
      <x:c r="E22" s="856" t="str">
        <x:v>Reopen only with new evidence.</x:v>
      </x:c>
      <x:c r="F22" s="856" t="str">
        <x:v>Retention applies.</x:v>
      </x:c>
      <x:c r="G22" s="856" t="str">
        <x:v>Skill Owner</x:v>
      </x:c>
      <x:c r="H22" s="857" t="str">
        <x:v>Draft Complete</x:v>
      </x:c>
    </x:row>
  </x:sheetData>
  <x:mergeCells>
    <x:mergeCell ref="A1:H1"/>
    <x:mergeCell ref="A2:H2"/>
  </x:mergeCells>
  <x:dataValidations count="1">
    <x:dataValidation type="list" sqref="H5:H22">
      <x:formula1>"Draft Complete,Needs Review,Approved,Deferred"</x:formula1>
    </x:dataValidation>
  </x:dataValidations>
  <x:pageMargins left="0.7" right="0.7" top="0.75" bottom="0.75" header="0.3" footer="0.3"/>
</x:worksheet>
</file>

<file path=xl/worksheets/sheet152.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62" hidden="0" customWidth="1"/>
    <x:col min="5" max="5" width="44" hidden="0" customWidth="1"/>
    <x:col min="6" max="6" width="42" hidden="0" customWidth="1"/>
    <x:col min="7" max="7" width="60" hidden="0" customWidth="1"/>
    <x:col min="8" max="8" width="28" hidden="0" customWidth="1"/>
    <x:col min="9" max="9" width="12" hidden="0" customWidth="1"/>
    <x:col min="10" max="10" width="18" hidden="0" customWidth="1"/>
  </x:cols>
  <x:sheetData>
    <x:row r="1" ht="30" customHeight="1">
      <x:c r="A1" s="809" t="str">
        <x:v>Stage 11 — Skill Proposal and Evaluation</x:v>
      </x:c>
      <x:c r="B1" s="809"/>
      <x:c r="C1" s="809"/>
      <x:c r="D1" s="809"/>
      <x:c r="E1" s="809"/>
      <x:c r="F1" s="809"/>
      <x:c r="G1" s="809"/>
      <x:c r="H1" s="809"/>
      <x:c r="I1" s="809"/>
      <x:c r="J1" s="809"/>
    </x:row>
    <x:row r="2" ht="38" customHeight="1">
      <x:c r="A2" s="813" t="str">
        <x:v>Evaluation framework separating facts, observations, inference, proposed change, reproducible tests and human approval. Qualifying evidence covers correctness, abstention, privacy, fairness, security, compatibility, cost and rollback.</x:v>
      </x:c>
      <x:c r="B2" s="813"/>
      <x:c r="C2" s="813"/>
      <x:c r="D2" s="813"/>
      <x:c r="E2" s="813"/>
      <x:c r="F2" s="813"/>
      <x:c r="G2" s="813"/>
      <x:c r="H2" s="813"/>
      <x:c r="I2" s="813"/>
      <x:c r="J2" s="813"/>
    </x:row>
    <x:row r="4" ht="30" customHeight="1">
      <x:c r="A4" s="825" t="str">
        <x:v>ID</x:v>
      </x:c>
      <x:c r="B4" s="826" t="str">
        <x:v>Phase</x:v>
      </x:c>
      <x:c r="C4" s="826" t="str">
        <x:v>Control / evaluation</x:v>
      </x:c>
      <x:c r="D4" s="826" t="str">
        <x:v>Requirement</x:v>
      </x:c>
      <x:c r="E4" s="826" t="str">
        <x:v>Inputs</x:v>
      </x:c>
      <x:c r="F4" s="826" t="str">
        <x:v>Method</x:v>
      </x:c>
      <x:c r="G4" s="826" t="str">
        <x:v>Acceptance / decision rule</x:v>
      </x:c>
      <x:c r="H4" s="826" t="str">
        <x:v>Owner</x:v>
      </x:c>
      <x:c r="I4" s="826" t="str">
        <x:v>Priority</x:v>
      </x:c>
      <x:c r="J4" s="827" t="str">
        <x:v>Status</x:v>
      </x:c>
    </x:row>
    <x:row r="5">
      <x:c r="A5" s="844" t="str">
        <x:v>SPE-001</x:v>
      </x:c>
      <x:c r="B5" s="845" t="str">
        <x:v>Triage</x:v>
      </x:c>
      <x:c r="C5" s="845" t="str">
        <x:v>Fact/inference/proposal separation</x:v>
      </x:c>
      <x:c r="D5" s="845" t="str">
        <x:v>Proposal must present source facts, derived observations, inference and proposed change in separate fields.</x:v>
      </x:c>
      <x:c r="E5" s="845" t="str">
        <x:v>Observation package</x:v>
      </x:c>
      <x:c r="F5" s="845" t="str">
        <x:v>Schema validation + reviewer check</x:v>
      </x:c>
      <x:c r="G5" s="845" t="str">
        <x:v>All four layers explicit; no inferred cause presented as fact.</x:v>
      </x:c>
      <x:c r="H5" s="845" t="str">
        <x:v>Skill Owner/Triage Reviewer</x:v>
      </x:c>
      <x:c r="I5" s="845" t="str">
        <x:v>Critical</x:v>
      </x:c>
      <x:c r="J5" s="846" t="str">
        <x:v>Draft Complete</x:v>
      </x:c>
    </x:row>
    <x:row r="6">
      <x:c r="A6" s="852" t="str">
        <x:v>SPE-002</x:v>
      </x:c>
      <x:c r="B6" s="853" t="str">
        <x:v>Triage</x:v>
      </x:c>
      <x:c r="C6" s="853" t="str">
        <x:v>Recurrence and independence</x:v>
      </x:c>
      <x:c r="D6" s="853" t="str">
        <x:v>Determine whether observations are independent, repeated and comparable rather than duplicate signals from one incident.</x:v>
      </x:c>
      <x:c r="E6" s="853" t="str">
        <x:v>Observation cluster</x:v>
      </x:c>
      <x:c r="F6" s="853" t="str">
        <x:v>Deterministic dedup + human review</x:v>
      </x:c>
      <x:c r="G6" s="853" t="str">
        <x:v>Effective recurrence count and cohort documented.</x:v>
      </x:c>
      <x:c r="H6" s="853" t="str">
        <x:v>Pattern Reviewer</x:v>
      </x:c>
      <x:c r="I6" s="853" t="str">
        <x:v>High</x:v>
      </x:c>
      <x:c r="J6" s="854" t="str">
        <x:v>Draft Complete</x:v>
      </x:c>
    </x:row>
    <x:row r="7">
      <x:c r="A7" s="847" t="str">
        <x:v>SPE-003</x:v>
      </x:c>
      <x:c r="B7" s="114" t="str">
        <x:v>Triage</x:v>
      </x:c>
      <x:c r="C7" s="114" t="str">
        <x:v>Generalisability decision</x:v>
      </x:c>
      <x:c r="D7" s="114" t="str">
        <x:v>Classify one-off, tenant-specific, domain-specific or global pattern.</x:v>
      </x:c>
      <x:c r="E7" s="114" t="str">
        <x:v>Cluster, tenant/domain context</x:v>
      </x:c>
      <x:c r="F7" s="114" t="str">
        <x:v>Python recommendation + human decision</x:v>
      </x:c>
      <x:c r="G7" s="114" t="str">
        <x:v>Scope and counterexamples documented before proposal.</x:v>
      </x:c>
      <x:c r="H7" s="114" t="str">
        <x:v>Domain/Product Reviewer</x:v>
      </x:c>
      <x:c r="I7" s="114" t="str">
        <x:v>Critical</x:v>
      </x:c>
      <x:c r="J7" s="848" t="str">
        <x:v>Draft Complete</x:v>
      </x:c>
    </x:row>
    <x:row r="8">
      <x:c r="A8" s="852" t="str">
        <x:v>SPE-004</x:v>
      </x:c>
      <x:c r="B8" s="853" t="str">
        <x:v>Proposal</x:v>
      </x:c>
      <x:c r="C8" s="853" t="str">
        <x:v>Expected benefit</x:v>
      </x:c>
      <x:c r="D8" s="853" t="str">
        <x:v>State measurable intended improvement and affected system/user metrics.</x:v>
      </x:c>
      <x:c r="E8" s="853" t="str">
        <x:v>Source observations and current package metrics</x:v>
      </x:c>
      <x:c r="F8" s="853" t="str">
        <x:v>Human-authored/reviewed proposal</x:v>
      </x:c>
      <x:c r="G8" s="853" t="str">
        <x:v>Benefit is testable, bounded and not an employee-ranking metric.</x:v>
      </x:c>
      <x:c r="H8" s="853" t="str">
        <x:v>Skill Owner/Product</x:v>
      </x:c>
      <x:c r="I8" s="853" t="str">
        <x:v>High</x:v>
      </x:c>
      <x:c r="J8" s="854" t="str">
        <x:v>Draft Complete</x:v>
      </x:c>
    </x:row>
    <x:row r="9">
      <x:c r="A9" s="847" t="str">
        <x:v>SPE-005</x:v>
      </x:c>
      <x:c r="B9" s="114" t="str">
        <x:v>Proposal</x:v>
      </x:c>
      <x:c r="C9" s="114" t="str">
        <x:v>Affected contracts and versions</x:v>
      </x:c>
      <x:c r="D9" s="114" t="str">
        <x:v>Identify APIs, schemas, prompts, models, adapters, workflows, reports and dependent packages affected.</x:v>
      </x:c>
      <x:c r="E9" s="114" t="str">
        <x:v>Registry/dependency graph</x:v>
      </x:c>
      <x:c r="F9" s="114" t="str">
        <x:v>Compatibility scanner</x:v>
      </x:c>
      <x:c r="G9" s="114" t="str">
        <x:v>No unrecorded breaking dependency.</x:v>
      </x:c>
      <x:c r="H9" s="114" t="str">
        <x:v>Architecture Reviewer</x:v>
      </x:c>
      <x:c r="I9" s="114" t="str">
        <x:v>Critical</x:v>
      </x:c>
      <x:c r="J9" s="848" t="str">
        <x:v>Draft Complete</x:v>
      </x:c>
    </x:row>
    <x:row r="10">
      <x:c r="A10" s="852" t="str">
        <x:v>SPE-006</x:v>
      </x:c>
      <x:c r="B10" s="853" t="str">
        <x:v>Proposal</x:v>
      </x:c>
      <x:c r="C10" s="853" t="str">
        <x:v>Risk hypothesis</x:v>
      </x:c>
      <x:c r="D10" s="853" t="str">
        <x:v>List safety, privacy, fairness, quality, compatibility, performance, cost and misuse regression risks.</x:v>
      </x:c>
      <x:c r="E10" s="853" t="str">
        <x:v>Package category/threat context</x:v>
      </x:c>
      <x:c r="F10" s="853" t="str">
        <x:v>Structured risk template</x:v>
      </x:c>
      <x:c r="G10" s="853" t="str">
        <x:v>Each material risk maps to one or more evals/controls.</x:v>
      </x:c>
      <x:c r="H10" s="853" t="str">
        <x:v>Security/DPO/AI Governance</x:v>
      </x:c>
      <x:c r="I10" s="853" t="str">
        <x:v>Critical</x:v>
      </x:c>
      <x:c r="J10" s="854" t="str">
        <x:v>Draft Complete</x:v>
      </x:c>
    </x:row>
    <x:row r="11">
      <x:c r="A11" s="847" t="str">
        <x:v>SPE-007</x:v>
      </x:c>
      <x:c r="B11" s="114" t="str">
        <x:v>Proposal</x:v>
      </x:c>
      <x:c r="C11" s="114" t="str">
        <x:v>Alternative and no-change case</x:v>
      </x:c>
      <x:c r="D11" s="114" t="str">
        <x:v>Compare proposed change with current version, smaller change and no change.</x:v>
      </x:c>
      <x:c r="E11" s="114" t="str">
        <x:v>Current package and alternatives</x:v>
      </x:c>
      <x:c r="F11" s="114" t="str">
        <x:v>Human review</x:v>
      </x:c>
      <x:c r="G11" s="114" t="str">
        <x:v>Chosen proposal rationale and trade-off documented.</x:v>
      </x:c>
      <x:c r="H11" s="114" t="str">
        <x:v>Skill Owner/Architecture</x:v>
      </x:c>
      <x:c r="I11" s="114" t="str">
        <x:v>Medium</x:v>
      </x:c>
      <x:c r="J11" s="848" t="str">
        <x:v>Draft Complete</x:v>
      </x:c>
    </x:row>
    <x:row r="12">
      <x:c r="A12" s="852" t="str">
        <x:v>SPE-008</x:v>
      </x:c>
      <x:c r="B12" s="853" t="str">
        <x:v>Dataset</x:v>
      </x:c>
      <x:c r="C12" s="853" t="str">
        <x:v>Positive cases</x:v>
      </x:c>
      <x:c r="D12" s="853" t="str">
        <x:v>Representative valid inputs where package should succeed.</x:v>
      </x:c>
      <x:c r="E12" s="853" t="str">
        <x:v>Approved synthetic/de-identified/consented cases</x:v>
      </x:c>
      <x:c r="F12" s="853" t="str">
        <x:v>Deterministic/model graders</x:v>
      </x:c>
      <x:c r="G12" s="853" t="str">
        <x:v>Coverage by domain, provider, difficulty and expected output.</x:v>
      </x:c>
      <x:c r="H12" s="853" t="str">
        <x:v>Evaluation Lead</x:v>
      </x:c>
      <x:c r="I12" s="853" t="str">
        <x:v>Critical</x:v>
      </x:c>
      <x:c r="J12" s="854" t="str">
        <x:v>Draft Complete</x:v>
      </x:c>
    </x:row>
    <x:row r="13">
      <x:c r="A13" s="847" t="str">
        <x:v>SPE-009</x:v>
      </x:c>
      <x:c r="B13" s="114" t="str">
        <x:v>Dataset</x:v>
      </x:c>
      <x:c r="C13" s="114" t="str">
        <x:v>Negative cases</x:v>
      </x:c>
      <x:c r="D13" s="114" t="str">
        <x:v>Inputs where package should abstain, reject, defer or produce safe failure.</x:v>
      </x:c>
      <x:c r="E13" s="114" t="str">
        <x:v>Known misuse/unsupported cases</x:v>
      </x:c>
      <x:c r="F13" s="114" t="str">
        <x:v>Deterministic/model graders</x:v>
      </x:c>
      <x:c r="G13" s="114" t="str">
        <x:v>Safe failure and no unauthorised action.</x:v>
      </x:c>
      <x:c r="H13" s="114" t="str">
        <x:v>Evaluation Lead</x:v>
      </x:c>
      <x:c r="I13" s="114" t="str">
        <x:v>Critical</x:v>
      </x:c>
      <x:c r="J13" s="848" t="str">
        <x:v>Draft Complete</x:v>
      </x:c>
    </x:row>
    <x:row r="14">
      <x:c r="A14" s="852" t="str">
        <x:v>SPE-010</x:v>
      </x:c>
      <x:c r="B14" s="853" t="str">
        <x:v>Dataset</x:v>
      </x:c>
      <x:c r="C14" s="853" t="str">
        <x:v>Adversarial and prompt-injection cases</x:v>
      </x:c>
      <x:c r="D14" s="853" t="str">
        <x:v>Malicious instructions, untrusted screen/repo/web content, tool abuse and data-exfiltration attempts.</x:v>
      </x:c>
      <x:c r="E14" s="853" t="str">
        <x:v>Red-team corpus</x:v>
      </x:c>
      <x:c r="F14" s="853" t="str">
        <x:v>Sandboxed tests</x:v>
      </x:c>
      <x:c r="G14" s="853" t="str">
        <x:v>Package follows policy/system contract rather than untrusted content.</x:v>
      </x:c>
      <x:c r="H14" s="853" t="str">
        <x:v>AI Security Lead</x:v>
      </x:c>
      <x:c r="I14" s="853" t="str">
        <x:v>Critical</x:v>
      </x:c>
      <x:c r="J14" s="854" t="str">
        <x:v>Draft Complete</x:v>
      </x:c>
    </x:row>
    <x:row r="15">
      <x:c r="A15" s="847" t="str">
        <x:v>SPE-011</x:v>
      </x:c>
      <x:c r="B15" s="114" t="str">
        <x:v>Dataset</x:v>
      </x:c>
      <x:c r="C15" s="114" t="str">
        <x:v>Privacy and confidentiality cases</x:v>
      </x:c>
      <x:c r="D15" s="114" t="str">
        <x:v>Secrets, employee/customer data, excluded content and cross-tenant data.</x:v>
      </x:c>
      <x:c r="E15" s="114" t="str">
        <x:v>Synthetic secret/PII corpus</x:v>
      </x:c>
      <x:c r="F15" s="114" t="str">
        <x:v>DLP/redaction/access tests</x:v>
      </x:c>
      <x:c r="G15" s="114" t="str">
        <x:v>Zero known high-severity leakage or cross-tenant retrieval.</x:v>
      </x:c>
      <x:c r="H15" s="114" t="str">
        <x:v>CISO/DPO</x:v>
      </x:c>
      <x:c r="I15" s="114" t="str">
        <x:v>Critical</x:v>
      </x:c>
      <x:c r="J15" s="848" t="str">
        <x:v>Draft Complete</x:v>
      </x:c>
    </x:row>
    <x:row r="16">
      <x:c r="A16" s="852" t="str">
        <x:v>SPE-012</x:v>
      </x:c>
      <x:c r="B16" s="853" t="str">
        <x:v>Dataset</x:v>
      </x:c>
      <x:c r="C16" s="853" t="str">
        <x:v>Fairness and accessibility cases</x:v>
      </x:c>
      <x:c r="D16" s="853" t="str">
        <x:v>Alternate workflows, accommodations, evidence gaps, role/tool variation and valid methods.</x:v>
      </x:c>
      <x:c r="E16" s="853" t="str">
        <x:v>Reviewed fairness cases</x:v>
      </x:c>
      <x:c r="F16" s="853" t="str">
        <x:v>Human/model evaluation</x:v>
      </x:c>
      <x:c r="G16" s="853" t="str">
        <x:v>No unjustified negative differential outcome.</x:v>
      </x:c>
      <x:c r="H16" s="853" t="str">
        <x:v>DPO/HR/Accessibility</x:v>
      </x:c>
      <x:c r="I16" s="853" t="str">
        <x:v>Critical</x:v>
      </x:c>
      <x:c r="J16" s="854" t="str">
        <x:v>Draft Complete</x:v>
      </x:c>
    </x:row>
    <x:row r="17">
      <x:c r="A17" s="847" t="str">
        <x:v>SPE-013</x:v>
      </x:c>
      <x:c r="B17" s="114" t="str">
        <x:v>Dataset</x:v>
      </x:c>
      <x:c r="C17" s="114" t="str">
        <x:v>Regression cases</x:v>
      </x:c>
      <x:c r="D17" s="114" t="str">
        <x:v>Historical corrected failures, reviewer overrides, incidents and critical prior behaviours.</x:v>
      </x:c>
      <x:c r="E17" s="114" t="str">
        <x:v>Observation/source registry</x:v>
      </x:c>
      <x:c r="F17" s="114" t="str">
        <x:v>Golden regression suite</x:v>
      </x:c>
      <x:c r="G17" s="114" t="str">
        <x:v>No regression above approved threshold.</x:v>
      </x:c>
      <x:c r="H17" s="114" t="str">
        <x:v>QA/Evaluation</x:v>
      </x:c>
      <x:c r="I17" s="114" t="str">
        <x:v>Critical</x:v>
      </x:c>
      <x:c r="J17" s="848" t="str">
        <x:v>Draft Complete</x:v>
      </x:c>
    </x:row>
    <x:row r="18">
      <x:c r="A18" s="852" t="str">
        <x:v>SPE-014</x:v>
      </x:c>
      <x:c r="B18" s="853" t="str">
        <x:v>Dataset</x:v>
      </x:c>
      <x:c r="C18" s="853" t="str">
        <x:v>Compatibility cases</x:v>
      </x:c>
      <x:c r="D18" s="853" t="str">
        <x:v>Supported/unsupported provider, schema, model, runtime, dependency and policy versions.</x:v>
      </x:c>
      <x:c r="E18" s="853" t="str">
        <x:v>Compatibility matrix</x:v>
      </x:c>
      <x:c r="F18" s="853" t="str">
        <x:v>Contract/integration tests</x:v>
      </x:c>
      <x:c r="G18" s="853" t="str">
        <x:v>Supported versions pass; unsupported state fails safely.</x:v>
      </x:c>
      <x:c r="H18" s="853" t="str">
        <x:v>Architecture/QA</x:v>
      </x:c>
      <x:c r="I18" s="853" t="str">
        <x:v>High</x:v>
      </x:c>
      <x:c r="J18" s="854" t="str">
        <x:v>Draft Complete</x:v>
      </x:c>
    </x:row>
    <x:row r="19">
      <x:c r="A19" s="847" t="str">
        <x:v>SPE-015</x:v>
      </x:c>
      <x:c r="B19" s="114" t="str">
        <x:v>Evaluation</x:v>
      </x:c>
      <x:c r="C19" s="114" t="str">
        <x:v>Deterministic contract tests</x:v>
      </x:c>
      <x:c r="D19" s="114" t="str">
        <x:v>Validate schemas, outputs, state transitions, permissions, signatures, lineage and error states.</x:v>
      </x:c>
      <x:c r="E19" s="114" t="str">
        <x:v>Package and fixtures</x:v>
      </x:c>
      <x:c r="F19" s="114" t="str">
        <x:v>CI tests</x:v>
      </x:c>
      <x:c r="G19" s="114" t="str">
        <x:v>All critical contract tests pass.</x:v>
      </x:c>
      <x:c r="H19" s="114" t="str">
        <x:v>QA/Backend</x:v>
      </x:c>
      <x:c r="I19" s="114" t="str">
        <x:v>Critical</x:v>
      </x:c>
      <x:c r="J19" s="848" t="str">
        <x:v>Draft Complete</x:v>
      </x:c>
    </x:row>
    <x:row r="20">
      <x:c r="A20" s="852" t="str">
        <x:v>SPE-016</x:v>
      </x:c>
      <x:c r="B20" s="853" t="str">
        <x:v>Evaluation</x:v>
      </x:c>
      <x:c r="C20" s="853" t="str">
        <x:v>Evidence-grounding tests</x:v>
      </x:c>
      <x:c r="D20" s="853" t="str">
        <x:v>Every material output cites valid evidence/source references and distinguishes uncertainty.</x:v>
      </x:c>
      <x:c r="E20" s="853" t="str">
        <x:v>Eval cases and source refs</x:v>
      </x:c>
      <x:c r="F20" s="853" t="str">
        <x:v>Deterministic + model grader + human sample</x:v>
      </x:c>
      <x:c r="G20" s="853" t="str">
        <x:v>Grounding precision/coverage threshold met; unsupported claims fail.</x:v>
      </x:c>
      <x:c r="H20" s="853" t="str">
        <x:v>AI Evaluation/Domain Reviewer</x:v>
      </x:c>
      <x:c r="I20" s="853" t="str">
        <x:v>Critical</x:v>
      </x:c>
      <x:c r="J20" s="854" t="str">
        <x:v>Draft Complete</x:v>
      </x:c>
    </x:row>
    <x:row r="21">
      <x:c r="A21" s="847" t="str">
        <x:v>SPE-017</x:v>
      </x:c>
      <x:c r="B21" s="114" t="str">
        <x:v>Evaluation</x:v>
      </x:c>
      <x:c r="C21" s="114" t="str">
        <x:v>Task/capability correctness</x:v>
      </x:c>
      <x:c r="D21" s="114" t="str">
        <x:v>Evaluate domain decision against expert-labelled outcomes.</x:v>
      </x:c>
      <x:c r="E21" s="114" t="str">
        <x:v>Holdout labelled data</x:v>
      </x:c>
      <x:c r="F21" s="114" t="str">
        <x:v>Expert grader and calibrated model grader</x:v>
      </x:c>
      <x:c r="G21" s="114" t="str">
        <x:v>Accuracy/error thresholds set by consequence.</x:v>
      </x:c>
      <x:c r="H21" s="114" t="str">
        <x:v>Domain/Evaluation Lead</x:v>
      </x:c>
      <x:c r="I21" s="114" t="str">
        <x:v>Critical</x:v>
      </x:c>
      <x:c r="J21" s="848" t="str">
        <x:v>Draft Complete</x:v>
      </x:c>
    </x:row>
    <x:row r="22">
      <x:c r="A22" s="852" t="str">
        <x:v>SPE-018</x:v>
      </x:c>
      <x:c r="B22" s="853" t="str">
        <x:v>Evaluation</x:v>
      </x:c>
      <x:c r="C22" s="853" t="str">
        <x:v>Abstention and uncertainty</x:v>
      </x:c>
      <x:c r="D22" s="853" t="str">
        <x:v>Test whether package returns UNKNOWN/INSUFFICIENT/REVIEW_REQUIRED when evidence is inadequate.</x:v>
      </x:c>
      <x:c r="E22" s="853" t="str">
        <x:v>Ambiguous/missing-data cases</x:v>
      </x:c>
      <x:c r="F22" s="853" t="str">
        <x:v>Deterministic/model grader</x:v>
      </x:c>
      <x:c r="G22" s="853" t="str">
        <x:v>No forced confident conclusion; calibration target met.</x:v>
      </x:c>
      <x:c r="H22" s="853" t="str">
        <x:v>AI Governance</x:v>
      </x:c>
      <x:c r="I22" s="853" t="str">
        <x:v>Critical</x:v>
      </x:c>
      <x:c r="J22" s="854" t="str">
        <x:v>Draft Complete</x:v>
      </x:c>
    </x:row>
    <x:row r="23">
      <x:c r="A23" s="847" t="str">
        <x:v>SPE-019</x:v>
      </x:c>
      <x:c r="B23" s="114" t="str">
        <x:v>Evaluation</x:v>
      </x:c>
      <x:c r="C23" s="114" t="str">
        <x:v>Human-review usability</x:v>
      </x:c>
      <x:c r="D23" s="114" t="str">
        <x:v>Reviewers can understand evidence, limitations and proposed output.</x:v>
      </x:c>
      <x:c r="E23" s="114" t="str">
        <x:v>Reviewer study</x:v>
      </x:c>
      <x:c r="F23" s="114" t="str">
        <x:v>Task-based usability test</x:v>
      </x:c>
      <x:c r="G23" s="114" t="str">
        <x:v>Review accuracy, time and comprehension meet target.</x:v>
      </x:c>
      <x:c r="H23" s="114" t="str">
        <x:v>Product/HR/DPO</x:v>
      </x:c>
      <x:c r="I23" s="114" t="str">
        <x:v>High</x:v>
      </x:c>
      <x:c r="J23" s="848" t="str">
        <x:v>Draft Complete</x:v>
      </x:c>
    </x:row>
    <x:row r="24">
      <x:c r="A24" s="852" t="str">
        <x:v>SPE-020</x:v>
      </x:c>
      <x:c r="B24" s="853" t="str">
        <x:v>Evaluation</x:v>
      </x:c>
      <x:c r="C24" s="853" t="str">
        <x:v>Employee-experience impact</x:v>
      </x:c>
      <x:c r="D24" s="853" t="str">
        <x:v>Assess clarity, trust, usefulness, interruption and correction accessibility where employee-facing.</x:v>
      </x:c>
      <x:c r="E24" s="853" t="str">
        <x:v>User research/pilot cases</x:v>
      </x:c>
      <x:c r="F24" s="853" t="str">
        <x:v>Survey/interviews/journey tests</x:v>
      </x:c>
      <x:c r="G24" s="853" t="str">
        <x:v>No material trust/accessibility regression.</x:v>
      </x:c>
      <x:c r="H24" s="853" t="str">
        <x:v>Product/Employee Experience</x:v>
      </x:c>
      <x:c r="I24" s="853" t="str">
        <x:v>High</x:v>
      </x:c>
      <x:c r="J24" s="854" t="str">
        <x:v>Draft Complete</x:v>
      </x:c>
    </x:row>
    <x:row r="25">
      <x:c r="A25" s="847" t="str">
        <x:v>SPE-021</x:v>
      </x:c>
      <x:c r="B25" s="114" t="str">
        <x:v>Evaluation</x:v>
      </x:c>
      <x:c r="C25" s="114" t="str">
        <x:v>Performance and latency</x:v>
      </x:c>
      <x:c r="D25" s="114" t="str">
        <x:v>Measure runtime latency, CPU/memory, queue, throughput and timeout behaviour.</x:v>
      </x:c>
      <x:c r="E25" s="114" t="str">
        <x:v>Benchmark workload</x:v>
      </x:c>
      <x:c r="F25" s="114" t="str">
        <x:v>Load/performance tests</x:v>
      </x:c>
      <x:c r="G25" s="114" t="str">
        <x:v>Within category-specific budget and safe timeout fallback.</x:v>
      </x:c>
      <x:c r="H25" s="114" t="str">
        <x:v>SRE/Performance</x:v>
      </x:c>
      <x:c r="I25" s="114" t="str">
        <x:v>High</x:v>
      </x:c>
      <x:c r="J25" s="848" t="str">
        <x:v>Draft Complete</x:v>
      </x:c>
    </x:row>
    <x:row r="26">
      <x:c r="A26" s="852" t="str">
        <x:v>SPE-022</x:v>
      </x:c>
      <x:c r="B26" s="853" t="str">
        <x:v>Evaluation</x:v>
      </x:c>
      <x:c r="C26" s="853" t="str">
        <x:v>Cost</x:v>
      </x:c>
      <x:c r="D26" s="853" t="str">
        <x:v>Measure model, compute, storage, network and reviewer cost by invocation/task/employee.</x:v>
      </x:c>
      <x:c r="E26" s="853" t="str">
        <x:v>Benchmark and FinOps assumptions</x:v>
      </x:c>
      <x:c r="F26" s="853" t="str">
        <x:v>Cost model</x:v>
      </x:c>
      <x:c r="G26" s="853" t="str">
        <x:v>Within approved budget or explicit trade-off approved.</x:v>
      </x:c>
      <x:c r="H26" s="853" t="str">
        <x:v>FinOps/Product</x:v>
      </x:c>
      <x:c r="I26" s="853" t="str">
        <x:v>Medium</x:v>
      </x:c>
      <x:c r="J26" s="854" t="str">
        <x:v>Draft Complete</x:v>
      </x:c>
    </x:row>
    <x:row r="27">
      <x:c r="A27" s="847" t="str">
        <x:v>SPE-023</x:v>
      </x:c>
      <x:c r="B27" s="114" t="str">
        <x:v>Evaluation</x:v>
      </x:c>
      <x:c r="C27" s="114" t="str">
        <x:v>Security and supply-chain</x:v>
      </x:c>
      <x:c r="D27" s="114" t="str">
        <x:v>Verify package signature, provenance, BOM, dependencies, vulnerabilities and sandbox permissions.</x:v>
      </x:c>
      <x:c r="E27" s="114" t="str">
        <x:v>Package/signatures/BOM</x:v>
      </x:c>
      <x:c r="F27" s="114" t="str">
        <x:v>CI/security tools + manual review</x:v>
      </x:c>
      <x:c r="G27" s="114" t="str">
        <x:v>All critical integrity and vulnerability gates pass.</x:v>
      </x:c>
      <x:c r="H27" s="114" t="str">
        <x:v>CISO/DevSecOps</x:v>
      </x:c>
      <x:c r="I27" s="114" t="str">
        <x:v>Critical</x:v>
      </x:c>
      <x:c r="J27" s="848" t="str">
        <x:v>Draft Complete</x:v>
      </x:c>
    </x:row>
    <x:row r="28">
      <x:c r="A28" s="852" t="str">
        <x:v>SPE-024</x:v>
      </x:c>
      <x:c r="B28" s="853" t="str">
        <x:v>Evaluation</x:v>
      </x:c>
      <x:c r="C28" s="853" t="str">
        <x:v>Licence and source compliance</x:v>
      </x:c>
      <x:c r="D28" s="853" t="str">
        <x:v>Validate source rights, attribution, redistribution and dependency licences.</x:v>
      </x:c>
      <x:c r="E28" s="853" t="str">
        <x:v>Source/Licence Registry, BOM</x:v>
      </x:c>
      <x:c r="F28" s="853" t="str">
        <x:v>Automated scan + legal review</x:v>
      </x:c>
      <x:c r="G28" s="853" t="str">
        <x:v>No unresolved prohibited or incompatible licence condition.</x:v>
      </x:c>
      <x:c r="H28" s="853" t="str">
        <x:v>Legal/Procurement</x:v>
      </x:c>
      <x:c r="I28" s="853" t="str">
        <x:v>Critical</x:v>
      </x:c>
      <x:c r="J28" s="854" t="str">
        <x:v>Draft Complete</x:v>
      </x:c>
    </x:row>
    <x:row r="29">
      <x:c r="A29" s="847" t="str">
        <x:v>SPE-025</x:v>
      </x:c>
      <x:c r="B29" s="114" t="str">
        <x:v>Evaluation</x:v>
      </x:c>
      <x:c r="C29" s="114" t="str">
        <x:v>Rollback test</x:v>
      </x:c>
      <x:c r="D29" s="114" t="str">
        <x:v>Deploy package to test/canary environment then restore prior stable version and verify state compatibility.</x:v>
      </x:c>
      <x:c r="E29" s="114" t="str">
        <x:v>Canary plan/rollback target</x:v>
      </x:c>
      <x:c r="F29" s="114" t="str">
        <x:v>Deployment test</x:v>
      </x:c>
      <x:c r="G29" s="114" t="str">
        <x:v>Rollback completes within target with no corrupted state.</x:v>
      </x:c>
      <x:c r="H29" s="114" t="str">
        <x:v>SRE/Deployment</x:v>
      </x:c>
      <x:c r="I29" s="114" t="str">
        <x:v>Critical</x:v>
      </x:c>
      <x:c r="J29" s="848" t="str">
        <x:v>Draft Complete</x:v>
      </x:c>
    </x:row>
    <x:row r="30">
      <x:c r="A30" s="852" t="str">
        <x:v>SPE-026</x:v>
      </x:c>
      <x:c r="B30" s="853" t="str">
        <x:v>Evaluation</x:v>
      </x:c>
      <x:c r="C30" s="853" t="str">
        <x:v>Shadow evaluation</x:v>
      </x:c>
      <x:c r="D30" s="853" t="str">
        <x:v>Run proposed package without affecting user-visible decision/action and compare with stable.</x:v>
      </x:c>
      <x:c r="E30" s="853" t="str">
        <x:v>Production-like historical/live shadow data</x:v>
      </x:c>
      <x:c r="F30" s="853" t="str">
        <x:v>Shadow runner</x:v>
      </x:c>
      <x:c r="G30" s="853" t="str">
        <x:v>Difference/error analysis completed before canary.</x:v>
      </x:c>
      <x:c r="H30" s="853" t="str">
        <x:v>AI Evaluation/SRE</x:v>
      </x:c>
      <x:c r="I30" s="853" t="str">
        <x:v>High</x:v>
      </x:c>
      <x:c r="J30" s="854" t="str">
        <x:v>Draft Complete</x:v>
      </x:c>
    </x:row>
    <x:row r="31">
      <x:c r="A31" s="847" t="str">
        <x:v>SPE-027</x:v>
      </x:c>
      <x:c r="B31" s="114" t="str">
        <x:v>Evaluation</x:v>
      </x:c>
      <x:c r="C31" s="114" t="str">
        <x:v>Control comparison</x:v>
      </x:c>
      <x:c r="D31" s="114" t="str">
        <x:v>Compare proposed version with stable/control cohort where ethically and operationally appropriate.</x:v>
      </x:c>
      <x:c r="E31" s="114" t="str">
        <x:v>Canary/control design</x:v>
      </x:c>
      <x:c r="F31" s="114" t="str">
        <x:v>Experiment analysis</x:v>
      </x:c>
      <x:c r="G31" s="114" t="str">
        <x:v>Benefit and regressions measured with caveats.</x:v>
      </x:c>
      <x:c r="H31" s="114" t="str">
        <x:v>Product/Data Science</x:v>
      </x:c>
      <x:c r="I31" s="114" t="str">
        <x:v>Medium</x:v>
      </x:c>
      <x:c r="J31" s="848" t="str">
        <x:v>Draft Complete</x:v>
      </x:c>
    </x:row>
    <x:row r="32">
      <x:c r="A32" s="852" t="str">
        <x:v>SPE-028</x:v>
      </x:c>
      <x:c r="B32" s="853" t="str">
        <x:v>Evaluation</x:v>
      </x:c>
      <x:c r="C32" s="853" t="str">
        <x:v>Grader governance</x:v>
      </x:c>
      <x:c r="D32" s="853" t="str">
        <x:v>Record deterministic, model and human graders, versions, conflicts and adjudication.</x:v>
      </x:c>
      <x:c r="E32" s="853" t="str">
        <x:v>Eval configuration</x:v>
      </x:c>
      <x:c r="F32" s="853" t="str">
        <x:v>Evaluation Orchestrator</x:v>
      </x:c>
      <x:c r="G32" s="853" t="str">
        <x:v>No circular self-grading without independent checks.</x:v>
      </x:c>
      <x:c r="H32" s="853" t="str">
        <x:v>AI Governance/QA</x:v>
      </x:c>
      <x:c r="I32" s="853" t="str">
        <x:v>Critical</x:v>
      </x:c>
      <x:c r="J32" s="854" t="str">
        <x:v>Draft Complete</x:v>
      </x:c>
    </x:row>
    <x:row r="33">
      <x:c r="A33" s="847" t="str">
        <x:v>SPE-029</x:v>
      </x:c>
      <x:c r="B33" s="114" t="str">
        <x:v>Evaluation</x:v>
      </x:c>
      <x:c r="C33" s="114" t="str">
        <x:v>Threshold policy</x:v>
      </x:c>
      <x:c r="D33" s="114" t="str">
        <x:v>Define blocking, conditional and advisory thresholds by category and consequence.</x:v>
      </x:c>
      <x:c r="E33" s="114" t="str">
        <x:v>Risk/impact classification</x:v>
      </x:c>
      <x:c r="F33" s="114" t="str">
        <x:v>Policy rules</x:v>
      </x:c>
      <x:c r="G33" s="114" t="str">
        <x:v>Critical failures block; conditional approval records remediation.</x:v>
      </x:c>
      <x:c r="H33" s="114" t="str">
        <x:v>Approval Board</x:v>
      </x:c>
      <x:c r="I33" s="114" t="str">
        <x:v>Critical</x:v>
      </x:c>
      <x:c r="J33" s="848" t="str">
        <x:v>Draft Complete</x:v>
      </x:c>
    </x:row>
    <x:row r="34">
      <x:c r="A34" s="852" t="str">
        <x:v>SPE-030</x:v>
      </x:c>
      <x:c r="B34" s="853" t="str">
        <x:v>Evaluation</x:v>
      </x:c>
      <x:c r="C34" s="853" t="str">
        <x:v>Evaluation reproducibility</x:v>
      </x:c>
      <x:c r="D34" s="853" t="str">
        <x:v>Pin package/model/dataset/grader/runtime/source versions and seeds where applicable.</x:v>
      </x:c>
      <x:c r="E34" s="853" t="str">
        <x:v>Eval run manifest</x:v>
      </x:c>
      <x:c r="F34" s="853" t="str">
        <x:v>Evaluation platform</x:v>
      </x:c>
      <x:c r="G34" s="853" t="str">
        <x:v>Qualifying result is reproducible or limitations documented.</x:v>
      </x:c>
      <x:c r="H34" s="853" t="str">
        <x:v>Evaluation Lead</x:v>
      </x:c>
      <x:c r="I34" s="853" t="str">
        <x:v>High</x:v>
      </x:c>
      <x:c r="J34" s="854" t="str">
        <x:v>Draft Complete</x:v>
      </x:c>
    </x:row>
    <x:row r="35">
      <x:c r="A35" s="847" t="str">
        <x:v>SPE-031</x:v>
      </x:c>
      <x:c r="B35" s="114" t="str">
        <x:v>Review</x:v>
      </x:c>
      <x:c r="C35" s="114" t="str">
        <x:v>Domain review</x:v>
      </x:c>
      <x:c r="D35" s="114" t="str">
        <x:v>Qualified domain expert validates intended behaviour, examples, limitations and misuse risks.</x:v>
      </x:c>
      <x:c r="E35" s="114" t="str">
        <x:v>Proposal and eval package</x:v>
      </x:c>
      <x:c r="F35" s="114" t="str">
        <x:v>Human review</x:v>
      </x:c>
      <x:c r="G35" s="114" t="str">
        <x:v>Decision/rationale and competence recorded.</x:v>
      </x:c>
      <x:c r="H35" s="114" t="str">
        <x:v>Domain Reviewer</x:v>
      </x:c>
      <x:c r="I35" s="114" t="str">
        <x:v>Critical</x:v>
      </x:c>
      <x:c r="J35" s="848" t="str">
        <x:v>Draft Complete</x:v>
      </x:c>
    </x:row>
    <x:row r="36">
      <x:c r="A36" s="852" t="str">
        <x:v>SPE-032</x:v>
      </x:c>
      <x:c r="B36" s="853" t="str">
        <x:v>Review</x:v>
      </x:c>
      <x:c r="C36" s="853" t="str">
        <x:v>Security/privacy/legal review</x:v>
      </x:c>
      <x:c r="D36" s="853" t="str">
        <x:v>Impact-based reviewers assess tools, data, tenant scope, publication and licence.</x:v>
      </x:c>
      <x:c r="E36" s="853" t="str">
        <x:v>Proposal/evals/threat/data-flow</x:v>
      </x:c>
      <x:c r="F36" s="853" t="str">
        <x:v>Workflow</x:v>
      </x:c>
      <x:c r="G36" s="853" t="str">
        <x:v>All required approvals/conditions present.</x:v>
      </x:c>
      <x:c r="H36" s="853" t="str">
        <x:v>CISO/DPO/Legal</x:v>
      </x:c>
      <x:c r="I36" s="853" t="str">
        <x:v>Critical</x:v>
      </x:c>
      <x:c r="J36" s="854" t="str">
        <x:v>Draft Complete</x:v>
      </x:c>
    </x:row>
    <x:row r="37">
      <x:c r="A37" s="847" t="str">
        <x:v>SPE-033</x:v>
      </x:c>
      <x:c r="B37" s="114" t="str">
        <x:v>Review</x:v>
      </x:c>
      <x:c r="C37" s="114" t="str">
        <x:v>Employee-impact review</x:v>
      </x:c>
      <x:c r="D37" s="114" t="str">
        <x:v>HR/employee-experience review for packages affecting monitoring, task, capability, coaching or reporting.</x:v>
      </x:c>
      <x:c r="E37" s="114" t="str">
        <x:v>Proposal and UX/eval evidence</x:v>
      </x:c>
      <x:c r="F37" s="114" t="str">
        <x:v>Human review</x:v>
      </x:c>
      <x:c r="G37" s="114" t="str">
        <x:v>Prohibited-use and challenge rights validated.</x:v>
      </x:c>
      <x:c r="H37" s="114" t="str">
        <x:v>HR/DPO/Employee Rep</x:v>
      </x:c>
      <x:c r="I37" s="114" t="str">
        <x:v>Critical</x:v>
      </x:c>
      <x:c r="J37" s="848" t="str">
        <x:v>Draft Complete</x:v>
      </x:c>
    </x:row>
    <x:row r="38">
      <x:c r="A38" s="852" t="str">
        <x:v>SPE-034</x:v>
      </x:c>
      <x:c r="B38" s="853" t="str">
        <x:v>Qualification</x:v>
      </x:c>
      <x:c r="C38" s="853" t="str">
        <x:v>Canary qualification</x:v>
      </x:c>
      <x:c r="D38" s="853" t="str">
        <x:v>Package can enter CANARY only after required eval/review/signature/BOM/rollback evidence.</x:v>
      </x:c>
      <x:c r="E38" s="853" t="str">
        <x:v>Registry gate checklist</x:v>
      </x:c>
      <x:c r="F38" s="853" t="str">
        <x:v>Deterministic gate</x:v>
      </x:c>
      <x:c r="G38" s="853" t="str">
        <x:v>No missing blocking evidence; approved scope defined.</x:v>
      </x:c>
      <x:c r="H38" s="853" t="str">
        <x:v>Deployment Approver</x:v>
      </x:c>
      <x:c r="I38" s="853" t="str">
        <x:v>Critical</x:v>
      </x:c>
      <x:c r="J38" s="854" t="str">
        <x:v>Draft Complete</x:v>
      </x:c>
    </x:row>
    <x:row r="39">
      <x:c r="A39" s="847" t="str">
        <x:v>SPE-035</x:v>
      </x:c>
      <x:c r="B39" s="114" t="str">
        <x:v>Post-eval</x:v>
      </x:c>
      <x:c r="C39" s="114" t="str">
        <x:v>Limitations and residual risk</x:v>
      </x:c>
      <x:c r="D39" s="114" t="str">
        <x:v>Publish limitations, unsupported cases, residual risks and required monitoring with package.</x:v>
      </x:c>
      <x:c r="E39" s="114" t="str">
        <x:v>Eval/review decisions</x:v>
      </x:c>
      <x:c r="F39" s="114" t="str">
        <x:v>Package contract</x:v>
      </x:c>
      <x:c r="G39" s="114" t="str">
        <x:v>Runtime/UI can surface material limitation.</x:v>
      </x:c>
      <x:c r="H39" s="114" t="str">
        <x:v>Skill Owner/Governance</x:v>
      </x:c>
      <x:c r="I39" s="114" t="str">
        <x:v>High</x:v>
      </x:c>
      <x:c r="J39" s="848" t="str">
        <x:v>Draft Complete</x:v>
      </x:c>
    </x:row>
    <x:row r="40">
      <x:c r="A40" s="855" t="str">
        <x:v>SPE-036</x:v>
      </x:c>
      <x:c r="B40" s="856" t="str">
        <x:v>Post-eval</x:v>
      </x:c>
      <x:c r="C40" s="856" t="str">
        <x:v>Eval refresh</x:v>
      </x:c>
      <x:c r="D40" s="856" t="str">
        <x:v>Re-run affected suites on source/model/provider/dependency/policy changes or expiry.</x:v>
      </x:c>
      <x:c r="E40" s="856" t="str">
        <x:v>Drift/source/registry event</x:v>
      </x:c>
      <x:c r="F40" s="856" t="str">
        <x:v>Scheduled/event-driven eval</x:v>
      </x:c>
      <x:c r="G40" s="856" t="str">
        <x:v>Stale qualification cannot remain active silently.</x:v>
      </x:c>
      <x:c r="H40" s="856" t="str">
        <x:v>Skill Owner/Evaluation</x:v>
      </x:c>
      <x:c r="I40" s="856" t="str">
        <x:v>High</x:v>
      </x:c>
      <x:c r="J40" s="857" t="str">
        <x:v>Draft Complete</x:v>
      </x:c>
    </x:row>
  </x:sheetData>
  <x:mergeCells>
    <x:mergeCell ref="A1:J1"/>
    <x:mergeCell ref="A2:J2"/>
  </x:mergeCells>
  <x:dataValidations count="2">
    <x:dataValidation type="list" sqref="I5:I40">
      <x:formula1>"Critical,High,Medium,Low"</x:formula1>
    </x:dataValidation>
    <x:dataValidation type="list" sqref="J5:J40">
      <x:formula1>"Draft Complete,Needs Review,Approved,Deferred"</x:formula1>
    </x:dataValidation>
  </x:dataValidations>
  <x:pageMargins left="0.7" right="0.7" top="0.75" bottom="0.75" header="0.3" footer="0.3"/>
</x:worksheet>
</file>

<file path=xl/worksheets/sheet153.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58" hidden="0" customWidth="1"/>
    <x:col min="5" max="5" width="28" hidden="0" customWidth="1"/>
    <x:col min="6" max="6" width="12" hidden="0" customWidth="1"/>
    <x:col min="7" max="7" width="18" hidden="0" customWidth="1"/>
    <x:col min="8" max="8" width="58" hidden="0" customWidth="1"/>
  </x:cols>
  <x:sheetData>
    <x:row r="1" ht="30" customHeight="1">
      <x:c r="A1" s="809" t="str">
        <x:v>Stage 11 — Skill Security and Confidentiality</x:v>
      </x:c>
      <x:c r="B1" s="809"/>
      <x:c r="C1" s="809"/>
      <x:c r="D1" s="809"/>
      <x:c r="E1" s="809"/>
      <x:c r="F1" s="809"/>
      <x:c r="G1" s="809"/>
      <x:c r="H1" s="809"/>
    </x:row>
    <x:row r="2" ht="38" customHeight="1">
      <x:c r="A2" s="813" t="str">
        <x:v>Security, privacy, tenant-isolation, supply-chain, sandbox, publication and incident controls for Skill Forge source observations and production packages.</x:v>
      </x:c>
      <x:c r="B2" s="813"/>
      <x:c r="C2" s="813"/>
      <x:c r="D2" s="813"/>
      <x:c r="E2" s="813"/>
      <x:c r="F2" s="813"/>
      <x:c r="G2" s="813"/>
      <x:c r="H2" s="813"/>
    </x:row>
    <x:row r="4" ht="30" customHeight="1">
      <x:c r="A4" s="825" t="str">
        <x:v>ID</x:v>
      </x:c>
      <x:c r="B4" s="826" t="str">
        <x:v>Control area</x:v>
      </x:c>
      <x:c r="C4" s="826" t="str">
        <x:v>Requirement</x:v>
      </x:c>
      <x:c r="D4" s="826" t="str">
        <x:v>Implementation direction</x:v>
      </x:c>
      <x:c r="E4" s="826" t="str">
        <x:v>Owner</x:v>
      </x:c>
      <x:c r="F4" s="826" t="str">
        <x:v>Priority</x:v>
      </x:c>
      <x:c r="G4" s="826" t="str">
        <x:v>Status</x:v>
      </x:c>
      <x:c r="H4" s="827" t="str">
        <x:v>Blocking guardrail</x:v>
      </x:c>
    </x:row>
    <x:row r="5">
      <x:c r="A5" s="844" t="str">
        <x:v>SSC-001</x:v>
      </x:c>
      <x:c r="B5" s="845" t="str">
        <x:v>Classification</x:v>
      </x:c>
      <x:c r="C5" s="845" t="str">
        <x:v>Every observation, dataset, source file and package has confidentiality and personal-data classification.</x:v>
      </x:c>
      <x:c r="D5" s="845" t="str">
        <x:v>Schema/policy validation before storage/use.</x:v>
      </x:c>
      <x:c r="E5" s="845" t="str">
        <x:v>CISO/DPO/Data Governance</x:v>
      </x:c>
      <x:c r="F5" s="845" t="str">
        <x:v>Critical</x:v>
      </x:c>
      <x:c r="G5" s="845" t="str">
        <x:v>Draft Complete</x:v>
      </x:c>
      <x:c r="H5" s="846" t="str">
        <x:v>No unclassified production package.</x:v>
      </x:c>
    </x:row>
    <x:row r="6">
      <x:c r="A6" s="852" t="str">
        <x:v>SSC-002</x:v>
      </x:c>
      <x:c r="B6" s="853" t="str">
        <x:v>Tenant isolation</x:v>
      </x:c>
      <x:c r="C6" s="853" t="str">
        <x:v>Tenant/customer/project-specific observations and packages remain logically and cryptographically scoped.</x:v>
      </x:c>
      <x:c r="D6" s="853" t="str">
        <x:v>Tenant IDs, RLS, object policies, separate resolver scope.</x:v>
      </x:c>
      <x:c r="E6" s="853" t="str">
        <x:v>Security/Data/Architecture</x:v>
      </x:c>
      <x:c r="F6" s="853" t="str">
        <x:v>Critical</x:v>
      </x:c>
      <x:c r="G6" s="853" t="str">
        <x:v>Draft Complete</x:v>
      </x:c>
      <x:c r="H6" s="854" t="str">
        <x:v>No cross-tenant clustering, retrieval or activation without approved generalisation.</x:v>
      </x:c>
    </x:row>
    <x:row r="7">
      <x:c r="A7" s="847" t="str">
        <x:v>SSC-003</x:v>
      </x:c>
      <x:c r="B7" s="114" t="str">
        <x:v>Generalisation</x:v>
      </x:c>
      <x:c r="C7" s="114" t="str">
        <x:v>Remove personal, customer and project identifiers before reusable/global proposal creation.</x:v>
      </x:c>
      <x:c r="D7" s="114" t="str">
        <x:v>Redaction/generalisation pipeline + human review.</x:v>
      </x:c>
      <x:c r="E7" s="114" t="str">
        <x:v>DPO/Skill Owner</x:v>
      </x:c>
      <x:c r="F7" s="114" t="str">
        <x:v>Critical</x:v>
      </x:c>
      <x:c r="G7" s="114" t="str">
        <x:v>Draft Complete</x:v>
      </x:c>
      <x:c r="H7" s="848" t="str">
        <x:v>Source lineage retained through protected references.</x:v>
      </x:c>
    </x:row>
    <x:row r="8">
      <x:c r="A8" s="852" t="str">
        <x:v>SSC-004</x:v>
      </x:c>
      <x:c r="B8" s="853" t="str">
        <x:v>Prompt injection</x:v>
      </x:c>
      <x:c r="C8" s="853" t="str">
        <x:v>Treat observation, repository, webpage, document and tool output as untrusted data.</x:v>
      </x:c>
      <x:c r="D8" s="853" t="str">
        <x:v>Instruction/data separation, tool restrictions, adversarial evals.</x:v>
      </x:c>
      <x:c r="E8" s="853" t="str">
        <x:v>AI Security</x:v>
      </x:c>
      <x:c r="F8" s="853" t="str">
        <x:v>Critical</x:v>
      </x:c>
      <x:c r="G8" s="853" t="str">
        <x:v>Draft Complete</x:v>
      </x:c>
      <x:c r="H8" s="854" t="str">
        <x:v>Package cannot follow embedded instructions outside contract.</x:v>
      </x:c>
    </x:row>
    <x:row r="9">
      <x:c r="A9" s="847" t="str">
        <x:v>SSC-005</x:v>
      </x:c>
      <x:c r="B9" s="114" t="str">
        <x:v>Tool permissions</x:v>
      </x:c>
      <x:c r="C9" s="114" t="str">
        <x:v>Skill package declares allowed tools, file paths, network and actions; runtime enforces default deny.</x:v>
      </x:c>
      <x:c r="D9" s="114" t="str">
        <x:v>Capability gateway/sandbox/policy.</x:v>
      </x:c>
      <x:c r="E9" s="114" t="str">
        <x:v>CISO/Runtime Owner</x:v>
      </x:c>
      <x:c r="F9" s="114" t="str">
        <x:v>Critical</x:v>
      </x:c>
      <x:c r="G9" s="114" t="str">
        <x:v>Draft Complete</x:v>
      </x:c>
      <x:c r="H9" s="848" t="str">
        <x:v>Prompt text cannot grant permissions.</x:v>
      </x:c>
    </x:row>
    <x:row r="10">
      <x:c r="A10" s="852" t="str">
        <x:v>SSC-006</x:v>
      </x:c>
      <x:c r="B10" s="853" t="str">
        <x:v>Sandbox execution</x:v>
      </x:c>
      <x:c r="C10" s="853" t="str">
        <x:v>Executable scripts/adapters/evaluators run in ephemeral least-privilege sandbox during eval.</x:v>
      </x:c>
      <x:c r="D10" s="853" t="str">
        <x:v>Container/process isolation, resource/network limits.</x:v>
      </x:c>
      <x:c r="E10" s="853" t="str">
        <x:v>DevSecOps/AI Security</x:v>
      </x:c>
      <x:c r="F10" s="853" t="str">
        <x:v>Critical</x:v>
      </x:c>
      <x:c r="G10" s="853" t="str">
        <x:v>Draft Complete</x:v>
      </x:c>
      <x:c r="H10" s="854" t="str">
        <x:v>No production secrets or unrestricted host access.</x:v>
      </x:c>
    </x:row>
    <x:row r="11">
      <x:c r="A11" s="847" t="str">
        <x:v>SSC-007</x:v>
      </x:c>
      <x:c r="B11" s="114" t="str">
        <x:v>Secret handling</x:v>
      </x:c>
      <x:c r="C11" s="114" t="str">
        <x:v>Secrets are injected through approved secret manager and never stored in package source, manifest, eval data or logs.</x:v>
      </x:c>
      <x:c r="D11" s="114" t="str">
        <x:v>Secret scanning and runtime secret references.</x:v>
      </x:c>
      <x:c r="E11" s="114" t="str">
        <x:v>CISO/DevSecOps</x:v>
      </x:c>
      <x:c r="F11" s="114" t="str">
        <x:v>Critical</x:v>
      </x:c>
      <x:c r="G11" s="114" t="str">
        <x:v>Draft Complete</x:v>
      </x:c>
      <x:c r="H11" s="848" t="str">
        <x:v>Zero known secret in package/eval artefacts.</x:v>
      </x:c>
    </x:row>
    <x:row r="12">
      <x:c r="A12" s="852" t="str">
        <x:v>SSC-008</x:v>
      </x:c>
      <x:c r="B12" s="853" t="str">
        <x:v>Model/data egress</x:v>
      </x:c>
      <x:c r="C12" s="853" t="str">
        <x:v>Model requests obey data classification, region, retention and no-training provider policy.</x:v>
      </x:c>
      <x:c r="D12" s="853" t="str">
        <x:v>HumanOS Model Gateway and provider allowlist.</x:v>
      </x:c>
      <x:c r="E12" s="853" t="str">
        <x:v>AI Platform/DPO/Legal</x:v>
      </x:c>
      <x:c r="F12" s="853" t="str">
        <x:v>Critical</x:v>
      </x:c>
      <x:c r="G12" s="853" t="str">
        <x:v>Draft Complete</x:v>
      </x:c>
      <x:c r="H12" s="854" t="str">
        <x:v>No direct provider call from package script.</x:v>
      </x:c>
    </x:row>
    <x:row r="13">
      <x:c r="A13" s="847" t="str">
        <x:v>SSC-009</x:v>
      </x:c>
      <x:c r="B13" s="114" t="str">
        <x:v>Source code/content</x:v>
      </x:c>
      <x:c r="C13" s="114" t="str">
        <x:v>Confidential source code, prompts, screenshots and coaching text remain referenced unless package purpose explicitly requires minimised content.</x:v>
      </x:c>
      <x:c r="D13" s="114" t="str">
        <x:v>Content references, access broker and sandbox scopes.</x:v>
      </x:c>
      <x:c r="E13" s="114" t="str">
        <x:v>Skill Owner/DPO</x:v>
      </x:c>
      <x:c r="F13" s="114" t="str">
        <x:v>Critical</x:v>
      </x:c>
      <x:c r="G13" s="114" t="str">
        <x:v>Draft Complete</x:v>
      </x:c>
      <x:c r="H13" s="848" t="str">
        <x:v>No raw employee evidence in general Skill Forge workspace.</x:v>
      </x:c>
    </x:row>
    <x:row r="14">
      <x:c r="A14" s="852" t="str">
        <x:v>SSC-010</x:v>
      </x:c>
      <x:c r="B14" s="853" t="str">
        <x:v>Malicious package content</x:v>
      </x:c>
      <x:c r="C14" s="853" t="str">
        <x:v>Scan manifests, prompts, scripts, binaries and archives for dangerous commands, obfuscation and policy bypass.</x:v>
      </x:c>
      <x:c r="D14" s="853" t="str">
        <x:v>Static/dynamic analysis + reviewer.</x:v>
      </x:c>
      <x:c r="E14" s="853" t="str">
        <x:v>CISO/DevSecOps</x:v>
      </x:c>
      <x:c r="F14" s="853" t="str">
        <x:v>Critical</x:v>
      </x:c>
      <x:c r="G14" s="853" t="str">
        <x:v>Draft Complete</x:v>
      </x:c>
      <x:c r="H14" s="854" t="str">
        <x:v>Suspicious package quarantined.</x:v>
      </x:c>
    </x:row>
    <x:row r="15">
      <x:c r="A15" s="847" t="str">
        <x:v>SSC-011</x:v>
      </x:c>
      <x:c r="B15" s="114" t="str">
        <x:v>Dependency integrity</x:v>
      </x:c>
      <x:c r="C15" s="114" t="str">
        <x:v>Resolve dependencies by digest/version and attach SBOM with vulnerability/licence results.</x:v>
      </x:c>
      <x:c r="D15" s="114" t="str">
        <x:v>SPDX/CycloneDX + package manager lockfiles.</x:v>
      </x:c>
      <x:c r="E15" s="114" t="str">
        <x:v>DevSecOps/Legal</x:v>
      </x:c>
      <x:c r="F15" s="114" t="str">
        <x:v>Critical</x:v>
      </x:c>
      <x:c r="G15" s="114" t="str">
        <x:v>Draft Complete</x:v>
      </x:c>
      <x:c r="H15" s="848" t="str">
        <x:v>No floating/unreviewed production dependency.</x:v>
      </x:c>
    </x:row>
    <x:row r="16">
      <x:c r="A16" s="852" t="str">
        <x:v>SSC-012</x:v>
      </x:c>
      <x:c r="B16" s="853" t="str">
        <x:v>Source provenance</x:v>
      </x:c>
      <x:c r="C16" s="853" t="str">
        <x:v>Build from protected source revision using approved builder and SLSA provenance.</x:v>
      </x:c>
      <x:c r="D16" s="853" t="str">
        <x:v>CI identity, Git revision, build workflow attestation.</x:v>
      </x:c>
      <x:c r="E16" s="853" t="str">
        <x:v>DevSecOps/Architecture</x:v>
      </x:c>
      <x:c r="F16" s="853" t="str">
        <x:v>Critical</x:v>
      </x:c>
      <x:c r="G16" s="853" t="str">
        <x:v>Draft Complete</x:v>
      </x:c>
      <x:c r="H16" s="854" t="str">
        <x:v>Unknown builder/source blocks activation.</x:v>
      </x:c>
    </x:row>
    <x:row r="17">
      <x:c r="A17" s="847" t="str">
        <x:v>SSC-013</x:v>
      </x:c>
      <x:c r="B17" s="114" t="str">
        <x:v>Package signing</x:v>
      </x:c>
      <x:c r="C17" s="114" t="str">
        <x:v>Sign immutable package digest and verification bundle with approved identity.</x:v>
      </x:c>
      <x:c r="D17" s="114" t="str">
        <x:v>Sigstore/Cosign or enterprise equivalent.</x:v>
      </x:c>
      <x:c r="E17" s="114" t="str">
        <x:v>DevSecOps/Security</x:v>
      </x:c>
      <x:c r="F17" s="114" t="str">
        <x:v>Critical</x:v>
      </x:c>
      <x:c r="G17" s="114" t="str">
        <x:v>Draft Complete</x:v>
      </x:c>
      <x:c r="H17" s="848" t="str">
        <x:v>Runtime verifies digest, identity and transparency/attestation policy.</x:v>
      </x:c>
    </x:row>
    <x:row r="18">
      <x:c r="A18" s="852" t="str">
        <x:v>SSC-014</x:v>
      </x:c>
      <x:c r="B18" s="853" t="str">
        <x:v>Signer compromise</x:v>
      </x:c>
      <x:c r="C18" s="853" t="str">
        <x:v>Maintain signing-key/identity incident response, revocation and re-sign/rebuild procedure.</x:v>
      </x:c>
      <x:c r="D18" s="853" t="str">
        <x:v>KMS/OIDC identity controls and incident workflow.</x:v>
      </x:c>
      <x:c r="E18" s="853" t="str">
        <x:v>CISO/DevSecOps</x:v>
      </x:c>
      <x:c r="F18" s="853" t="str">
        <x:v>Critical</x:v>
      </x:c>
      <x:c r="G18" s="853" t="str">
        <x:v>Draft Complete</x:v>
      </x:c>
      <x:c r="H18" s="854" t="str">
        <x:v>Affected packages pause/revoke immediately.</x:v>
      </x:c>
    </x:row>
    <x:row r="19">
      <x:c r="A19" s="847" t="str">
        <x:v>SSC-015</x:v>
      </x:c>
      <x:c r="B19" s="114" t="str">
        <x:v>Builder compromise</x:v>
      </x:c>
      <x:c r="C19" s="114" t="str">
        <x:v>Detect and contain compromised CI/builder or provenance anomaly.</x:v>
      </x:c>
      <x:c r="D19" s="114" t="str">
        <x:v>Isolated runners, hardened workflow, provenance policy.</x:v>
      </x:c>
      <x:c r="E19" s="114" t="str">
        <x:v>CISO/DevSecOps</x:v>
      </x:c>
      <x:c r="F19" s="114" t="str">
        <x:v>Critical</x:v>
      </x:c>
      <x:c r="G19" s="114" t="str">
        <x:v>Draft Complete</x:v>
      </x:c>
      <x:c r="H19" s="848" t="str">
        <x:v>Rebuild from trusted source/builder before reactivation.</x:v>
      </x:c>
    </x:row>
    <x:row r="20">
      <x:c r="A20" s="852" t="str">
        <x:v>SSC-016</x:v>
      </x:c>
      <x:c r="B20" s="853" t="str">
        <x:v>Runtime verification</x:v>
      </x:c>
      <x:c r="C20" s="853" t="str">
        <x:v>Package resolver verifies lifecycle, signature, digest, policy, scope, expiry and dependencies before load.</x:v>
      </x:c>
      <x:c r="D20" s="853" t="str">
        <x:v>Runtime verification library.</x:v>
      </x:c>
      <x:c r="E20" s="853" t="str">
        <x:v>Runtime/Platform</x:v>
      </x:c>
      <x:c r="F20" s="853" t="str">
        <x:v>Critical</x:v>
      </x:c>
      <x:c r="G20" s="853" t="str">
        <x:v>Draft Complete</x:v>
      </x:c>
      <x:c r="H20" s="854" t="str">
        <x:v>Fail to approved stable/default package.</x:v>
      </x:c>
    </x:row>
    <x:row r="21">
      <x:c r="A21" s="847" t="str">
        <x:v>SSC-017</x:v>
      </x:c>
      <x:c r="B21" s="114" t="str">
        <x:v>Adapter/skill bypass</x:v>
      </x:c>
      <x:c r="C21" s="114" t="str">
        <x:v>Package cannot bypass device capture policy, evidence classification, human-review or audit boundary.</x:v>
      </x:c>
      <x:c r="D21" s="114" t="str">
        <x:v>Contract tests and capability gateway.</x:v>
      </x:c>
      <x:c r="E21" s="114" t="str">
        <x:v>Architecture/CISO/DPO</x:v>
      </x:c>
      <x:c r="F21" s="114" t="str">
        <x:v>Critical</x:v>
      </x:c>
      <x:c r="G21" s="114" t="str">
        <x:v>Draft Complete</x:v>
      </x:c>
      <x:c r="H21" s="848" t="str">
        <x:v>Unauthorised event/action blocked and audited.</x:v>
      </x:c>
    </x:row>
    <x:row r="22">
      <x:c r="A22" s="852" t="str">
        <x:v>SSC-018</x:v>
      </x:c>
      <x:c r="B22" s="853" t="str">
        <x:v>Evaluation-data privacy</x:v>
      </x:c>
      <x:c r="C22" s="853" t="str">
        <x:v>Eval datasets use synthetic, de-identified or consented data with purpose and retention.</x:v>
      </x:c>
      <x:c r="D22" s="853" t="str">
        <x:v>Dataset classification/access/expiry.</x:v>
      </x:c>
      <x:c r="E22" s="853" t="str">
        <x:v>DPO/Evaluation Lead</x:v>
      </x:c>
      <x:c r="F22" s="853" t="str">
        <x:v>Critical</x:v>
      </x:c>
      <x:c r="G22" s="853" t="str">
        <x:v>Draft Complete</x:v>
      </x:c>
      <x:c r="H22" s="854" t="str">
        <x:v>No hidden reuse of employee evidence.</x:v>
      </x:c>
    </x:row>
    <x:row r="23">
      <x:c r="A23" s="847" t="str">
        <x:v>SSC-019</x:v>
      </x:c>
      <x:c r="B23" s="114" t="str">
        <x:v>Reviewer access</x:v>
      </x:c>
      <x:c r="C23" s="114" t="str">
        <x:v>Reviewers receive minimum necessary source/eval/package data for assigned review.</x:v>
      </x:c>
      <x:c r="D23" s="114" t="str">
        <x:v>Case-scoped grants and audit.</x:v>
      </x:c>
      <x:c r="E23" s="114" t="str">
        <x:v>Governance/Security</x:v>
      </x:c>
      <x:c r="F23" s="114" t="str">
        <x:v>High</x:v>
      </x:c>
      <x:c r="G23" s="114" t="str">
        <x:v>Draft Complete</x:v>
      </x:c>
      <x:c r="H23" s="848" t="str">
        <x:v>No general Skill Forge data browsing.</x:v>
      </x:c>
    </x:row>
    <x:row r="24">
      <x:c r="A24" s="852" t="str">
        <x:v>SSC-020</x:v>
      </x:c>
      <x:c r="B24" s="853" t="str">
        <x:v>Research content</x:v>
      </x:c>
      <x:c r="C24" s="853" t="str">
        <x:v>External content is treated as source material, not trusted executable instruction.</x:v>
      </x:c>
      <x:c r="D24" s="853" t="str">
        <x:v>Source sanitisation, quote limits, licence/terms review.</x:v>
      </x:c>
      <x:c r="E24" s="853" t="str">
        <x:v>Research/Legal/AI Security</x:v>
      </x:c>
      <x:c r="F24" s="853" t="str">
        <x:v>High</x:v>
      </x:c>
      <x:c r="G24" s="853" t="str">
        <x:v>Draft Complete</x:v>
      </x:c>
      <x:c r="H24" s="854" t="str">
        <x:v>No direct code execution from fetched source.</x:v>
      </x:c>
    </x:row>
    <x:row r="25">
      <x:c r="A25" s="847" t="str">
        <x:v>SSC-021</x:v>
      </x:c>
      <x:c r="B25" s="114" t="str">
        <x:v>Publication classes</x:v>
      </x:c>
      <x:c r="C25" s="114" t="str">
        <x:v>Internal confidential, internal reusable, tenant-specific, publishable and prohibited publication classes govern export.</x:v>
      </x:c>
      <x:c r="D25" s="114" t="str">
        <x:v>Publication workflow and policy.</x:v>
      </x:c>
      <x:c r="E25" s="114" t="str">
        <x:v>Legal/DPO/CISO</x:v>
      </x:c>
      <x:c r="F25" s="114" t="str">
        <x:v>Critical</x:v>
      </x:c>
      <x:c r="G25" s="114" t="str">
        <x:v>Draft Complete</x:v>
      </x:c>
      <x:c r="H25" s="848" t="str">
        <x:v>Default is non-public.</x:v>
      </x:c>
    </x:row>
    <x:row r="26">
      <x:c r="A26" s="852" t="str">
        <x:v>SSC-022</x:v>
      </x:c>
      <x:c r="B26" s="853" t="str">
        <x:v>Clean-room requirement</x:v>
      </x:c>
      <x:c r="C26" s="853" t="str">
        <x:v>Use clean-room design/implementation where source licence or confidentiality makes direct reuse inappropriate.</x:v>
      </x:c>
      <x:c r="D26" s="853" t="str">
        <x:v>Separate source review and implementation teams/records.</x:v>
      </x:c>
      <x:c r="E26" s="853" t="str">
        <x:v>Legal/Architecture</x:v>
      </x:c>
      <x:c r="F26" s="853" t="str">
        <x:v>High</x:v>
      </x:c>
      <x:c r="G26" s="853" t="str">
        <x:v>Draft Complete</x:v>
      </x:c>
      <x:c r="H26" s="854" t="str">
        <x:v>Source provenance and rationale documented.</x:v>
      </x:c>
    </x:row>
    <x:row r="27">
      <x:c r="A27" s="847" t="str">
        <x:v>SSC-023</x:v>
      </x:c>
      <x:c r="B27" s="114" t="str">
        <x:v>Open-source publication</x:v>
      </x:c>
      <x:c r="C27" s="114" t="str">
        <x:v>Before publication, remove confidential data, verify attribution/licence, threat model, documentation and support owner.</x:v>
      </x:c>
      <x:c r="D27" s="114" t="str">
        <x:v>Publication checklist.</x:v>
      </x:c>
      <x:c r="E27" s="114" t="str">
        <x:v>Legal/CISO/Owner</x:v>
      </x:c>
      <x:c r="F27" s="114" t="str">
        <x:v>Critical</x:v>
      </x:c>
      <x:c r="G27" s="114" t="str">
        <x:v>Draft Complete</x:v>
      </x:c>
      <x:c r="H27" s="848" t="str">
        <x:v>No automated open-source publishing.</x:v>
      </x:c>
    </x:row>
    <x:row r="28">
      <x:c r="A28" s="852" t="str">
        <x:v>SSC-024</x:v>
      </x:c>
      <x:c r="B28" s="853" t="str">
        <x:v>Telemetry/logging</x:v>
      </x:c>
      <x:c r="C28" s="853" t="str">
        <x:v>Skill Forge logs/traces contain allowlisted operational fields and references only.</x:v>
      </x:c>
      <x:c r="D28" s="853" t="str">
        <x:v>OpenTelemetry redaction/filtering.</x:v>
      </x:c>
      <x:c r="E28" s="853" t="str">
        <x:v>SRE/DPO</x:v>
      </x:c>
      <x:c r="F28" s="853" t="str">
        <x:v>Critical</x:v>
      </x:c>
      <x:c r="G28" s="853" t="str">
        <x:v>Draft Complete</x:v>
      </x:c>
      <x:c r="H28" s="854" t="str">
        <x:v>No package secret, prompt, raw evidence or private feedback in general telemetry.</x:v>
      </x:c>
    </x:row>
    <x:row r="29">
      <x:c r="A29" s="847" t="str">
        <x:v>SSC-025</x:v>
      </x:c>
      <x:c r="B29" s="114" t="str">
        <x:v>Incident kill switch</x:v>
      </x:c>
      <x:c r="C29" s="114" t="str">
        <x:v>CISO/DPO/operations can pause package category/version/cohort and revoke resolver cache.</x:v>
      </x:c>
      <x:c r="D29" s="114" t="str">
        <x:v>Feature flags, registry state and notification.</x:v>
      </x:c>
      <x:c r="E29" s="114" t="str">
        <x:v>CISO/DPO/SRE</x:v>
      </x:c>
      <x:c r="F29" s="114" t="str">
        <x:v>Critical</x:v>
      </x:c>
      <x:c r="G29" s="114" t="str">
        <x:v>Draft Complete</x:v>
      </x:c>
      <x:c r="H29" s="848" t="str">
        <x:v>Does not depend on skill owner approval.</x:v>
      </x:c>
    </x:row>
    <x:row r="30">
      <x:c r="A30" s="852" t="str">
        <x:v>SSC-026</x:v>
      </x:c>
      <x:c r="B30" s="853" t="str">
        <x:v>Historical findings</x:v>
      </x:c>
      <x:c r="C30" s="853" t="str">
        <x:v>If a package is invalidated, identify affected findings/interventions/reports for review and correction.</x:v>
      </x:c>
      <x:c r="D30" s="853" t="str">
        <x:v>Usage lineage and impact analysis.</x:v>
      </x:c>
      <x:c r="E30" s="853" t="str">
        <x:v>Governance/Domain Owners</x:v>
      </x:c>
      <x:c r="F30" s="853" t="str">
        <x:v>Critical</x:v>
      </x:c>
      <x:c r="G30" s="853" t="str">
        <x:v>Draft Complete</x:v>
      </x:c>
      <x:c r="H30" s="854" t="str">
        <x:v>Rollback alone does not erase prior harm.</x:v>
      </x:c>
    </x:row>
    <x:row r="31">
      <x:c r="A31" s="847" t="str">
        <x:v>SSC-027</x:v>
      </x:c>
      <x:c r="B31" s="114" t="str">
        <x:v>Backup/recovery</x:v>
      </x:c>
      <x:c r="C31" s="114" t="str">
        <x:v>Back up registry, source, packages, eval results and approvals with tested restore.</x:v>
      </x:c>
      <x:c r="D31" s="114" t="str">
        <x:v>Encrypted backups and recovery drills.</x:v>
      </x:c>
      <x:c r="E31" s="114" t="str">
        <x:v>SRE/Data</x:v>
      </x:c>
      <x:c r="F31" s="114" t="str">
        <x:v>High</x:v>
      </x:c>
      <x:c r="G31" s="114" t="str">
        <x:v>Draft Complete</x:v>
      </x:c>
      <x:c r="H31" s="848" t="str">
        <x:v>Restore preserves integrity and version lineage.</x:v>
      </x:c>
    </x:row>
    <x:row r="32">
      <x:c r="A32" s="855" t="str">
        <x:v>SSC-028</x:v>
      </x:c>
      <x:c r="B32" s="856" t="str">
        <x:v>Retention/deletion</x:v>
      </x:c>
      <x:c r="C32" s="856" t="str">
        <x:v>Observation/raw source/eval/package/audit retention differs by purpose and legal need.</x:v>
      </x:c>
      <x:c r="D32" s="856" t="str">
        <x:v>Retention service and deletion propagation.</x:v>
      </x:c>
      <x:c r="E32" s="856" t="str">
        <x:v>DPO/Data</x:v>
      </x:c>
      <x:c r="F32" s="856" t="str">
        <x:v>High</x:v>
      </x:c>
      <x:c r="G32" s="856" t="str">
        <x:v>Draft Complete</x:v>
      </x:c>
      <x:c r="H32" s="857" t="str">
        <x:v>No indefinite raw observation retention by default.</x:v>
      </x:c>
    </x:row>
  </x:sheetData>
  <x:mergeCells>
    <x:mergeCell ref="A1:H1"/>
    <x:mergeCell ref="A2:H2"/>
  </x:mergeCells>
  <x:dataValidations count="2">
    <x:dataValidation type="list" sqref="F5:F32">
      <x:formula1>"Critical,High,Medium,Low"</x:formula1>
    </x:dataValidation>
    <x:dataValidation type="list" sqref="G5:G32">
      <x:formula1>"Draft Complete,Needs Review,Approved,Deferred"</x:formula1>
    </x:dataValidation>
  </x:dataValidations>
  <x:pageMargins left="0.7" right="0.7" top="0.75" bottom="0.75" header="0.3" footer="0.3"/>
</x:worksheet>
</file>

<file path=xl/worksheets/sheet154.xml><?xml version="1.0" encoding="utf-8"?>
<x:worksheet xmlns:x="http://schemas.openxmlformats.org/spreadsheetml/2006/main">
  <x:sheetFormatPr defaultRowHeight="15"/>
  <x:cols>
    <x:col min="1" max="1" width="12" hidden="0" customWidth="1"/>
    <x:col min="2" max="2" width="32" hidden="0" customWidth="1"/>
    <x:col min="3" max="3" width="64" hidden="0" customWidth="1"/>
    <x:col min="4" max="4" width="24" hidden="0" customWidth="1"/>
    <x:col min="5" max="5" width="30" hidden="0" customWidth="1"/>
    <x:col min="6" max="6" width="42" hidden="0" customWidth="1"/>
    <x:col min="7" max="7" width="30" hidden="0" customWidth="1"/>
    <x:col min="8" max="8" width="18" hidden="0" customWidth="1"/>
  </x:cols>
  <x:sheetData>
    <x:row r="1" ht="30" customHeight="1">
      <x:c r="A1" s="809" t="str">
        <x:v>Stage 11 — Research and Source Governance</x:v>
      </x:c>
      <x:c r="B1" s="809"/>
      <x:c r="C1" s="809"/>
      <x:c r="D1" s="809"/>
      <x:c r="E1" s="809"/>
      <x:c r="F1" s="809"/>
      <x:c r="G1" s="809"/>
      <x:c r="H1" s="809"/>
    </x:row>
    <x:row r="2" ht="38" customHeight="1">
      <x:c r="A2" s="813" t="str">
        <x:v>Source registry and review controls ensuring official/primary-source preference, current verification, licence compliance, conflicting-source handling and a strict research-to-production boundary.</x:v>
      </x:c>
      <x:c r="B2" s="813"/>
      <x:c r="C2" s="813"/>
      <x:c r="D2" s="813"/>
      <x:c r="E2" s="813"/>
      <x:c r="F2" s="813"/>
      <x:c r="G2" s="813"/>
      <x:c r="H2" s="813"/>
    </x:row>
    <x:row r="4" ht="30" customHeight="1">
      <x:c r="A4" s="825" t="str">
        <x:v>ID</x:v>
      </x:c>
      <x:c r="B4" s="826" t="str">
        <x:v>Field / control</x:v>
      </x:c>
      <x:c r="C4" s="826" t="str">
        <x:v>Definition / requirement</x:v>
      </x:c>
      <x:c r="D4" s="826" t="str">
        <x:v>Type</x:v>
      </x:c>
      <x:c r="E4" s="826" t="str">
        <x:v>Requirement</x:v>
      </x:c>
      <x:c r="F4" s="826" t="str">
        <x:v>Purpose</x:v>
      </x:c>
      <x:c r="G4" s="826" t="str">
        <x:v>Owner</x:v>
      </x:c>
      <x:c r="H4" s="827" t="str">
        <x:v>Status</x:v>
      </x:c>
    </x:row>
    <x:row r="5">
      <x:c r="A5" s="844" t="str">
        <x:v>RSG-001</x:v>
      </x:c>
      <x:c r="B5" s="845" t="str">
        <x:v>source_id</x:v>
      </x:c>
      <x:c r="C5" s="845" t="str">
        <x:v>Unique source/research record.</x:v>
      </x:c>
      <x:c r="D5" s="845" t="str">
        <x:v>string</x:v>
      </x:c>
      <x:c r="E5" s="845" t="str">
        <x:v>Required</x:v>
      </x:c>
      <x:c r="F5" s="845" t="str">
        <x:v>Lineage and citation.</x:v>
      </x:c>
      <x:c r="G5" s="845" t="str">
        <x:v>Source Registry</x:v>
      </x:c>
      <x:c r="H5" s="846" t="str">
        <x:v>Draft Complete</x:v>
      </x:c>
    </x:row>
    <x:row r="6">
      <x:c r="A6" s="852" t="str">
        <x:v>RSG-002</x:v>
      </x:c>
      <x:c r="B6" s="853" t="str">
        <x:v>source_type</x:v>
      </x:c>
      <x:c r="C6" s="853" t="str">
        <x:v>Official documentation, standard, law/regulator, research paper, repository, commercial product, connected internal document, interview or dataset.</x:v>
      </x:c>
      <x:c r="D6" s="853" t="str">
        <x:v>enum</x:v>
      </x:c>
      <x:c r="E6" s="853" t="str">
        <x:v>Required</x:v>
      </x:c>
      <x:c r="F6" s="853" t="str">
        <x:v>Reliability and rights.</x:v>
      </x:c>
      <x:c r="G6" s="853" t="str">
        <x:v>Research Workflow</x:v>
      </x:c>
      <x:c r="H6" s="854" t="str">
        <x:v>Draft Complete</x:v>
      </x:c>
    </x:row>
    <x:row r="7">
      <x:c r="A7" s="847" t="str">
        <x:v>RSG-003</x:v>
      </x:c>
      <x:c r="B7" s="114" t="str">
        <x:v>publisher/author</x:v>
      </x:c>
      <x:c r="C7" s="114" t="str">
        <x:v>Responsible organisation/person and organisational authority.</x:v>
      </x:c>
      <x:c r="D7" s="114" t="str">
        <x:v>text/ref</x:v>
      </x:c>
      <x:c r="E7" s="114" t="str">
        <x:v>Required</x:v>
      </x:c>
      <x:c r="F7" s="114" t="str">
        <x:v>Credibility.</x:v>
      </x:c>
      <x:c r="G7" s="114" t="str">
        <x:v>Researcher/Source Registry</x:v>
      </x:c>
      <x:c r="H7" s="848" t="str">
        <x:v>Draft Complete</x:v>
      </x:c>
    </x:row>
    <x:row r="8">
      <x:c r="A8" s="852" t="str">
        <x:v>RSG-004</x:v>
      </x:c>
      <x:c r="B8" s="853" t="str">
        <x:v>url_or_document_ref</x:v>
      </x:c>
      <x:c r="C8" s="853" t="str">
        <x:v>Public URL or protected connector/document reference.</x:v>
      </x:c>
      <x:c r="D8" s="853" t="str">
        <x:v>ref</x:v>
      </x:c>
      <x:c r="E8" s="853" t="str">
        <x:v>Required</x:v>
      </x:c>
      <x:c r="F8" s="853" t="str">
        <x:v>Retrieval and audit.</x:v>
      </x:c>
      <x:c r="G8" s="853" t="str">
        <x:v>Researcher</x:v>
      </x:c>
      <x:c r="H8" s="854" t="str">
        <x:v>Draft Complete</x:v>
      </x:c>
    </x:row>
    <x:row r="9">
      <x:c r="A9" s="847" t="str">
        <x:v>RSG-005</x:v>
      </x:c>
      <x:c r="B9" s="114" t="str">
        <x:v>retrieved_at</x:v>
      </x:c>
      <x:c r="C9" s="114" t="str">
        <x:v>Date/time source was accessed.</x:v>
      </x:c>
      <x:c r="D9" s="114" t="str">
        <x:v>date-time</x:v>
      </x:c>
      <x:c r="E9" s="114" t="str">
        <x:v>Required</x:v>
      </x:c>
      <x:c r="F9" s="114" t="str">
        <x:v>Freshness.</x:v>
      </x:c>
      <x:c r="G9" s="114" t="str">
        <x:v>Automated/manual retrieval</x:v>
      </x:c>
      <x:c r="H9" s="848" t="str">
        <x:v>Draft Complete</x:v>
      </x:c>
    </x:row>
    <x:row r="10">
      <x:c r="A10" s="852" t="str">
        <x:v>RSG-006</x:v>
      </x:c>
      <x:c r="B10" s="853" t="str">
        <x:v>published/effective/version_date</x:v>
      </x:c>
      <x:c r="C10" s="853" t="str">
        <x:v>Publication, effective or version date.</x:v>
      </x:c>
      <x:c r="D10" s="853" t="str">
        <x:v>date/version</x:v>
      </x:c>
      <x:c r="E10" s="853" t="str">
        <x:v>Recommended</x:v>
      </x:c>
      <x:c r="F10" s="853" t="str">
        <x:v>Currency and legal/technical meaning.</x:v>
      </x:c>
      <x:c r="G10" s="853" t="str">
        <x:v>Researcher</x:v>
      </x:c>
      <x:c r="H10" s="854" t="str">
        <x:v>Draft Complete</x:v>
      </x:c>
    </x:row>
    <x:row r="11">
      <x:c r="A11" s="847" t="str">
        <x:v>RSG-007</x:v>
      </x:c>
      <x:c r="B11" s="114" t="str">
        <x:v>jurisdiction/scope</x:v>
      </x:c>
      <x:c r="C11" s="114" t="str">
        <x:v>Countries, products, versions, users or domains covered.</x:v>
      </x:c>
      <x:c r="D11" s="114" t="str">
        <x:v>object</x:v>
      </x:c>
      <x:c r="E11" s="114" t="str">
        <x:v>Required</x:v>
      </x:c>
      <x:c r="F11" s="114" t="str">
        <x:v>Applicability.</x:v>
      </x:c>
      <x:c r="G11" s="114" t="str">
        <x:v>Researcher/Legal/Domain</x:v>
      </x:c>
      <x:c r="H11" s="848" t="str">
        <x:v>Draft Complete</x:v>
      </x:c>
    </x:row>
    <x:row r="12">
      <x:c r="A12" s="852" t="str">
        <x:v>RSG-008</x:v>
      </x:c>
      <x:c r="B12" s="853" t="str">
        <x:v>reliability_tier</x:v>
      </x:c>
      <x:c r="C12" s="853" t="str">
        <x:v>Primary authoritative, primary implementation, secondary expert, commercial claim or anecdotal.</x:v>
      </x:c>
      <x:c r="D12" s="853" t="str">
        <x:v>enum</x:v>
      </x:c>
      <x:c r="E12" s="853" t="str">
        <x:v>Required</x:v>
      </x:c>
      <x:c r="F12" s="853" t="str">
        <x:v>Evidence weighting.</x:v>
      </x:c>
      <x:c r="G12" s="853" t="str">
        <x:v>Source Reviewer</x:v>
      </x:c>
      <x:c r="H12" s="854" t="str">
        <x:v>Draft Complete</x:v>
      </x:c>
    </x:row>
    <x:row r="13">
      <x:c r="A13" s="847" t="str">
        <x:v>RSG-009</x:v>
      </x:c>
      <x:c r="B13" s="114" t="str">
        <x:v>fact_summary</x:v>
      </x:c>
      <x:c r="C13" s="114" t="str">
        <x:v>Source-supported factual statements relevant to proposal.</x:v>
      </x:c>
      <x:c r="D13" s="114" t="str">
        <x:v>text</x:v>
      </x:c>
      <x:c r="E13" s="114" t="str">
        <x:v>Required</x:v>
      </x:c>
      <x:c r="F13" s="114" t="str">
        <x:v>Fact layer.</x:v>
      </x:c>
      <x:c r="G13" s="114" t="str">
        <x:v>Researcher</x:v>
      </x:c>
      <x:c r="H13" s="848" t="str">
        <x:v>Draft Complete</x:v>
      </x:c>
    </x:row>
    <x:row r="14">
      <x:c r="A14" s="852" t="str">
        <x:v>RSG-010</x:v>
      </x:c>
      <x:c r="B14" s="853" t="str">
        <x:v>interpretation</x:v>
      </x:c>
      <x:c r="C14" s="853" t="str">
        <x:v>Nessovo interpretation/inference from facts.</x:v>
      </x:c>
      <x:c r="D14" s="853" t="str">
        <x:v>text</x:v>
      </x:c>
      <x:c r="E14" s="853" t="str">
        <x:v>Optional</x:v>
      </x:c>
      <x:c r="F14" s="853" t="str">
        <x:v>Reasoning layer.</x:v>
      </x:c>
      <x:c r="G14" s="853" t="str">
        <x:v>Researcher/Reviewer</x:v>
      </x:c>
      <x:c r="H14" s="854" t="str">
        <x:v>Draft Complete</x:v>
      </x:c>
    </x:row>
    <x:row r="15">
      <x:c r="A15" s="847" t="str">
        <x:v>RSG-011</x:v>
      </x:c>
      <x:c r="B15" s="114" t="str">
        <x:v>conflicting_sources</x:v>
      </x:c>
      <x:c r="C15" s="114" t="str">
        <x:v>Contradictory or materially different sources and resolution status.</x:v>
      </x:c>
      <x:c r="D15" s="114" t="str">
        <x:v>array</x:v>
      </x:c>
      <x:c r="E15" s="114" t="str">
        <x:v>Conditional</x:v>
      </x:c>
      <x:c r="F15" s="114" t="str">
        <x:v>Balanced decisions.</x:v>
      </x:c>
      <x:c r="G15" s="114" t="str">
        <x:v>Research Reviewer</x:v>
      </x:c>
      <x:c r="H15" s="848" t="str">
        <x:v>Draft Complete</x:v>
      </x:c>
    </x:row>
    <x:row r="16">
      <x:c r="A16" s="852" t="str">
        <x:v>RSG-012</x:v>
      </x:c>
      <x:c r="B16" s="853" t="str">
        <x:v>quotation/attribution</x:v>
      </x:c>
      <x:c r="C16" s="853" t="str">
        <x:v>Permitted short quotation, attribution and word/use constraints.</x:v>
      </x:c>
      <x:c r="D16" s="853" t="str">
        <x:v>object</x:v>
      </x:c>
      <x:c r="E16" s="853" t="str">
        <x:v>Conditional</x:v>
      </x:c>
      <x:c r="F16" s="853" t="str">
        <x:v>Copyright compliance.</x:v>
      </x:c>
      <x:c r="G16" s="853" t="str">
        <x:v>Legal/Research</x:v>
      </x:c>
      <x:c r="H16" s="854" t="str">
        <x:v>Draft Complete</x:v>
      </x:c>
    </x:row>
    <x:row r="17">
      <x:c r="A17" s="847" t="str">
        <x:v>RSG-013</x:v>
      </x:c>
      <x:c r="B17" s="114" t="str">
        <x:v>licence/terms</x:v>
      </x:c>
      <x:c r="C17" s="114" t="str">
        <x:v>Licence, API/site terms, redistribution and code/content reuse conditions.</x:v>
      </x:c>
      <x:c r="D17" s="114" t="str">
        <x:v>object</x:v>
      </x:c>
      <x:c r="E17" s="114" t="str">
        <x:v>Required for reusable content/code/data</x:v>
      </x:c>
      <x:c r="F17" s="114" t="str">
        <x:v>Legal reuse.</x:v>
      </x:c>
      <x:c r="G17" s="114" t="str">
        <x:v>Legal/Procurement</x:v>
      </x:c>
      <x:c r="H17" s="848" t="str">
        <x:v>Draft Complete</x:v>
      </x:c>
    </x:row>
    <x:row r="18">
      <x:c r="A18" s="852" t="str">
        <x:v>RSG-014</x:v>
      </x:c>
      <x:c r="B18" s="853" t="str">
        <x:v>confidentiality/personal_data</x:v>
      </x:c>
      <x:c r="C18" s="853" t="str">
        <x:v>Public/internal/tenant/customer/personal data classification.</x:v>
      </x:c>
      <x:c r="D18" s="853" t="str">
        <x:v>object</x:v>
      </x:c>
      <x:c r="E18" s="853" t="str">
        <x:v>Required</x:v>
      </x:c>
      <x:c r="F18" s="853" t="str">
        <x:v>Access/publication.</x:v>
      </x:c>
      <x:c r="G18" s="853" t="str">
        <x:v>DPO/Data</x:v>
      </x:c>
      <x:c r="H18" s="854" t="str">
        <x:v>Draft Complete</x:v>
      </x:c>
    </x:row>
    <x:row r="19">
      <x:c r="A19" s="847" t="str">
        <x:v>RSG-015</x:v>
      </x:c>
      <x:c r="B19" s="114" t="str">
        <x:v>source_hash/snapshot</x:v>
      </x:c>
      <x:c r="C19" s="114" t="str">
        <x:v>Digest or approved snapshot reference where permitted.</x:v>
      </x:c>
      <x:c r="D19" s="114" t="str">
        <x:v>hash/ref</x:v>
      </x:c>
      <x:c r="E19" s="114" t="str">
        <x:v>Recommended</x:v>
      </x:c>
      <x:c r="F19" s="114" t="str">
        <x:v>Reproducibility.</x:v>
      </x:c>
      <x:c r="G19" s="114" t="str">
        <x:v>Source Registry</x:v>
      </x:c>
      <x:c r="H19" s="848" t="str">
        <x:v>Draft Complete</x:v>
      </x:c>
    </x:row>
    <x:row r="20">
      <x:c r="A20" s="852" t="str">
        <x:v>RSG-016</x:v>
      </x:c>
      <x:c r="B20" s="853" t="str">
        <x:v>expiry/refresh_date</x:v>
      </x:c>
      <x:c r="C20" s="853" t="str">
        <x:v>When source must be rechecked due to volatility.</x:v>
      </x:c>
      <x:c r="D20" s="853" t="str">
        <x:v>date-time</x:v>
      </x:c>
      <x:c r="E20" s="853" t="str">
        <x:v>Required</x:v>
      </x:c>
      <x:c r="F20" s="853" t="str">
        <x:v>Freshness.</x:v>
      </x:c>
      <x:c r="G20" s="853" t="str">
        <x:v>Source Owner</x:v>
      </x:c>
      <x:c r="H20" s="854" t="str">
        <x:v>Draft Complete</x:v>
      </x:c>
    </x:row>
    <x:row r="21">
      <x:c r="A21" s="847" t="str">
        <x:v>RSG-017</x:v>
      </x:c>
      <x:c r="B21" s="114" t="str">
        <x:v>status</x:v>
      </x:c>
      <x:c r="C21" s="114" t="str">
        <x:v>Current, stale, superseded, unavailable, disputed or expired.</x:v>
      </x:c>
      <x:c r="D21" s="114" t="str">
        <x:v>enum</x:v>
      </x:c>
      <x:c r="E21" s="114" t="str">
        <x:v>Required</x:v>
      </x:c>
      <x:c r="F21" s="114" t="str">
        <x:v>Proposal eligibility.</x:v>
      </x:c>
      <x:c r="G21" s="114" t="str">
        <x:v>Source Registry</x:v>
      </x:c>
      <x:c r="H21" s="848" t="str">
        <x:v>Draft Complete</x:v>
      </x:c>
    </x:row>
    <x:row r="22">
      <x:c r="A22" s="852" t="str">
        <x:v>RSG-018</x:v>
      </x:c>
      <x:c r="B22" s="853" t="str">
        <x:v>applicability_decision</x:v>
      </x:c>
      <x:c r="C22" s="853" t="str">
        <x:v>Applicable, partially applicable, reference only or not applicable.</x:v>
      </x:c>
      <x:c r="D22" s="853" t="str">
        <x:v>enum</x:v>
      </x:c>
      <x:c r="E22" s="853" t="str">
        <x:v>Required after review</x:v>
      </x:c>
      <x:c r="F22" s="853" t="str">
        <x:v>Proposal scope.</x:v>
      </x:c>
      <x:c r="G22" s="853" t="str">
        <x:v>Domain/Legal Reviewer</x:v>
      </x:c>
      <x:c r="H22" s="854" t="str">
        <x:v>Draft Complete</x:v>
      </x:c>
    </x:row>
    <x:row r="23">
      <x:c r="A23" s="847" t="str">
        <x:v>RSG-019</x:v>
      </x:c>
      <x:c r="B23" s="114" t="str">
        <x:v>proposed_change_ref</x:v>
      </x:c>
      <x:c r="C23" s="114" t="str">
        <x:v>Skill proposal(s) supported by source.</x:v>
      </x:c>
      <x:c r="D23" s="114" t="str">
        <x:v>array/ref</x:v>
      </x:c>
      <x:c r="E23" s="114" t="str">
        <x:v>Optional</x:v>
      </x:c>
      <x:c r="F23" s="114" t="str">
        <x:v>Traceability.</x:v>
      </x:c>
      <x:c r="G23" s="114" t="str">
        <x:v>Skill Registry</x:v>
      </x:c>
      <x:c r="H23" s="848" t="str">
        <x:v>Draft Complete</x:v>
      </x:c>
    </x:row>
    <x:row r="24">
      <x:c r="A24" s="852" t="str">
        <x:v>RSG-020</x:v>
      </x:c>
      <x:c r="B24" s="853" t="str">
        <x:v>reviewers</x:v>
      </x:c>
      <x:c r="C24" s="853" t="str">
        <x:v>Domain, legal/licence, security/privacy and research reviewers as required.</x:v>
      </x:c>
      <x:c r="D24" s="853" t="str">
        <x:v>refs</x:v>
      </x:c>
      <x:c r="E24" s="853" t="str">
        <x:v>Required before proposal approval</x:v>
      </x:c>
      <x:c r="F24" s="853" t="str">
        <x:v>Human review.</x:v>
      </x:c>
      <x:c r="G24" s="853" t="str">
        <x:v>Workflow</x:v>
      </x:c>
      <x:c r="H24" s="854" t="str">
        <x:v>Draft Complete</x:v>
      </x:c>
    </x:row>
    <x:row r="25">
      <x:c r="A25" s="847" t="str">
        <x:v>RSG-021</x:v>
      </x:c>
      <x:c r="B25" s="114" t="str">
        <x:v>research_method</x:v>
      </x:c>
      <x:c r="C25" s="114" t="str">
        <x:v>Search terms, source selection, exclusions and validation method.</x:v>
      </x:c>
      <x:c r="D25" s="114" t="str">
        <x:v>text/ref</x:v>
      </x:c>
      <x:c r="E25" s="114" t="str">
        <x:v>Recommended</x:v>
      </x:c>
      <x:c r="F25" s="114" t="str">
        <x:v>Reproducibility/bias control.</x:v>
      </x:c>
      <x:c r="G25" s="114" t="str">
        <x:v>Researcher</x:v>
      </x:c>
      <x:c r="H25" s="848" t="str">
        <x:v>Draft Complete</x:v>
      </x:c>
    </x:row>
    <x:row r="26">
      <x:c r="A26" s="852" t="str">
        <x:v>RSG-022</x:v>
      </x:c>
      <x:c r="B26" s="853" t="str">
        <x:v>primary_source_preference</x:v>
      </x:c>
      <x:c r="C26" s="853" t="str">
        <x:v>Use official/primary sources for technical, regulatory and product behaviour whenever available.</x:v>
      </x:c>
      <x:c r="D26" s="853" t="str">
        <x:v>policy</x:v>
      </x:c>
      <x:c r="E26" s="853" t="str">
        <x:v>Required</x:v>
      </x:c>
      <x:c r="F26" s="853" t="str">
        <x:v>Trustworthiness.</x:v>
      </x:c>
      <x:c r="G26" s="853" t="str">
        <x:v>Research Governance</x:v>
      </x:c>
      <x:c r="H26" s="854" t="str">
        <x:v>Draft Complete</x:v>
      </x:c>
    </x:row>
    <x:row r="27">
      <x:c r="A27" s="847" t="str">
        <x:v>RSG-023</x:v>
      </x:c>
      <x:c r="B27" s="114" t="str">
        <x:v>current-verification</x:v>
      </x:c>
      <x:c r="C27" s="114" t="str">
        <x:v>Current or version-sensitive assertions require web/connected-source verification before proposal/eval.</x:v>
      </x:c>
      <x:c r="D27" s="114" t="str">
        <x:v>policy</x:v>
      </x:c>
      <x:c r="E27" s="114" t="str">
        <x:v>Required</x:v>
      </x:c>
      <x:c r="F27" s="114" t="str">
        <x:v>Freshness.</x:v>
      </x:c>
      <x:c r="G27" s="114" t="str">
        <x:v>Research Governance</x:v>
      </x:c>
      <x:c r="H27" s="848" t="str">
        <x:v>Draft Complete</x:v>
      </x:c>
    </x:row>
    <x:row r="28">
      <x:c r="A28" s="852" t="str">
        <x:v>RSG-024</x:v>
      </x:c>
      <x:c r="B28" s="853" t="str">
        <x:v>research-to-production boundary</x:v>
      </x:c>
      <x:c r="C28" s="853" t="str">
        <x:v>Research output can create observation/proposal only; it cannot directly mutate active package.</x:v>
      </x:c>
      <x:c r="D28" s="853" t="str">
        <x:v>policy</x:v>
      </x:c>
      <x:c r="E28" s="853" t="str">
        <x:v>Required</x:v>
      </x:c>
      <x:c r="F28" s="853" t="str">
        <x:v>Governance.</x:v>
      </x:c>
      <x:c r="G28" s="853" t="str">
        <x:v>Skill Forge</x:v>
      </x:c>
      <x:c r="H28" s="854" t="str">
        <x:v>Draft Complete</x:v>
      </x:c>
    </x:row>
    <x:row r="29">
      <x:c r="A29" s="847" t="str">
        <x:v>RSG-025</x:v>
      </x:c>
      <x:c r="B29" s="114" t="str">
        <x:v>private-source handling</x:v>
      </x:c>
      <x:c r="C29" s="114" t="str">
        <x:v>Connected/internal documents remain access-controlled and cannot be copied into reusable/public skills without authorisation/generalisation.</x:v>
      </x:c>
      <x:c r="D29" s="114" t="str">
        <x:v>policy</x:v>
      </x:c>
      <x:c r="E29" s="114" t="str">
        <x:v>Required</x:v>
      </x:c>
      <x:c r="F29" s="114" t="str">
        <x:v>Confidentiality.</x:v>
      </x:c>
      <x:c r="G29" s="114" t="str">
        <x:v>DPO/Legal/Owner</x:v>
      </x:c>
      <x:c r="H29" s="848" t="str">
        <x:v>Draft Complete</x:v>
      </x:c>
    </x:row>
    <x:row r="30">
      <x:c r="A30" s="852" t="str">
        <x:v>RSG-026</x:v>
      </x:c>
      <x:c r="B30" s="853" t="str">
        <x:v>source removal impact</x:v>
      </x:c>
      <x:c r="C30" s="853" t="str">
        <x:v>If source becomes invalid/unavailable/licence-restricted, assess affected package and re-evaluate/deprecate.</x:v>
      </x:c>
      <x:c r="D30" s="853" t="str">
        <x:v>workflow</x:v>
      </x:c>
      <x:c r="E30" s="853" t="str">
        <x:v>Required</x:v>
      </x:c>
      <x:c r="F30" s="853" t="str">
        <x:v>Ongoing compliance.</x:v>
      </x:c>
      <x:c r="G30" s="853" t="str">
        <x:v>Source Owner/Skill Owner</x:v>
      </x:c>
      <x:c r="H30" s="854" t="str">
        <x:v>Draft Complete</x:v>
      </x:c>
    </x:row>
    <x:row r="31">
      <x:c r="A31" s="847" t="str">
        <x:v>RSG-027</x:v>
      </x:c>
      <x:c r="B31" s="114" t="str">
        <x:v>research feedback</x:v>
      </x:c>
      <x:c r="C31" s="114" t="str">
        <x:v>Reviewer/user corrections to source interpretation create new observation and versioned research record.</x:v>
      </x:c>
      <x:c r="D31" s="114" t="str">
        <x:v>workflow</x:v>
      </x:c>
      <x:c r="E31" s="114" t="str">
        <x:v>Required</x:v>
      </x:c>
      <x:c r="F31" s="114" t="str">
        <x:v>Learning and accountability.</x:v>
      </x:c>
      <x:c r="G31" s="114" t="str">
        <x:v>Research Workflow</x:v>
      </x:c>
      <x:c r="H31" s="848" t="str">
        <x:v>Draft Complete</x:v>
      </x:c>
    </x:row>
    <x:row r="32">
      <x:c r="A32" s="855" t="str">
        <x:v>RSG-028</x:v>
      </x:c>
      <x:c r="B32" s="856" t="str">
        <x:v>publication citation</x:v>
      </x:c>
      <x:c r="C32" s="856" t="str">
        <x:v>Externally published skill/docs include required citations/attribution and omit protected source content.</x:v>
      </x:c>
      <x:c r="D32" s="856" t="str">
        <x:v>policy</x:v>
      </x:c>
      <x:c r="E32" s="856" t="str">
        <x:v>Conditional</x:v>
      </x:c>
      <x:c r="F32" s="856" t="str">
        <x:v>Publication integrity.</x:v>
      </x:c>
      <x:c r="G32" s="856" t="str">
        <x:v>Legal/Publication Reviewer</x:v>
      </x:c>
      <x:c r="H32" s="857" t="str">
        <x:v>Draft Complete</x:v>
      </x:c>
    </x:row>
  </x:sheetData>
  <x:mergeCells>
    <x:mergeCell ref="A1:H1"/>
    <x:mergeCell ref="A2:H2"/>
  </x:mergeCells>
  <x:dataValidations count="1">
    <x:dataValidation type="list" sqref="H5:H32">
      <x:formula1>"Draft Complete,Needs Review,Approved,Deferred"</x:formula1>
    </x:dataValidation>
  </x:dataValidations>
  <x:pageMargins left="0.7" right="0.7" top="0.75" bottom="0.75" header="0.3" footer="0.3"/>
</x:worksheet>
</file>

<file path=xl/worksheets/sheet155.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4" hidden="0" customWidth="1"/>
    <x:col min="5" max="5" width="42" hidden="0" customWidth="1"/>
    <x:col min="6" max="6" width="60" hidden="0" customWidth="1"/>
    <x:col min="7" max="7" width="28" hidden="0" customWidth="1"/>
    <x:col min="8" max="8" width="12" hidden="0" customWidth="1"/>
    <x:col min="9" max="9" width="18" hidden="0" customWidth="1"/>
    <x:col min="10" max="10" width="38" hidden="0" customWidth="1"/>
  </x:cols>
  <x:sheetData>
    <x:row r="1" ht="30" customHeight="1">
      <x:c r="A1" s="809" t="str">
        <x:v>Stage 11 — Canary Promotion and Rollback</x:v>
      </x:c>
      <x:c r="B1" s="809"/>
      <x:c r="C1" s="809"/>
      <x:c r="D1" s="809"/>
      <x:c r="E1" s="809"/>
      <x:c r="F1" s="809"/>
      <x:c r="G1" s="809"/>
      <x:c r="H1" s="809"/>
      <x:c r="I1" s="809"/>
      <x:c r="J1" s="809"/>
    </x:row>
    <x:row r="2" ht="38" customHeight="1">
      <x:c r="A2" s="813" t="str">
        <x:v>Controlled exposure, metric gates, human promotion, automatic pause, tested rollback and affected-output remediation for Skill Forge packages.</x:v>
      </x:c>
      <x:c r="B2" s="813"/>
      <x:c r="C2" s="813"/>
      <x:c r="D2" s="813"/>
      <x:c r="E2" s="813"/>
      <x:c r="F2" s="813"/>
      <x:c r="G2" s="813"/>
      <x:c r="H2" s="813"/>
      <x:c r="I2" s="813"/>
      <x:c r="J2" s="813"/>
    </x:row>
    <x:row r="4" ht="30" customHeight="1">
      <x:c r="A4" s="825" t="str">
        <x:v>ID</x:v>
      </x:c>
      <x:c r="B4" s="826" t="str">
        <x:v>Control</x:v>
      </x:c>
      <x:c r="C4" s="826" t="str">
        <x:v>Requirement</x:v>
      </x:c>
      <x:c r="D4" s="826" t="str">
        <x:v>Inputs / context</x:v>
      </x:c>
      <x:c r="E4" s="826" t="str">
        <x:v>Method</x:v>
      </x:c>
      <x:c r="F4" s="826" t="str">
        <x:v>Acceptance / guardrail</x:v>
      </x:c>
      <x:c r="G4" s="826" t="str">
        <x:v>Owner</x:v>
      </x:c>
      <x:c r="H4" s="826" t="str">
        <x:v>Priority</x:v>
      </x:c>
      <x:c r="I4" s="826" t="str">
        <x:v>Status</x:v>
      </x:c>
      <x:c r="J4" s="827" t="str">
        <x:v>Source / note</x:v>
      </x:c>
    </x:row>
    <x:row r="5">
      <x:c r="A5" s="844" t="str">
        <x:v>CPR-001</x:v>
      </x:c>
      <x:c r="B5" s="845" t="str">
        <x:v>Eligibility</x:v>
      </x:c>
      <x:c r="C5" s="845" t="str">
        <x:v>Package is APPROVED, signed, attested, unexpired and has a verified rollback target.</x:v>
      </x:c>
      <x:c r="D5" s="845" t="str">
        <x:v>Registry/package/eval/review records</x:v>
      </x:c>
      <x:c r="E5" s="845" t="str">
        <x:v>Deterministic gate</x:v>
      </x:c>
      <x:c r="F5" s="845" t="str">
        <x:v>No canary if any critical condition missing.</x:v>
      </x:c>
      <x:c r="G5" s="845" t="str">
        <x:v>Deployment Approver</x:v>
      </x:c>
      <x:c r="H5" s="845" t="str">
        <x:v>Critical</x:v>
      </x:c>
      <x:c r="I5" s="845" t="str">
        <x:v>Draft Complete</x:v>
      </x:c>
      <x:c r="J5" s="846" t="str">
        <x:v>OpenFeature / progressive delivery / HumanOS controls</x:v>
      </x:c>
    </x:row>
    <x:row r="6">
      <x:c r="A6" s="852" t="str">
        <x:v>CPR-002</x:v>
      </x:c>
      <x:c r="B6" s="853" t="str">
        <x:v>Cohort definition</x:v>
      </x:c>
      <x:c r="C6" s="853" t="str">
        <x:v>Specify tenant, user role, task/domain, tool/provider, geography and policy scope.</x:v>
      </x:c>
      <x:c r="D6" s="853" t="str">
        <x:v>Canary plan</x:v>
      </x:c>
      <x:c r="E6" s="853" t="str">
        <x:v>Human review + flag configuration</x:v>
      </x:c>
      <x:c r="F6" s="853" t="str">
        <x:v>Cohort is the minimum necessary and avoids vulnerable/high-impact groups unless explicitly reviewed.</x:v>
      </x:c>
      <x:c r="G6" s="853" t="str">
        <x:v>Product/DPO/Owner</x:v>
      </x:c>
      <x:c r="H6" s="853" t="str">
        <x:v>Critical</x:v>
      </x:c>
      <x:c r="I6" s="853" t="str">
        <x:v>Draft Complete</x:v>
      </x:c>
      <x:c r="J6" s="854" t="str">
        <x:v>OpenFeature / progressive delivery / HumanOS controls</x:v>
      </x:c>
    </x:row>
    <x:row r="7">
      <x:c r="A7" s="847" t="str">
        <x:v>CPR-003</x:v>
      </x:c>
      <x:c r="B7" s="114" t="str">
        <x:v>Evaluation context</x:v>
      </x:c>
      <x:c r="C7" s="114" t="str">
        <x:v>Use pseudonymous/stable IDs and only attributes needed for flag targeting.</x:v>
      </x:c>
      <x:c r="D7" s="114" t="str">
        <x:v>OpenFeature evaluation context</x:v>
      </x:c>
      <x:c r="E7" s="114" t="str">
        <x:v>Schema/policy validation</x:v>
      </x:c>
      <x:c r="F7" s="114" t="str">
        <x:v>No names, email, protected traits, raw task content or secret data in flag context.</x:v>
      </x:c>
      <x:c r="G7" s="114" t="str">
        <x:v>Platform/DPO</x:v>
      </x:c>
      <x:c r="H7" s="114" t="str">
        <x:v>Critical</x:v>
      </x:c>
      <x:c r="I7" s="114" t="str">
        <x:v>Draft Complete</x:v>
      </x:c>
      <x:c r="J7" s="848" t="str">
        <x:v>OpenFeature / progressive delivery / HumanOS controls</x:v>
      </x:c>
    </x:row>
    <x:row r="8">
      <x:c r="A8" s="852" t="str">
        <x:v>CPR-004</x:v>
      </x:c>
      <x:c r="B8" s="853" t="str">
        <x:v>Starting exposure</x:v>
      </x:c>
      <x:c r="C8" s="853" t="str">
        <x:v>Begin with internal test/shadow, then bounded low-percentage or selected cohort.</x:v>
      </x:c>
      <x:c r="D8" s="853" t="str">
        <x:v>Category-specific rollout policy</x:v>
      </x:c>
      <x:c r="E8" s="853" t="str">
        <x:v>Feature flag/progressive delivery</x:v>
      </x:c>
      <x:c r="F8" s="853" t="str">
        <x:v>High-impact evaluator/coaching changes require stricter start than low-risk UI change.</x:v>
      </x:c>
      <x:c r="G8" s="853" t="str">
        <x:v>Deployment Approver</x:v>
      </x:c>
      <x:c r="H8" s="853" t="str">
        <x:v>High</x:v>
      </x:c>
      <x:c r="I8" s="853" t="str">
        <x:v>Draft Complete</x:v>
      </x:c>
      <x:c r="J8" s="854" t="str">
        <x:v>OpenFeature / progressive delivery / HumanOS controls</x:v>
      </x:c>
    </x:row>
    <x:row r="9">
      <x:c r="A9" s="847" t="str">
        <x:v>CPR-005</x:v>
      </x:c>
      <x:c r="B9" s="114" t="str">
        <x:v>Shadow mode</x:v>
      </x:c>
      <x:c r="C9" s="114" t="str">
        <x:v>Run proposed version without changing user-visible output/action where feasible.</x:v>
      </x:c>
      <x:c r="D9" s="114" t="str">
        <x:v>Stable and proposed package</x:v>
      </x:c>
      <x:c r="E9" s="114" t="str">
        <x:v>Dual evaluation/shadow runner</x:v>
      </x:c>
      <x:c r="F9" s="114" t="str">
        <x:v>Compare outputs, errors, latency and cost before user exposure.</x:v>
      </x:c>
      <x:c r="G9" s="114" t="str">
        <x:v>Evaluation/SRE</x:v>
      </x:c>
      <x:c r="H9" s="114" t="str">
        <x:v>High</x:v>
      </x:c>
      <x:c r="I9" s="114" t="str">
        <x:v>Draft Complete</x:v>
      </x:c>
      <x:c r="J9" s="848" t="str">
        <x:v>OpenFeature / progressive delivery / HumanOS controls</x:v>
      </x:c>
    </x:row>
    <x:row r="10">
      <x:c r="A10" s="852" t="str">
        <x:v>CPR-006</x:v>
      </x:c>
      <x:c r="B10" s="853" t="str">
        <x:v>Control/comparator</x:v>
      </x:c>
      <x:c r="C10" s="853" t="str">
        <x:v>Define stable-version or pre-period comparator where ethical and operationally valid.</x:v>
      </x:c>
      <x:c r="D10" s="853" t="str">
        <x:v>Experiment design</x:v>
      </x:c>
      <x:c r="E10" s="853" t="str">
        <x:v>Analytics</x:v>
      </x:c>
      <x:c r="F10" s="853" t="str">
        <x:v>No withholding legally/safety-required protection.</x:v>
      </x:c>
      <x:c r="G10" s="853" t="str">
        <x:v>Product/Data Science/DPO</x:v>
      </x:c>
      <x:c r="H10" s="853" t="str">
        <x:v>Medium</x:v>
      </x:c>
      <x:c r="I10" s="853" t="str">
        <x:v>Draft Complete</x:v>
      </x:c>
      <x:c r="J10" s="854" t="str">
        <x:v>OpenFeature / progressive delivery / HumanOS controls</x:v>
      </x:c>
    </x:row>
    <x:row r="11">
      <x:c r="A11" s="847" t="str">
        <x:v>CPR-007</x:v>
      </x:c>
      <x:c r="B11" s="114" t="str">
        <x:v>Canary duration</x:v>
      </x:c>
      <x:c r="C11" s="114" t="str">
        <x:v>Set minimum observation duration and minimum qualifying events/users/tasks.</x:v>
      </x:c>
      <x:c r="D11" s="114" t="str">
        <x:v>Risk/category policy</x:v>
      </x:c>
      <x:c r="E11" s="114" t="str">
        <x:v>Time/event gate</x:v>
      </x:c>
      <x:c r="F11" s="114" t="str">
        <x:v>Do not promote on too-small sample or short transient success.</x:v>
      </x:c>
      <x:c r="G11" s="114" t="str">
        <x:v>Evaluation Lead</x:v>
      </x:c>
      <x:c r="H11" s="114" t="str">
        <x:v>High</x:v>
      </x:c>
      <x:c r="I11" s="114" t="str">
        <x:v>Draft Complete</x:v>
      </x:c>
      <x:c r="J11" s="848" t="str">
        <x:v>OpenFeature / progressive delivery / HumanOS controls</x:v>
      </x:c>
    </x:row>
    <x:row r="12">
      <x:c r="A12" s="852" t="str">
        <x:v>CPR-008</x:v>
      </x:c>
      <x:c r="B12" s="853" t="str">
        <x:v>Safety metrics</x:v>
      </x:c>
      <x:c r="C12" s="853" t="str">
        <x:v>Monitor security/privacy incidents, prohibited outputs, unauthorised tool use, secret leakage and harmful findings.</x:v>
      </x:c>
      <x:c r="D12" s="853" t="str">
        <x:v>Runtime/eval/incident data</x:v>
      </x:c>
      <x:c r="E12" s="853" t="str">
        <x:v>Continuous thresholds</x:v>
      </x:c>
      <x:c r="F12" s="853" t="str">
        <x:v>Any critical event triggers automatic pause/rollback.</x:v>
      </x:c>
      <x:c r="G12" s="853" t="str">
        <x:v>CISO/DPO/AI Governance</x:v>
      </x:c>
      <x:c r="H12" s="853" t="str">
        <x:v>Critical</x:v>
      </x:c>
      <x:c r="I12" s="853" t="str">
        <x:v>Draft Complete</x:v>
      </x:c>
      <x:c r="J12" s="854" t="str">
        <x:v>OpenFeature / progressive delivery / HumanOS controls</x:v>
      </x:c>
    </x:row>
    <x:row r="13">
      <x:c r="A13" s="847" t="str">
        <x:v>CPR-009</x:v>
      </x:c>
      <x:c r="B13" s="114" t="str">
        <x:v>Quality metrics</x:v>
      </x:c>
      <x:c r="C13" s="114" t="str">
        <x:v>Monitor task/eval accuracy, grounding, reviewer agreement, corrections/overturns and abstention.</x:v>
      </x:c>
      <x:c r="D13" s="114" t="str">
        <x:v>Runtime/review data</x:v>
      </x:c>
      <x:c r="E13" s="114" t="str">
        <x:v>Version comparison</x:v>
      </x:c>
      <x:c r="F13" s="114" t="str">
        <x:v>Thresholds vary by consequence; no aggregate hiding critical failure.</x:v>
      </x:c>
      <x:c r="G13" s="114" t="str">
        <x:v>Domain/Evaluation</x:v>
      </x:c>
      <x:c r="H13" s="114" t="str">
        <x:v>Critical</x:v>
      </x:c>
      <x:c r="I13" s="114" t="str">
        <x:v>Draft Complete</x:v>
      </x:c>
      <x:c r="J13" s="848" t="str">
        <x:v>OpenFeature / progressive delivery / HumanOS controls</x:v>
      </x:c>
    </x:row>
    <x:row r="14">
      <x:c r="A14" s="852" t="str">
        <x:v>CPR-010</x:v>
      </x:c>
      <x:c r="B14" s="853" t="str">
        <x:v>Experience metrics</x:v>
      </x:c>
      <x:c r="C14" s="853" t="str">
        <x:v>Monitor usefulness, wrong-context, interruption, accessibility and trust feedback.</x:v>
      </x:c>
      <x:c r="D14" s="853" t="str">
        <x:v>User feedback/journey events</x:v>
      </x:c>
      <x:c r="E14" s="853" t="str">
        <x:v>Version comparison</x:v>
      </x:c>
      <x:c r="F14" s="853" t="str">
        <x:v>No employee-level punitive use.</x:v>
      </x:c>
      <x:c r="G14" s="853" t="str">
        <x:v>Product/Employee Experience</x:v>
      </x:c>
      <x:c r="H14" s="853" t="str">
        <x:v>High</x:v>
      </x:c>
      <x:c r="I14" s="853" t="str">
        <x:v>Draft Complete</x:v>
      </x:c>
      <x:c r="J14" s="854" t="str">
        <x:v>OpenFeature / progressive delivery / HumanOS controls</x:v>
      </x:c>
    </x:row>
    <x:row r="15">
      <x:c r="A15" s="847" t="str">
        <x:v>CPR-011</x:v>
      </x:c>
      <x:c r="B15" s="114" t="str">
        <x:v>Performance metrics</x:v>
      </x:c>
      <x:c r="C15" s="114" t="str">
        <x:v>Monitor latency, errors, throughput, CPU/memory and queue/backpressure.</x:v>
      </x:c>
      <x:c r="D15" s="114" t="str">
        <x:v>OpenTelemetry/SRE metrics</x:v>
      </x:c>
      <x:c r="E15" s="114" t="str">
        <x:v>Automated analysis</x:v>
      </x:c>
      <x:c r="F15" s="114" t="str">
        <x:v>Safe fallback/timeout must work.</x:v>
      </x:c>
      <x:c r="G15" s="114" t="str">
        <x:v>SRE</x:v>
      </x:c>
      <x:c r="H15" s="114" t="str">
        <x:v>High</x:v>
      </x:c>
      <x:c r="I15" s="114" t="str">
        <x:v>Draft Complete</x:v>
      </x:c>
      <x:c r="J15" s="848" t="str">
        <x:v>OpenFeature / progressive delivery / HumanOS controls</x:v>
      </x:c>
    </x:row>
    <x:row r="16">
      <x:c r="A16" s="852" t="str">
        <x:v>CPR-012</x:v>
      </x:c>
      <x:c r="B16" s="853" t="str">
        <x:v>Cost metrics</x:v>
      </x:c>
      <x:c r="C16" s="853" t="str">
        <x:v>Monitor model, compute, storage, network and reviewer cost.</x:v>
      </x:c>
      <x:c r="D16" s="853" t="str">
        <x:v>FinOps/runtime data</x:v>
      </x:c>
      <x:c r="E16" s="853" t="str">
        <x:v>Budget threshold</x:v>
      </x:c>
      <x:c r="F16" s="853" t="str">
        <x:v>Cost regression requires approval even when quality improves.</x:v>
      </x:c>
      <x:c r="G16" s="853" t="str">
        <x:v>FinOps/Product</x:v>
      </x:c>
      <x:c r="H16" s="853" t="str">
        <x:v>Medium</x:v>
      </x:c>
      <x:c r="I16" s="853" t="str">
        <x:v>Draft Complete</x:v>
      </x:c>
      <x:c r="J16" s="854" t="str">
        <x:v>OpenFeature / progressive delivery / HumanOS controls</x:v>
      </x:c>
    </x:row>
    <x:row r="17">
      <x:c r="A17" s="847" t="str">
        <x:v>CPR-013</x:v>
      </x:c>
      <x:c r="B17" s="114" t="str">
        <x:v>Fairness/coverage metrics</x:v>
      </x:c>
      <x:c r="C17" s="114" t="str">
        <x:v>Monitor errors and outcomes by comparable evidence coverage, role/tool and approved aggregate groups.</x:v>
      </x:c>
      <x:c r="D17" s="114" t="str">
        <x:v>Restricted evaluation data</x:v>
      </x:c>
      <x:c r="E17" s="114" t="str">
        <x:v>DPO-reviewed analysis</x:v>
      </x:c>
      <x:c r="F17" s="114" t="str">
        <x:v>No protected-data exposure in general dashboards; unexplained disparity pauses promotion.</x:v>
      </x:c>
      <x:c r="G17" s="114" t="str">
        <x:v>DPO/AI Governance</x:v>
      </x:c>
      <x:c r="H17" s="114" t="str">
        <x:v>Critical</x:v>
      </x:c>
      <x:c r="I17" s="114" t="str">
        <x:v>Draft Complete</x:v>
      </x:c>
      <x:c r="J17" s="848" t="str">
        <x:v>OpenFeature / progressive delivery / HumanOS controls</x:v>
      </x:c>
    </x:row>
    <x:row r="18">
      <x:c r="A18" s="852" t="str">
        <x:v>CPR-014</x:v>
      </x:c>
      <x:c r="B18" s="853" t="str">
        <x:v>Data-quality metrics</x:v>
      </x:c>
      <x:c r="C18" s="853" t="str">
        <x:v>Monitor missing lineage, adapter gaps, stale source, schema incompatibility and unresolved unknowns.</x:v>
      </x:c>
      <x:c r="D18" s="853" t="str">
        <x:v>Registry/runtime data</x:v>
      </x:c>
      <x:c r="E18" s="853" t="str">
        <x:v>Automated checks</x:v>
      </x:c>
      <x:c r="F18" s="853" t="str">
        <x:v>Insufficient data blocks confident promotion.</x:v>
      </x:c>
      <x:c r="G18" s="853" t="str">
        <x:v>Data/Architecture</x:v>
      </x:c>
      <x:c r="H18" s="853" t="str">
        <x:v>High</x:v>
      </x:c>
      <x:c r="I18" s="853" t="str">
        <x:v>Draft Complete</x:v>
      </x:c>
      <x:c r="J18" s="854" t="str">
        <x:v>OpenFeature / progressive delivery / HumanOS controls</x:v>
      </x:c>
    </x:row>
    <x:row r="19">
      <x:c r="A19" s="847" t="str">
        <x:v>CPR-015</x:v>
      </x:c>
      <x:c r="B19" s="114" t="str">
        <x:v>Feedback channel</x:v>
      </x:c>
      <x:c r="C19" s="114" t="str">
        <x:v>Canary users can report harmful, incorrect, confusing or privacy-sensitive behaviour.</x:v>
      </x:c>
      <x:c r="D19" s="114" t="str">
        <x:v>Employee/user feedback</x:v>
      </x:c>
      <x:c r="E19" s="114" t="str">
        <x:v>Workflow and alert</x:v>
      </x:c>
      <x:c r="F19" s="114" t="str">
        <x:v>Material feedback enters observation/review immediately.</x:v>
      </x:c>
      <x:c r="G19" s="114" t="str">
        <x:v>Product/Governance</x:v>
      </x:c>
      <x:c r="H19" s="114" t="str">
        <x:v>Critical</x:v>
      </x:c>
      <x:c r="I19" s="114" t="str">
        <x:v>Draft Complete</x:v>
      </x:c>
      <x:c r="J19" s="848" t="str">
        <x:v>OpenFeature / progressive delivery / HumanOS controls</x:v>
      </x:c>
    </x:row>
    <x:row r="20">
      <x:c r="A20" s="852" t="str">
        <x:v>CPR-016</x:v>
      </x:c>
      <x:c r="B20" s="853" t="str">
        <x:v>Automatic pause</x:v>
      </x:c>
      <x:c r="C20" s="853" t="str">
        <x:v>Stop new exposure/invocation when critical safety, integrity, access, signature, privacy or severe quality threshold fails.</x:v>
      </x:c>
      <x:c r="D20" s="853" t="str">
        <x:v>Monitoring policy</x:v>
      </x:c>
      <x:c r="E20" s="853" t="str">
        <x:v>Feature flag/registry/deployment action</x:v>
      </x:c>
      <x:c r="F20" s="853" t="str">
        <x:v>Pause uses safe stable/default fallback and preserves incident evidence.</x:v>
      </x:c>
      <x:c r="G20" s="853" t="str">
        <x:v>CISO/DPO/SRE</x:v>
      </x:c>
      <x:c r="H20" s="853" t="str">
        <x:v>Critical</x:v>
      </x:c>
      <x:c r="I20" s="853" t="str">
        <x:v>Draft Complete</x:v>
      </x:c>
      <x:c r="J20" s="854" t="str">
        <x:v>OpenFeature / progressive delivery / HumanOS controls</x:v>
      </x:c>
    </x:row>
    <x:row r="21">
      <x:c r="A21" s="847" t="str">
        <x:v>CPR-017</x:v>
      </x:c>
      <x:c r="B21" s="114" t="str">
        <x:v>Automatic rollback</x:v>
      </x:c>
      <x:c r="C21" s="114" t="str">
        <x:v>Return existing cohort to verified prior stable version for predefined critical failures.</x:v>
      </x:c>
      <x:c r="D21" s="114" t="str">
        <x:v>Rollback window/target</x:v>
      </x:c>
      <x:c r="E21" s="114" t="str">
        <x:v>Deployment controller</x:v>
      </x:c>
      <x:c r="F21" s="114" t="str">
        <x:v>Rollback target compatibility and cache invalidation tested.</x:v>
      </x:c>
      <x:c r="G21" s="114" t="str">
        <x:v>SRE/Deployment</x:v>
      </x:c>
      <x:c r="H21" s="114" t="str">
        <x:v>Critical</x:v>
      </x:c>
      <x:c r="I21" s="114" t="str">
        <x:v>Draft Complete</x:v>
      </x:c>
      <x:c r="J21" s="848" t="str">
        <x:v>OpenFeature / progressive delivery / HumanOS controls</x:v>
      </x:c>
    </x:row>
    <x:row r="22">
      <x:c r="A22" s="852" t="str">
        <x:v>CPR-018</x:v>
      </x:c>
      <x:c r="B22" s="853" t="str">
        <x:v>Manual pause/rollback</x:v>
      </x:c>
      <x:c r="C22" s="853" t="str">
        <x:v>Authorised CISO, DPO, operations, deployment approver or executive sponsor can stop version.</x:v>
      </x:c>
      <x:c r="D22" s="853" t="str">
        <x:v>Incident/manual decision</x:v>
      </x:c>
      <x:c r="E22" s="853" t="str">
        <x:v>Registry/flag/deployment control</x:v>
      </x:c>
      <x:c r="F22" s="853" t="str">
        <x:v>Does not require skill owner consent.</x:v>
      </x:c>
      <x:c r="G22" s="853" t="str">
        <x:v>Governance/SRE</x:v>
      </x:c>
      <x:c r="H22" s="853" t="str">
        <x:v>Critical</x:v>
      </x:c>
      <x:c r="I22" s="853" t="str">
        <x:v>Draft Complete</x:v>
      </x:c>
      <x:c r="J22" s="854" t="str">
        <x:v>OpenFeature / progressive delivery / HumanOS controls</x:v>
      </x:c>
    </x:row>
    <x:row r="23">
      <x:c r="A23" s="847" t="str">
        <x:v>CPR-019</x:v>
      </x:c>
      <x:c r="B23" s="114" t="str">
        <x:v>Promotion review</x:v>
      </x:c>
      <x:c r="C23" s="114" t="str">
        <x:v>Human decision reviews all qualifying metrics, feedback, residual risk and conditions.</x:v>
      </x:c>
      <x:c r="D23" s="114" t="str">
        <x:v>Canary report</x:v>
      </x:c>
      <x:c r="E23" s="114" t="str">
        <x:v>Approval workflow</x:v>
      </x:c>
      <x:c r="F23" s="114" t="str">
        <x:v>No automatic promotion of high-impact package solely from metrics.</x:v>
      </x:c>
      <x:c r="G23" s="114" t="str">
        <x:v>Deployment Approval Board</x:v>
      </x:c>
      <x:c r="H23" s="114" t="str">
        <x:v>Critical</x:v>
      </x:c>
      <x:c r="I23" s="114" t="str">
        <x:v>Draft Complete</x:v>
      </x:c>
      <x:c r="J23" s="848" t="str">
        <x:v>OpenFeature / progressive delivery / HumanOS controls</x:v>
      </x:c>
    </x:row>
    <x:row r="24">
      <x:c r="A24" s="852" t="str">
        <x:v>CPR-020</x:v>
      </x:c>
      <x:c r="B24" s="853" t="str">
        <x:v>Progressive steps</x:v>
      </x:c>
      <x:c r="C24" s="853" t="str">
        <x:v>Expand exposure through predefined stages with hold periods and re-evaluation.</x:v>
      </x:c>
      <x:c r="D24" s="853" t="str">
        <x:v>Rollout plan</x:v>
      </x:c>
      <x:c r="E24" s="853" t="str">
        <x:v>Feature flag/progressive delivery</x:v>
      </x:c>
      <x:c r="F24" s="853" t="str">
        <x:v>Each step can pause/rollback independently.</x:v>
      </x:c>
      <x:c r="G24" s="853" t="str">
        <x:v>Deployment Owner</x:v>
      </x:c>
      <x:c r="H24" s="853" t="str">
        <x:v>High</x:v>
      </x:c>
      <x:c r="I24" s="853" t="str">
        <x:v>Draft Complete</x:v>
      </x:c>
      <x:c r="J24" s="854" t="str">
        <x:v>OpenFeature / progressive delivery / HumanOS controls</x:v>
      </x:c>
    </x:row>
    <x:row r="25">
      <x:c r="A25" s="847" t="str">
        <x:v>CPR-021</x:v>
      </x:c>
      <x:c r="B25" s="114" t="str">
        <x:v>Stable promotion</x:v>
      </x:c>
      <x:c r="C25" s="114" t="str">
        <x:v>Mark version ACTIVE only after approval and package/resolver state update.</x:v>
      </x:c>
      <x:c r="D25" s="114" t="str">
        <x:v>Promotion decision</x:v>
      </x:c>
      <x:c r="E25" s="114" t="str">
        <x:v>Skill Registry/Package Resolver</x:v>
      </x:c>
      <x:c r="F25" s="114" t="str">
        <x:v>Effective date, scope and previous stable version recorded.</x:v>
      </x:c>
      <x:c r="G25" s="114" t="str">
        <x:v>Skill Owner/Operations</x:v>
      </x:c>
      <x:c r="H25" s="114" t="str">
        <x:v>Critical</x:v>
      </x:c>
      <x:c r="I25" s="114" t="str">
        <x:v>Draft Complete</x:v>
      </x:c>
      <x:c r="J25" s="848" t="str">
        <x:v>OpenFeature / progressive delivery / HumanOS controls</x:v>
      </x:c>
    </x:row>
    <x:row r="26">
      <x:c r="A26" s="852" t="str">
        <x:v>CPR-022</x:v>
      </x:c>
      <x:c r="B26" s="853" t="str">
        <x:v>Post-promotion monitoring</x:v>
      </x:c>
      <x:c r="C26" s="853" t="str">
        <x:v>Continue elevated monitoring for defined stabilisation window.</x:v>
      </x:c>
      <x:c r="D26" s="853" t="str">
        <x:v>Active version</x:v>
      </x:c>
      <x:c r="E26" s="853" t="str">
        <x:v>Monitoring plan</x:v>
      </x:c>
      <x:c r="F26" s="853" t="str">
        <x:v>Late regressions trigger observation/pause/rollback.</x:v>
      </x:c>
      <x:c r="G26" s="853" t="str">
        <x:v>SRE/Evaluation</x:v>
      </x:c>
      <x:c r="H26" s="853" t="str">
        <x:v>High</x:v>
      </x:c>
      <x:c r="I26" s="853" t="str">
        <x:v>Draft Complete</x:v>
      </x:c>
      <x:c r="J26" s="854" t="str">
        <x:v>OpenFeature / progressive delivery / HumanOS controls</x:v>
      </x:c>
    </x:row>
    <x:row r="27">
      <x:c r="A27" s="847" t="str">
        <x:v>CPR-023</x:v>
      </x:c>
      <x:c r="B27" s="114" t="str">
        <x:v>Affected-output review</x:v>
      </x:c>
      <x:c r="C27" s="114" t="str">
        <x:v>After rollback/invalidation, identify task findings, capability states, coaching or reports produced by bad version.</x:v>
      </x:c>
      <x:c r="D27" s="114" t="str">
        <x:v>Usage lineage</x:v>
      </x:c>
      <x:c r="E27" s="114" t="str">
        <x:v>Impact analysis/workflows</x:v>
      </x:c>
      <x:c r="F27" s="114" t="str">
        <x:v>Material outputs reviewed/corrected and affected employees notified where appropriate.</x:v>
      </x:c>
      <x:c r="G27" s="114" t="str">
        <x:v>Governance/Domain Owner</x:v>
      </x:c>
      <x:c r="H27" s="114" t="str">
        <x:v>Critical</x:v>
      </x:c>
      <x:c r="I27" s="114" t="str">
        <x:v>Draft Complete</x:v>
      </x:c>
      <x:c r="J27" s="848" t="str">
        <x:v>OpenFeature / progressive delivery / HumanOS controls</x:v>
      </x:c>
    </x:row>
    <x:row r="28">
      <x:c r="A28" s="852" t="str">
        <x:v>CPR-024</x:v>
      </x:c>
      <x:c r="B28" s="853" t="str">
        <x:v>Rollback communication</x:v>
      </x:c>
      <x:c r="C28" s="853" t="str">
        <x:v>Communicate relevant service change, finding review or user action without exposing sensitive incident details.</x:v>
      </x:c>
      <x:c r="D28" s="853" t="str">
        <x:v>Incident/rollback state</x:v>
      </x:c>
      <x:c r="E28" s="853" t="str">
        <x:v>Notification/content policy</x:v>
      </x:c>
      <x:c r="F28" s="853" t="str">
        <x:v>Employees see material correction and current status.</x:v>
      </x:c>
      <x:c r="G28" s="853" t="str">
        <x:v>Product/DPO/Incident Lead</x:v>
      </x:c>
      <x:c r="H28" s="853" t="str">
        <x:v>High</x:v>
      </x:c>
      <x:c r="I28" s="853" t="str">
        <x:v>Draft Complete</x:v>
      </x:c>
      <x:c r="J28" s="854" t="str">
        <x:v>OpenFeature / progressive delivery / HumanOS controls</x:v>
      </x:c>
    </x:row>
    <x:row r="29">
      <x:c r="A29" s="847" t="str">
        <x:v>CPR-025</x:v>
      </x:c>
      <x:c r="B29" s="114" t="str">
        <x:v>Canary audit</x:v>
      </x:c>
      <x:c r="C29" s="114" t="str">
        <x:v>Record cohort rules, flag evaluations, package digest, metrics, decisions and deployment changes.</x:v>
      </x:c>
      <x:c r="D29" s="114" t="str">
        <x:v>All canary systems</x:v>
      </x:c>
      <x:c r="E29" s="114" t="str">
        <x:v>HumanOS Audit</x:v>
      </x:c>
      <x:c r="F29" s="114" t="str">
        <x:v>Audit supports reconstruction without storing unnecessary PII.</x:v>
      </x:c>
      <x:c r="G29" s="114" t="str">
        <x:v>Audit/Platform</x:v>
      </x:c>
      <x:c r="H29" s="114" t="str">
        <x:v>Critical</x:v>
      </x:c>
      <x:c r="I29" s="114" t="str">
        <x:v>Draft Complete</x:v>
      </x:c>
      <x:c r="J29" s="848" t="str">
        <x:v>OpenFeature / progressive delivery / HumanOS controls</x:v>
      </x:c>
    </x:row>
    <x:row r="30">
      <x:c r="A30" s="852" t="str">
        <x:v>CPR-026</x:v>
      </x:c>
      <x:c r="B30" s="853" t="str">
        <x:v>Tooling decision</x:v>
      </x:c>
      <x:c r="C30" s="853" t="str">
        <x:v>Use existing HumanOS/Kubernetes/GitOps progressive-delivery capability; adopt Argo Rollouts or Flagger only after platform gap assessment.</x:v>
      </x:c>
      <x:c r="D30" s="853" t="str">
        <x:v>Platform inventory/ADR</x:v>
      </x:c>
      <x:c r="E30" s="853" t="str">
        <x:v>Architecture decision</x:v>
      </x:c>
      <x:c r="F30" s="853" t="str">
        <x:v>Avoid duplicate rollout control planes.</x:v>
      </x:c>
      <x:c r="G30" s="853" t="str">
        <x:v>Platform Architect</x:v>
      </x:c>
      <x:c r="H30" s="853" t="str">
        <x:v>High</x:v>
      </x:c>
      <x:c r="I30" s="853" t="str">
        <x:v>Draft Complete</x:v>
      </x:c>
      <x:c r="J30" s="854" t="str">
        <x:v>OpenFeature / progressive delivery / HumanOS controls</x:v>
      </x:c>
    </x:row>
    <x:row r="31">
      <x:c r="A31" s="847" t="str">
        <x:v>CPR-027</x:v>
      </x:c>
      <x:c r="B31" s="114" t="str">
        <x:v>Provider outage</x:v>
      </x:c>
      <x:c r="C31" s="114" t="str">
        <x:v>If flag/control provider unavailable, return documented safe default/stable package.</x:v>
      </x:c>
      <x:c r="D31" s="114" t="str">
        <x:v>OpenFeature provider error</x:v>
      </x:c>
      <x:c r="E31" s="114" t="str">
        <x:v>Resolver fallback</x:v>
      </x:c>
      <x:c r="F31" s="114" t="str">
        <x:v>Failure does not broaden exposure or permissions.</x:v>
      </x:c>
      <x:c r="G31" s="114" t="str">
        <x:v>Platform/SRE</x:v>
      </x:c>
      <x:c r="H31" s="114" t="str">
        <x:v>Critical</x:v>
      </x:c>
      <x:c r="I31" s="114" t="str">
        <x:v>Draft Complete</x:v>
      </x:c>
      <x:c r="J31" s="848" t="str">
        <x:v>OpenFeature / progressive delivery / HumanOS controls</x:v>
      </x:c>
    </x:row>
    <x:row r="32">
      <x:c r="A32" s="855" t="str">
        <x:v>CPR-028</x:v>
      </x:c>
      <x:c r="B32" s="856" t="str">
        <x:v>Emergency global revoke</x:v>
      </x:c>
      <x:c r="C32" s="856" t="str">
        <x:v>Revoke package category/digest across all caches and runtimes.</x:v>
      </x:c>
      <x:c r="D32" s="856" t="str">
        <x:v>Critical incident</x:v>
      </x:c>
      <x:c r="E32" s="856" t="str">
        <x:v>Registry revocation + cache purge</x:v>
      </x:c>
      <x:c r="F32" s="856" t="str">
        <x:v>Target time and verification drill required.</x:v>
      </x:c>
      <x:c r="G32" s="856" t="str">
        <x:v>CISO/SRE</x:v>
      </x:c>
      <x:c r="H32" s="856" t="str">
        <x:v>Critical</x:v>
      </x:c>
      <x:c r="I32" s="856" t="str">
        <x:v>Draft Complete</x:v>
      </x:c>
      <x:c r="J32" s="857" t="str">
        <x:v>OpenFeature / progressive delivery / HumanOS controls</x:v>
      </x:c>
    </x:row>
  </x:sheetData>
  <x:mergeCells>
    <x:mergeCell ref="A1:J1"/>
    <x:mergeCell ref="A2:J2"/>
  </x:mergeCells>
  <x:dataValidations count="2">
    <x:dataValidation type="list" sqref="H5:H32">
      <x:formula1>"Critical,High,Medium,Low"</x:formula1>
    </x:dataValidation>
    <x:dataValidation type="list" sqref="I5:I32">
      <x:formula1>"Draft Complete,Needs Review,Approved,Deferred"</x:formula1>
    </x:dataValidation>
  </x:dataValidations>
  <x:pageMargins left="0.7" right="0.7" top="0.75" bottom="0.75" header="0.3" footer="0.3"/>
</x:worksheet>
</file>

<file path=xl/worksheets/sheet156.xml><?xml version="1.0" encoding="utf-8"?>
<x:worksheet xmlns:x="http://schemas.openxmlformats.org/spreadsheetml/2006/main">
  <x:sheetFormatPr defaultRowHeight="15"/>
  <x:cols>
    <x:col min="1" max="1" width="15" hidden="0" customWidth="1"/>
    <x:col min="2" max="2" width="14" hidden="0" customWidth="1"/>
    <x:col min="3" max="3" width="48" hidden="0" customWidth="1"/>
    <x:col min="4" max="4" width="50" hidden="0" customWidth="1"/>
    <x:col min="5" max="5" width="32" hidden="0" customWidth="1"/>
    <x:col min="6" max="6" width="38" hidden="0" customWidth="1"/>
    <x:col min="7" max="7" width="48" hidden="0" customWidth="1"/>
    <x:col min="8" max="8" width="40" hidden="0" customWidth="1"/>
    <x:col min="9" max="9" width="60" hidden="0" customWidth="1"/>
    <x:col min="10" max="10" width="12" hidden="0" customWidth="1"/>
    <x:col min="11" max="11" width="12" hidden="0" customWidth="1"/>
    <x:col min="12" max="12" width="18" hidden="0" customWidth="1"/>
  </x:cols>
  <x:sheetData>
    <x:row r="1" ht="30" customHeight="1">
      <x:c r="A1" s="809" t="str">
        <x:v>Stage 10–11 — APIs and Events</x:v>
      </x:c>
      <x:c r="B1" s="809"/>
      <x:c r="C1" s="809"/>
      <x:c r="D1" s="809"/>
      <x:c r="E1" s="809"/>
      <x:c r="F1" s="809"/>
      <x:c r="G1" s="809"/>
      <x:c r="H1" s="809"/>
      <x:c r="I1" s="809"/>
      <x:c r="J1" s="809"/>
      <x:c r="K1" s="809"/>
      <x:c r="L1" s="809"/>
    </x:row>
    <x:row r="2" ht="38" customHeight="1">
      <x:c r="A2" s="813" t="str">
        <x:v>Experience BFF/read-model and Skill Forge observation, package, evaluation, review, attestation, canary, rollback and lineage contracts.</x:v>
      </x:c>
      <x:c r="B2" s="813"/>
      <x:c r="C2" s="813"/>
      <x:c r="D2" s="813"/>
      <x:c r="E2" s="813"/>
      <x:c r="F2" s="813"/>
      <x:c r="G2" s="813"/>
      <x:c r="H2" s="813"/>
      <x:c r="I2" s="813"/>
      <x:c r="J2" s="813"/>
      <x:c r="K2" s="813"/>
      <x:c r="L2" s="813"/>
    </x:row>
    <x:row r="4" ht="30" customHeight="1">
      <x:c r="A4" s="825" t="str">
        <x:v>ID</x:v>
      </x:c>
      <x:c r="B4" s="826" t="str">
        <x:v>Contract type</x:v>
      </x:c>
      <x:c r="C4" s="826" t="str">
        <x:v>Name / endpoint</x:v>
      </x:c>
      <x:c r="D4" s="826" t="str">
        <x:v>Purpose</x:v>
      </x:c>
      <x:c r="E4" s="826" t="str">
        <x:v>Caller / producer</x:v>
      </x:c>
      <x:c r="F4" s="826" t="str">
        <x:v>Owner / consumer</x:v>
      </x:c>
      <x:c r="G4" s="826" t="str">
        <x:v>Input / payload</x:v>
      </x:c>
      <x:c r="H4" s="826" t="str">
        <x:v>Output / consumer</x:v>
      </x:c>
      <x:c r="I4" s="826" t="str">
        <x:v>Security / governance</x:v>
      </x:c>
      <x:c r="J4" s="826" t="str">
        <x:v>Stage</x:v>
      </x:c>
      <x:c r="K4" s="826" t="str">
        <x:v>Priority</x:v>
      </x:c>
      <x:c r="L4" s="827" t="str">
        <x:v>Status</x:v>
      </x:c>
    </x:row>
    <x:row r="5">
      <x:c r="A5" s="844" t="str">
        <x:v>S1011-API-001</x:v>
      </x:c>
      <x:c r="B5" s="845" t="str">
        <x:v>REST</x:v>
      </x:c>
      <x:c r="C5" s="845" t="str">
        <x:v>GET /wi/v1/experience/employees/me</x:v>
      </x:c>
      <x:c r="D5" s="845" t="str">
        <x:v>Return employee workspace read model.</x:v>
      </x:c>
      <x:c r="E5" s="845" t="str">
        <x:v>Employee frontend</x:v>
      </x:c>
      <x:c r="F5" s="845" t="str">
        <x:v>Employee Experience BFF</x:v>
      </x:c>
      <x:c r="G5" s="845" t="str">
        <x:v>Audience/locale/device context</x:v>
      </x:c>
      <x:c r="H5" s="845" t="str">
        <x:v>EmployeeWorkspaceReadModel</x:v>
      </x:c>
      <x:c r="I5" s="845" t="str">
        <x:v>Self-only; reviewed state and evidence refs.</x:v>
      </x:c>
      <x:c r="J5" s="845" t="str">
        <x:v>Stage 10</x:v>
      </x:c>
      <x:c r="K5" s="845" t="str">
        <x:v>Critical</x:v>
      </x:c>
      <x:c r="L5" s="846" t="str">
        <x:v>Draft Complete</x:v>
      </x:c>
    </x:row>
    <x:row r="6">
      <x:c r="A6" s="852" t="str">
        <x:v>S1011-API-002</x:v>
      </x:c>
      <x:c r="B6" s="853" t="str">
        <x:v>REST</x:v>
      </x:c>
      <x:c r="C6" s="853" t="str">
        <x:v>GET /wi/v1/experience/employees/me/timeline</x:v>
      </x:c>
      <x:c r="D6" s="853" t="str">
        <x:v>Return filtered evidence timeline and completeness.</x:v>
      </x:c>
      <x:c r="E6" s="853" t="str">
        <x:v>Employee frontend</x:v>
      </x:c>
      <x:c r="F6" s="853" t="str">
        <x:v>Employee Experience BFF/Replay</x:v>
      </x:c>
      <x:c r="G6" s="853" t="str">
        <x:v>task/session/filter/cursor</x:v>
      </x:c>
      <x:c r="H6" s="853" t="str">
        <x:v>Timeline page</x:v>
      </x:c>
      <x:c r="I6" s="853" t="str">
        <x:v>Self scope; raw objects grant-controlled.</x:v>
      </x:c>
      <x:c r="J6" s="853" t="str">
        <x:v>Stage 10</x:v>
      </x:c>
      <x:c r="K6" s="853" t="str">
        <x:v>Critical</x:v>
      </x:c>
      <x:c r="L6" s="854" t="str">
        <x:v>Draft Complete</x:v>
      </x:c>
    </x:row>
    <x:row r="7">
      <x:c r="A7" s="847" t="str">
        <x:v>S1011-API-003</x:v>
      </x:c>
      <x:c r="B7" s="114" t="str">
        <x:v>REST</x:v>
      </x:c>
      <x:c r="C7" s="114" t="str">
        <x:v>GET /wi/v1/experience/employees/me/capability-character</x:v>
      </x:c>
      <x:c r="D7" s="114" t="str">
        <x:v>Return private capability character/role path.</x:v>
      </x:c>
      <x:c r="E7" s="114" t="str">
        <x:v>Employee frontend</x:v>
      </x:c>
      <x:c r="F7" s="114" t="str">
        <x:v>Employee Experience BFF</x:v>
      </x:c>
      <x:c r="G7" s="114" t="str">
        <x:v>role/target filters</x:v>
      </x:c>
      <x:c r="H7" s="114" t="str">
        <x:v>CapabilityCharacterReadModel</x:v>
      </x:c>
      <x:c r="I7" s="114" t="str">
        <x:v>Self scope; advisory/dispute state included.</x:v>
      </x:c>
      <x:c r="J7" s="114" t="str">
        <x:v>Stage 10</x:v>
      </x:c>
      <x:c r="K7" s="114" t="str">
        <x:v>High</x:v>
      </x:c>
      <x:c r="L7" s="848" t="str">
        <x:v>Draft Complete</x:v>
      </x:c>
    </x:row>
    <x:row r="8">
      <x:c r="A8" s="852" t="str">
        <x:v>S1011-API-004</x:v>
      </x:c>
      <x:c r="B8" s="853" t="str">
        <x:v>REST</x:v>
      </x:c>
      <x:c r="C8" s="853" t="str">
        <x:v>GET /wi/v1/experience/employees/me/coaching-learning</x:v>
      </x:c>
      <x:c r="D8" s="853" t="str">
        <x:v>Return private coaching and learning view.</x:v>
      </x:c>
      <x:c r="E8" s="853" t="str">
        <x:v>Employee frontend</x:v>
      </x:c>
      <x:c r="F8" s="853" t="str">
        <x:v>Employee Experience BFF</x:v>
      </x:c>
      <x:c r="G8" s="853" t="str">
        <x:v>status/cursor</x:v>
      </x:c>
      <x:c r="H8" s="853" t="str">
        <x:v>CoachingLearningReadModel</x:v>
      </x:c>
      <x:c r="I8" s="853" t="str">
        <x:v>Private content; no manager audience.</x:v>
      </x:c>
      <x:c r="J8" s="853" t="str">
        <x:v>Stage 10</x:v>
      </x:c>
      <x:c r="K8" s="853" t="str">
        <x:v>Critical</x:v>
      </x:c>
      <x:c r="L8" s="854" t="str">
        <x:v>Draft Complete</x:v>
      </x:c>
    </x:row>
    <x:row r="9">
      <x:c r="A9" s="847" t="str">
        <x:v>S1011-API-005</x:v>
      </x:c>
      <x:c r="B9" s="114" t="str">
        <x:v>REST</x:v>
      </x:c>
      <x:c r="C9" s="114" t="str">
        <x:v>GET /wi/v1/experience/employees/me/privacy</x:v>
      </x:c>
      <x:c r="D9" s="114" t="str">
        <x:v>Return policy, sensors, access, retention and rights state.</x:v>
      </x:c>
      <x:c r="E9" s="114" t="str">
        <x:v>Employee frontend</x:v>
      </x:c>
      <x:c r="F9" s="114" t="str">
        <x:v>Employee Experience BFF</x:v>
      </x:c>
      <x:c r="G9" s="114" t="str">
        <x:v>device/policy context</x:v>
      </x:c>
      <x:c r="H9" s="114" t="str">
        <x:v>PrivacyCentreReadModel</x:v>
      </x:c>
      <x:c r="I9" s="114" t="str">
        <x:v>Self scope.</x:v>
      </x:c>
      <x:c r="J9" s="114" t="str">
        <x:v>Stage 10</x:v>
      </x:c>
      <x:c r="K9" s="114" t="str">
        <x:v>Critical</x:v>
      </x:c>
      <x:c r="L9" s="848" t="str">
        <x:v>Draft Complete</x:v>
      </x:c>
    </x:row>
    <x:row r="10">
      <x:c r="A10" s="852" t="str">
        <x:v>S1011-API-006</x:v>
      </x:c>
      <x:c r="B10" s="853" t="str">
        <x:v>REST</x:v>
      </x:c>
      <x:c r="C10" s="853" t="str">
        <x:v>GET /wi/v1/experience/managers/teams/{teamId}/exceptions</x:v>
      </x:c>
      <x:c r="D10" s="853" t="str">
        <x:v>Return exception-led manager view.</x:v>
      </x:c>
      <x:c r="E10" s="853" t="str">
        <x:v>Manager frontend</x:v>
      </x:c>
      <x:c r="F10" s="853" t="str">
        <x:v>Manager Experience BFF</x:v>
      </x:c>
      <x:c r="G10" s="853" t="str">
        <x:v>team/filter</x:v>
      </x:c>
      <x:c r="H10" s="853" t="str">
        <x:v>ManagerExceptionReadModel</x:v>
      </x:c>
      <x:c r="I10" s="853" t="str">
        <x:v>Organisation/policy scope; no raw private coaching.</x:v>
      </x:c>
      <x:c r="J10" s="853" t="str">
        <x:v>Stage 10</x:v>
      </x:c>
      <x:c r="K10" s="853" t="str">
        <x:v>Critical</x:v>
      </x:c>
      <x:c r="L10" s="854" t="str">
        <x:v>Draft Complete</x:v>
      </x:c>
    </x:row>
    <x:row r="11">
      <x:c r="A11" s="847" t="str">
        <x:v>S1011-API-007</x:v>
      </x:c>
      <x:c r="B11" s="114" t="str">
        <x:v>REST</x:v>
      </x:c>
      <x:c r="C11" s="114" t="str">
        <x:v>GET /wi/v1/experience/managers/tasks/{taskId}</x:v>
      </x:c>
      <x:c r="D11" s="114" t="str">
        <x:v>Return task-assurance summary for manager.</x:v>
      </x:c>
      <x:c r="E11" s="114" t="str">
        <x:v>Manager frontend</x:v>
      </x:c>
      <x:c r="F11" s="114" t="str">
        <x:v>Manager Experience BFF</x:v>
      </x:c>
      <x:c r="G11" s="114" t="str">
        <x:v>taskId</x:v>
      </x:c>
      <x:c r="H11" s="114" t="str">
        <x:v>ManagerTaskAssuranceReadModel</x:v>
      </x:c>
      <x:c r="I11" s="114" t="str">
        <x:v>Task/team scope; employee response/dispute included.</x:v>
      </x:c>
      <x:c r="J11" s="114" t="str">
        <x:v>Stage 10</x:v>
      </x:c>
      <x:c r="K11" s="114" t="str">
        <x:v>Critical</x:v>
      </x:c>
      <x:c r="L11" s="848" t="str">
        <x:v>Draft Complete</x:v>
      </x:c>
    </x:row>
    <x:row r="12">
      <x:c r="A12" s="852" t="str">
        <x:v>S1011-API-008</x:v>
      </x:c>
      <x:c r="B12" s="853" t="str">
        <x:v>REST</x:v>
      </x:c>
      <x:c r="C12" s="853" t="str">
        <x:v>GET /wi/v1/experience/reviews/{caseId}</x:v>
      </x:c>
      <x:c r="D12" s="853" t="str">
        <x:v>Return reviewer finding package.</x:v>
      </x:c>
      <x:c r="E12" s="853" t="str">
        <x:v>Reviewer frontend</x:v>
      </x:c>
      <x:c r="F12" s="853" t="str">
        <x:v>Reviewer Experience BFF</x:v>
      </x:c>
      <x:c r="G12" s="853" t="str">
        <x:v>caseId</x:v>
      </x:c>
      <x:c r="H12" s="853" t="str">
        <x:v>ReviewCaseReadModel</x:v>
      </x:c>
      <x:c r="I12" s="853" t="str">
        <x:v>Assigned case/grants only.</x:v>
      </x:c>
      <x:c r="J12" s="853" t="str">
        <x:v>Stage 10</x:v>
      </x:c>
      <x:c r="K12" s="853" t="str">
        <x:v>Critical</x:v>
      </x:c>
      <x:c r="L12" s="854" t="str">
        <x:v>Draft Complete</x:v>
      </x:c>
    </x:row>
    <x:row r="13">
      <x:c r="A13" s="847" t="str">
        <x:v>S1011-API-009</x:v>
      </x:c>
      <x:c r="B13" s="114" t="str">
        <x:v>REST</x:v>
      </x:c>
      <x:c r="C13" s="114" t="str">
        <x:v>POST /wi/v1/experience/access-requests</x:v>
      </x:c>
      <x:c r="D13" s="114" t="str">
        <x:v>Request scoped raw evidence access.</x:v>
      </x:c>
      <x:c r="E13" s="114" t="str">
        <x:v>Manager/reviewer/employee</x:v>
      </x:c>
      <x:c r="F13" s="114" t="str">
        <x:v>Governance BFF/Access Broker</x:v>
      </x:c>
      <x:c r="G13" s="114" t="str">
        <x:v>purpose, subject/task/class/duration</x:v>
      </x:c>
      <x:c r="H13" s="114" t="str">
        <x:v>Grant workflow</x:v>
      </x:c>
      <x:c r="I13" s="114" t="str">
        <x:v>Default deny; check-answers/audit.</x:v>
      </x:c>
      <x:c r="J13" s="114" t="str">
        <x:v>Stage 10</x:v>
      </x:c>
      <x:c r="K13" s="114" t="str">
        <x:v>Critical</x:v>
      </x:c>
      <x:c r="L13" s="848" t="str">
        <x:v>Draft Complete</x:v>
      </x:c>
    </x:row>
    <x:row r="14">
      <x:c r="A14" s="852" t="str">
        <x:v>S1011-API-010</x:v>
      </x:c>
      <x:c r="B14" s="853" t="str">
        <x:v>REST</x:v>
      </x:c>
      <x:c r="C14" s="853" t="str">
        <x:v>GET /wi/v1/experience/access-history/me</x:v>
      </x:c>
      <x:c r="D14" s="853" t="str">
        <x:v>Return employee evidence access history.</x:v>
      </x:c>
      <x:c r="E14" s="853" t="str">
        <x:v>Employee frontend</x:v>
      </x:c>
      <x:c r="F14" s="853" t="str">
        <x:v>Governance BFF</x:v>
      </x:c>
      <x:c r="G14" s="853" t="str">
        <x:v>filters/cursor</x:v>
      </x:c>
      <x:c r="H14" s="853" t="str">
        <x:v>Access history</x:v>
      </x:c>
      <x:c r="I14" s="853" t="str">
        <x:v>Self subject scope.</x:v>
      </x:c>
      <x:c r="J14" s="853" t="str">
        <x:v>Stage 10</x:v>
      </x:c>
      <x:c r="K14" s="853" t="str">
        <x:v>High</x:v>
      </x:c>
      <x:c r="L14" s="854" t="str">
        <x:v>Draft Complete</x:v>
      </x:c>
    </x:row>
    <x:row r="15">
      <x:c r="A15" s="847" t="str">
        <x:v>S1011-API-011</x:v>
      </x:c>
      <x:c r="B15" s="114" t="str">
        <x:v>REST</x:v>
      </x:c>
      <x:c r="C15" s="114" t="str">
        <x:v>POST /wi/v1/experience/exports</x:v>
      </x:c>
      <x:c r="D15" s="114" t="str">
        <x:v>Create scoped export job.</x:v>
      </x:c>
      <x:c r="E15" s="114" t="str">
        <x:v>Employee/reviewer/governance</x:v>
      </x:c>
      <x:c r="F15" s="114" t="str">
        <x:v>Export Service</x:v>
      </x:c>
      <x:c r="G15" s="114" t="str">
        <x:v>scope, purpose, format</x:v>
      </x:c>
      <x:c r="H15" s="114" t="str">
        <x:v>Export job</x:v>
      </x:c>
      <x:c r="I15" s="114" t="str">
        <x:v>Watermarked, time-limited and audited.</x:v>
      </x:c>
      <x:c r="J15" s="114" t="str">
        <x:v>Stage 10</x:v>
      </x:c>
      <x:c r="K15" s="114" t="str">
        <x:v>High</x:v>
      </x:c>
      <x:c r="L15" s="848" t="str">
        <x:v>Draft Complete</x:v>
      </x:c>
    </x:row>
    <x:row r="16">
      <x:c r="A16" s="852" t="str">
        <x:v>S1011-API-012</x:v>
      </x:c>
      <x:c r="B16" s="853" t="str">
        <x:v>REST</x:v>
      </x:c>
      <x:c r="C16" s="853" t="str">
        <x:v>GET /wi/v1/experience/notifications</x:v>
      </x:c>
      <x:c r="D16" s="853" t="str">
        <x:v>Return recipient inbox/read state.</x:v>
      </x:c>
      <x:c r="E16" s="853" t="str">
        <x:v>Any frontend</x:v>
      </x:c>
      <x:c r="F16" s="853" t="str">
        <x:v>Notification Service/BFF</x:v>
      </x:c>
      <x:c r="G16" s="853" t="str">
        <x:v>filters/cursor</x:v>
      </x:c>
      <x:c r="H16" s="853" t="str">
        <x:v>Notification page</x:v>
      </x:c>
      <x:c r="I16" s="853" t="str">
        <x:v>Recipient-specific and minimised.</x:v>
      </x:c>
      <x:c r="J16" s="853" t="str">
        <x:v>Stage 10</x:v>
      </x:c>
      <x:c r="K16" s="853" t="str">
        <x:v>High</x:v>
      </x:c>
      <x:c r="L16" s="854" t="str">
        <x:v>Draft Complete</x:v>
      </x:c>
    </x:row>
    <x:row r="17">
      <x:c r="A17" s="847" t="str">
        <x:v>S1011-API-013</x:v>
      </x:c>
      <x:c r="B17" s="114" t="str">
        <x:v>REST</x:v>
      </x:c>
      <x:c r="C17" s="114" t="str">
        <x:v>POST /wi/v1/skill-forge/observations</x:v>
      </x:c>
      <x:c r="D17" s="114" t="str">
        <x:v>Create/import source-backed observation.</x:v>
      </x:c>
      <x:c r="E17" s="114" t="str">
        <x:v>Domain services/reviewer/research</x:v>
      </x:c>
      <x:c r="F17" s="114" t="str">
        <x:v>Skill Forge</x:v>
      </x:c>
      <x:c r="G17" s="114" t="str">
        <x:v>Observation payload/refs</x:v>
      </x:c>
      <x:c r="H17" s="114" t="str">
        <x:v>Observation record</x:v>
      </x:c>
      <x:c r="I17" s="114" t="str">
        <x:v>Classification and source lineage required.</x:v>
      </x:c>
      <x:c r="J17" s="114" t="str">
        <x:v>Stage 11</x:v>
      </x:c>
      <x:c r="K17" s="114" t="str">
        <x:v>Critical</x:v>
      </x:c>
      <x:c r="L17" s="848" t="str">
        <x:v>Draft Complete</x:v>
      </x:c>
    </x:row>
    <x:row r="18">
      <x:c r="A18" s="852" t="str">
        <x:v>S1011-API-014</x:v>
      </x:c>
      <x:c r="B18" s="853" t="str">
        <x:v>REST</x:v>
      </x:c>
      <x:c r="C18" s="853" t="str">
        <x:v>POST /wi/v1/skill-forge/observations/{id}/triage</x:v>
      </x:c>
      <x:c r="D18" s="853" t="str">
        <x:v>Record triage/generalisation decision.</x:v>
      </x:c>
      <x:c r="E18" s="853" t="str">
        <x:v>Triage reviewer</x:v>
      </x:c>
      <x:c r="F18" s="853" t="str">
        <x:v>Skill Forge</x:v>
      </x:c>
      <x:c r="G18" s="853" t="str">
        <x:v>decision/rationale/owner</x:v>
      </x:c>
      <x:c r="H18" s="853" t="str">
        <x:v>Updated lifecycle</x:v>
      </x:c>
      <x:c r="I18" s="853" t="str">
        <x:v>Role/purpose-controlled.</x:v>
      </x:c>
      <x:c r="J18" s="853" t="str">
        <x:v>Stage 11</x:v>
      </x:c>
      <x:c r="K18" s="853" t="str">
        <x:v>High</x:v>
      </x:c>
      <x:c r="L18" s="854" t="str">
        <x:v>Draft Complete</x:v>
      </x:c>
    </x:row>
    <x:row r="19">
      <x:c r="A19" s="847" t="str">
        <x:v>S1011-API-015</x:v>
      </x:c>
      <x:c r="B19" s="114" t="str">
        <x:v>REST</x:v>
      </x:c>
      <x:c r="C19" s="114" t="str">
        <x:v>POST /wi/v1/skill-forge/proposals</x:v>
      </x:c>
      <x:c r="D19" s="114" t="str">
        <x:v>Create versioned package proposal.</x:v>
      </x:c>
      <x:c r="E19" s="114" t="str">
        <x:v>Skill owner/proposal generator</x:v>
      </x:c>
      <x:c r="F19" s="114" t="str">
        <x:v>Skill Registry</x:v>
      </x:c>
      <x:c r="G19" s="114" t="str">
        <x:v>source observations, change, risk/eval plan</x:v>
      </x:c>
      <x:c r="H19" s="114" t="str">
        <x:v>Proposal/version</x:v>
      </x:c>
      <x:c r="I19" s="114" t="str">
        <x:v>Cannot deploy or self-approve.</x:v>
      </x:c>
      <x:c r="J19" s="114" t="str">
        <x:v>Stage 11</x:v>
      </x:c>
      <x:c r="K19" s="114" t="str">
        <x:v>Critical</x:v>
      </x:c>
      <x:c r="L19" s="848" t="str">
        <x:v>Draft Complete</x:v>
      </x:c>
    </x:row>
    <x:row r="20">
      <x:c r="A20" s="852" t="str">
        <x:v>S1011-API-016</x:v>
      </x:c>
      <x:c r="B20" s="853" t="str">
        <x:v>REST</x:v>
      </x:c>
      <x:c r="C20" s="853" t="str">
        <x:v>POST /wi/v1/skill-forge/packages</x:v>
      </x:c>
      <x:c r="D20" s="853" t="str">
        <x:v>Register package source/artifact/contract.</x:v>
      </x:c>
      <x:c r="E20" s="853" t="str">
        <x:v>CI/skill owner</x:v>
      </x:c>
      <x:c r="F20" s="853" t="str">
        <x:v>Skill Registry</x:v>
      </x:c>
      <x:c r="G20" s="853" t="str">
        <x:v>SkillPackageContract</x:v>
      </x:c>
      <x:c r="H20" s="853" t="str">
        <x:v>Registered version</x:v>
      </x:c>
      <x:c r="I20" s="853" t="str">
        <x:v>Digest/signature/source refs required by state.</x:v>
      </x:c>
      <x:c r="J20" s="853" t="str">
        <x:v>Stage 11</x:v>
      </x:c>
      <x:c r="K20" s="853" t="str">
        <x:v>Critical</x:v>
      </x:c>
      <x:c r="L20" s="854" t="str">
        <x:v>Draft Complete</x:v>
      </x:c>
    </x:row>
    <x:row r="21">
      <x:c r="A21" s="847" t="str">
        <x:v>S1011-API-017</x:v>
      </x:c>
      <x:c r="B21" s="114" t="str">
        <x:v>REST</x:v>
      </x:c>
      <x:c r="C21" s="114" t="str">
        <x:v>POST /wi/v1/skill-forge/eval-runs</x:v>
      </x:c>
      <x:c r="D21" s="114" t="str">
        <x:v>Start evaluation suite for package version.</x:v>
      </x:c>
      <x:c r="E21" s="114" t="str">
        <x:v>Skill owner/CI/reviewer</x:v>
      </x:c>
      <x:c r="F21" s="114" t="str">
        <x:v>Evaluation Orchestrator</x:v>
      </x:c>
      <x:c r="G21" s="114" t="str">
        <x:v>package, suite, environment</x:v>
      </x:c>
      <x:c r="H21" s="114" t="str">
        <x:v>Eval run</x:v>
      </x:c>
      <x:c r="I21" s="114" t="str">
        <x:v>Sandbox and classified datasets.</x:v>
      </x:c>
      <x:c r="J21" s="114" t="str">
        <x:v>Stage 11</x:v>
      </x:c>
      <x:c r="K21" s="114" t="str">
        <x:v>Critical</x:v>
      </x:c>
      <x:c r="L21" s="848" t="str">
        <x:v>Draft Complete</x:v>
      </x:c>
    </x:row>
    <x:row r="22">
      <x:c r="A22" s="852" t="str">
        <x:v>S1011-API-018</x:v>
      </x:c>
      <x:c r="B22" s="853" t="str">
        <x:v>REST</x:v>
      </x:c>
      <x:c r="C22" s="853" t="str">
        <x:v>GET /wi/v1/skill-forge/eval-runs/{id}</x:v>
      </x:c>
      <x:c r="D22" s="853" t="str">
        <x:v>Return reproducible evaluation results.</x:v>
      </x:c>
      <x:c r="E22" s="853" t="str">
        <x:v>Reviewer/CI</x:v>
      </x:c>
      <x:c r="F22" s="853" t="str">
        <x:v>Evaluation Orchestrator</x:v>
      </x:c>
      <x:c r="G22" s="853" t="str">
        <x:v>run ID</x:v>
      </x:c>
      <x:c r="H22" s="853" t="str">
        <x:v>Eval result package</x:v>
      </x:c>
      <x:c r="I22" s="853" t="str">
        <x:v>Access by package/review scope.</x:v>
      </x:c>
      <x:c r="J22" s="853" t="str">
        <x:v>Stage 11</x:v>
      </x:c>
      <x:c r="K22" s="853" t="str">
        <x:v>High</x:v>
      </x:c>
      <x:c r="L22" s="854" t="str">
        <x:v>Draft Complete</x:v>
      </x:c>
    </x:row>
    <x:row r="23">
      <x:c r="A23" s="847" t="str">
        <x:v>S1011-API-019</x:v>
      </x:c>
      <x:c r="B23" s="114" t="str">
        <x:v>REST</x:v>
      </x:c>
      <x:c r="C23" s="114" t="str">
        <x:v>POST /wi/v1/skill-forge/reviews</x:v>
      </x:c>
      <x:c r="D23" s="114" t="str">
        <x:v>Open/record required package review.</x:v>
      </x:c>
      <x:c r="E23" s="114" t="str">
        <x:v>Registry/workflow/reviewer</x:v>
      </x:c>
      <x:c r="F23" s="114" t="str">
        <x:v>Workflow Runtime</x:v>
      </x:c>
      <x:c r="G23" s="114" t="str">
        <x:v>package, impact, review type</x:v>
      </x:c>
      <x:c r="H23" s="114" t="str">
        <x:v>Review case/decision</x:v>
      </x:c>
      <x:c r="I23" s="114" t="str">
        <x:v>Reviewer independence and rationale.</x:v>
      </x:c>
      <x:c r="J23" s="114" t="str">
        <x:v>Stage 11</x:v>
      </x:c>
      <x:c r="K23" s="114" t="str">
        <x:v>Critical</x:v>
      </x:c>
      <x:c r="L23" s="848" t="str">
        <x:v>Draft Complete</x:v>
      </x:c>
    </x:row>
    <x:row r="24">
      <x:c r="A24" s="852" t="str">
        <x:v>S1011-API-020</x:v>
      </x:c>
      <x:c r="B24" s="853" t="str">
        <x:v>REST</x:v>
      </x:c>
      <x:c r="C24" s="853" t="str">
        <x:v>POST /wi/v1/skill-forge/packages/{id}/attest</x:v>
      </x:c>
      <x:c r="D24" s="853" t="str">
        <x:v>Attach signature, provenance, BOM and review attestations.</x:v>
      </x:c>
      <x:c r="E24" s="853" t="str">
        <x:v>Approved CI pipeline</x:v>
      </x:c>
      <x:c r="F24" s="853" t="str">
        <x:v>Package Store/Registry</x:v>
      </x:c>
      <x:c r="G24" s="853" t="str">
        <x:v>digest and attestations</x:v>
      </x:c>
      <x:c r="H24" s="853" t="str">
        <x:v>Attested package state</x:v>
      </x:c>
      <x:c r="I24" s="853" t="str">
        <x:v>Signer/builder policies enforced.</x:v>
      </x:c>
      <x:c r="J24" s="853" t="str">
        <x:v>Stage 11</x:v>
      </x:c>
      <x:c r="K24" s="853" t="str">
        <x:v>Critical</x:v>
      </x:c>
      <x:c r="L24" s="854" t="str">
        <x:v>Draft Complete</x:v>
      </x:c>
    </x:row>
    <x:row r="25">
      <x:c r="A25" s="847" t="str">
        <x:v>S1011-API-021</x:v>
      </x:c>
      <x:c r="B25" s="114" t="str">
        <x:v>REST</x:v>
      </x:c>
      <x:c r="C25" s="114" t="str">
        <x:v>POST /wi/v1/skill-forge/canaries</x:v>
      </x:c>
      <x:c r="D25" s="114" t="str">
        <x:v>Create approved canary exposure plan.</x:v>
      </x:c>
      <x:c r="E25" s="114" t="str">
        <x:v>Deployment approver</x:v>
      </x:c>
      <x:c r="F25" s="114" t="str">
        <x:v>Deployment Controller</x:v>
      </x:c>
      <x:c r="G25" s="114" t="str">
        <x:v>package/scope/cohort/metrics/rollback</x:v>
      </x:c>
      <x:c r="H25" s="114" t="str">
        <x:v>Canary ID/state</x:v>
      </x:c>
      <x:c r="I25" s="114" t="str">
        <x:v>PII-minimised targeting; approval required.</x:v>
      </x:c>
      <x:c r="J25" s="114" t="str">
        <x:v>Stage 11</x:v>
      </x:c>
      <x:c r="K25" s="114" t="str">
        <x:v>Critical</x:v>
      </x:c>
      <x:c r="L25" s="848" t="str">
        <x:v>Draft Complete</x:v>
      </x:c>
    </x:row>
    <x:row r="26">
      <x:c r="A26" s="852" t="str">
        <x:v>S1011-API-022</x:v>
      </x:c>
      <x:c r="B26" s="853" t="str">
        <x:v>REST</x:v>
      </x:c>
      <x:c r="C26" s="853" t="str">
        <x:v>POST /wi/v1/skill-forge/canaries/{id}/decision</x:v>
      </x:c>
      <x:c r="D26" s="853" t="str">
        <x:v>Pause, promote, continue, narrow or rollback canary.</x:v>
      </x:c>
      <x:c r="E26" s="853" t="str">
        <x:v>Approver/monitoring/incident</x:v>
      </x:c>
      <x:c r="F26" s="853" t="str">
        <x:v>Deployment Controller</x:v>
      </x:c>
      <x:c r="G26" s="853" t="str">
        <x:v>decision/rationale</x:v>
      </x:c>
      <x:c r="H26" s="853" t="str">
        <x:v>Deployment state</x:v>
      </x:c>
      <x:c r="I26" s="853" t="str">
        <x:v>Critical auto-pause/rollback supported.</x:v>
      </x:c>
      <x:c r="J26" s="853" t="str">
        <x:v>Stage 11</x:v>
      </x:c>
      <x:c r="K26" s="853" t="str">
        <x:v>Critical</x:v>
      </x:c>
      <x:c r="L26" s="854" t="str">
        <x:v>Draft Complete</x:v>
      </x:c>
    </x:row>
    <x:row r="27">
      <x:c r="A27" s="847" t="str">
        <x:v>S1011-API-023</x:v>
      </x:c>
      <x:c r="B27" s="114" t="str">
        <x:v>REST</x:v>
      </x:c>
      <x:c r="C27" s="114" t="str">
        <x:v>POST /wi/v1/skill-forge/packages/{id}/rollback</x:v>
      </x:c>
      <x:c r="D27" s="114" t="str">
        <x:v>Rollback package to verified stable target.</x:v>
      </x:c>
      <x:c r="E27" s="114" t="str">
        <x:v>Authorised incident/operations</x:v>
      </x:c>
      <x:c r="F27" s="114" t="str">
        <x:v>Skill Registry/Deployment</x:v>
      </x:c>
      <x:c r="G27" s="114" t="str">
        <x:v>target/reason/impact scope</x:v>
      </x:c>
      <x:c r="H27" s="114" t="str">
        <x:v>Rollback state/job</x:v>
      </x:c>
      <x:c r="I27" s="114" t="str">
        <x:v>Does not require skill owner for emergency.</x:v>
      </x:c>
      <x:c r="J27" s="114" t="str">
        <x:v>Stage 11</x:v>
      </x:c>
      <x:c r="K27" s="114" t="str">
        <x:v>Critical</x:v>
      </x:c>
      <x:c r="L27" s="848" t="str">
        <x:v>Draft Complete</x:v>
      </x:c>
    </x:row>
    <x:row r="28">
      <x:c r="A28" s="852" t="str">
        <x:v>S1011-API-024</x:v>
      </x:c>
      <x:c r="B28" s="853" t="str">
        <x:v>REST</x:v>
      </x:c>
      <x:c r="C28" s="853" t="str">
        <x:v>POST /wi/v1/skill-forge/sources</x:v>
      </x:c>
      <x:c r="D28" s="853" t="str">
        <x:v>Register/review research or source record.</x:v>
      </x:c>
      <x:c r="E28" s="853" t="str">
        <x:v>Researcher/legal/domain</x:v>
      </x:c>
      <x:c r="F28" s="853" t="str">
        <x:v>Source Registry</x:v>
      </x:c>
      <x:c r="G28" s="853" t="str">
        <x:v>source metadata/refs</x:v>
      </x:c>
      <x:c r="H28" s="853" t="str">
        <x:v>Source record</x:v>
      </x:c>
      <x:c r="I28" s="853" t="str">
        <x:v>Current verification/licence/classification.</x:v>
      </x:c>
      <x:c r="J28" s="853" t="str">
        <x:v>Stage 11</x:v>
      </x:c>
      <x:c r="K28" s="853" t="str">
        <x:v>High</x:v>
      </x:c>
      <x:c r="L28" s="854" t="str">
        <x:v>Draft Complete</x:v>
      </x:c>
    </x:row>
    <x:row r="29">
      <x:c r="A29" s="847" t="str">
        <x:v>S1011-API-025</x:v>
      </x:c>
      <x:c r="B29" s="114" t="str">
        <x:v>REST</x:v>
      </x:c>
      <x:c r="C29" s="114" t="str">
        <x:v>GET /wi/v1/skill-forge/packages/{id}/lineage</x:v>
      </x:c>
      <x:c r="D29" s="114" t="str">
        <x:v>Return source, eval, review, signature and deployment lineage.</x:v>
      </x:c>
      <x:c r="E29" s="114" t="str">
        <x:v>Reviewer/governance/runtime</x:v>
      </x:c>
      <x:c r="F29" s="114" t="str">
        <x:v>Skill Registry</x:v>
      </x:c>
      <x:c r="G29" s="114" t="str">
        <x:v>package ID/version</x:v>
      </x:c>
      <x:c r="H29" s="114" t="str">
        <x:v>Lineage package</x:v>
      </x:c>
      <x:c r="I29" s="114" t="str">
        <x:v>Content refs policy-filtered.</x:v>
      </x:c>
      <x:c r="J29" s="114" t="str">
        <x:v>Stage 11</x:v>
      </x:c>
      <x:c r="K29" s="114" t="str">
        <x:v>High</x:v>
      </x:c>
      <x:c r="L29" s="848" t="str">
        <x:v>Draft Complete</x:v>
      </x:c>
    </x:row>
    <x:row r="30">
      <x:c r="A30" s="852" t="str">
        <x:v>S1011-EVT-001</x:v>
      </x:c>
      <x:c r="B30" s="853" t="str">
        <x:v>Event</x:v>
      </x:c>
      <x:c r="C30" s="853" t="str">
        <x:v>experience.employee.readmodel.updated.v1</x:v>
      </x:c>
      <x:c r="D30" s="853" t="str">
        <x:v>Employee read model changed.</x:v>
      </x:c>
      <x:c r="E30" s="853" t="str">
        <x:v>Read Projector</x:v>
      </x:c>
      <x:c r="F30" s="853" t="str">
        <x:v>Frontend cache/notifications</x:v>
      </x:c>
      <x:c r="G30" s="853" t="str">
        <x:v>person/version/changed sections</x:v>
      </x:c>
      <x:c r="H30" s="853" t="str">
        <x:v>No raw content.</x:v>
      </x:c>
      <x:c r="I30" s="853" t="str">
        <x:v>Stage 10</x:v>
      </x:c>
      <x:c r="J30" s="853" t="str">
        <x:v>High</x:v>
      </x:c>
      <x:c r="K30" s="853" t="str">
        <x:v>Draft Complete</x:v>
      </x:c>
      <x:c r="L30" s="854"/>
    </x:row>
    <x:row r="31">
      <x:c r="A31" s="847" t="str">
        <x:v>S1011-EVT-002</x:v>
      </x:c>
      <x:c r="B31" s="114" t="str">
        <x:v>Event</x:v>
      </x:c>
      <x:c r="C31" s="114" t="str">
        <x:v>experience.manager.exception.updated.v1</x:v>
      </x:c>
      <x:c r="D31" s="114" t="str">
        <x:v>Manager exception state changed.</x:v>
      </x:c>
      <x:c r="E31" s="114" t="str">
        <x:v>Read Projector</x:v>
      </x:c>
      <x:c r="F31" s="114" t="str">
        <x:v>Manager BFF/notifications</x:v>
      </x:c>
      <x:c r="G31" s="114" t="str">
        <x:v>team/task/exception refs</x:v>
      </x:c>
      <x:c r="H31" s="114" t="str">
        <x:v>No activity-volume score.</x:v>
      </x:c>
      <x:c r="I31" s="114" t="str">
        <x:v>Stage 10</x:v>
      </x:c>
      <x:c r="J31" s="114" t="str">
        <x:v>High</x:v>
      </x:c>
      <x:c r="K31" s="114" t="str">
        <x:v>Draft Complete</x:v>
      </x:c>
      <x:c r="L31" s="848"/>
    </x:row>
    <x:row r="32">
      <x:c r="A32" s="852" t="str">
        <x:v>S1011-EVT-003</x:v>
      </x:c>
      <x:c r="B32" s="853" t="str">
        <x:v>Event</x:v>
      </x:c>
      <x:c r="C32" s="853" t="str">
        <x:v>experience.dispute.status.changed.v1</x:v>
      </x:c>
      <x:c r="D32" s="853" t="str">
        <x:v>Correction/dispute status changed.</x:v>
      </x:c>
      <x:c r="E32" s="853" t="str">
        <x:v>Governance Workflow</x:v>
      </x:c>
      <x:c r="F32" s="853" t="str">
        <x:v>Employee/manager/reviewer read models</x:v>
      </x:c>
      <x:c r="G32" s="853" t="str">
        <x:v>case/status/version</x:v>
      </x:c>
      <x:c r="H32" s="853" t="str">
        <x:v>Material views surface status.</x:v>
      </x:c>
      <x:c r="I32" s="853" t="str">
        <x:v>Stage 10</x:v>
      </x:c>
      <x:c r="J32" s="853" t="str">
        <x:v>Critical</x:v>
      </x:c>
      <x:c r="K32" s="853" t="str">
        <x:v>Draft Complete</x:v>
      </x:c>
      <x:c r="L32" s="854"/>
    </x:row>
    <x:row r="33">
      <x:c r="A33" s="847" t="str">
        <x:v>S1011-EVT-004</x:v>
      </x:c>
      <x:c r="B33" s="114" t="str">
        <x:v>Event</x:v>
      </x:c>
      <x:c r="C33" s="114" t="str">
        <x:v>evidence.access.viewed.v1</x:v>
      </x:c>
      <x:c r="D33" s="114" t="str">
        <x:v>Raw evidence was viewed/exported.</x:v>
      </x:c>
      <x:c r="E33" s="114" t="str">
        <x:v>Access Broker</x:v>
      </x:c>
      <x:c r="F33" s="114" t="str">
        <x:v>Employee privacy/governance</x:v>
      </x:c>
      <x:c r="G33" s="114" t="str">
        <x:v>grant/subject/object/purpose refs</x:v>
      </x:c>
      <x:c r="H33" s="114" t="str">
        <x:v>No raw content in event.</x:v>
      </x:c>
      <x:c r="I33" s="114" t="str">
        <x:v>Stage 10</x:v>
      </x:c>
      <x:c r="J33" s="114" t="str">
        <x:v>Critical</x:v>
      </x:c>
      <x:c r="K33" s="114" t="str">
        <x:v>Draft Complete</x:v>
      </x:c>
      <x:c r="L33" s="848"/>
    </x:row>
    <x:row r="34">
      <x:c r="A34" s="852" t="str">
        <x:v>S1011-EVT-005</x:v>
      </x:c>
      <x:c r="B34" s="853" t="str">
        <x:v>Event</x:v>
      </x:c>
      <x:c r="C34" s="853" t="str">
        <x:v>skill.observation.ingested.v1</x:v>
      </x:c>
      <x:c r="D34" s="853" t="str">
        <x:v>Skill observation accepted.</x:v>
      </x:c>
      <x:c r="E34" s="853" t="str">
        <x:v>Observation Intake</x:v>
      </x:c>
      <x:c r="F34" s="853" t="str">
        <x:v>Triage/cluster/audit</x:v>
      </x:c>
      <x:c r="G34" s="853" t="str">
        <x:v>observation metadata</x:v>
      </x:c>
      <x:c r="H34" s="853" t="str">
        <x:v>Classification and source refs.</x:v>
      </x:c>
      <x:c r="I34" s="853" t="str">
        <x:v>Stage 11</x:v>
      </x:c>
      <x:c r="J34" s="853" t="str">
        <x:v>High</x:v>
      </x:c>
      <x:c r="K34" s="853" t="str">
        <x:v>Draft Complete</x:v>
      </x:c>
      <x:c r="L34" s="854"/>
    </x:row>
    <x:row r="35">
      <x:c r="A35" s="847" t="str">
        <x:v>S1011-EVT-006</x:v>
      </x:c>
      <x:c r="B35" s="114" t="str">
        <x:v>Event</x:v>
      </x:c>
      <x:c r="C35" s="114" t="str">
        <x:v>skill.proposal.created.v1</x:v>
      </x:c>
      <x:c r="D35" s="114" t="str">
        <x:v>Package proposal created.</x:v>
      </x:c>
      <x:c r="E35" s="114" t="str">
        <x:v>Proposal Generator/Owner</x:v>
      </x:c>
      <x:c r="F35" s="114" t="str">
        <x:v>Registry/review</x:v>
      </x:c>
      <x:c r="G35" s="114" t="str">
        <x:v>proposal/package/source/risk refs</x:v>
      </x:c>
      <x:c r="H35" s="114" t="str">
        <x:v>Not deployable.</x:v>
      </x:c>
      <x:c r="I35" s="114" t="str">
        <x:v>Stage 11</x:v>
      </x:c>
      <x:c r="J35" s="114" t="str">
        <x:v>High</x:v>
      </x:c>
      <x:c r="K35" s="114" t="str">
        <x:v>Draft Complete</x:v>
      </x:c>
      <x:c r="L35" s="848"/>
    </x:row>
    <x:row r="36">
      <x:c r="A36" s="852" t="str">
        <x:v>S1011-EVT-007</x:v>
      </x:c>
      <x:c r="B36" s="853" t="str">
        <x:v>Event</x:v>
      </x:c>
      <x:c r="C36" s="853" t="str">
        <x:v>skill.eval.run.completed.v1</x:v>
      </x:c>
      <x:c r="D36" s="853" t="str">
        <x:v>Evaluation run completed.</x:v>
      </x:c>
      <x:c r="E36" s="853" t="str">
        <x:v>Evaluation Orchestrator</x:v>
      </x:c>
      <x:c r="F36" s="853" t="str">
        <x:v>Registry/review/monitoring</x:v>
      </x:c>
      <x:c r="G36" s="853" t="str">
        <x:v>suite/result/version/thresholds</x:v>
      </x:c>
      <x:c r="H36" s="853" t="str">
        <x:v>Reproducible result refs.</x:v>
      </x:c>
      <x:c r="I36" s="853" t="str">
        <x:v>Stage 11</x:v>
      </x:c>
      <x:c r="J36" s="853" t="str">
        <x:v>Critical</x:v>
      </x:c>
      <x:c r="K36" s="853" t="str">
        <x:v>Draft Complete</x:v>
      </x:c>
      <x:c r="L36" s="854"/>
    </x:row>
    <x:row r="37">
      <x:c r="A37" s="847" t="str">
        <x:v>S1011-EVT-008</x:v>
      </x:c>
      <x:c r="B37" s="114" t="str">
        <x:v>Event</x:v>
      </x:c>
      <x:c r="C37" s="114" t="str">
        <x:v>skill.review.decision.recorded.v1</x:v>
      </x:c>
      <x:c r="D37" s="114" t="str">
        <x:v>Required package review decision recorded.</x:v>
      </x:c>
      <x:c r="E37" s="114" t="str">
        <x:v>Workflow</x:v>
      </x:c>
      <x:c r="F37" s="114" t="str">
        <x:v>Registry/CI/deployment</x:v>
      </x:c>
      <x:c r="G37" s="114" t="str">
        <x:v>review type/decision/conditions</x:v>
      </x:c>
      <x:c r="H37" s="114" t="str">
        <x:v>Human rationale required.</x:v>
      </x:c>
      <x:c r="I37" s="114" t="str">
        <x:v>Stage 11</x:v>
      </x:c>
      <x:c r="J37" s="114" t="str">
        <x:v>Critical</x:v>
      </x:c>
      <x:c r="K37" s="114" t="str">
        <x:v>Draft Complete</x:v>
      </x:c>
      <x:c r="L37" s="848"/>
    </x:row>
    <x:row r="38">
      <x:c r="A38" s="852" t="str">
        <x:v>S1011-EVT-009</x:v>
      </x:c>
      <x:c r="B38" s="853" t="str">
        <x:v>Event</x:v>
      </x:c>
      <x:c r="C38" s="853" t="str">
        <x:v>skill.package.attested.v1</x:v>
      </x:c>
      <x:c r="D38" s="853" t="str">
        <x:v>Package signature/provenance/BOM attached.</x:v>
      </x:c>
      <x:c r="E38" s="853" t="str">
        <x:v>CI/Package Store</x:v>
      </x:c>
      <x:c r="F38" s="853" t="str">
        <x:v>Registry/runtime</x:v>
      </x:c>
      <x:c r="G38" s="853" t="str">
        <x:v>digest/attestation refs</x:v>
      </x:c>
      <x:c r="H38" s="853" t="str">
        <x:v>Runtime verification input.</x:v>
      </x:c>
      <x:c r="I38" s="853" t="str">
        <x:v>Stage 11</x:v>
      </x:c>
      <x:c r="J38" s="853" t="str">
        <x:v>Critical</x:v>
      </x:c>
      <x:c r="K38" s="853" t="str">
        <x:v>Draft Complete</x:v>
      </x:c>
      <x:c r="L38" s="854"/>
    </x:row>
    <x:row r="39">
      <x:c r="A39" s="847" t="str">
        <x:v>S1011-EVT-010</x:v>
      </x:c>
      <x:c r="B39" s="114" t="str">
        <x:v>Event</x:v>
      </x:c>
      <x:c r="C39" s="114" t="str">
        <x:v>skill.canary.exposure.changed.v1</x:v>
      </x:c>
      <x:c r="D39" s="114" t="str">
        <x:v>Canary cohort or percentage changed.</x:v>
      </x:c>
      <x:c r="E39" s="114" t="str">
        <x:v>Deployment Controller</x:v>
      </x:c>
      <x:c r="F39" s="114" t="str">
        <x:v>Monitoring/audit</x:v>
      </x:c>
      <x:c r="G39" s="114" t="str">
        <x:v>package/cohort/exposure/reason</x:v>
      </x:c>
      <x:c r="H39" s="114" t="str">
        <x:v>PII-minimised.</x:v>
      </x:c>
      <x:c r="I39" s="114" t="str">
        <x:v>Stage 11</x:v>
      </x:c>
      <x:c r="J39" s="114" t="str">
        <x:v>High</x:v>
      </x:c>
      <x:c r="K39" s="114" t="str">
        <x:v>Draft Complete</x:v>
      </x:c>
      <x:c r="L39" s="848"/>
    </x:row>
    <x:row r="40">
      <x:c r="A40" s="852" t="str">
        <x:v>S1011-EVT-011</x:v>
      </x:c>
      <x:c r="B40" s="853" t="str">
        <x:v>Event</x:v>
      </x:c>
      <x:c r="C40" s="853" t="str">
        <x:v>skill.deployment.state.changed.v1</x:v>
      </x:c>
      <x:c r="D40" s="853" t="str">
        <x:v>Package canary/active/paused/rollback/deprecated state changed.</x:v>
      </x:c>
      <x:c r="E40" s="853" t="str">
        <x:v>Registry/Deployment</x:v>
      </x:c>
      <x:c r="F40" s="853" t="str">
        <x:v>Runtime resolver/UX/audit</x:v>
      </x:c>
      <x:c r="G40" s="853" t="str">
        <x:v>package/old/new/reason</x:v>
      </x:c>
      <x:c r="H40" s="853" t="str">
        <x:v>Versioned and auditable.</x:v>
      </x:c>
      <x:c r="I40" s="853" t="str">
        <x:v>Stage 11</x:v>
      </x:c>
      <x:c r="J40" s="853" t="str">
        <x:v>Critical</x:v>
      </x:c>
      <x:c r="K40" s="853" t="str">
        <x:v>Draft Complete</x:v>
      </x:c>
      <x:c r="L40" s="854"/>
    </x:row>
    <x:row r="41">
      <x:c r="A41" s="847" t="str">
        <x:v>S1011-EVT-012</x:v>
      </x:c>
      <x:c r="B41" s="114" t="str">
        <x:v>Event</x:v>
      </x:c>
      <x:c r="C41" s="114" t="str">
        <x:v>skill.monitoring.alert.created.v1</x:v>
      </x:c>
      <x:c r="D41" s="114" t="str">
        <x:v>Post-deployment metric or incident threshold breached.</x:v>
      </x:c>
      <x:c r="E41" s="114" t="str">
        <x:v>Monitoring</x:v>
      </x:c>
      <x:c r="F41" s="114" t="str">
        <x:v>Owner/governance/deployment</x:v>
      </x:c>
      <x:c r="G41" s="114" t="str">
        <x:v>package/metric/severity/evidence refs</x:v>
      </x:c>
      <x:c r="H41" s="114" t="str">
        <x:v>No employee ranking.</x:v>
      </x:c>
      <x:c r="I41" s="114" t="str">
        <x:v>Stage 11</x:v>
      </x:c>
      <x:c r="J41" s="114" t="str">
        <x:v>Critical</x:v>
      </x:c>
      <x:c r="K41" s="114" t="str">
        <x:v>Draft Complete</x:v>
      </x:c>
      <x:c r="L41" s="848"/>
    </x:row>
    <x:row r="42">
      <x:c r="A42" s="852" t="str">
        <x:v>S1011-EVT-013</x:v>
      </x:c>
      <x:c r="B42" s="853" t="str">
        <x:v>Event</x:v>
      </x:c>
      <x:c r="C42" s="853" t="str">
        <x:v>skill.version.rolled_back.v1</x:v>
      </x:c>
      <x:c r="D42" s="853" t="str">
        <x:v>Version rolled back and impact review opened.</x:v>
      </x:c>
      <x:c r="E42" s="853" t="str">
        <x:v>Deployment/Incident</x:v>
      </x:c>
      <x:c r="F42" s="853" t="str">
        <x:v>Runtime/governance/affected domains</x:v>
      </x:c>
      <x:c r="G42" s="853" t="str">
        <x:v>from/to/reason/affected refs</x:v>
      </x:c>
      <x:c r="H42" s="853" t="str">
        <x:v>Prior findings reviewed.</x:v>
      </x:c>
      <x:c r="I42" s="853" t="str">
        <x:v>Stage 11</x:v>
      </x:c>
      <x:c r="J42" s="853" t="str">
        <x:v>Critical</x:v>
      </x:c>
      <x:c r="K42" s="853" t="str">
        <x:v>Draft Complete</x:v>
      </x:c>
      <x:c r="L42" s="854"/>
    </x:row>
    <x:row r="43">
      <x:c r="A43" s="849" t="str">
        <x:v>S1011-EVT-014</x:v>
      </x:c>
      <x:c r="B43" s="850" t="str">
        <x:v>Event</x:v>
      </x:c>
      <x:c r="C43" s="850" t="str">
        <x:v>skill.source.status.changed.v1</x:v>
      </x:c>
      <x:c r="D43" s="850" t="str">
        <x:v>Source became stale, superseded, unavailable or licence-restricted.</x:v>
      </x:c>
      <x:c r="E43" s="850" t="str">
        <x:v>Source Registry</x:v>
      </x:c>
      <x:c r="F43" s="850" t="str">
        <x:v>Skill Owner/Evaluation/Registry</x:v>
      </x:c>
      <x:c r="G43" s="850" t="str">
        <x:v>source/status/affected packages</x:v>
      </x:c>
      <x:c r="H43" s="850" t="str">
        <x:v>Can trigger re-evaluation/pause.</x:v>
      </x:c>
      <x:c r="I43" s="850" t="str">
        <x:v>Stage 11</x:v>
      </x:c>
      <x:c r="J43" s="850" t="str">
        <x:v>High</x:v>
      </x:c>
      <x:c r="K43" s="850" t="str">
        <x:v>Draft Complete</x:v>
      </x:c>
      <x:c r="L43" s="851"/>
    </x:row>
  </x:sheetData>
  <x:mergeCells>
    <x:mergeCell ref="A1:L1"/>
    <x:mergeCell ref="A2:L2"/>
  </x:mergeCells>
  <x:dataValidations count="3">
    <x:dataValidation type="list" sqref="J5:J43">
      <x:formula1>"Stage 10,Stage 11"</x:formula1>
    </x:dataValidation>
    <x:dataValidation type="list" sqref="K5:K43">
      <x:formula1>"Critical,High,Medium,Low"</x:formula1>
    </x:dataValidation>
    <x:dataValidation type="list" sqref="L5:L43">
      <x:formula1>"Draft Complete,Needs Review,Approved,Deferred"</x:formula1>
    </x:dataValidation>
  </x:dataValidations>
  <x:pageMargins left="0.7" right="0.7" top="0.75" bottom="0.75" header="0.3" footer="0.3"/>
</x:worksheet>
</file>

<file path=xl/worksheets/sheet157.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2" hidden="0" customWidth="1"/>
    <x:col min="15" max="15" width="30" hidden="0" customWidth="1"/>
  </x:cols>
  <x:sheetData>
    <x:row r="1" ht="30" customHeight="1">
      <x:c r="A1" s="809" t="str">
        <x:v>Stage 10 — Employee, Manager, Reviewer and Governance Experience Backlog</x:v>
      </x:c>
      <x:c r="B1" s="809"/>
      <x:c r="C1" s="809"/>
      <x:c r="D1" s="809"/>
      <x:c r="E1" s="809"/>
      <x:c r="F1" s="809"/>
      <x:c r="G1" s="809"/>
      <x:c r="H1" s="809"/>
      <x:c r="I1" s="809"/>
      <x:c r="J1" s="809"/>
      <x:c r="K1" s="809"/>
      <x:c r="L1" s="809"/>
      <x:c r="M1" s="809"/>
      <x:c r="N1" s="809"/>
      <x:c r="O1" s="809"/>
    </x:row>
    <x:row r="2" ht="38" customHeight="1">
      <x:c r="A2" s="813" t="str">
        <x:v>Implementation-ready backlog covering HumanOS frontend reuse, audience BFFs/read models, employee/manager/reviewer experiences, evidence/privacy, accessibility, user research and end-to-end validation.</x:v>
      </x:c>
      <x:c r="B2" s="813"/>
      <x:c r="C2" s="813"/>
      <x:c r="D2" s="813"/>
      <x:c r="E2" s="813"/>
      <x:c r="F2" s="813"/>
      <x:c r="G2" s="813"/>
      <x:c r="H2" s="813"/>
      <x:c r="I2" s="813"/>
      <x:c r="J2" s="813"/>
      <x:c r="K2" s="813"/>
      <x:c r="L2" s="813"/>
      <x:c r="M2" s="813"/>
      <x:c r="N2" s="813"/>
      <x:c r="O2" s="813"/>
    </x:row>
    <x:row r="4" ht="30" customHeight="1">
      <x:c r="A4" s="825" t="str">
        <x:v>ID</x:v>
      </x:c>
      <x:c r="B4" s="826" t="str">
        <x:v>Workstream</x:v>
      </x:c>
      <x:c r="C4" s="826" t="str">
        <x:v>Task</x:v>
      </x:c>
      <x:c r="D4" s="826" t="str">
        <x:v>Description</x:v>
      </x:c>
      <x:c r="E4" s="826" t="str">
        <x:v>Owner</x:v>
      </x:c>
      <x:c r="F4" s="826" t="str">
        <x:v>Contributors</x:v>
      </x:c>
      <x:c r="G4" s="826" t="str">
        <x:v>Dependencies</x:v>
      </x:c>
      <x:c r="H4" s="826" t="str">
        <x:v>Priority</x:v>
      </x:c>
      <x:c r="I4" s="826" t="str">
        <x:v>Status</x:v>
      </x:c>
      <x:c r="J4" s="826" t="str">
        <x:v>Completion</x:v>
      </x:c>
      <x:c r="K4" s="826" t="str">
        <x:v>Effort days</x:v>
      </x:c>
      <x:c r="L4" s="826" t="str">
        <x:v>Deliverable</x:v>
      </x:c>
      <x:c r="M4" s="826" t="str">
        <x:v>Acceptance criteria</x:v>
      </x:c>
      <x:c r="N4" s="826" t="str">
        <x:v>Privacy/security impact</x:v>
      </x:c>
      <x:c r="O4" s="827" t="str">
        <x:v>Source / basis</x:v>
      </x:c>
    </x:row>
    <x:row r="5">
      <x:c r="A5" s="844" t="str">
        <x:v>S10-BL-001</x:v>
      </x:c>
      <x:c r="B5" s="845" t="str">
        <x:v>Platform inventory</x:v>
      </x:c>
      <x:c r="C5" s="845" t="str">
        <x:v>Confirm HumanOS frontend and design-system baseline</x:v>
      </x:c>
      <x:c r="D5" s="845" t="str">
        <x:v>Inventory framework, component library, routing, auth, i18n, analytics, feature flags and existing BFF patterns before implementation.</x:v>
      </x:c>
      <x:c r="E5" s="845" t="str">
        <x:v>Experience Architect</x:v>
      </x:c>
      <x:c r="F5" s="845" t="str">
        <x:v>Frontend Platform/Architecture/Accessibility</x:v>
      </x:c>
      <x:c r="G5" s="845" t="str">
        <x:v>Stages 0–9; HumanOS repos</x:v>
      </x:c>
      <x:c r="H5" s="845" t="str">
        <x:v>Critical</x:v>
      </x:c>
      <x:c r="I5" s="845" t="str">
        <x:v>Not Started</x:v>
      </x:c>
      <x:c r="J5" s="858" t="n">
        <x:f>IF(I5="Approved",1,IF(I5="Draft Complete",0.8,IF(I5="In Review",0.6,IF(I5="In Progress",0.4,IF(I5="Blocked",0,0)))))</x:f>
        <x:v>0</x:v>
      </x:c>
      <x:c r="K5" s="845" t="n">
        <x:v>5</x:v>
      </x:c>
      <x:c r="L5" s="845" t="str">
        <x:v>Frontend/platform capability matrix</x:v>
      </x:c>
      <x:c r="M5" s="845" t="str">
        <x:v>Architecture Board confirms reuse/gaps and no unjustified parallel framework.</x:v>
      </x:c>
      <x:c r="N5" s="845" t="str">
        <x:v>Avoid duplicate auth/policy/design systems.</x:v>
      </x:c>
      <x:c r="O5" s="846" t="str">
        <x:v>Experience Architecture</x:v>
      </x:c>
    </x:row>
    <x:row r="6">
      <x:c r="A6" s="852" t="str">
        <x:v>S10-BL-002</x:v>
      </x:c>
      <x:c r="B6" s="853" t="str">
        <x:v>Design system</x:v>
      </x:c>
      <x:c r="C6" s="853" t="str">
        <x:v>Define Work Intelligence design tokens and accessible components</x:v>
      </x:c>
      <x:c r="D6" s="853" t="str">
        <x:v>Extend existing design system for evidence status, confidence, gaps, timelines, reviews, skill tree and privacy controls.</x:v>
      </x:c>
      <x:c r="E6" s="853" t="str">
        <x:v>Design System Lead</x:v>
      </x:c>
      <x:c r="F6" s="853" t="str">
        <x:v>UX/Accessibility/Frontend/DPO</x:v>
      </x:c>
      <x:c r="G6" s="853" t="str">
        <x:v>S10-BL-001</x:v>
      </x:c>
      <x:c r="H6" s="853" t="str">
        <x:v>Critical</x:v>
      </x:c>
      <x:c r="I6" s="853" t="str">
        <x:v>Not Started</x:v>
      </x:c>
      <x:c r="J6" s="859" t="n">
        <x:f>IF(I6="Approved",1,IF(I6="Draft Complete",0.8,IF(I6="In Review",0.6,IF(I6="In Progress",0.4,IF(I6="Blocked",0,0)))))</x:f>
        <x:v>0</x:v>
      </x:c>
      <x:c r="K6" s="853" t="n">
        <x:v>15</x:v>
      </x:c>
      <x:c r="L6" s="853" t="str">
        <x:v>Component/token library</x:v>
      </x:c>
      <x:c r="M6" s="853" t="str">
        <x:v>Components meet WCAG 2.2 AA target in isolated and composed tests.</x:v>
      </x:c>
      <x:c r="N6" s="853" t="str">
        <x:v>No deceptive or surveillance-oriented patterns.</x:v>
      </x:c>
      <x:c r="O6" s="854" t="str">
        <x:v>WCAG/APG/GOV.UK</x:v>
      </x:c>
    </x:row>
    <x:row r="7">
      <x:c r="A7" s="847" t="str">
        <x:v>S10-BL-003</x:v>
      </x:c>
      <x:c r="B7" s="114" t="str">
        <x:v>Read models</x:v>
      </x:c>
      <x:c r="C7" s="114" t="str">
        <x:v>Implement audience-specific read-model projectors</x:v>
      </x:c>
      <x:c r="D7" s="114" t="str">
        <x:v>Create employee, manager, reviewer, governance, privacy, notification and search read models from reviewed events.</x:v>
      </x:c>
      <x:c r="E7" s="114" t="str">
        <x:v>Backend/BFF Lead</x:v>
      </x:c>
      <x:c r="F7" s="114" t="str">
        <x:v>Data/Domain Teams/Security</x:v>
      </x:c>
      <x:c r="G7" s="114" t="str">
        <x:v>S10-BL-001; Stages 4,7,8,9</x:v>
      </x:c>
      <x:c r="H7" s="114" t="str">
        <x:v>Critical</x:v>
      </x:c>
      <x:c r="I7" s="114" t="str">
        <x:v>Not Started</x:v>
      </x:c>
      <x:c r="J7" s="135" t="n">
        <x:f>IF(I7="Approved",1,IF(I7="Draft Complete",0.8,IF(I7="In Review",0.6,IF(I7="In Progress",0.4,IF(I7="Blocked",0,0)))))</x:f>
        <x:v>0</x:v>
      </x:c>
      <x:c r="K7" s="114" t="n">
        <x:v>18</x:v>
      </x:c>
      <x:c r="L7" s="114" t="str">
        <x:v>Read-model services/migrations</x:v>
      </x:c>
      <x:c r="M7" s="114" t="str">
        <x:v>Version/freshness/access fields and prohibited-content tests pass.</x:v>
      </x:c>
      <x:c r="N7" s="114" t="str">
        <x:v>No direct unrestricted raw telemetry.</x:v>
      </x:c>
      <x:c r="O7" s="848" t="str">
        <x:v>Reporting Read Models</x:v>
      </x:c>
    </x:row>
    <x:row r="8">
      <x:c r="A8" s="852" t="str">
        <x:v>S10-BL-004</x:v>
      </x:c>
      <x:c r="B8" s="853" t="str">
        <x:v>BFF/API</x:v>
      </x:c>
      <x:c r="C8" s="853" t="str">
        <x:v>Implement Employee Experience BFF</x:v>
      </x:c>
      <x:c r="D8" s="853" t="str">
        <x:v>Aggregate tasks, evidence, capability, coaching, learning, privacy and reviews.</x:v>
      </x:c>
      <x:c r="E8" s="853" t="str">
        <x:v>Backend Experience Lead</x:v>
      </x:c>
      <x:c r="F8" s="853" t="str">
        <x:v>Domain/API/Frontend</x:v>
      </x:c>
      <x:c r="G8" s="853" t="str">
        <x:v>S10-BL-003</x:v>
      </x:c>
      <x:c r="H8" s="853" t="str">
        <x:v>Critical</x:v>
      </x:c>
      <x:c r="I8" s="853" t="str">
        <x:v>Not Started</x:v>
      </x:c>
      <x:c r="J8" s="859" t="n">
        <x:f>IF(I8="Approved",1,IF(I8="Draft Complete",0.8,IF(I8="In Review",0.6,IF(I8="In Progress",0.4,IF(I8="Blocked",0,0)))))</x:f>
        <x:v>0</x:v>
      </x:c>
      <x:c r="K8" s="853" t="n">
        <x:v>14</x:v>
      </x:c>
      <x:c r="L8" s="853" t="str">
        <x:v>Employee BFF/OpenAPI</x:v>
      </x:c>
      <x:c r="M8" s="853" t="str">
        <x:v>Self-scope, policy filtering, degraded state and contract tests pass.</x:v>
      </x:c>
      <x:c r="N8" s="853" t="str">
        <x:v>Evidence refs not raw secrets.</x:v>
      </x:c>
      <x:c r="O8" s="854" t="str">
        <x:v>Experience Architecture</x:v>
      </x:c>
    </x:row>
    <x:row r="9">
      <x:c r="A9" s="847" t="str">
        <x:v>S10-BL-005</x:v>
      </x:c>
      <x:c r="B9" s="114" t="str">
        <x:v>BFF/API</x:v>
      </x:c>
      <x:c r="C9" s="114" t="str">
        <x:v>Implement Manager, Reviewer and Governance BFFs</x:v>
      </x:c>
      <x:c r="D9" s="114" t="str">
        <x:v>Create exception-led manager, case-based reviewer and restricted governance APIs.</x:v>
      </x:c>
      <x:c r="E9" s="114" t="str">
        <x:v>Backend Experience Lead</x:v>
      </x:c>
      <x:c r="F9" s="114" t="str">
        <x:v>HR/DPO/Security/Domain APIs</x:v>
      </x:c>
      <x:c r="G9" s="114" t="str">
        <x:v>S10-BL-003</x:v>
      </x:c>
      <x:c r="H9" s="114" t="str">
        <x:v>Critical</x:v>
      </x:c>
      <x:c r="I9" s="114" t="str">
        <x:v>Not Started</x:v>
      </x:c>
      <x:c r="J9" s="135" t="n">
        <x:f>IF(I9="Approved",1,IF(I9="Draft Complete",0.8,IF(I9="In Review",0.6,IF(I9="In Progress",0.4,IF(I9="Blocked",0,0)))))</x:f>
        <x:v>0</x:v>
      </x:c>
      <x:c r="K9" s="114" t="n">
        <x:v>18</x:v>
      </x:c>
      <x:c r="L9" s="114" t="str">
        <x:v>Manager/reviewer/governance BFFs</x:v>
      </x:c>
      <x:c r="M9" s="114" t="str">
        <x:v>Audience data-boundary and raw-access grant tests pass.</x:v>
      </x:c>
      <x:c r="N9" s="114" t="str">
        <x:v>No live surveillance or private coaching leakage.</x:v>
      </x:c>
      <x:c r="O9" s="848" t="str">
        <x:v>Experience Architecture</x:v>
      </x:c>
    </x:row>
    <x:row r="10">
      <x:c r="A10" s="852" t="str">
        <x:v>S10-BL-006</x:v>
      </x:c>
      <x:c r="B10" s="853" t="str">
        <x:v>Employee UX</x:v>
      </x:c>
      <x:c r="C10" s="853" t="str">
        <x:v>Build employee workspace shell and task/session experience</x:v>
      </x:c>
      <x:c r="D10" s="853" t="str">
        <x:v>Implement today/tasks, monitoring status, task contract, progress, support and notifications.</x:v>
      </x:c>
      <x:c r="E10" s="853" t="str">
        <x:v>Employee Product Lead</x:v>
      </x:c>
      <x:c r="F10" s="853" t="str">
        <x:v>Frontend/Desktop/Backend/Accessibility</x:v>
      </x:c>
      <x:c r="G10" s="853" t="str">
        <x:v>S10-BL-002,S10-BL-004</x:v>
      </x:c>
      <x:c r="H10" s="853" t="str">
        <x:v>Critical</x:v>
      </x:c>
      <x:c r="I10" s="853" t="str">
        <x:v>Not Started</x:v>
      </x:c>
      <x:c r="J10" s="859" t="n">
        <x:f>IF(I10="Approved",1,IF(I10="Draft Complete",0.8,IF(I10="In Review",0.6,IF(I10="In Progress",0.4,IF(I10="Blocked",0,0)))))</x:f>
        <x:v>0</x:v>
      </x:c>
      <x:c r="K10" s="853" t="n">
        <x:v>18</x:v>
      </x:c>
      <x:c r="L10" s="853" t="str">
        <x:v>Employee workspace v1</x:v>
      </x:c>
      <x:c r="M10" s="853" t="str">
        <x:v>UJ-001 and monitoring/privacy acceptance tests pass.</x:v>
      </x:c>
      <x:c r="N10" s="853" t="str">
        <x:v>Visible capture and no dark patterns.</x:v>
      </x:c>
      <x:c r="O10" s="854" t="str">
        <x:v>Employee Workspace</x:v>
      </x:c>
    </x:row>
    <x:row r="11">
      <x:c r="A11" s="847" t="str">
        <x:v>S10-BL-007</x:v>
      </x:c>
      <x:c r="B11" s="114" t="str">
        <x:v>Evidence UX</x:v>
      </x:c>
      <x:c r="C11" s="114" t="str">
        <x:v>Build evidence timeline and provenance experience</x:v>
      </x:c>
      <x:c r="D11" s="114" t="str">
        <x:v>Implement semantic-first timeline, episodes, artefacts, gaps, visual thumbnails, corrections, versions and grant drill-down.</x:v>
      </x:c>
      <x:c r="E11" s="114" t="str">
        <x:v>Evidence UX Lead</x:v>
      </x:c>
      <x:c r="F11" s="114" t="str">
        <x:v>Frontend/Replay/Provenance/Accessibility</x:v>
      </x:c>
      <x:c r="G11" s="114" t="str">
        <x:v>S10-BL-002,S10-BL-004</x:v>
      </x:c>
      <x:c r="H11" s="114" t="str">
        <x:v>Critical</x:v>
      </x:c>
      <x:c r="I11" s="114" t="str">
        <x:v>Not Started</x:v>
      </x:c>
      <x:c r="J11" s="135" t="n">
        <x:f>IF(I11="Approved",1,IF(I11="Draft Complete",0.8,IF(I11="In Review",0.6,IF(I11="In Progress",0.4,IF(I11="Blocked",0,0)))))</x:f>
        <x:v>0</x:v>
      </x:c>
      <x:c r="K11" s="114" t="n">
        <x:v>22</x:v>
      </x:c>
      <x:c r="L11" s="114" t="str">
        <x:v>Evidence timeline v1</x:v>
      </x:c>
      <x:c r="M11" s="114" t="str">
        <x:v>UJ-002/003/011/013/016 and large-data performance tests pass.</x:v>
      </x:c>
      <x:c r="N11" s="114" t="str">
        <x:v>No screenshot firehose; grant-controlled raw evidence.</x:v>
      </x:c>
      <x:c r="O11" s="848" t="str">
        <x:v>Evidence Timeline UX</x:v>
      </x:c>
    </x:row>
    <x:row r="12">
      <x:c r="A12" s="852" t="str">
        <x:v>S10-BL-008</x:v>
      </x:c>
      <x:c r="B12" s="853" t="str">
        <x:v>Capability UX</x:v>
      </x:c>
      <x:c r="C12" s="853" t="str">
        <x:v>Build capability character, skill tree and role-readiness path</x:v>
      </x:c>
      <x:c r="D12" s="853" t="str">
        <x:v>Implement private professional capability experience with text/table alternatives.</x:v>
      </x:c>
      <x:c r="E12" s="853" t="str">
        <x:v>Capability Experience Lead</x:v>
      </x:c>
      <x:c r="F12" s="853" t="str">
        <x:v>Frontend/Capability/L&amp;D/Accessibility</x:v>
      </x:c>
      <x:c r="G12" s="853" t="str">
        <x:v>S10-BL-002,S10-BL-004</x:v>
      </x:c>
      <x:c r="H12" s="853" t="str">
        <x:v>High</x:v>
      </x:c>
      <x:c r="I12" s="853" t="str">
        <x:v>Not Started</x:v>
      </x:c>
      <x:c r="J12" s="859" t="n">
        <x:f>IF(I12="Approved",1,IF(I12="Draft Complete",0.8,IF(I12="In Review",0.6,IF(I12="In Progress",0.4,IF(I12="Blocked",0,0)))))</x:f>
        <x:v>0</x:v>
      </x:c>
      <x:c r="K12" s="853" t="n">
        <x:v>18</x:v>
      </x:c>
      <x:c r="L12" s="853" t="str">
        <x:v>Capability character v1</x:v>
      </x:c>
      <x:c r="M12" s="853" t="str">
        <x:v>UJ-014/015 and accessible skill-tree tests pass.</x:v>
      </x:c>
      <x:c r="N12" s="853" t="str">
        <x:v>No public ranking or permanent labels.</x:v>
      </x:c>
      <x:c r="O12" s="854" t="str">
        <x:v>Capability Character UX</x:v>
      </x:c>
    </x:row>
    <x:row r="13">
      <x:c r="A13" s="847" t="str">
        <x:v>S10-BL-009</x:v>
      </x:c>
      <x:c r="B13" s="114" t="str">
        <x:v>Coaching UX</x:v>
      </x:c>
      <x:c r="C13" s="114" t="str">
        <x:v>Build private coaching and learning experience</x:v>
      </x:c>
      <x:c r="D13" s="114" t="str">
        <x:v>Implement coaching inbox, preferences, lesson/practice, learning plan, mentor and feedback.</x:v>
      </x:c>
      <x:c r="E13" s="114" t="str">
        <x:v>Growth Experience Lead</x:v>
      </x:c>
      <x:c r="F13" s="114" t="str">
        <x:v>Frontend/Coaching/Learning/Accessibility</x:v>
      </x:c>
      <x:c r="G13" s="114" t="str">
        <x:v>S10-BL-002,S10-BL-004</x:v>
      </x:c>
      <x:c r="H13" s="114" t="str">
        <x:v>Critical</x:v>
      </x:c>
      <x:c r="I13" s="114" t="str">
        <x:v>Not Started</x:v>
      </x:c>
      <x:c r="J13" s="135" t="n">
        <x:f>IF(I13="Approved",1,IF(I13="Draft Complete",0.8,IF(I13="In Review",0.6,IF(I13="In Progress",0.4,IF(I13="Blocked",0,0)))))</x:f>
        <x:v>0</x:v>
      </x:c>
      <x:c r="K13" s="114" t="n">
        <x:v>20</x:v>
      </x:c>
      <x:c r="L13" s="114" t="str">
        <x:v>Coaching/learning UX v1</x:v>
      </x:c>
      <x:c r="M13" s="114" t="str">
        <x:v>UJ-005/006/008 and privacy-boundary tests pass.</x:v>
      </x:c>
      <x:c r="N13" s="114" t="str">
        <x:v>No manager transcript or punitive feedback use.</x:v>
      </x:c>
      <x:c r="O13" s="848" t="str">
        <x:v>Coaching and Learning UX</x:v>
      </x:c>
    </x:row>
    <x:row r="14">
      <x:c r="A14" s="852" t="str">
        <x:v>S10-BL-010</x:v>
      </x:c>
      <x:c r="B14" s="853" t="str">
        <x:v>Privacy UX</x:v>
      </x:c>
      <x:c r="C14" s="853" t="str">
        <x:v>Build privacy centre and evidence-access history</x:v>
      </x:c>
      <x:c r="D14" s="853" t="str">
        <x:v>Implement policies, sensors, exclusions, pause/private, retention, access, export and support.</x:v>
      </x:c>
      <x:c r="E14" s="853" t="str">
        <x:v>Privacy Product Lead</x:v>
      </x:c>
      <x:c r="F14" s="853" t="str">
        <x:v>Frontend/Policy/Audit/Retention/DPO</x:v>
      </x:c>
      <x:c r="G14" s="853" t="str">
        <x:v>S10-BL-002,S10-BL-004</x:v>
      </x:c>
      <x:c r="H14" s="853" t="str">
        <x:v>Critical</x:v>
      </x:c>
      <x:c r="I14" s="853" t="str">
        <x:v>Not Started</x:v>
      </x:c>
      <x:c r="J14" s="859" t="n">
        <x:f>IF(I14="Approved",1,IF(I14="Draft Complete",0.8,IF(I14="In Review",0.6,IF(I14="In Progress",0.4,IF(I14="Blocked",0,0)))))</x:f>
        <x:v>0</x:v>
      </x:c>
      <x:c r="K14" s="853" t="n">
        <x:v>18</x:v>
      </x:c>
      <x:c r="L14" s="853" t="str">
        <x:v>Privacy centre v1</x:v>
      </x:c>
      <x:c r="M14" s="853" t="str">
        <x:v>UJ-007/010 and access/deletion/export journeys pass.</x:v>
      </x:c>
      <x:c r="N14" s="853" t="str">
        <x:v>No hidden monitoring/access.</x:v>
      </x:c>
      <x:c r="O14" s="854" t="str">
        <x:v>Access and Privacy UX</x:v>
      </x:c>
    </x:row>
    <x:row r="15">
      <x:c r="A15" s="847" t="str">
        <x:v>S10-BL-011</x:v>
      </x:c>
      <x:c r="B15" s="114" t="str">
        <x:v>Manager UX</x:v>
      </x:c>
      <x:c r="C15" s="114" t="str">
        <x:v>Build exception-led manager console</x:v>
      </x:c>
      <x:c r="D15" s="114" t="str">
        <x:v>Implement blockers, criteria/gates, review workload, development summary and access-request flow.</x:v>
      </x:c>
      <x:c r="E15" s="114" t="str">
        <x:v>Manager Product Lead</x:v>
      </x:c>
      <x:c r="F15" s="114" t="str">
        <x:v>Frontend/Backend/HR/DPO</x:v>
      </x:c>
      <x:c r="G15" s="114" t="str">
        <x:v>S10-BL-002,S10-BL-005</x:v>
      </x:c>
      <x:c r="H15" s="114" t="str">
        <x:v>Critical</x:v>
      </x:c>
      <x:c r="I15" s="114" t="str">
        <x:v>Not Started</x:v>
      </x:c>
      <x:c r="J15" s="135" t="n">
        <x:f>IF(I15="Approved",1,IF(I15="Draft Complete",0.8,IF(I15="In Review",0.6,IF(I15="In Progress",0.4,IF(I15="Blocked",0,0)))))</x:f>
        <x:v>0</x:v>
      </x:c>
      <x:c r="K15" s="114" t="n">
        <x:v>18</x:v>
      </x:c>
      <x:c r="L15" s="114" t="str">
        <x:v>Manager console v1</x:v>
      </x:c>
      <x:c r="M15" s="114" t="str">
        <x:v>UJ-009/010/015 and no-prohibited-metric tests pass.</x:v>
      </x:c>
      <x:c r="N15" s="114" t="str">
        <x:v>No live screen wall or activity score.</x:v>
      </x:c>
      <x:c r="O15" s="848" t="str">
        <x:v>Manager Console</x:v>
      </x:c>
    </x:row>
    <x:row r="16">
      <x:c r="A16" s="852" t="str">
        <x:v>S10-BL-012</x:v>
      </x:c>
      <x:c r="B16" s="853" t="str">
        <x:v>Review/governance UX</x:v>
      </x:c>
      <x:c r="C16" s="853" t="str">
        <x:v>Build reviewer and governance console</x:v>
      </x:c>
      <x:c r="D16" s="853" t="str">
        <x:v>Implement finding package, evidence hierarchy, employee response, decisions, grants, audit, retention, lineage and kill switch.</x:v>
      </x:c>
      <x:c r="E16" s="853" t="str">
        <x:v>Governance Product Lead</x:v>
      </x:c>
      <x:c r="F16" s="853" t="str">
        <x:v>Frontend/Workflow/DPO/CISO/HR</x:v>
      </x:c>
      <x:c r="G16" s="853" t="str">
        <x:v>S10-BL-002,S10-BL-005</x:v>
      </x:c>
      <x:c r="H16" s="853" t="str">
        <x:v>Critical</x:v>
      </x:c>
      <x:c r="I16" s="853" t="str">
        <x:v>Not Started</x:v>
      </x:c>
      <x:c r="J16" s="859" t="n">
        <x:f>IF(I16="Approved",1,IF(I16="Draft Complete",0.8,IF(I16="In Review",0.6,IF(I16="In Progress",0.4,IF(I16="Blocked",0,0)))))</x:f>
        <x:v>0</x:v>
      </x:c>
      <x:c r="K16" s="853" t="n">
        <x:v>22</x:v>
      </x:c>
      <x:c r="L16" s="853" t="str">
        <x:v>Reviewer/governance console v1</x:v>
      </x:c>
      <x:c r="M16" s="853" t="str">
        <x:v>UJ-011/012/013 and human-review/access tests pass.</x:v>
      </x:c>
      <x:c r="N16" s="853" t="str">
        <x:v>Qualified role and case-scoped access.</x:v>
      </x:c>
      <x:c r="O16" s="854" t="str">
        <x:v>Review and Governance Console</x:v>
      </x:c>
    </x:row>
    <x:row r="17">
      <x:c r="A17" s="847" t="str">
        <x:v>S10-BL-013</x:v>
      </x:c>
      <x:c r="B17" s="114" t="str">
        <x:v>Notifications</x:v>
      </x:c>
      <x:c r="C17" s="114" t="str">
        <x:v>Implement notification/inbox and interaction policy</x:v>
      </x:c>
      <x:c r="D17" s="114" t="str">
        <x:v>Add private inbox, digests, status messages, quiet hours, deep links and secure previews.</x:v>
      </x:c>
      <x:c r="E17" s="114" t="str">
        <x:v>Notification Product Lead</x:v>
      </x:c>
      <x:c r="F17" s="114" t="str">
        <x:v>Notification Service/Frontend/Accessibility/Security</x:v>
      </x:c>
      <x:c r="G17" s="114" t="str">
        <x:v>S10-BL-004:S10-BL-012</x:v>
      </x:c>
      <x:c r="H17" s="114" t="str">
        <x:v>High</x:v>
      </x:c>
      <x:c r="I17" s="114" t="str">
        <x:v>Not Started</x:v>
      </x:c>
      <x:c r="J17" s="135" t="n">
        <x:f>IF(I17="Approved",1,IF(I17="Draft Complete",0.8,IF(I17="In Review",0.6,IF(I17="In Progress",0.4,IF(I17="Blocked",0,0)))))</x:f>
        <x:v>0</x:v>
      </x:c>
      <x:c r="K17" s="114" t="n">
        <x:v>12</x:v>
      </x:c>
      <x:c r="L17" s="114" t="str">
        <x:v>Notification experience</x:v>
      </x:c>
      <x:c r="M17" s="114" t="str">
        <x:v>Priority, cooldown, ARIA status and no-sensitive-preview tests pass.</x:v>
      </x:c>
      <x:c r="N17" s="114" t="str">
        <x:v>No spam or private-content leakage.</x:v>
      </x:c>
      <x:c r="O17" s="848" t="str">
        <x:v>Notification and Interaction Model</x:v>
      </x:c>
    </x:row>
    <x:row r="18">
      <x:c r="A18" s="852" t="str">
        <x:v>S10-BL-014</x:v>
      </x:c>
      <x:c r="B18" s="853" t="str">
        <x:v>Search/export</x:v>
      </x:c>
      <x:c r="C18" s="853" t="str">
        <x:v>Implement scoped search and export jobs</x:v>
      </x:c>
      <x:c r="D18" s="853" t="str">
        <x:v>Search approved read models and generate watermarked, expiring, audited exports.</x:v>
      </x:c>
      <x:c r="E18" s="853" t="str">
        <x:v>Experience Platform Lead</x:v>
      </x:c>
      <x:c r="F18" s="853" t="str">
        <x:v>Search/Object/Audit/Security</x:v>
      </x:c>
      <x:c r="G18" s="853" t="str">
        <x:v>S10-BL-003,S10-BL-004,S10-BL-005</x:v>
      </x:c>
      <x:c r="H18" s="853" t="str">
        <x:v>High</x:v>
      </x:c>
      <x:c r="I18" s="853" t="str">
        <x:v>Not Started</x:v>
      </x:c>
      <x:c r="J18" s="859" t="n">
        <x:f>IF(I18="Approved",1,IF(I18="Draft Complete",0.8,IF(I18="In Review",0.6,IF(I18="In Progress",0.4,IF(I18="Blocked",0,0)))))</x:f>
        <x:v>0</x:v>
      </x:c>
      <x:c r="K18" s="853" t="n">
        <x:v>14</x:v>
      </x:c>
      <x:c r="L18" s="853" t="str">
        <x:v>Search/export services</x:v>
      </x:c>
      <x:c r="M18" s="853" t="str">
        <x:v>No cross-person/raw-content search; export scope/expiry/audit pass.</x:v>
      </x:c>
      <x:c r="N18" s="853" t="str">
        <x:v>Prevent uncontrolled copies.</x:v>
      </x:c>
      <x:c r="O18" s="854" t="str">
        <x:v>Reporting Read Models</x:v>
      </x:c>
    </x:row>
    <x:row r="19">
      <x:c r="A19" s="847" t="str">
        <x:v>S10-BL-015</x:v>
      </x:c>
      <x:c r="B19" s="114" t="str">
        <x:v>Accessibility</x:v>
      </x:c>
      <x:c r="C19" s="114" t="str">
        <x:v>Execute WCAG 2.2 AA and assistive-technology programme</x:v>
      </x:c>
      <x:c r="D19" s="114" t="str">
        <x:v>Automated checks, manual keyboard/zoom/reflow, screen-reader, speech-input and disabled-user testing.</x:v>
      </x:c>
      <x:c r="E19" s="114" t="str">
        <x:v>Accessibility Lead</x:v>
      </x:c>
      <x:c r="F19" s="114" t="str">
        <x:v>Design System/QA/Employee Researchers</x:v>
      </x:c>
      <x:c r="G19" s="114" t="str">
        <x:v>S10-BL-002:S10-BL-014</x:v>
      </x:c>
      <x:c r="H19" s="114" t="str">
        <x:v>Critical</x:v>
      </x:c>
      <x:c r="I19" s="114" t="str">
        <x:v>Not Started</x:v>
      </x:c>
      <x:c r="J19" s="135" t="n">
        <x:f>IF(I19="Approved",1,IF(I19="Draft Complete",0.8,IF(I19="In Review",0.6,IF(I19="In Progress",0.4,IF(I19="Blocked",0,0)))))</x:f>
        <x:v>0</x:v>
      </x:c>
      <x:c r="K19" s="114" t="n">
        <x:v>18</x:v>
      </x:c>
      <x:c r="L19" s="114" t="str">
        <x:v>Accessibility conformance/evidence report</x:v>
      </x:c>
      <x:c r="M19" s="114" t="str">
        <x:v>All primary journeys meet target or gate blocks; limitations/remediation explicit.</x:v>
      </x:c>
      <x:c r="N19" s="114" t="str">
        <x:v>No conformance claim from automated testing alone.</x:v>
      </x:c>
      <x:c r="O19" s="848" t="str">
        <x:v>W3C WCAG/APG</x:v>
      </x:c>
    </x:row>
    <x:row r="20">
      <x:c r="A20" s="852" t="str">
        <x:v>S10-BL-016</x:v>
      </x:c>
      <x:c r="B20" s="853" t="str">
        <x:v>Localisation/content</x:v>
      </x:c>
      <x:c r="C20" s="853" t="str">
        <x:v>Implement localisation, plain language and jurisdiction content packs</x:v>
      </x:c>
      <x:c r="D20" s="853" t="str">
        <x:v>UK English baseline, time zones, localisation keys and approved legal/policy text.</x:v>
      </x:c>
      <x:c r="E20" s="853" t="str">
        <x:v>Content/Localisation Lead</x:v>
      </x:c>
      <x:c r="F20" s="853" t="str">
        <x:v>Legal/DPO/Frontend/Product</x:v>
      </x:c>
      <x:c r="G20" s="853" t="str">
        <x:v>S10-BL-002,S10-BL-006:S10-BL-013</x:v>
      </x:c>
      <x:c r="H20" s="853" t="str">
        <x:v>High</x:v>
      </x:c>
      <x:c r="I20" s="853" t="str">
        <x:v>Not Started</x:v>
      </x:c>
      <x:c r="J20" s="859" t="n">
        <x:f>IF(I20="Approved",1,IF(I20="Draft Complete",0.8,IF(I20="In Review",0.6,IF(I20="In Progress",0.4,IF(I20="Blocked",0,0)))))</x:f>
        <x:v>0</x:v>
      </x:c>
      <x:c r="K20" s="853" t="n">
        <x:v>12</x:v>
      </x:c>
      <x:c r="L20" s="853" t="str">
        <x:v>Localised content system</x:v>
      </x:c>
      <x:c r="M20" s="853" t="str">
        <x:v>UJ-018 and content version/reading tests pass.</x:v>
      </x:c>
      <x:c r="N20" s="853" t="str">
        <x:v>No unreviewed machine translation for consequential content.</x:v>
      </x:c>
      <x:c r="O20" s="854" t="str">
        <x:v>Experience Architecture</x:v>
      </x:c>
    </x:row>
    <x:row r="21">
      <x:c r="A21" s="847" t="str">
        <x:v>S10-BL-017</x:v>
      </x:c>
      <x:c r="B21" s="114" t="str">
        <x:v>Security/privacy QA</x:v>
      </x:c>
      <x:c r="C21" s="114" t="str">
        <x:v>Perform frontend/BFF threat, privacy and access testing</x:v>
      </x:c>
      <x:c r="D21" s="114" t="str">
        <x:v>IDOR/tenant, role, evidence grants, caching, exports, previews, telemetry and incident tests.</x:v>
      </x:c>
      <x:c r="E21" s="114" t="str">
        <x:v>Application Security Lead</x:v>
      </x:c>
      <x:c r="F21" s="114" t="str">
        <x:v>QA/DPO/Backend/Frontend</x:v>
      </x:c>
      <x:c r="G21" s="114" t="str">
        <x:v>S10-BL-003:S10-BL-016</x:v>
      </x:c>
      <x:c r="H21" s="114" t="str">
        <x:v>Critical</x:v>
      </x:c>
      <x:c r="I21" s="114" t="str">
        <x:v>Not Started</x:v>
      </x:c>
      <x:c r="J21" s="135" t="n">
        <x:f>IF(I21="Approved",1,IF(I21="Draft Complete",0.8,IF(I21="In Review",0.6,IF(I21="In Progress",0.4,IF(I21="Blocked",0,0)))))</x:f>
        <x:v>0</x:v>
      </x:c>
      <x:c r="K21" s="114" t="n">
        <x:v>16</x:v>
      </x:c>
      <x:c r="L21" s="114" t="str">
        <x:v>Security/privacy test report</x:v>
      </x:c>
      <x:c r="M21" s="114" t="str">
        <x:v>No critical finding or unauthorised raw/private data access.</x:v>
      </x:c>
      <x:c r="N21" s="114" t="str">
        <x:v>No raw evidence in logs/traces/caches.</x:v>
      </x:c>
      <x:c r="O21" s="848" t="str">
        <x:v>Stage 10 Gate</x:v>
      </x:c>
    </x:row>
    <x:row r="22">
      <x:c r="A22" s="852" t="str">
        <x:v>S10-BL-018</x:v>
      </x:c>
      <x:c r="B22" s="853" t="str">
        <x:v>User research</x:v>
      </x:c>
      <x:c r="C22" s="853" t="str">
        <x:v>Run employee, manager, reviewer and DPO usability/trust studies</x:v>
      </x:c>
      <x:c r="D22" s="853" t="str">
        <x:v>Use representative tasks and accessibility participants to evaluate comprehension, burden and agency.</x:v>
      </x:c>
      <x:c r="E22" s="853" t="str">
        <x:v>User Research Lead</x:v>
      </x:c>
      <x:c r="F22" s="853" t="str">
        <x:v>Employee Reps/HR/DPO/Product</x:v>
      </x:c>
      <x:c r="G22" s="853" t="str">
        <x:v>S10-BL-006:S10-BL-016</x:v>
      </x:c>
      <x:c r="H22" s="853" t="str">
        <x:v>Critical</x:v>
      </x:c>
      <x:c r="I22" s="853" t="str">
        <x:v>Not Started</x:v>
      </x:c>
      <x:c r="J22" s="859" t="n">
        <x:f>IF(I22="Approved",1,IF(I22="Draft Complete",0.8,IF(I22="In Review",0.6,IF(I22="In Progress",0.4,IF(I22="Blocked",0,0)))))</x:f>
        <x:v>0</x:v>
      </x:c>
      <x:c r="K22" s="853" t="n">
        <x:v>15</x:v>
      </x:c>
      <x:c r="L22" s="853" t="str">
        <x:v>Research findings/remediation log</x:v>
      </x:c>
      <x:c r="M22" s="853" t="str">
        <x:v>Core journeys and monitoring explanations meet comprehension/usefulness targets.</x:v>
      </x:c>
      <x:c r="N22" s="853" t="str">
        <x:v>No pilot adverse employment use.</x:v>
      </x:c>
      <x:c r="O22" s="854" t="str">
        <x:v>User Journeys</x:v>
      </x:c>
    </x:row>
    <x:row r="23">
      <x:c r="A23" s="847" t="str">
        <x:v>S10-BL-019</x:v>
      </x:c>
      <x:c r="B23" s="114" t="str">
        <x:v>Performance/reliability</x:v>
      </x:c>
      <x:c r="C23" s="114" t="str">
        <x:v>Validate frontend/BFF/read-model performance and degraded modes</x:v>
      </x:c>
      <x:c r="D23" s="114" t="str">
        <x:v>Load, large timeline, search, export, replay, outage and recovery tests.</x:v>
      </x:c>
      <x:c r="E23" s="114" t="str">
        <x:v>SRE/Performance Lead</x:v>
      </x:c>
      <x:c r="F23" s="114" t="str">
        <x:v>Backend/Frontend/Data/QA</x:v>
      </x:c>
      <x:c r="G23" s="114" t="str">
        <x:v>S10-BL-003:S10-BL-017</x:v>
      </x:c>
      <x:c r="H23" s="114" t="str">
        <x:v>High</x:v>
      </x:c>
      <x:c r="I23" s="114" t="str">
        <x:v>Not Started</x:v>
      </x:c>
      <x:c r="J23" s="135" t="n">
        <x:f>IF(I23="Approved",1,IF(I23="Draft Complete",0.8,IF(I23="In Review",0.6,IF(I23="In Progress",0.4,IF(I23="Blocked",0,0)))))</x:f>
        <x:v>0</x:v>
      </x:c>
      <x:c r="K23" s="114" t="n">
        <x:v>12</x:v>
      </x:c>
      <x:c r="L23" s="114" t="str">
        <x:v>Performance/reliability report</x:v>
      </x:c>
      <x:c r="M23" s="114" t="str">
        <x:v>Budgets and UJ-016 degraded-state acceptance pass.</x:v>
      </x:c>
      <x:c r="N23" s="114" t="str">
        <x:v>No false zero/negative state during outage.</x:v>
      </x:c>
      <x:c r="O23" s="848" t="str">
        <x:v>Experience Architecture</x:v>
      </x:c>
    </x:row>
    <x:row r="24">
      <x:c r="A24" s="852" t="str">
        <x:v>S10-BL-020</x:v>
      </x:c>
      <x:c r="B24" s="853" t="str">
        <x:v>Analytics/governance</x:v>
      </x:c>
      <x:c r="C24" s="853" t="str">
        <x:v>Implement privacy-safe experience analytics</x:v>
      </x:c>
      <x:c r="D24" s="853" t="str">
        <x:v>Journey, error, accessibility, correction, trust and usefulness aggregates.</x:v>
      </x:c>
      <x:c r="E24" s="853" t="str">
        <x:v>Product Analytics Lead</x:v>
      </x:c>
      <x:c r="F24" s="853" t="str">
        <x:v>DPO/Data/UX/Frontend</x:v>
      </x:c>
      <x:c r="G24" s="853" t="str">
        <x:v>S10-BL-006:S10-BL-019</x:v>
      </x:c>
      <x:c r="H24" s="853" t="str">
        <x:v>High</x:v>
      </x:c>
      <x:c r="I24" s="853" t="str">
        <x:v>Not Started</x:v>
      </x:c>
      <x:c r="J24" s="859" t="n">
        <x:f>IF(I24="Approved",1,IF(I24="Draft Complete",0.8,IF(I24="In Review",0.6,IF(I24="In Progress",0.4,IF(I24="Blocked",0,0)))))</x:f>
        <x:v>0</x:v>
      </x:c>
      <x:c r="K24" s="853" t="n">
        <x:v>10</x:v>
      </x:c>
      <x:c r="L24" s="853" t="str">
        <x:v>Experience KPI read model</x:v>
      </x:c>
      <x:c r="M24" s="853" t="str">
        <x:v>Minimum cohort and deny-list tests pass.</x:v>
      </x:c>
      <x:c r="N24" s="853" t="str">
        <x:v>No employee ranking/profiling.</x:v>
      </x:c>
      <x:c r="O24" s="854" t="str">
        <x:v>Reporting Read Models</x:v>
      </x:c>
    </x:row>
    <x:row r="25">
      <x:c r="A25" s="847" t="str">
        <x:v>S10-BL-021</x:v>
      </x:c>
      <x:c r="B25" s="114" t="str">
        <x:v>Validation</x:v>
      </x:c>
      <x:c r="C25" s="114" t="str">
        <x:v>Execute Stage 10 end-to-end journey suite</x:v>
      </x:c>
      <x:c r="D25" s="114" t="str">
        <x:v>Run all 18 journeys across roles, jurisdictions, accessibility and degraded-state variants.</x:v>
      </x:c>
      <x:c r="E25" s="114" t="str">
        <x:v>QA Programme Lead</x:v>
      </x:c>
      <x:c r="F25" s="114" t="str">
        <x:v>All Stage 10 owners</x:v>
      </x:c>
      <x:c r="G25" s="114" t="str">
        <x:v>S10-BL-001:S10-BL-020</x:v>
      </x:c>
      <x:c r="H25" s="114" t="str">
        <x:v>Critical</x:v>
      </x:c>
      <x:c r="I25" s="114" t="str">
        <x:v>Not Started</x:v>
      </x:c>
      <x:c r="J25" s="135" t="n">
        <x:f>IF(I25="Approved",1,IF(I25="Draft Complete",0.8,IF(I25="In Review",0.6,IF(I25="In Progress",0.4,IF(I25="Blocked",0,0)))))</x:f>
        <x:v>0</x:v>
      </x:c>
      <x:c r="K25" s="114" t="n">
        <x:v>16</x:v>
      </x:c>
      <x:c r="L25" s="114" t="str">
        <x:v>Stage 10 validation report</x:v>
      </x:c>
      <x:c r="M25" s="114" t="str">
        <x:v>All blocking gate/journey/security/accessibility tests pass.</x:v>
      </x:c>
      <x:c r="N25" s="114" t="str">
        <x:v>Use synthetic/consented data.</x:v>
      </x:c>
      <x:c r="O25" s="848" t="str">
        <x:v>Stage 10 Gate</x:v>
      </x:c>
    </x:row>
    <x:row r="26">
      <x:c r="A26" s="855" t="str">
        <x:v>S10-BL-022</x:v>
      </x:c>
      <x:c r="B26" s="856" t="str">
        <x:v>Documentation</x:v>
      </x:c>
      <x:c r="C26" s="856" t="str">
        <x:v>Complete Stage 10 implementation package</x:v>
      </x:c>
      <x:c r="D26" s="856" t="str">
        <x:v>Architecture, designs, APIs, read models, tests, research, risks, ADRs and gate evidence.</x:v>
      </x:c>
      <x:c r="E26" s="856" t="str">
        <x:v>Programme Lead</x:v>
      </x:c>
      <x:c r="F26" s="856" t="str">
        <x:v>All owners</x:v>
      </x:c>
      <x:c r="G26" s="856" t="str">
        <x:v>S10-BL-001:S10-BL-021</x:v>
      </x:c>
      <x:c r="H26" s="856" t="str">
        <x:v>High</x:v>
      </x:c>
      <x:c r="I26" s="856" t="str">
        <x:v>Not Started</x:v>
      </x:c>
      <x:c r="J26" s="860" t="n">
        <x:f>IF(I26="Approved",1,IF(I26="Draft Complete",0.8,IF(I26="In Review",0.6,IF(I26="In Progress",0.4,IF(I26="Blocked",0,0)))))</x:f>
        <x:v>0</x:v>
      </x:c>
      <x:c r="K26" s="856" t="n">
        <x:v>5</x:v>
      </x:c>
      <x:c r="L26" s="856" t="str">
        <x:v>Stage 10 package</x:v>
      </x:c>
      <x:c r="M26" s="856" t="str">
        <x:v>Ready for Stage 10 gate and pilot integration.</x:v>
      </x:c>
      <x:c r="N26" s="856" t="str">
        <x:v>Source/decision traceability complete.</x:v>
      </x:c>
      <x:c r="O26" s="857" t="str">
        <x:v>Stage 10 Gate</x:v>
      </x:c>
    </x:row>
  </x:sheetData>
  <x:mergeCells>
    <x:mergeCell ref="A1:O1"/>
    <x:mergeCell ref="A2:O2"/>
  </x:mergeCells>
  <x:dataValidations count="2">
    <x:dataValidation type="list" sqref="H5:H26">
      <x:formula1>"Critical,High,Medium,Low"</x:formula1>
    </x:dataValidation>
    <x:dataValidation type="list" sqref="I5:I26">
      <x:formula1>"Not Started,In Progress,Draft Complete,In Review,Approved,Blocked,Deferred"</x:formula1>
    </x:dataValidation>
  </x:dataValidations>
  <x:pageMargins left="0.7" right="0.7" top="0.75" bottom="0.75" header="0.3" footer="0.3"/>
</x:worksheet>
</file>

<file path=xl/worksheets/sheet158.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2" hidden="0" customWidth="1"/>
    <x:col min="15" max="15" width="30" hidden="0" customWidth="1"/>
  </x:cols>
  <x:sheetData>
    <x:row r="1" ht="30" customHeight="1">
      <x:c r="A1" s="809" t="str">
        <x:v>Stage 11 — Skill Forge and Governed Self-Improvement Backlog</x:v>
      </x:c>
      <x:c r="B1" s="809"/>
      <x:c r="C1" s="809"/>
      <x:c r="D1" s="809"/>
      <x:c r="E1" s="809"/>
      <x:c r="F1" s="809"/>
      <x:c r="G1" s="809"/>
      <x:c r="H1" s="809"/>
      <x:c r="I1" s="809"/>
      <x:c r="J1" s="809"/>
      <x:c r="K1" s="809"/>
      <x:c r="L1" s="809"/>
      <x:c r="M1" s="809"/>
      <x:c r="N1" s="809"/>
      <x:c r="O1" s="809"/>
    </x:row>
    <x:row r="2" ht="38" customHeight="1">
      <x:c r="A2" s="813" t="str">
        <x:v>Implementation-ready backlog for observation intake, package registry/source, evaluation, supply-chain provenance, review, canary, monitoring, rollback, impact remediation and publication.</x:v>
      </x:c>
      <x:c r="B2" s="813"/>
      <x:c r="C2" s="813"/>
      <x:c r="D2" s="813"/>
      <x:c r="E2" s="813"/>
      <x:c r="F2" s="813"/>
      <x:c r="G2" s="813"/>
      <x:c r="H2" s="813"/>
      <x:c r="I2" s="813"/>
      <x:c r="J2" s="813"/>
      <x:c r="K2" s="813"/>
      <x:c r="L2" s="813"/>
      <x:c r="M2" s="813"/>
      <x:c r="N2" s="813"/>
      <x:c r="O2" s="813"/>
    </x:row>
    <x:row r="4" ht="30" customHeight="1">
      <x:c r="A4" s="825" t="str">
        <x:v>ID</x:v>
      </x:c>
      <x:c r="B4" s="826" t="str">
        <x:v>Workstream</x:v>
      </x:c>
      <x:c r="C4" s="826" t="str">
        <x:v>Task</x:v>
      </x:c>
      <x:c r="D4" s="826" t="str">
        <x:v>Description</x:v>
      </x:c>
      <x:c r="E4" s="826" t="str">
        <x:v>Owner</x:v>
      </x:c>
      <x:c r="F4" s="826" t="str">
        <x:v>Contributors</x:v>
      </x:c>
      <x:c r="G4" s="826" t="str">
        <x:v>Dependencies</x:v>
      </x:c>
      <x:c r="H4" s="826" t="str">
        <x:v>Priority</x:v>
      </x:c>
      <x:c r="I4" s="826" t="str">
        <x:v>Status</x:v>
      </x:c>
      <x:c r="J4" s="826" t="str">
        <x:v>Completion</x:v>
      </x:c>
      <x:c r="K4" s="826" t="str">
        <x:v>Effort days</x:v>
      </x:c>
      <x:c r="L4" s="826" t="str">
        <x:v>Deliverable</x:v>
      </x:c>
      <x:c r="M4" s="826" t="str">
        <x:v>Acceptance criteria</x:v>
      </x:c>
      <x:c r="N4" s="826" t="str">
        <x:v>Privacy/security impact</x:v>
      </x:c>
      <x:c r="O4" s="827" t="str">
        <x:v>Source / basis</x:v>
      </x:c>
    </x:row>
    <x:row r="5">
      <x:c r="A5" s="844" t="str">
        <x:v>S11-BL-001</x:v>
      </x:c>
      <x:c r="B5" s="845" t="str">
        <x:v>Architecture</x:v>
      </x:c>
      <x:c r="C5" s="845" t="str">
        <x:v>Create Skill Forge service/repository skeleton</x:v>
      </x:c>
      <x:c r="D5" s="845" t="str">
        <x:v>Create Java lifecycle/source/registry services, Python proposal/eval workers and package source repository using HumanOS conventions.</x:v>
      </x:c>
      <x:c r="E5" s="845" t="str">
        <x:v>Skill Forge Architect</x:v>
      </x:c>
      <x:c r="F5" s="845" t="str">
        <x:v>Backend/AI Platform/DevSecOps/Data</x:v>
      </x:c>
      <x:c r="G5" s="845" t="str">
        <x:v>Stages 6–10; HumanOS platform</x:v>
      </x:c>
      <x:c r="H5" s="845" t="str">
        <x:v>Critical</x:v>
      </x:c>
      <x:c r="I5" s="845" t="str">
        <x:v>Not Started</x:v>
      </x:c>
      <x:c r="J5" s="858" t="n">
        <x:f>IF(I5="Approved",1,IF(I5="Draft Complete",0.8,IF(I5="In Review",0.6,IF(I5="In Progress",0.4,IF(I5="Blocked",0,0)))))</x:f>
        <x:v>0</x:v>
      </x:c>
      <x:c r="K5" s="845" t="n">
        <x:v>10</x:v>
      </x:c>
      <x:c r="L5" s="845" t="str">
        <x:v>Service/repository skeleton</x:v>
      </x:c>
      <x:c r="M5" s="845" t="str">
        <x:v>Build, migrations, CI and base security checks run.</x:v>
      </x:c>
      <x:c r="N5" s="845" t="str">
        <x:v>No duplicate HumanOS workflow/audit/object/model services.</x:v>
      </x:c>
      <x:c r="O5" s="846" t="str">
        <x:v>Skill Forge Architecture</x:v>
      </x:c>
    </x:row>
    <x:row r="6">
      <x:c r="A6" s="852" t="str">
        <x:v>S11-BL-002</x:v>
      </x:c>
      <x:c r="B6" s="853" t="str">
        <x:v>Contracts</x:v>
      </x:c>
      <x:c r="C6" s="853" t="str">
        <x:v>Publish observation and skill-package schemas</x:v>
      </x:c>
      <x:c r="D6" s="853" t="str">
        <x:v>Implement JSON Schemas/OpenAPI for observations, sources, proposals, packages, evals, reviews and deployments.</x:v>
      </x:c>
      <x:c r="E6" s="853" t="str">
        <x:v>Data/API Architect</x:v>
      </x:c>
      <x:c r="F6" s="853" t="str">
        <x:v>Backend/AI/QA/Security</x:v>
      </x:c>
      <x:c r="G6" s="853" t="str">
        <x:v>S11-BL-001</x:v>
      </x:c>
      <x:c r="H6" s="853" t="str">
        <x:v>Critical</x:v>
      </x:c>
      <x:c r="I6" s="853" t="str">
        <x:v>Not Started</x:v>
      </x:c>
      <x:c r="J6" s="859" t="n">
        <x:f>IF(I6="Approved",1,IF(I6="Draft Complete",0.8,IF(I6="In Review",0.6,IF(I6="In Progress",0.4,IF(I6="Blocked",0,0)))))</x:f>
        <x:v>0</x:v>
      </x:c>
      <x:c r="K6" s="853" t="n">
        <x:v>12</x:v>
      </x:c>
      <x:c r="L6" s="853" t="str">
        <x:v>Schema/API package</x:v>
      </x:c>
      <x:c r="M6" s="853" t="str">
        <x:v>Positive/negative fixtures and compatibility policy pass.</x:v>
      </x:c>
      <x:c r="N6" s="853" t="str">
        <x:v>Classifications and permissions mandatory.</x:v>
      </x:c>
      <x:c r="O6" s="854" t="str">
        <x:v>Skill Observation/Package Contract</x:v>
      </x:c>
    </x:row>
    <x:row r="7">
      <x:c r="A7" s="847" t="str">
        <x:v>S11-BL-003</x:v>
      </x:c>
      <x:c r="B7" s="114" t="str">
        <x:v>Observation</x:v>
      </x:c>
      <x:c r="C7" s="114" t="str">
        <x:v>Implement observation intake and triage</x:v>
      </x:c>
      <x:c r="D7" s="114" t="str">
        <x:v>Consume corrections, overrides, failures, patterns, feedback, drift, incidents and research into classified observations.</x:v>
      </x:c>
      <x:c r="E7" s="114" t="str">
        <x:v>Skill Forge Backend Lead</x:v>
      </x:c>
      <x:c r="F7" s="114" t="str">
        <x:v>Domain Teams/Workflow/Data</x:v>
      </x:c>
      <x:c r="G7" s="114" t="str">
        <x:v>S11-BL-002</x:v>
      </x:c>
      <x:c r="H7" s="114" t="str">
        <x:v>Critical</x:v>
      </x:c>
      <x:c r="I7" s="114" t="str">
        <x:v>Not Started</x:v>
      </x:c>
      <x:c r="J7" s="135" t="n">
        <x:f>IF(I7="Approved",1,IF(I7="Draft Complete",0.8,IF(I7="In Review",0.6,IF(I7="In Progress",0.4,IF(I7="Blocked",0,0)))))</x:f>
        <x:v>0</x:v>
      </x:c>
      <x:c r="K7" s="114" t="n">
        <x:v>14</x:v>
      </x:c>
      <x:c r="L7" s="114" t="str">
        <x:v>Observation service/workflow</x:v>
      </x:c>
      <x:c r="M7" s="114" t="str">
        <x:v>Facts/inference/proposal separated; critical pause route works.</x:v>
      </x:c>
      <x:c r="N7" s="114" t="str">
        <x:v>Purpose/classification/retention applied.</x:v>
      </x:c>
      <x:c r="O7" s="848" t="str">
        <x:v>Skill Observation Model</x:v>
      </x:c>
    </x:row>
    <x:row r="8">
      <x:c r="A8" s="852" t="str">
        <x:v>S11-BL-004</x:v>
      </x:c>
      <x:c r="B8" s="853" t="str">
        <x:v>Pattern analysis</x:v>
      </x:c>
      <x:c r="C8" s="853" t="str">
        <x:v>Implement clustering and generalisation recommender</x:v>
      </x:c>
      <x:c r="D8" s="853" t="str">
        <x:v>Deduplicate/cluster observations and recommend one-off/tenant/domain/global scope.</x:v>
      </x:c>
      <x:c r="E8" s="853" t="str">
        <x:v>AI/Analytics Lead</x:v>
      </x:c>
      <x:c r="F8" s="853" t="str">
        <x:v>Data/DPO/Domain Reviewers</x:v>
      </x:c>
      <x:c r="G8" s="853" t="str">
        <x:v>S11-BL-003</x:v>
      </x:c>
      <x:c r="H8" s="853" t="str">
        <x:v>High</x:v>
      </x:c>
      <x:c r="I8" s="853" t="str">
        <x:v>Not Started</x:v>
      </x:c>
      <x:c r="J8" s="859" t="n">
        <x:f>IF(I8="Approved",1,IF(I8="Draft Complete",0.8,IF(I8="In Review",0.6,IF(I8="In Progress",0.4,IF(I8="Blocked",0,0)))))</x:f>
        <x:v>0</x:v>
      </x:c>
      <x:c r="K8" s="853" t="n">
        <x:v>14</x:v>
      </x:c>
      <x:c r="L8" s="853" t="str">
        <x:v>Pattern clusterer</x:v>
      </x:c>
      <x:c r="M8" s="853" t="str">
        <x:v>No unrestricted raw-content embedding or automatic global classification.</x:v>
      </x:c>
      <x:c r="N8" s="853" t="str">
        <x:v>Tenant/confidentiality controls.</x:v>
      </x:c>
      <x:c r="O8" s="854" t="str">
        <x:v>Skill Forge Architecture</x:v>
      </x:c>
    </x:row>
    <x:row r="9">
      <x:c r="A9" s="847" t="str">
        <x:v>S11-BL-005</x:v>
      </x:c>
      <x:c r="B9" s="114" t="str">
        <x:v>Proposal</x:v>
      </x:c>
      <x:c r="C9" s="114" t="str">
        <x:v>Implement proposal generator and human editor</x:v>
      </x:c>
      <x:c r="D9" s="114" t="str">
        <x:v>Generate bounded change, expected benefit, affected contracts, risks and eval plan.</x:v>
      </x:c>
      <x:c r="E9" s="114" t="str">
        <x:v>AI Skill Lead</x:v>
      </x:c>
      <x:c r="F9" s="114" t="str">
        <x:v>Product/Domain/Architecture</x:v>
      </x:c>
      <x:c r="G9" s="114" t="str">
        <x:v>S11-BL-003,S11-BL-004</x:v>
      </x:c>
      <x:c r="H9" s="114" t="str">
        <x:v>Critical</x:v>
      </x:c>
      <x:c r="I9" s="114" t="str">
        <x:v>Not Started</x:v>
      </x:c>
      <x:c r="J9" s="135" t="n">
        <x:f>IF(I9="Approved",1,IF(I9="Draft Complete",0.8,IF(I9="In Review",0.6,IF(I9="In Progress",0.4,IF(I9="Blocked",0,0)))))</x:f>
        <x:v>0</x:v>
      </x:c>
      <x:c r="K9" s="114" t="n">
        <x:v>14</x:v>
      </x:c>
      <x:c r="L9" s="114" t="str">
        <x:v>Proposal workflow/UI</x:v>
      </x:c>
      <x:c r="M9" s="114" t="str">
        <x:v>Proposal cannot approve/deploy; fact/inference/change visibly separated.</x:v>
      </x:c>
      <x:c r="N9" s="114" t="str">
        <x:v>Source lineage and privacy.</x:v>
      </x:c>
      <x:c r="O9" s="848" t="str">
        <x:v>Skill Proposal and Evaluation</x:v>
      </x:c>
    </x:row>
    <x:row r="10">
      <x:c r="A10" s="852" t="str">
        <x:v>S11-BL-006</x:v>
      </x:c>
      <x:c r="B10" s="853" t="str">
        <x:v>Registry</x:v>
      </x:c>
      <x:c r="C10" s="853" t="str">
        <x:v>Implement Skill Registry and lifecycle aggregate</x:v>
      </x:c>
      <x:c r="D10" s="853" t="str">
        <x:v>Package identity/version/category/owner/approval/deployment/expiry/dependency/rollback state.</x:v>
      </x:c>
      <x:c r="E10" s="853" t="str">
        <x:v>Skill Forge Backend Lead</x:v>
      </x:c>
      <x:c r="F10" s="853" t="str">
        <x:v>Data/Workflow/Architecture</x:v>
      </x:c>
      <x:c r="G10" s="853" t="str">
        <x:v>S11-BL-002,S11-BL-005</x:v>
      </x:c>
      <x:c r="H10" s="853" t="str">
        <x:v>Critical</x:v>
      </x:c>
      <x:c r="I10" s="853" t="str">
        <x:v>Not Started</x:v>
      </x:c>
      <x:c r="J10" s="859" t="n">
        <x:f>IF(I10="Approved",1,IF(I10="Draft Complete",0.8,IF(I10="In Review",0.6,IF(I10="In Progress",0.4,IF(I10="Blocked",0,0)))))</x:f>
        <x:v>0</x:v>
      </x:c>
      <x:c r="K10" s="853" t="n">
        <x:v>16</x:v>
      </x:c>
      <x:c r="L10" s="853" t="str">
        <x:v>Skill Registry service</x:v>
      </x:c>
      <x:c r="M10" s="853" t="str">
        <x:v>Lifecycle transitions and version lineage pass tests.</x:v>
      </x:c>
      <x:c r="N10" s="853" t="str">
        <x:v>No orphan or expired active package.</x:v>
      </x:c>
      <x:c r="O10" s="854" t="str">
        <x:v>Skill Lifecycle</x:v>
      </x:c>
    </x:row>
    <x:row r="11">
      <x:c r="A11" s="847" t="str">
        <x:v>S11-BL-007</x:v>
      </x:c>
      <x:c r="B11" s="114" t="str">
        <x:v>Source/licence</x:v>
      </x:c>
      <x:c r="C11" s="114" t="str">
        <x:v>Implement research, source and licence registry</x:v>
      </x:c>
      <x:c r="D11" s="114" t="str">
        <x:v>Store current source metadata, conflicts, retrieval, jurisdiction, rights, attribution and affected packages.</x:v>
      </x:c>
      <x:c r="E11" s="114" t="str">
        <x:v>Research Governance Lead</x:v>
      </x:c>
      <x:c r="F11" s="114" t="str">
        <x:v>Legal/Procurement/Domain/Data</x:v>
      </x:c>
      <x:c r="G11" s="114" t="str">
        <x:v>S11-BL-002</x:v>
      </x:c>
      <x:c r="H11" s="114" t="str">
        <x:v>Critical</x:v>
      </x:c>
      <x:c r="I11" s="114" t="str">
        <x:v>Not Started</x:v>
      </x:c>
      <x:c r="J11" s="135" t="n">
        <x:f>IF(I11="Approved",1,IF(I11="Draft Complete",0.8,IF(I11="In Review",0.6,IF(I11="In Progress",0.4,IF(I11="Blocked",0,0)))))</x:f>
        <x:v>0</x:v>
      </x:c>
      <x:c r="K11" s="114" t="n">
        <x:v>14</x:v>
      </x:c>
      <x:c r="L11" s="114" t="str">
        <x:v>Source/Licence service</x:v>
      </x:c>
      <x:c r="M11" s="114" t="str">
        <x:v>Stale/restricted source triggers package impact workflow.</x:v>
      </x:c>
      <x:c r="N11" s="114" t="str">
        <x:v>No unapproved reuse.</x:v>
      </x:c>
      <x:c r="O11" s="848" t="str">
        <x:v>Research and Source Governance</x:v>
      </x:c>
    </x:row>
    <x:row r="12">
      <x:c r="A12" s="852" t="str">
        <x:v>S11-BL-008</x:v>
      </x:c>
      <x:c r="B12" s="853" t="str">
        <x:v>Source repository</x:v>
      </x:c>
      <x:c r="C12" s="853" t="str">
        <x:v>Create protected Git source workflow</x:v>
      </x:c>
      <x:c r="D12" s="853" t="str">
        <x:v>Package source, manifests, tests, reviews, changelog and protected branch policy.</x:v>
      </x:c>
      <x:c r="E12" s="853" t="str">
        <x:v>DevSecOps Lead</x:v>
      </x:c>
      <x:c r="F12" s="853" t="str">
        <x:v>Git Platform/Skill Owners/Security</x:v>
      </x:c>
      <x:c r="G12" s="853" t="str">
        <x:v>S11-BL-001,S11-BL-006</x:v>
      </x:c>
      <x:c r="H12" s="853" t="str">
        <x:v>Critical</x:v>
      </x:c>
      <x:c r="I12" s="853" t="str">
        <x:v>Not Started</x:v>
      </x:c>
      <x:c r="J12" s="859" t="n">
        <x:f>IF(I12="Approved",1,IF(I12="Draft Complete",0.8,IF(I12="In Review",0.6,IF(I12="In Progress",0.4,IF(I12="Blocked",0,0)))))</x:f>
        <x:v>0</x:v>
      </x:c>
      <x:c r="K12" s="853" t="n">
        <x:v>10</x:v>
      </x:c>
      <x:c r="L12" s="853" t="str">
        <x:v>Skill source repositories/CI</x:v>
      </x:c>
      <x:c r="M12" s="853" t="str">
        <x:v>Protected reviews, commit provenance and ownership pass.</x:v>
      </x:c>
      <x:c r="N12" s="853" t="str">
        <x:v>No secrets/confidential observations committed.</x:v>
      </x:c>
      <x:c r="O12" s="854" t="str">
        <x:v>SLSA source provenance</x:v>
      </x:c>
    </x:row>
    <x:row r="13">
      <x:c r="A13" s="847" t="str">
        <x:v>S11-BL-009</x:v>
      </x:c>
      <x:c r="B13" s="114" t="str">
        <x:v>Package store</x:v>
      </x:c>
      <x:c r="C13" s="114" t="str">
        <x:v>Implement OCI/object package build and storage</x:v>
      </x:c>
      <x:c r="D13" s="114" t="str">
        <x:v>Build immutable category packages, publish by digest and connect to registry.</x:v>
      </x:c>
      <x:c r="E13" s="114" t="str">
        <x:v>DevSecOps/Platform Lead</x:v>
      </x:c>
      <x:c r="F13" s="114" t="str">
        <x:v>Object/OCI/Backend</x:v>
      </x:c>
      <x:c r="G13" s="114" t="str">
        <x:v>S11-BL-006,S11-BL-008</x:v>
      </x:c>
      <x:c r="H13" s="114" t="str">
        <x:v>Critical</x:v>
      </x:c>
      <x:c r="I13" s="114" t="str">
        <x:v>Not Started</x:v>
      </x:c>
      <x:c r="J13" s="135" t="n">
        <x:f>IF(I13="Approved",1,IF(I13="Draft Complete",0.8,IF(I13="In Review",0.6,IF(I13="In Progress",0.4,IF(I13="Blocked",0,0)))))</x:f>
        <x:v>0</x:v>
      </x:c>
      <x:c r="K13" s="114" t="n">
        <x:v>14</x:v>
      </x:c>
      <x:c r="L13" s="114" t="str">
        <x:v>Package build/store</x:v>
      </x:c>
      <x:c r="M13" s="114" t="str">
        <x:v>Digest reproducibility, immutable refs and resolver compatibility pass.</x:v>
      </x:c>
      <x:c r="N13" s="114" t="str">
        <x:v>No mutable latest-only production reference.</x:v>
      </x:c>
      <x:c r="O13" s="848" t="str">
        <x:v>OCI artifacts</x:v>
      </x:c>
    </x:row>
    <x:row r="14">
      <x:c r="A14" s="852" t="str">
        <x:v>S11-BL-010</x:v>
      </x:c>
      <x:c r="B14" s="853" t="str">
        <x:v>BOM/licence/security</x:v>
      </x:c>
      <x:c r="C14" s="853" t="str">
        <x:v>Generate SPDX/CycloneDX BOM and dependency assessments</x:v>
      </x:c>
      <x:c r="D14" s="853" t="str">
        <x:v>Attach dependencies, licences, vulnerabilities and policy results to each package.</x:v>
      </x:c>
      <x:c r="E14" s="853" t="str">
        <x:v>Supply Chain Security Lead</x:v>
      </x:c>
      <x:c r="F14" s="853" t="str">
        <x:v>Legal/DevSecOps/Skill Owner</x:v>
      </x:c>
      <x:c r="G14" s="853" t="str">
        <x:v>S11-BL-008,S11-BL-009</x:v>
      </x:c>
      <x:c r="H14" s="853" t="str">
        <x:v>Critical</x:v>
      </x:c>
      <x:c r="I14" s="853" t="str">
        <x:v>Not Started</x:v>
      </x:c>
      <x:c r="J14" s="859" t="n">
        <x:f>IF(I14="Approved",1,IF(I14="Draft Complete",0.8,IF(I14="In Review",0.6,IF(I14="In Progress",0.4,IF(I14="Blocked",0,0)))))</x:f>
        <x:v>0</x:v>
      </x:c>
      <x:c r="K14" s="853" t="n">
        <x:v>10</x:v>
      </x:c>
      <x:c r="L14" s="853" t="str">
        <x:v>BOM/assessment pipeline</x:v>
      </x:c>
      <x:c r="M14" s="853" t="str">
        <x:v>No unresolved prohibited licence/critical vulnerability for approval.</x:v>
      </x:c>
      <x:c r="N14" s="853" t="str">
        <x:v>Supply-chain integrity.</x:v>
      </x:c>
      <x:c r="O14" s="854" t="str">
        <x:v>SPDX/CycloneDX</x:v>
      </x:c>
    </x:row>
    <x:row r="15">
      <x:c r="A15" s="847" t="str">
        <x:v>S11-BL-011</x:v>
      </x:c>
      <x:c r="B15" s="114" t="str">
        <x:v>Signing/provenance</x:v>
      </x:c>
      <x:c r="C15" s="114" t="str">
        <x:v>Implement SLSA provenance and Sigstore/Cosign signing</x:v>
      </x:c>
      <x:c r="D15" s="114" t="str">
        <x:v>Attest source revision, builder, workflow, package digest, BOM and approval predicates.</x:v>
      </x:c>
      <x:c r="E15" s="114" t="str">
        <x:v>Supply Chain Security Lead</x:v>
      </x:c>
      <x:c r="F15" s="114" t="str">
        <x:v>CI/KMS/Platform</x:v>
      </x:c>
      <x:c r="G15" s="114" t="str">
        <x:v>S11-BL-008:S11-BL-010</x:v>
      </x:c>
      <x:c r="H15" s="114" t="str">
        <x:v>Critical</x:v>
      </x:c>
      <x:c r="I15" s="114" t="str">
        <x:v>Not Started</x:v>
      </x:c>
      <x:c r="J15" s="135" t="n">
        <x:f>IF(I15="Approved",1,IF(I15="Draft Complete",0.8,IF(I15="In Review",0.6,IF(I15="In Progress",0.4,IF(I15="Blocked",0,0)))))</x:f>
        <x:v>0</x:v>
      </x:c>
      <x:c r="K15" s="114" t="n">
        <x:v>14</x:v>
      </x:c>
      <x:c r="L15" s="114" t="str">
        <x:v>Signing/attestation pipeline</x:v>
      </x:c>
      <x:c r="M15" s="114" t="str">
        <x:v>Runtime verifies approved signer/builder/digest and compromise drill passes.</x:v>
      </x:c>
      <x:c r="N15" s="114" t="str">
        <x:v>Package authenticity.</x:v>
      </x:c>
      <x:c r="O15" s="848" t="str">
        <x:v>SLSA/Sigstore</x:v>
      </x:c>
    </x:row>
    <x:row r="16">
      <x:c r="A16" s="852" t="str">
        <x:v>S11-BL-012</x:v>
      </x:c>
      <x:c r="B16" s="853" t="str">
        <x:v>Evaluation datasets</x:v>
      </x:c>
      <x:c r="C16" s="853" t="str">
        <x:v>Implement versioned evaluation dataset store</x:v>
      </x:c>
      <x:c r="D16" s="853" t="str">
        <x:v>Positive, negative, adversarial, privacy, fairness, compatibility and regression datasets.</x:v>
      </x:c>
      <x:c r="E16" s="853" t="str">
        <x:v>Evaluation Platform Lead</x:v>
      </x:c>
      <x:c r="F16" s="853" t="str">
        <x:v>Domain/AI Security/DPO/QA</x:v>
      </x:c>
      <x:c r="G16" s="853" t="str">
        <x:v>S11-BL-002,S11-BL-003</x:v>
      </x:c>
      <x:c r="H16" s="853" t="str">
        <x:v>Critical</x:v>
      </x:c>
      <x:c r="I16" s="853" t="str">
        <x:v>Not Started</x:v>
      </x:c>
      <x:c r="J16" s="859" t="n">
        <x:f>IF(I16="Approved",1,IF(I16="Draft Complete",0.8,IF(I16="In Review",0.6,IF(I16="In Progress",0.4,IF(I16="Blocked",0,0)))))</x:f>
        <x:v>0</x:v>
      </x:c>
      <x:c r="K16" s="853" t="n">
        <x:v>14</x:v>
      </x:c>
      <x:c r="L16" s="853" t="str">
        <x:v>Eval dataset service</x:v>
      </x:c>
      <x:c r="M16" s="853" t="str">
        <x:v>Classification, source, version and no-real-secret tests pass.</x:v>
      </x:c>
      <x:c r="N16" s="853" t="str">
        <x:v>Purpose-limited evaluation data.</x:v>
      </x:c>
      <x:c r="O16" s="854" t="str">
        <x:v>Skill Proposal and Evaluation</x:v>
      </x:c>
    </x:row>
    <x:row r="17">
      <x:c r="A17" s="847" t="str">
        <x:v>S11-BL-013</x:v>
      </x:c>
      <x:c r="B17" s="114" t="str">
        <x:v>Evaluation platform</x:v>
      </x:c>
      <x:c r="C17" s="114" t="str">
        <x:v>Implement evaluation orchestrator and sandbox</x:v>
      </x:c>
      <x:c r="D17" s="114" t="str">
        <x:v>Run deterministic/model/human graders, performance/cost, security and rollback tests in isolation.</x:v>
      </x:c>
      <x:c r="E17" s="114" t="str">
        <x:v>Evaluation Platform Lead</x:v>
      </x:c>
      <x:c r="F17" s="114" t="str">
        <x:v>Python/CI/Security/SRE</x:v>
      </x:c>
      <x:c r="G17" s="114" t="str">
        <x:v>S11-BL-009:S11-BL-012</x:v>
      </x:c>
      <x:c r="H17" s="114" t="str">
        <x:v>Critical</x:v>
      </x:c>
      <x:c r="I17" s="114" t="str">
        <x:v>Not Started</x:v>
      </x:c>
      <x:c r="J17" s="135" t="n">
        <x:f>IF(I17="Approved",1,IF(I17="Draft Complete",0.8,IF(I17="In Review",0.6,IF(I17="In Progress",0.4,IF(I17="Blocked",0,0)))))</x:f>
        <x:v>0</x:v>
      </x:c>
      <x:c r="K17" s="114" t="n">
        <x:v>20</x:v>
      </x:c>
      <x:c r="L17" s="114" t="str">
        <x:v>Eval orchestrator/sandbox</x:v>
      </x:c>
      <x:c r="M17" s="114" t="str">
        <x:v>Reproducible eval manifests and default-deny sandbox tests pass.</x:v>
      </x:c>
      <x:c r="N17" s="114" t="str">
        <x:v>No production secret/network by default.</x:v>
      </x:c>
      <x:c r="O17" s="848" t="str">
        <x:v>OpenAI Evals/NIST TEVV</x:v>
      </x:c>
    </x:row>
    <x:row r="18">
      <x:c r="A18" s="852" t="str">
        <x:v>S11-BL-014</x:v>
      </x:c>
      <x:c r="B18" s="853" t="str">
        <x:v>Review workflow</x:v>
      </x:c>
      <x:c r="C18" s="853" t="str">
        <x:v>Implement impact-based multi-disciplinary approval</x:v>
      </x:c>
      <x:c r="D18" s="853" t="str">
        <x:v>Domain, AI evaluation, security, privacy, legal/licence and deployment reviews.</x:v>
      </x:c>
      <x:c r="E18" s="853" t="str">
        <x:v>Governance Product Owner</x:v>
      </x:c>
      <x:c r="F18" s="853" t="str">
        <x:v>Workflow/Reviewers/Backend</x:v>
      </x:c>
      <x:c r="G18" s="853" t="str">
        <x:v>S11-BL-006,S11-BL-007,S11-BL-013</x:v>
      </x:c>
      <x:c r="H18" s="853" t="str">
        <x:v>Critical</x:v>
      </x:c>
      <x:c r="I18" s="853" t="str">
        <x:v>Not Started</x:v>
      </x:c>
      <x:c r="J18" s="859" t="n">
        <x:f>IF(I18="Approved",1,IF(I18="Draft Complete",0.8,IF(I18="In Review",0.6,IF(I18="In Progress",0.4,IF(I18="Blocked",0,0)))))</x:f>
        <x:v>0</x:v>
      </x:c>
      <x:c r="K18" s="853" t="n">
        <x:v>14</x:v>
      </x:c>
      <x:c r="L18" s="853" t="str">
        <x:v>Package review workflow</x:v>
      </x:c>
      <x:c r="M18" s="853" t="str">
        <x:v>Required reviewers/conditions and independence tests pass.</x:v>
      </x:c>
      <x:c r="N18" s="853" t="str">
        <x:v>No self-approval.</x:v>
      </x:c>
      <x:c r="O18" s="854" t="str">
        <x:v>Skill Forge Architecture</x:v>
      </x:c>
    </x:row>
    <x:row r="19">
      <x:c r="A19" s="847" t="str">
        <x:v>S11-BL-015</x:v>
      </x:c>
      <x:c r="B19" s="114" t="str">
        <x:v>Resolver</x:v>
      </x:c>
      <x:c r="C19" s="114" t="str">
        <x:v>Implement runtime package resolver and verification</x:v>
      </x:c>
      <x:c r="D19" s="114" t="str">
        <x:v>Resolve by tenant/domain/task/provider/policy and verify lifecycle, signature, digest, expiry and dependencies.</x:v>
      </x:c>
      <x:c r="E19" s="114" t="str">
        <x:v>Platform Runtime Lead</x:v>
      </x:c>
      <x:c r="F19" s="114" t="str">
        <x:v>Registry/Security/Model Gateway/Adapter Hub</x:v>
      </x:c>
      <x:c r="G19" s="114" t="str">
        <x:v>S11-BL-006,S11-BL-009:S11-BL-014</x:v>
      </x:c>
      <x:c r="H19" s="114" t="str">
        <x:v>Critical</x:v>
      </x:c>
      <x:c r="I19" s="114" t="str">
        <x:v>Not Started</x:v>
      </x:c>
      <x:c r="J19" s="135" t="n">
        <x:f>IF(I19="Approved",1,IF(I19="Draft Complete",0.8,IF(I19="In Review",0.6,IF(I19="In Progress",0.4,IF(I19="Blocked",0,0)))))</x:f>
        <x:v>0</x:v>
      </x:c>
      <x:c r="K19" s="114" t="n">
        <x:v>16</x:v>
      </x:c>
      <x:c r="L19" s="114" t="str">
        <x:v>Runtime resolver SDK/service</x:v>
      </x:c>
      <x:c r="M19" s="114" t="str">
        <x:v>Safe stable/default fallback and cache-revocation tests pass.</x:v>
      </x:c>
      <x:c r="N19" s="114" t="str">
        <x:v>No unauthorised package/tool scope.</x:v>
      </x:c>
      <x:c r="O19" s="848" t="str">
        <x:v>Skill Package Contract</x:v>
      </x:c>
    </x:row>
    <x:row r="20">
      <x:c r="A20" s="852" t="str">
        <x:v>S11-BL-016</x:v>
      </x:c>
      <x:c r="B20" s="853" t="str">
        <x:v>Feature flags</x:v>
      </x:c>
      <x:c r="C20" s="853" t="str">
        <x:v>Integrate OpenFeature-compatible canary controls</x:v>
      </x:c>
      <x:c r="D20" s="853" t="str">
        <x:v>Use existing provider with PII-minimised context, safe defaults, hooks and audit.</x:v>
      </x:c>
      <x:c r="E20" s="853" t="str">
        <x:v>Platform Architect</x:v>
      </x:c>
      <x:c r="F20" s="853" t="str">
        <x:v>Feature Platform/DPO/SRE</x:v>
      </x:c>
      <x:c r="G20" s="853" t="str">
        <x:v>S11-BL-015</x:v>
      </x:c>
      <x:c r="H20" s="853" t="str">
        <x:v>Critical</x:v>
      </x:c>
      <x:c r="I20" s="853" t="str">
        <x:v>Not Started</x:v>
      </x:c>
      <x:c r="J20" s="859" t="n">
        <x:f>IF(I20="Approved",1,IF(I20="Draft Complete",0.8,IF(I20="In Review",0.6,IF(I20="In Progress",0.4,IF(I20="Blocked",0,0)))))</x:f>
        <x:v>0</x:v>
      </x:c>
      <x:c r="K20" s="853" t="n">
        <x:v>10</x:v>
      </x:c>
      <x:c r="L20" s="853" t="str">
        <x:v>Flag/resolver integration</x:v>
      </x:c>
      <x:c r="M20" s="853" t="str">
        <x:v>Cohort/percentage/kill-switch and provider-outage tests pass.</x:v>
      </x:c>
      <x:c r="N20" s="853" t="str">
        <x:v>No protected/raw context.</x:v>
      </x:c>
      <x:c r="O20" s="854" t="str">
        <x:v>OpenFeature</x:v>
      </x:c>
    </x:row>
    <x:row r="21">
      <x:c r="A21" s="847" t="str">
        <x:v>S11-BL-017</x:v>
      </x:c>
      <x:c r="B21" s="114" t="str">
        <x:v>Progressive delivery</x:v>
      </x:c>
      <x:c r="C21" s="114" t="str">
        <x:v>Implement canary, metric gates, promotion and rollback</x:v>
      </x:c>
      <x:c r="D21" s="114" t="str">
        <x:v>Connect package registry/flags to existing GitOps/Kubernetes deployment; evaluate Argo/Flagger only if needed.</x:v>
      </x:c>
      <x:c r="E21" s="114" t="str">
        <x:v>SRE/Deployment Lead</x:v>
      </x:c>
      <x:c r="F21" s="114" t="str">
        <x:v>Platform/Product/AI Evaluation</x:v>
      </x:c>
      <x:c r="G21" s="114" t="str">
        <x:v>S11-BL-013:S11-BL-016</x:v>
      </x:c>
      <x:c r="H21" s="114" t="str">
        <x:v>Critical</x:v>
      </x:c>
      <x:c r="I21" s="114" t="str">
        <x:v>Not Started</x:v>
      </x:c>
      <x:c r="J21" s="135" t="n">
        <x:f>IF(I21="Approved",1,IF(I21="Draft Complete",0.8,IF(I21="In Review",0.6,IF(I21="In Progress",0.4,IF(I21="Blocked",0,0)))))</x:f>
        <x:v>0</x:v>
      </x:c>
      <x:c r="K21" s="114" t="n">
        <x:v>18</x:v>
      </x:c>
      <x:c r="L21" s="114" t="str">
        <x:v>Progressive deployment controller</x:v>
      </x:c>
      <x:c r="M21" s="114" t="str">
        <x:v>Auto-pause/rollback, manual stop, hold steps and promotion evidence pass.</x:v>
      </x:c>
      <x:c r="N21" s="114" t="str">
        <x:v>No automatic high-impact promotion.</x:v>
      </x:c>
      <x:c r="O21" s="848" t="str">
        <x:v>Canary Promotion and Rollback</x:v>
      </x:c>
    </x:row>
    <x:row r="22">
      <x:c r="A22" s="852" t="str">
        <x:v>S11-BL-018</x:v>
      </x:c>
      <x:c r="B22" s="853" t="str">
        <x:v>Monitoring</x:v>
      </x:c>
      <x:c r="C22" s="853" t="str">
        <x:v>Implement post-deployment package monitoring</x:v>
      </x:c>
      <x:c r="D22" s="853" t="str">
        <x:v>Safety, quality, grounding, fairness, experience, latency, cost and drift by version.</x:v>
      </x:c>
      <x:c r="E22" s="853" t="str">
        <x:v>AI Evaluation/SRE Lead</x:v>
      </x:c>
      <x:c r="F22" s="853" t="str">
        <x:v>Product/DPO/Domain/Data</x:v>
      </x:c>
      <x:c r="G22" s="853" t="str">
        <x:v>S11-BL-015:S11-BL-017</x:v>
      </x:c>
      <x:c r="H22" s="853" t="str">
        <x:v>Critical</x:v>
      </x:c>
      <x:c r="I22" s="853" t="str">
        <x:v>Not Started</x:v>
      </x:c>
      <x:c r="J22" s="859" t="n">
        <x:f>IF(I22="Approved",1,IF(I22="Draft Complete",0.8,IF(I22="In Review",0.6,IF(I22="In Progress",0.4,IF(I22="Blocked",0,0)))))</x:f>
        <x:v>0</x:v>
      </x:c>
      <x:c r="K22" s="853" t="n">
        <x:v>16</x:v>
      </x:c>
      <x:c r="L22" s="853" t="str">
        <x:v>Package monitoring read model</x:v>
      </x:c>
      <x:c r="M22" s="853" t="str">
        <x:v>Critical alerts pause package; metrics cannot rank employees.</x:v>
      </x:c>
      <x:c r="N22" s="853" t="str">
        <x:v>Aggregate/purpose controls.</x:v>
      </x:c>
      <x:c r="O22" s="854" t="str">
        <x:v>Canary Promotion and Rollback</x:v>
      </x:c>
    </x:row>
    <x:row r="23">
      <x:c r="A23" s="847" t="str">
        <x:v>S11-BL-019</x:v>
      </x:c>
      <x:c r="B23" s="114" t="str">
        <x:v>Impact remediation</x:v>
      </x:c>
      <x:c r="C23" s="114" t="str">
        <x:v>Implement affected-output discovery and correction workflow</x:v>
      </x:c>
      <x:c r="D23" s="114" t="str">
        <x:v>Find task/capability/coaching/report outputs produced by invalidated version and route review.</x:v>
      </x:c>
      <x:c r="E23" s="114" t="str">
        <x:v>Governance/Domain Lead</x:v>
      </x:c>
      <x:c r="F23" s="114" t="str">
        <x:v>Data/Workflow/Employee Experience</x:v>
      </x:c>
      <x:c r="G23" s="114" t="str">
        <x:v>S11-BL-015,S11-BL-018</x:v>
      </x:c>
      <x:c r="H23" s="114" t="str">
        <x:v>Critical</x:v>
      </x:c>
      <x:c r="I23" s="114" t="str">
        <x:v>Not Started</x:v>
      </x:c>
      <x:c r="J23" s="135" t="n">
        <x:f>IF(I23="Approved",1,IF(I23="Draft Complete",0.8,IF(I23="In Review",0.6,IF(I23="In Progress",0.4,IF(I23="Blocked",0,0)))))</x:f>
        <x:v>0</x:v>
      </x:c>
      <x:c r="K23" s="114" t="n">
        <x:v>14</x:v>
      </x:c>
      <x:c r="L23" s="114" t="str">
        <x:v>Impact-analysis/remediation workflow</x:v>
      </x:c>
      <x:c r="M23" s="114" t="str">
        <x:v>Material affected employees/cases identified and corrections versioned.</x:v>
      </x:c>
      <x:c r="N23" s="114" t="str">
        <x:v>Prior harm not erased by rollback.</x:v>
      </x:c>
      <x:c r="O23" s="848" t="str">
        <x:v>Canary Promotion and Rollback</x:v>
      </x:c>
    </x:row>
    <x:row r="24">
      <x:c r="A24" s="852" t="str">
        <x:v>S11-BL-020</x:v>
      </x:c>
      <x:c r="B24" s="853" t="str">
        <x:v>Confidentiality/publication</x:v>
      </x:c>
      <x:c r="C24" s="853" t="str">
        <x:v>Implement generalisation and publication/export workflow</x:v>
      </x:c>
      <x:c r="D24" s="853" t="str">
        <x:v>Internal/tenant/publishable classification, redaction, clean-room, attribution and legal/security approval.</x:v>
      </x:c>
      <x:c r="E24" s="853" t="str">
        <x:v>Legal/Publication Lead</x:v>
      </x:c>
      <x:c r="F24" s="853" t="str">
        <x:v>DPO/CISO/Skill Owner/Git</x:v>
      </x:c>
      <x:c r="G24" s="853" t="str">
        <x:v>S11-BL-003:S11-BL-014</x:v>
      </x:c>
      <x:c r="H24" s="853" t="str">
        <x:v>Critical</x:v>
      </x:c>
      <x:c r="I24" s="853" t="str">
        <x:v>Not Started</x:v>
      </x:c>
      <x:c r="J24" s="859" t="n">
        <x:f>IF(I24="Approved",1,IF(I24="Draft Complete",0.8,IF(I24="In Review",0.6,IF(I24="In Progress",0.4,IF(I24="Blocked",0,0)))))</x:f>
        <x:v>0</x:v>
      </x:c>
      <x:c r="K24" s="853" t="n">
        <x:v>14</x:v>
      </x:c>
      <x:c r="L24" s="853" t="str">
        <x:v>Publication workflow/package</x:v>
      </x:c>
      <x:c r="M24" s="853" t="str">
        <x:v>No confidential/personal/tenant data or licence violation in exported package.</x:v>
      </x:c>
      <x:c r="N24" s="853" t="str">
        <x:v>Default non-public.</x:v>
      </x:c>
      <x:c r="O24" s="854" t="str">
        <x:v>Skill Security and Confidentiality</x:v>
      </x:c>
    </x:row>
    <x:row r="25">
      <x:c r="A25" s="847" t="str">
        <x:v>S11-BL-021</x:v>
      </x:c>
      <x:c r="B25" s="114" t="str">
        <x:v>APIs/events</x:v>
      </x:c>
      <x:c r="C25" s="114" t="str">
        <x:v>Implement Stage 11 APIs and events</x:v>
      </x:c>
      <x:c r="D25" s="114" t="str">
        <x:v>Observation, proposal, package, eval, review, source, canary, rollback and lineage contracts.</x:v>
      </x:c>
      <x:c r="E25" s="114" t="str">
        <x:v>Backend/API Lead</x:v>
      </x:c>
      <x:c r="F25" s="114" t="str">
        <x:v>Data/Workflow/Platform</x:v>
      </x:c>
      <x:c r="G25" s="114" t="str">
        <x:v>S11-BL-002:S11-BL-020</x:v>
      </x:c>
      <x:c r="H25" s="114" t="str">
        <x:v>High</x:v>
      </x:c>
      <x:c r="I25" s="114" t="str">
        <x:v>Not Started</x:v>
      </x:c>
      <x:c r="J25" s="135" t="n">
        <x:f>IF(I25="Approved",1,IF(I25="Draft Complete",0.8,IF(I25="In Review",0.6,IF(I25="In Progress",0.4,IF(I25="Blocked",0,0)))))</x:f>
        <x:v>0</x:v>
      </x:c>
      <x:c r="K25" s="114" t="n">
        <x:v>12</x:v>
      </x:c>
      <x:c r="L25" s="114" t="str">
        <x:v>OpenAPI/event package</x:v>
      </x:c>
      <x:c r="M25" s="114" t="str">
        <x:v>Contracts, idempotency, access and replay tests pass.</x:v>
      </x:c>
      <x:c r="N25" s="114" t="str">
        <x:v>References not raw private content.</x:v>
      </x:c>
      <x:c r="O25" s="848" t="str">
        <x:v>Stage 10-11 APIs and Events</x:v>
      </x:c>
    </x:row>
    <x:row r="26">
      <x:c r="A26" s="852" t="str">
        <x:v>S11-BL-022</x:v>
      </x:c>
      <x:c r="B26" s="853" t="str">
        <x:v>Red-team/security</x:v>
      </x:c>
      <x:c r="C26" s="853" t="str">
        <x:v>Execute Skill Forge threat and supply-chain test programme</x:v>
      </x:c>
      <x:c r="D26" s="853" t="str">
        <x:v>Prompt injection, malicious package, sandbox escape, signer/builder, cross-tenant, data egress and rollback tests.</x:v>
      </x:c>
      <x:c r="E26" s="853" t="str">
        <x:v>AI Security/CISO Lead</x:v>
      </x:c>
      <x:c r="F26" s="853" t="str">
        <x:v>DevSecOps/DPO/QA/SRE</x:v>
      </x:c>
      <x:c r="G26" s="853" t="str">
        <x:v>S11-BL-009:S11-BL-021</x:v>
      </x:c>
      <x:c r="H26" s="853" t="str">
        <x:v>Critical</x:v>
      </x:c>
      <x:c r="I26" s="853" t="str">
        <x:v>Not Started</x:v>
      </x:c>
      <x:c r="J26" s="859" t="n">
        <x:f>IF(I26="Approved",1,IF(I26="Draft Complete",0.8,IF(I26="In Review",0.6,IF(I26="In Progress",0.4,IF(I26="Blocked",0,0)))))</x:f>
        <x:v>0</x:v>
      </x:c>
      <x:c r="K26" s="853" t="n">
        <x:v>18</x:v>
      </x:c>
      <x:c r="L26" s="853" t="str">
        <x:v>Security/red-team report</x:v>
      </x:c>
      <x:c r="M26" s="853" t="str">
        <x:v>No critical unresolved finding; incident/kill-switch drills pass.</x:v>
      </x:c>
      <x:c r="N26" s="853" t="str">
        <x:v>Blocking controls.</x:v>
      </x:c>
      <x:c r="O26" s="854" t="str">
        <x:v>Skill Security and Confidentiality</x:v>
      </x:c>
    </x:row>
    <x:row r="27">
      <x:c r="A27" s="847" t="str">
        <x:v>S11-BL-023</x:v>
      </x:c>
      <x:c r="B27" s="114" t="str">
        <x:v>End-to-end validation</x:v>
      </x:c>
      <x:c r="C27" s="114" t="str">
        <x:v>Run observation-to-canary-to-rollback scenarios for each package category</x:v>
      </x:c>
      <x:c r="D27" s="114" t="str">
        <x:v>Use representative prompt/evaluator/coach/adapter/content/workflow/report packages.</x:v>
      </x:c>
      <x:c r="E27" s="114" t="str">
        <x:v>QA Programme Lead</x:v>
      </x:c>
      <x:c r="F27" s="114" t="str">
        <x:v>All Stage 11 owners</x:v>
      </x:c>
      <x:c r="G27" s="114" t="str">
        <x:v>S11-BL-001:S11-BL-022</x:v>
      </x:c>
      <x:c r="H27" s="114" t="str">
        <x:v>Critical</x:v>
      </x:c>
      <x:c r="I27" s="114" t="str">
        <x:v>Not Started</x:v>
      </x:c>
      <x:c r="J27" s="135" t="n">
        <x:f>IF(I27="Approved",1,IF(I27="Draft Complete",0.8,IF(I27="In Review",0.6,IF(I27="In Progress",0.4,IF(I27="Blocked",0,0)))))</x:f>
        <x:v>0</x:v>
      </x:c>
      <x:c r="K27" s="114" t="n">
        <x:v>20</x:v>
      </x:c>
      <x:c r="L27" s="114" t="str">
        <x:v>Stage 11 validation report</x:v>
      </x:c>
      <x:c r="M27" s="114" t="str">
        <x:v>Lifecycle, eval, review, signature, deployment, audit and remediation gates pass.</x:v>
      </x:c>
      <x:c r="N27" s="114" t="str">
        <x:v>Synthetic/approved test data.</x:v>
      </x:c>
      <x:c r="O27" s="848" t="str">
        <x:v>Stage 11 Gate</x:v>
      </x:c>
    </x:row>
    <x:row r="28">
      <x:c r="A28" s="855" t="str">
        <x:v>S11-BL-024</x:v>
      </x:c>
      <x:c r="B28" s="856" t="str">
        <x:v>Documentation</x:v>
      </x:c>
      <x:c r="C28" s="856" t="str">
        <x:v>Complete Stage 11 implementation package</x:v>
      </x:c>
      <x:c r="D28" s="856" t="str">
        <x:v>Architecture, contracts, lifecycle, operations, source/licence, eval, security, runbooks, risks, ADRs and gate evidence.</x:v>
      </x:c>
      <x:c r="E28" s="856" t="str">
        <x:v>Programme Lead</x:v>
      </x:c>
      <x:c r="F28" s="856" t="str">
        <x:v>All owners</x:v>
      </x:c>
      <x:c r="G28" s="856" t="str">
        <x:v>S11-BL-001:S11-BL-023</x:v>
      </x:c>
      <x:c r="H28" s="856" t="str">
        <x:v>High</x:v>
      </x:c>
      <x:c r="I28" s="856" t="str">
        <x:v>Not Started</x:v>
      </x:c>
      <x:c r="J28" s="860" t="n">
        <x:f>IF(I28="Approved",1,IF(I28="Draft Complete",0.8,IF(I28="In Review",0.6,IF(I28="In Progress",0.4,IF(I28="Blocked",0,0)))))</x:f>
        <x:v>0</x:v>
      </x:c>
      <x:c r="K28" s="856" t="n">
        <x:v>6</x:v>
      </x:c>
      <x:c r="L28" s="856" t="str">
        <x:v>Stage 11 package</x:v>
      </x:c>
      <x:c r="M28" s="856" t="str">
        <x:v>Ready for Stage 11 gate and Stage 12 pilot/hardening.</x:v>
      </x:c>
      <x:c r="N28" s="856" t="str">
        <x:v>Source/decision traceability complete.</x:v>
      </x:c>
      <x:c r="O28" s="857" t="str">
        <x:v>Stage 11 Gate</x:v>
      </x:c>
    </x:row>
  </x:sheetData>
  <x:mergeCells>
    <x:mergeCell ref="A1:O1"/>
    <x:mergeCell ref="A2:O2"/>
  </x:mergeCells>
  <x:dataValidations count="2">
    <x:dataValidation type="list" sqref="H5:H28">
      <x:formula1>"Critical,High,Medium,Low"</x:formula1>
    </x:dataValidation>
    <x:dataValidation type="list" sqref="I5:I28">
      <x:formula1>"Not Started,In Progress,Draft Complete,In Review,Approved,Blocked,Deferred"</x:formula1>
    </x:dataValidation>
  </x:dataValidations>
  <x:pageMargins left="0.7" right="0.7" top="0.75" bottom="0.75" header="0.3" footer="0.3"/>
</x:worksheet>
</file>

<file path=xl/worksheets/sheet159.xml><?xml version="1.0" encoding="utf-8"?>
<x:worksheet xmlns:x="http://schemas.openxmlformats.org/spreadsheetml/2006/main">
  <x:sheetFormatPr defaultRowHeight="15"/>
  <x:cols>
    <x:col min="1" max="1" width="14" hidden="0" customWidth="1"/>
    <x:col min="2" max="2" width="64" hidden="0" customWidth="1"/>
    <x:col min="3" max="3" width="30" hidden="0" customWidth="1"/>
    <x:col min="4" max="4" width="12" hidden="0" customWidth="1"/>
    <x:col min="5" max="5" width="12" hidden="0" customWidth="1"/>
    <x:col min="6" max="6" width="12" hidden="0" customWidth="1"/>
    <x:col min="7" max="7" width="68" hidden="0" customWidth="1"/>
    <x:col min="8" max="8" width="30" hidden="0" customWidth="1"/>
    <x:col min="9" max="9" width="14" hidden="0" customWidth="1"/>
    <x:col min="10" max="10" width="38" hidden="0" customWidth="1"/>
  </x:cols>
  <x:sheetData>
    <x:row r="1" ht="30" customHeight="1">
      <x:c r="A1" s="809" t="str">
        <x:v>Stage 10–11 — Risk Register</x:v>
      </x:c>
      <x:c r="B1" s="809"/>
      <x:c r="C1" s="809"/>
      <x:c r="D1" s="809"/>
      <x:c r="E1" s="809"/>
      <x:c r="F1" s="809"/>
      <x:c r="G1" s="809"/>
      <x:c r="H1" s="809"/>
      <x:c r="I1" s="809"/>
      <x:c r="J1" s="809"/>
    </x:row>
    <x:row r="2" ht="38" customHeight="1">
      <x:c r="A2" s="813" t="str">
        <x:v>Experience, accessibility, privacy, governance, Skill Forge, evaluation, supply-chain, canary and rollback risks.</x:v>
      </x:c>
      <x:c r="B2" s="813"/>
      <x:c r="C2" s="813"/>
      <x:c r="D2" s="813"/>
      <x:c r="E2" s="813"/>
      <x:c r="F2" s="813"/>
      <x:c r="G2" s="813"/>
      <x:c r="H2" s="813"/>
      <x:c r="I2" s="813"/>
      <x:c r="J2" s="813"/>
    </x:row>
    <x:row r="4" ht="30" customHeight="1">
      <x:c r="A4" s="825" t="str">
        <x:v>Risk ID</x:v>
      </x:c>
      <x:c r="B4" s="826" t="str">
        <x:v>Risk</x:v>
      </x:c>
      <x:c r="C4" s="826" t="str">
        <x:v>Category</x:v>
      </x:c>
      <x:c r="D4" s="826" t="str">
        <x:v>Likelihood</x:v>
      </x:c>
      <x:c r="E4" s="826" t="str">
        <x:v>Impact</x:v>
      </x:c>
      <x:c r="F4" s="826" t="str">
        <x:v>Score</x:v>
      </x:c>
      <x:c r="G4" s="826" t="str">
        <x:v>Mitigation</x:v>
      </x:c>
      <x:c r="H4" s="826" t="str">
        <x:v>Owner</x:v>
      </x:c>
      <x:c r="I4" s="826" t="str">
        <x:v>Status</x:v>
      </x:c>
      <x:c r="J4" s="827" t="str">
        <x:v>Notes</x:v>
      </x:c>
    </x:row>
    <x:row r="5">
      <x:c r="A5" s="844" t="str">
        <x:v>S1011-R-001</x:v>
      </x:c>
      <x:c r="B5" s="845" t="str">
        <x:v>Manager console evolves into continuous live surveillance or a raw-screen wall.</x:v>
      </x:c>
      <x:c r="C5" s="845" t="str">
        <x:v>Product/Governance/Trust</x:v>
      </x:c>
      <x:c r="D5" s="845" t="n">
        <x:v>3</x:v>
      </x:c>
      <x:c r="E5" s="845" t="n">
        <x:v>5</x:v>
      </x:c>
      <x:c r="F5" s="845" t="n">
        <x:f>D5*E5</x:f>
        <x:v>15</x:v>
      </x:c>
      <x:c r="G5" s="845" t="str">
        <x:v>Exception-led read model, no live view, raw-access grants, manager training and UI regression tests.</x:v>
      </x:c>
      <x:c r="H5" s="845" t="str">
        <x:v>Product/HR/DPO</x:v>
      </x:c>
      <x:c r="I5" s="845" t="str">
        <x:v>Open</x:v>
      </x:c>
      <x:c r="J5" s="846" t="str">
        <x:v>Blocking.</x:v>
      </x:c>
    </x:row>
    <x:row r="6">
      <x:c r="A6" s="852" t="str">
        <x:v>S1011-R-002</x:v>
      </x:c>
      <x:c r="B6" s="853" t="str">
        <x:v>Clicks, keystrokes, time, code volume, prompts or tokens become an implicit productivity score in UI/reporting.</x:v>
      </x:c>
      <x:c r="C6" s="853" t="str">
        <x:v>Fairness/Misuse</x:v>
      </x:c>
      <x:c r="D6" s="853" t="n">
        <x:v>4</x:v>
      </x:c>
      <x:c r="E6" s="853" t="n">
        <x:v>5</x:v>
      </x:c>
      <x:c r="F6" s="853" t="n">
        <x:f>D6*E6</x:f>
        <x:v>20</x:v>
      </x:c>
      <x:c r="G6" s="853" t="str">
        <x:v>Metric deny-list, design review, automated content/schema tests and governance audit.</x:v>
      </x:c>
      <x:c r="H6" s="853" t="str">
        <x:v>Product/HR/AI Governance</x:v>
      </x:c>
      <x:c r="I6" s="853" t="str">
        <x:v>Open</x:v>
      </x:c>
      <x:c r="J6" s="854" t="str">
        <x:v>Blocking.</x:v>
      </x:c>
    </x:row>
    <x:row r="7">
      <x:c r="A7" s="847" t="str">
        <x:v>S1011-R-003</x:v>
      </x:c>
      <x:c r="B7" s="114" t="str">
        <x:v>Employee disputes, explanations or evidence gaps are hidden from manager/reviewer views.</x:v>
      </x:c>
      <x:c r="C7" s="114" t="str">
        <x:v>Fairness/Employment</x:v>
      </x:c>
      <x:c r="D7" s="114" t="n">
        <x:v>3</x:v>
      </x:c>
      <x:c r="E7" s="114" t="n">
        <x:v>5</x:v>
      </x:c>
      <x:c r="F7" s="114" t="n">
        <x:f>D7*E7</x:f>
        <x:v>15</x:v>
      </x:c>
      <x:c r="G7" s="114" t="str">
        <x:v>Mandatory fields in read models and acceptance tests for active dispute/context.</x:v>
      </x:c>
      <x:c r="H7" s="114" t="str">
        <x:v>Governance Product/DPO</x:v>
      </x:c>
      <x:c r="I7" s="114" t="str">
        <x:v>Open</x:v>
      </x:c>
      <x:c r="J7" s="848" t="str">
        <x:v>Blocking.</x:v>
      </x:c>
    </x:row>
    <x:row r="8">
      <x:c r="A8" s="852" t="str">
        <x:v>S1011-R-004</x:v>
      </x:c>
      <x:c r="B8" s="853" t="str">
        <x:v>Private coaching, reflection or mentor content is exposed to managers or general search.</x:v>
      </x:c>
      <x:c r="C8" s="853" t="str">
        <x:v>Privacy/Trust</x:v>
      </x:c>
      <x:c r="D8" s="853" t="n">
        <x:v>3</x:v>
      </x:c>
      <x:c r="E8" s="853" t="n">
        <x:v>5</x:v>
      </x:c>
      <x:c r="F8" s="853" t="n">
        <x:f>D8*E8</x:f>
        <x:v>15</x:v>
      </x:c>
      <x:c r="G8" s="853" t="str">
        <x:v>Separate read models, content classes, audience projection and access tests.</x:v>
      </x:c>
      <x:c r="H8" s="853" t="str">
        <x:v>DPO/Security/Product</x:v>
      </x:c>
      <x:c r="I8" s="853" t="str">
        <x:v>Open</x:v>
      </x:c>
      <x:c r="J8" s="854" t="str">
        <x:v>Blocking.</x:v>
      </x:c>
    </x:row>
    <x:row r="9">
      <x:c r="A9" s="847" t="str">
        <x:v>S1011-R-005</x:v>
      </x:c>
      <x:c r="B9" s="114" t="str">
        <x:v>Raw evidence leaks through frontend caches, logs, analytics, exports, notifications or previews.</x:v>
      </x:c>
      <x:c r="C9" s="114" t="str">
        <x:v>Privacy/Security</x:v>
      </x:c>
      <x:c r="D9" s="114" t="n">
        <x:v>3</x:v>
      </x:c>
      <x:c r="E9" s="114" t="n">
        <x:v>5</x:v>
      </x:c>
      <x:c r="F9" s="114" t="n">
        <x:f>D9*E9</x:f>
        <x:v>15</x:v>
      </x:c>
      <x:c r="G9" s="114" t="str">
        <x:v>Reference-based APIs, secure caching, OTel allowlists, preview minimisation, watermark/export policy and testing.</x:v>
      </x:c>
      <x:c r="H9" s="114" t="str">
        <x:v>CISO/SRE/Frontend</x:v>
      </x:c>
      <x:c r="I9" s="114" t="str">
        <x:v>Open</x:v>
      </x:c>
      <x:c r="J9" s="848" t="str">
        <x:v>Blocking.</x:v>
      </x:c>
    </x:row>
    <x:row r="10">
      <x:c r="A10" s="852" t="str">
        <x:v>S1011-R-006</x:v>
      </x:c>
      <x:c r="B10" s="853" t="str">
        <x:v>Complex timelines, graphs or skill trees are inaccessible to keyboard, screen-reader, low-vision or cognitive users.</x:v>
      </x:c>
      <x:c r="C10" s="853" t="str">
        <x:v>Accessibility/Inclusion</x:v>
      </x:c>
      <x:c r="D10" s="853" t="n">
        <x:v>4</x:v>
      </x:c>
      <x:c r="E10" s="853" t="n">
        <x:v>5</x:v>
      </x:c>
      <x:c r="F10" s="853" t="n">
        <x:f>D10*E10</x:f>
        <x:v>20</x:v>
      </x:c>
      <x:c r="G10" s="853" t="str">
        <x:v>WCAG 2.2 AA target, APG patterns, text/table alternatives and disabled-user testing.</x:v>
      </x:c>
      <x:c r="H10" s="853" t="str">
        <x:v>Accessibility/Product</x:v>
      </x:c>
      <x:c r="I10" s="853" t="str">
        <x:v>Open</x:v>
      </x:c>
      <x:c r="J10" s="854" t="str">
        <x:v>Blocking for primary journeys.</x:v>
      </x:c>
    </x:row>
    <x:row r="11">
      <x:c r="A11" s="847" t="str">
        <x:v>S1011-R-007</x:v>
      </x:c>
      <x:c r="B11" s="114" t="str">
        <x:v>Use of accessible components is mistaken for full service conformance.</x:v>
      </x:c>
      <x:c r="C11" s="114" t="str">
        <x:v>Accessibility/QA</x:v>
      </x:c>
      <x:c r="D11" s="114" t="n">
        <x:v>3</x:v>
      </x:c>
      <x:c r="E11" s="114" t="n">
        <x:v>4</x:v>
      </x:c>
      <x:c r="F11" s="114" t="n">
        <x:f>D11*E11</x:f>
        <x:v>12</x:v>
      </x:c>
      <x:c r="G11" s="114" t="str">
        <x:v>End-to-end manual/AT testing, conformance evidence and explicit limitations.</x:v>
      </x:c>
      <x:c r="H11" s="114" t="str">
        <x:v>Accessibility/QA</x:v>
      </x:c>
      <x:c r="I11" s="114" t="str">
        <x:v>Open</x:v>
      </x:c>
      <x:c r="J11" s="848" t="str"/>
    </x:row>
    <x:row r="12">
      <x:c r="A12" s="852" t="str">
        <x:v>S1011-R-008</x:v>
      </x:c>
      <x:c r="B12" s="853" t="str">
        <x:v>Stale or partially unavailable read models appear as zero progress, inactivity or no evidence.</x:v>
      </x:c>
      <x:c r="C12" s="853" t="str">
        <x:v>Data Quality/Fairness</x:v>
      </x:c>
      <x:c r="D12" s="853" t="n">
        <x:v>4</x:v>
      </x:c>
      <x:c r="E12" s="853" t="n">
        <x:v>5</x:v>
      </x:c>
      <x:c r="F12" s="853" t="n">
        <x:f>D12*E12</x:f>
        <x:v>20</x:v>
      </x:c>
      <x:c r="G12" s="853" t="str">
        <x:v>Freshness/completeness fields, degraded-state UX and harmful actions disabled during uncertainty.</x:v>
      </x:c>
      <x:c r="H12" s="853" t="str">
        <x:v>Data/Product/AI Governance</x:v>
      </x:c>
      <x:c r="I12" s="853" t="str">
        <x:v>Open</x:v>
      </x:c>
      <x:c r="J12" s="854" t="str">
        <x:v>Blocking.</x:v>
      </x:c>
    </x:row>
    <x:row r="13">
      <x:c r="A13" s="847" t="str">
        <x:v>S1011-R-009</x:v>
      </x:c>
      <x:c r="B13" s="114" t="str">
        <x:v>Audience access boundaries are bypassed through BFF/API IDOR, search or export.</x:v>
      </x:c>
      <x:c r="C13" s="114" t="str">
        <x:v>Security/Privacy</x:v>
      </x:c>
      <x:c r="D13" s="114" t="n">
        <x:v>3</x:v>
      </x:c>
      <x:c r="E13" s="114" t="n">
        <x:v>5</x:v>
      </x:c>
      <x:c r="F13" s="114" t="n">
        <x:f>D13*E13</x:f>
        <x:v>15</x:v>
      </x:c>
      <x:c r="G13" s="114" t="str">
        <x:v>Tenant/person/case checks, policy broker, RLS, security tests and audit.</x:v>
      </x:c>
      <x:c r="H13" s="114" t="str">
        <x:v>Application Security</x:v>
      </x:c>
      <x:c r="I13" s="114" t="str">
        <x:v>Open</x:v>
      </x:c>
      <x:c r="J13" s="848" t="str">
        <x:v>Blocking.</x:v>
      </x:c>
    </x:row>
    <x:row r="14">
      <x:c r="A14" s="852" t="str">
        <x:v>S1011-R-010</x:v>
      </x:c>
      <x:c r="B14" s="853" t="str">
        <x:v>UI explanations overstate AI confidence or hide model/skill/policy lineage.</x:v>
      </x:c>
      <x:c r="C14" s="853" t="str">
        <x:v>AI Governance/Trust</x:v>
      </x:c>
      <x:c r="D14" s="853" t="n">
        <x:v>3</x:v>
      </x:c>
      <x:c r="E14" s="853" t="n">
        <x:v>5</x:v>
      </x:c>
      <x:c r="F14" s="853" t="n">
        <x:f>D14*E14</x:f>
        <x:v>15</x:v>
      </x:c>
      <x:c r="G14" s="853" t="str">
        <x:v>Fact/inference labels, confidence/gap display, version lineage and explanation acceptance tests.</x:v>
      </x:c>
      <x:c r="H14" s="853" t="str">
        <x:v>AI Governance/Product</x:v>
      </x:c>
      <x:c r="I14" s="853" t="str">
        <x:v>Open</x:v>
      </x:c>
      <x:c r="J14" s="854" t="str">
        <x:v>Blocking.</x:v>
      </x:c>
    </x:row>
    <x:row r="15">
      <x:c r="A15" s="847" t="str">
        <x:v>S1011-R-011</x:v>
      </x:c>
      <x:c r="B15" s="114" t="str">
        <x:v>Localisation or time-zone errors misstate deadlines, policy effective dates or review SLAs.</x:v>
      </x:c>
      <x:c r="C15" s="114" t="str">
        <x:v>UX/Legal/Operations</x:v>
      </x:c>
      <x:c r="D15" s="114" t="n">
        <x:v>3</x:v>
      </x:c>
      <x:c r="E15" s="114" t="n">
        <x:v>4</x:v>
      </x:c>
      <x:c r="F15" s="114" t="n">
        <x:f>D15*E15</x:f>
        <x:v>12</x:v>
      </x:c>
      <x:c r="G15" s="114" t="str">
        <x:v>Locale/time-zone contracts, legal content packs and UJ-018 testing.</x:v>
      </x:c>
      <x:c r="H15" s="114" t="str">
        <x:v>Localisation/Legal/Product</x:v>
      </x:c>
      <x:c r="I15" s="114" t="str">
        <x:v>Open</x:v>
      </x:c>
      <x:c r="J15" s="848" t="str"/>
    </x:row>
    <x:row r="16">
      <x:c r="A16" s="852" t="str">
        <x:v>S1011-R-012</x:v>
      </x:c>
      <x:c r="B16" s="853" t="str">
        <x:v>Notification overload or insecure previews disclose sensitive information and undermine trust.</x:v>
      </x:c>
      <x:c r="C16" s="853" t="str">
        <x:v>UX/Privacy</x:v>
      </x:c>
      <x:c r="D16" s="853" t="n">
        <x:v>4</x:v>
      </x:c>
      <x:c r="E16" s="853" t="n">
        <x:v>4</x:v>
      </x:c>
      <x:c r="F16" s="853" t="n">
        <x:f>D16*E16</x:f>
        <x:v>16</x:v>
      </x:c>
      <x:c r="G16" s="853" t="str">
        <x:v>Priority/digest/cooldown policy, secure deep links and no-sensitive-preview tests.</x:v>
      </x:c>
      <x:c r="H16" s="853" t="str">
        <x:v>Notification Product/DPO</x:v>
      </x:c>
      <x:c r="I16" s="853" t="str">
        <x:v>Open</x:v>
      </x:c>
      <x:c r="J16" s="854" t="str"/>
    </x:row>
    <x:row r="17">
      <x:c r="A17" s="847" t="str">
        <x:v>S1011-R-013</x:v>
      </x:c>
      <x:c r="B17" s="114" t="str">
        <x:v>Capability character UX becomes childish, manipulative, publicly competitive or permanently labelling.</x:v>
      </x:c>
      <x:c r="C17" s="114" t="str">
        <x:v>Product/HR/Fairness</x:v>
      </x:c>
      <x:c r="D17" s="114" t="n">
        <x:v>3</x:v>
      </x:c>
      <x:c r="E17" s="114" t="n">
        <x:v>5</x:v>
      </x:c>
      <x:c r="F17" s="114" t="n">
        <x:f>D17*E17</x:f>
        <x:v>15</x:v>
      </x:c>
      <x:c r="G17" s="114" t="str">
        <x:v>Professional private design, no public ranking/streak pressure and evidence freshness/status.</x:v>
      </x:c>
      <x:c r="H17" s="114" t="str">
        <x:v>Product/HR/Employee Experience</x:v>
      </x:c>
      <x:c r="I17" s="114" t="str">
        <x:v>Open</x:v>
      </x:c>
      <x:c r="J17" s="848" t="str">
        <x:v>Blocking.</x:v>
      </x:c>
    </x:row>
    <x:row r="18">
      <x:c r="A18" s="852" t="str">
        <x:v>S1011-R-014</x:v>
      </x:c>
      <x:c r="B18" s="853" t="str">
        <x:v>Skill observation is automatically converted into production behaviour without adequate evidence.</x:v>
      </x:c>
      <x:c r="C18" s="853" t="str">
        <x:v>AI Governance/Systemic</x:v>
      </x:c>
      <x:c r="D18" s="853" t="n">
        <x:v>3</x:v>
      </x:c>
      <x:c r="E18" s="853" t="n">
        <x:v>5</x:v>
      </x:c>
      <x:c r="F18" s="853" t="n">
        <x:f>D18*E18</x:f>
        <x:v>15</x:v>
      </x:c>
      <x:c r="G18" s="853" t="str">
        <x:v>Separate observation/proposal/package lifecycle and hard approval/deployment gates.</x:v>
      </x:c>
      <x:c r="H18" s="853" t="str">
        <x:v>AI Platform/Governance</x:v>
      </x:c>
      <x:c r="I18" s="853" t="str">
        <x:v>Open</x:v>
      </x:c>
      <x:c r="J18" s="854" t="str">
        <x:v>Blocking.</x:v>
      </x:c>
    </x:row>
    <x:row r="19">
      <x:c r="A19" s="847" t="str">
        <x:v>S1011-R-015</x:v>
      </x:c>
      <x:c r="B19" s="114" t="str">
        <x:v>A malicious or prompt-injected skill gains tools, network or file access beyond its contract.</x:v>
      </x:c>
      <x:c r="C19" s="114" t="str">
        <x:v>AI Security</x:v>
      </x:c>
      <x:c r="D19" s="114" t="n">
        <x:v>4</x:v>
      </x:c>
      <x:c r="E19" s="114" t="n">
        <x:v>5</x:v>
      </x:c>
      <x:c r="F19" s="114" t="n">
        <x:f>D19*E19</x:f>
        <x:v>20</x:v>
      </x:c>
      <x:c r="G19" s="114" t="str">
        <x:v>Default-deny capability gateway, sandbox, adversarial evals and runtime enforcement.</x:v>
      </x:c>
      <x:c r="H19" s="114" t="str">
        <x:v>AI Security/CISO</x:v>
      </x:c>
      <x:c r="I19" s="114" t="str">
        <x:v>Open</x:v>
      </x:c>
      <x:c r="J19" s="848" t="str">
        <x:v>Blocking.</x:v>
      </x:c>
    </x:row>
    <x:row r="20">
      <x:c r="A20" s="852" t="str">
        <x:v>S1011-R-016</x:v>
      </x:c>
      <x:c r="B20" s="853" t="str">
        <x:v>Confidential employee, customer, tenant or project data leaks into reusable/global/public skill.</x:v>
      </x:c>
      <x:c r="C20" s="853" t="str">
        <x:v>Confidentiality/Privacy</x:v>
      </x:c>
      <x:c r="D20" s="853" t="n">
        <x:v>3</x:v>
      </x:c>
      <x:c r="E20" s="853" t="n">
        <x:v>5</x:v>
      </x:c>
      <x:c r="F20" s="853" t="n">
        <x:f>D20*E20</x:f>
        <x:v>15</x:v>
      </x:c>
      <x:c r="G20" s="853" t="str">
        <x:v>Classification, tenant isolation, generalisation, publication workflow and scans.</x:v>
      </x:c>
      <x:c r="H20" s="853" t="str">
        <x:v>DPO/CISO/Legal</x:v>
      </x:c>
      <x:c r="I20" s="853" t="str">
        <x:v>Open</x:v>
      </x:c>
      <x:c r="J20" s="854" t="str">
        <x:v>Blocking.</x:v>
      </x:c>
    </x:row>
    <x:row r="21">
      <x:c r="A21" s="847" t="str">
        <x:v>S1011-R-017</x:v>
      </x:c>
      <x:c r="B21" s="114" t="str">
        <x:v>Source or dependency licence terms are violated.</x:v>
      </x:c>
      <x:c r="C21" s="114" t="str">
        <x:v>Legal/Supply Chain</x:v>
      </x:c>
      <x:c r="D21" s="114" t="n">
        <x:v>3</x:v>
      </x:c>
      <x:c r="E21" s="114" t="n">
        <x:v>5</x:v>
      </x:c>
      <x:c r="F21" s="114" t="n">
        <x:f>D21*E21</x:f>
        <x:v>15</x:v>
      </x:c>
      <x:c r="G21" s="114" t="str">
        <x:v>Source/licence registry, SPDX/CycloneDX, automated scans, legal review and clean-room path.</x:v>
      </x:c>
      <x:c r="H21" s="114" t="str">
        <x:v>Legal/Procurement/Architecture</x:v>
      </x:c>
      <x:c r="I21" s="114" t="str">
        <x:v>Open</x:v>
      </x:c>
      <x:c r="J21" s="848" t="str">
        <x:v>Blocking.</x:v>
      </x:c>
    </x:row>
    <x:row r="22">
      <x:c r="A22" s="852" t="str">
        <x:v>S1011-R-018</x:v>
      </x:c>
      <x:c r="B22" s="853" t="str">
        <x:v>Package artifact is modified, unsigned or built from untrusted source/builder.</x:v>
      </x:c>
      <x:c r="C22" s="853" t="str">
        <x:v>Supply Chain/Security</x:v>
      </x:c>
      <x:c r="D22" s="853" t="n">
        <x:v>3</x:v>
      </x:c>
      <x:c r="E22" s="853" t="n">
        <x:v>5</x:v>
      </x:c>
      <x:c r="F22" s="853" t="n">
        <x:f>D22*E22</x:f>
        <x:v>15</x:v>
      </x:c>
      <x:c r="G22" s="853" t="str">
        <x:v>OCI digest, SLSA provenance, Sigstore verification and runtime policy.</x:v>
      </x:c>
      <x:c r="H22" s="853" t="str">
        <x:v>DevSecOps/CISO</x:v>
      </x:c>
      <x:c r="I22" s="853" t="str">
        <x:v>Open</x:v>
      </x:c>
      <x:c r="J22" s="854" t="str">
        <x:v>Blocking.</x:v>
      </x:c>
    </x:row>
    <x:row r="23">
      <x:c r="A23" s="847" t="str">
        <x:v>S1011-R-019</x:v>
      </x:c>
      <x:c r="B23" s="114" t="str">
        <x:v>Signing identity, CI builder or source repository is compromised.</x:v>
      </x:c>
      <x:c r="C23" s="114" t="str">
        <x:v>Supply Chain/Incident</x:v>
      </x:c>
      <x:c r="D23" s="114" t="n">
        <x:v>3</x:v>
      </x:c>
      <x:c r="E23" s="114" t="n">
        <x:v>5</x:v>
      </x:c>
      <x:c r="F23" s="114" t="n">
        <x:f>D23*E23</x:f>
        <x:v>15</x:v>
      </x:c>
      <x:c r="G23" s="114" t="str">
        <x:v>Protected source, isolated builders, OIDC/KMS signing, revocation, rebuild and global revoke drill.</x:v>
      </x:c>
      <x:c r="H23" s="114" t="str">
        <x:v>CISO/DevSecOps</x:v>
      </x:c>
      <x:c r="I23" s="114" t="str">
        <x:v>Open</x:v>
      </x:c>
      <x:c r="J23" s="848" t="str">
        <x:v>Blocking.</x:v>
      </x:c>
    </x:row>
    <x:row r="24">
      <x:c r="A24" s="852" t="str">
        <x:v>S1011-R-020</x:v>
      </x:c>
      <x:c r="B24" s="853" t="str">
        <x:v>Evaluation suite overfits known cases, uses circular graders or misses harmful edge cases.</x:v>
      </x:c>
      <x:c r="C24" s="853" t="str">
        <x:v>AI Evaluation</x:v>
      </x:c>
      <x:c r="D24" s="853" t="n">
        <x:v>4</x:v>
      </x:c>
      <x:c r="E24" s="853" t="n">
        <x:v>5</x:v>
      </x:c>
      <x:c r="F24" s="853" t="n">
        <x:f>D24*E24</x:f>
        <x:v>20</x:v>
      </x:c>
      <x:c r="G24" s="853" t="str">
        <x:v>Holdout/adversarial/regression cases, independent graders, reviewer sampling and refresh.</x:v>
      </x:c>
      <x:c r="H24" s="853" t="str">
        <x:v>AI Evaluation/Domain Review</x:v>
      </x:c>
      <x:c r="I24" s="853" t="str">
        <x:v>Open</x:v>
      </x:c>
      <x:c r="J24" s="854" t="str">
        <x:v>Blocking for high-impact packages.</x:v>
      </x:c>
    </x:row>
    <x:row r="25">
      <x:c r="A25" s="847" t="str">
        <x:v>S1011-R-021</x:v>
      </x:c>
      <x:c r="B25" s="114" t="str">
        <x:v>Canary targeting exposes inappropriate employees/tasks or includes PII/protected attributes in flag context.</x:v>
      </x:c>
      <x:c r="C25" s="114" t="str">
        <x:v>Privacy/Fairness/Deployment</x:v>
      </x:c>
      <x:c r="D25" s="114" t="n">
        <x:v>3</x:v>
      </x:c>
      <x:c r="E25" s="114" t="n">
        <x:v>5</x:v>
      </x:c>
      <x:c r="F25" s="114" t="n">
        <x:f>D25*E25</x:f>
        <x:v>15</x:v>
      </x:c>
      <x:c r="G25" s="114" t="str">
        <x:v>PII-minimised OpenFeature context, cohort review and category-specific restrictions.</x:v>
      </x:c>
      <x:c r="H25" s="114" t="str">
        <x:v>DPO/Platform/Product</x:v>
      </x:c>
      <x:c r="I25" s="114" t="str">
        <x:v>Open</x:v>
      </x:c>
      <x:c r="J25" s="848" t="str">
        <x:v>Blocking.</x:v>
      </x:c>
    </x:row>
    <x:row r="26">
      <x:c r="A26" s="852" t="str">
        <x:v>S1011-R-022</x:v>
      </x:c>
      <x:c r="B26" s="853" t="str">
        <x:v>Canary success metrics hide a critical safety/fairness failure behind aggregate improvement.</x:v>
      </x:c>
      <x:c r="C26" s="853" t="str">
        <x:v>Evaluation/Governance</x:v>
      </x:c>
      <x:c r="D26" s="853" t="n">
        <x:v>3</x:v>
      </x:c>
      <x:c r="E26" s="853" t="n">
        <x:v>5</x:v>
      </x:c>
      <x:c r="F26" s="853" t="n">
        <x:f>D26*E26</x:f>
        <x:v>15</x:v>
      </x:c>
      <x:c r="G26" s="853" t="str">
        <x:v>Critical metric floors, disaggregated approved analysis and automatic pause.</x:v>
      </x:c>
      <x:c r="H26" s="853" t="str">
        <x:v>AI Governance/DPO</x:v>
      </x:c>
      <x:c r="I26" s="853" t="str">
        <x:v>Open</x:v>
      </x:c>
      <x:c r="J26" s="854" t="str">
        <x:v>Blocking.</x:v>
      </x:c>
    </x:row>
    <x:row r="27">
      <x:c r="A27" s="847" t="str">
        <x:v>S1011-R-023</x:v>
      </x:c>
      <x:c r="B27" s="114" t="str">
        <x:v>Rollback fails or runtime keeps stale/cached harmful package.</x:v>
      </x:c>
      <x:c r="C27" s="114" t="str">
        <x:v>Reliability/Systemic</x:v>
      </x:c>
      <x:c r="D27" s="114" t="n">
        <x:v>3</x:v>
      </x:c>
      <x:c r="E27" s="114" t="n">
        <x:v>5</x:v>
      </x:c>
      <x:c r="F27" s="114" t="n">
        <x:f>D27*E27</x:f>
        <x:v>15</x:v>
      </x:c>
      <x:c r="G27" s="114" t="str">
        <x:v>Verified rollback target, cache revocation, provider-failure fallback and drills.</x:v>
      </x:c>
      <x:c r="H27" s="114" t="str">
        <x:v>SRE/Platform</x:v>
      </x:c>
      <x:c r="I27" s="114" t="str">
        <x:v>Open</x:v>
      </x:c>
      <x:c r="J27" s="848" t="str">
        <x:v>Blocking.</x:v>
      </x:c>
    </x:row>
    <x:row r="28">
      <x:c r="A28" s="852" t="str">
        <x:v>S1011-R-024</x:v>
      </x:c>
      <x:c r="B28" s="853" t="str">
        <x:v>Rollback stops future use but prior harmful findings/interventions remain unreviewed.</x:v>
      </x:c>
      <x:c r="C28" s="853" t="str">
        <x:v>Employment/Remediation</x:v>
      </x:c>
      <x:c r="D28" s="853" t="n">
        <x:v>4</x:v>
      </x:c>
      <x:c r="E28" s="853" t="n">
        <x:v>5</x:v>
      </x:c>
      <x:c r="F28" s="853" t="n">
        <x:f>D28*E28</x:f>
        <x:v>20</x:v>
      </x:c>
      <x:c r="G28" s="853" t="str">
        <x:v>Usage lineage, affected-output analysis and employee/case correction workflow.</x:v>
      </x:c>
      <x:c r="H28" s="853" t="str">
        <x:v>Governance/Domain Owners</x:v>
      </x:c>
      <x:c r="I28" s="853" t="str">
        <x:v>Open</x:v>
      </x:c>
      <x:c r="J28" s="854" t="str">
        <x:v>Blocking.</x:v>
      </x:c>
    </x:row>
    <x:row r="29">
      <x:c r="A29" s="847" t="str">
        <x:v>S1011-R-025</x:v>
      </x:c>
      <x:c r="B29" s="114" t="str">
        <x:v>External research is stale, conflicting, misapplied or treated as direct production instruction.</x:v>
      </x:c>
      <x:c r="C29" s="114" t="str">
        <x:v>Research/Quality</x:v>
      </x:c>
      <x:c r="D29" s="114" t="n">
        <x:v>4</x:v>
      </x:c>
      <x:c r="E29" s="114" t="n">
        <x:v>4</x:v>
      </x:c>
      <x:c r="F29" s="114" t="n">
        <x:f>D29*E29</x:f>
        <x:v>16</x:v>
      </x:c>
      <x:c r="G29" s="114" t="str">
        <x:v>Official-source preference, retrieval/version date, conflict review, expiry and research-to-proposal boundary.</x:v>
      </x:c>
      <x:c r="H29" s="114" t="str">
        <x:v>Research Governance</x:v>
      </x:c>
      <x:c r="I29" s="114" t="str">
        <x:v>Open</x:v>
      </x:c>
      <x:c r="J29" s="848" t="str"/>
    </x:row>
    <x:row r="30">
      <x:c r="A30" s="852" t="str">
        <x:v>S1011-R-026</x:v>
      </x:c>
      <x:c r="B30" s="853" t="str">
        <x:v>Skill Forge feedback or observation metrics are used to rank employees or teams.</x:v>
      </x:c>
      <x:c r="C30" s="853" t="str">
        <x:v>Misuse/Trust</x:v>
      </x:c>
      <x:c r="D30" s="853" t="n">
        <x:v>3</x:v>
      </x:c>
      <x:c r="E30" s="853" t="n">
        <x:v>5</x:v>
      </x:c>
      <x:c r="F30" s="853" t="n">
        <x:f>D30*E30</x:f>
        <x:v>15</x:v>
      </x:c>
      <x:c r="G30" s="853" t="str">
        <x:v>Purpose restriction, aggregation, metric deny-list and report access controls.</x:v>
      </x:c>
      <x:c r="H30" s="853" t="str">
        <x:v>HR/DPO/Product</x:v>
      </x:c>
      <x:c r="I30" s="853" t="str">
        <x:v>Open</x:v>
      </x:c>
      <x:c r="J30" s="854" t="str">
        <x:v>Blocking.</x:v>
      </x:c>
    </x:row>
    <x:row r="31">
      <x:c r="A31" s="847" t="str">
        <x:v>S1011-R-027</x:v>
      </x:c>
      <x:c r="B31" s="114" t="str">
        <x:v>Skill packages proliferate without ownership, deprecation, compatibility or discoverability.</x:v>
      </x:c>
      <x:c r="C31" s="114" t="str">
        <x:v>Architecture/Operations</x:v>
      </x:c>
      <x:c r="D31" s="114" t="n">
        <x:v>4</x:v>
      </x:c>
      <x:c r="E31" s="114" t="n">
        <x:v>4</x:v>
      </x:c>
      <x:c r="F31" s="114" t="n">
        <x:f>D31*E31</x:f>
        <x:v>16</x:v>
      </x:c>
      <x:c r="G31" s="114" t="str">
        <x:v>Registry ownership, lifecycle, dependency graph, expiry and architecture review.</x:v>
      </x:c>
      <x:c r="H31" s="114" t="str">
        <x:v>Architecture/Skill Forge</x:v>
      </x:c>
      <x:c r="I31" s="114" t="str">
        <x:v>Open</x:v>
      </x:c>
      <x:c r="J31" s="848" t="str"/>
    </x:row>
    <x:row r="32">
      <x:c r="A32" s="852" t="str">
        <x:v>S1011-R-028</x:v>
      </x:c>
      <x:c r="B32" s="853" t="str">
        <x:v>Evaluation or sandbox uses real secrets/personal data or allows host/network escape.</x:v>
      </x:c>
      <x:c r="C32" s="853" t="str">
        <x:v>Security/Privacy</x:v>
      </x:c>
      <x:c r="D32" s="853" t="n">
        <x:v>3</x:v>
      </x:c>
      <x:c r="E32" s="853" t="n">
        <x:v>5</x:v>
      </x:c>
      <x:c r="F32" s="853" t="n">
        <x:f>D32*E32</x:f>
        <x:v>15</x:v>
      </x:c>
      <x:c r="G32" s="853" t="str">
        <x:v>Synthetic/de-identified data, default-deny sandbox, secret scanning and red team.</x:v>
      </x:c>
      <x:c r="H32" s="853" t="str">
        <x:v>CISO/DPO/Evaluation</x:v>
      </x:c>
      <x:c r="I32" s="853" t="str">
        <x:v>Open</x:v>
      </x:c>
      <x:c r="J32" s="854" t="str">
        <x:v>Blocking.</x:v>
      </x:c>
    </x:row>
    <x:row r="33">
      <x:c r="A33" s="847" t="str">
        <x:v>S1011-R-029</x:v>
      </x:c>
      <x:c r="B33" s="114" t="str">
        <x:v>Progressive-delivery tooling duplicates HumanOS control plane and creates inconsistent truth.</x:v>
      </x:c>
      <x:c r="C33" s="114" t="str">
        <x:v>Architecture/Operations</x:v>
      </x:c>
      <x:c r="D33" s="114" t="n">
        <x:v>3</x:v>
      </x:c>
      <x:c r="E33" s="114" t="n">
        <x:v>4</x:v>
      </x:c>
      <x:c r="F33" s="114" t="n">
        <x:f>D33*E33</x:f>
        <x:v>12</x:v>
      </x:c>
      <x:c r="G33" s="114" t="str">
        <x:v>Platform capability assessment, OpenFeature abstraction and one authoritative registry/deployment state.</x:v>
      </x:c>
      <x:c r="H33" s="114" t="str">
        <x:v>Platform Architect</x:v>
      </x:c>
      <x:c r="I33" s="114" t="str">
        <x:v>Open</x:v>
      </x:c>
      <x:c r="J33" s="848" t="str"/>
    </x:row>
    <x:row r="34">
      <x:c r="A34" s="855" t="str">
        <x:v>S1011-R-030</x:v>
      </x:c>
      <x:c r="B34" s="856" t="str">
        <x:v>Publication exports proprietary/confidential material or creates unsupported public maintenance burden.</x:v>
      </x:c>
      <x:c r="C34" s="856" t="str">
        <x:v>Legal/Commercial/Security</x:v>
      </x:c>
      <x:c r="D34" s="856" t="n">
        <x:v>3</x:v>
      </x:c>
      <x:c r="E34" s="856" t="n">
        <x:v>5</x:v>
      </x:c>
      <x:c r="F34" s="856" t="n">
        <x:f>D34*E34</x:f>
        <x:v>15</x:v>
      </x:c>
      <x:c r="G34" s="856" t="str">
        <x:v>Explicit publication class, legal/security/privacy review, clean-room/attribution and owner/support decision.</x:v>
      </x:c>
      <x:c r="H34" s="856" t="str">
        <x:v>Legal/CISO/Product</x:v>
      </x:c>
      <x:c r="I34" s="856" t="str">
        <x:v>Open</x:v>
      </x:c>
      <x:c r="J34" s="857" t="str">
        <x:v>Blocking.</x:v>
      </x:c>
    </x:row>
  </x:sheetData>
  <x:mergeCells>
    <x:mergeCell ref="A1:J1"/>
    <x:mergeCell ref="A2:J2"/>
  </x:mergeCells>
  <x:conditionalFormatting sqref="F5:F34">
    <x:cfRule type="colorScale" priority="1">
      <x:colorScale>
        <x:cfvo type="min"/>
        <x:cfvo type="percentile" val="50"/>
        <x:cfvo type="max"/>
        <x:color rgb="FFE2F0D9"/>
        <x:color rgb="FFFFF2CC"/>
        <x:color rgb="FFFCE4D6"/>
      </x:colorScale>
    </x:cfRule>
  </x:conditionalFormatting>
  <x:dataValidations count="1">
    <x:dataValidation type="list" sqref="I5:I34">
      <x:formula1>"Open,Mitigating,Accepted,Closed,Blocked"</x:formula1>
    </x:dataValidation>
  </x:dataValidations>
  <x:pageMargins left="0.7" right="0.7" top="0.75" bottom="0.75" header="0.3" footer="0.3"/>
</x:worksheet>
</file>

<file path=xl/worksheets/sheet160.xml><?xml version="1.0" encoding="utf-8"?>
<x:worksheet xmlns:x="http://schemas.openxmlformats.org/spreadsheetml/2006/main">
  <x:sheetFormatPr defaultRowHeight="15"/>
  <x:cols>
    <x:col min="1" max="1" width="15" hidden="0" customWidth="1"/>
    <x:col min="2" max="2" width="40" hidden="0" customWidth="1"/>
    <x:col min="3" max="3" width="20" hidden="0" customWidth="1"/>
    <x:col min="4" max="4" width="52" hidden="0" customWidth="1"/>
    <x:col min="5" max="5" width="64" hidden="0" customWidth="1"/>
    <x:col min="6" max="6" width="42" hidden="0" customWidth="1"/>
    <x:col min="7" max="7" width="46" hidden="0" customWidth="1"/>
    <x:col min="8" max="8" width="44" hidden="0" customWidth="1"/>
    <x:col min="9" max="9" width="38" hidden="0" customWidth="1"/>
    <x:col min="10" max="10" width="30" hidden="0" customWidth="1"/>
    <x:col min="11" max="11" width="34" hidden="0" customWidth="1"/>
  </x:cols>
  <x:sheetData>
    <x:row r="1" ht="30" customHeight="1">
      <x:c r="A1" s="809" t="str">
        <x:v>Stage 10–11 — Architecture and Product Decisions</x:v>
      </x:c>
      <x:c r="B1" s="809"/>
      <x:c r="C1" s="809"/>
      <x:c r="D1" s="809"/>
      <x:c r="E1" s="809"/>
      <x:c r="F1" s="809"/>
      <x:c r="G1" s="809"/>
      <x:c r="H1" s="809"/>
      <x:c r="I1" s="809"/>
      <x:c r="J1" s="809"/>
      <x:c r="K1" s="809"/>
    </x:row>
    <x:row r="2" ht="38" customHeight="1">
      <x:c r="A2" s="813" t="str">
        <x:v>Combined decisions for HumanOS experiences, accessibility, evidence access, Skill Forge packaging, supply-chain assurance, feature flags, progressive delivery and research governance.</x:v>
      </x:c>
      <x:c r="B2" s="813"/>
      <x:c r="C2" s="813"/>
      <x:c r="D2" s="813"/>
      <x:c r="E2" s="813"/>
      <x:c r="F2" s="813"/>
      <x:c r="G2" s="813"/>
      <x:c r="H2" s="813"/>
      <x:c r="I2" s="813"/>
      <x:c r="J2" s="813"/>
      <x:c r="K2" s="813"/>
    </x:row>
    <x:row r="4" ht="30" customHeight="1">
      <x:c r="A4" s="825" t="str">
        <x:v>ADR</x:v>
      </x:c>
      <x:c r="B4" s="826" t="str">
        <x:v>Decision title</x:v>
      </x:c>
      <x:c r="C4" s="826" t="str">
        <x:v>Status</x:v>
      </x:c>
      <x:c r="D4" s="826" t="str">
        <x:v>Context</x:v>
      </x:c>
      <x:c r="E4" s="826" t="str">
        <x:v>Decision</x:v>
      </x:c>
      <x:c r="F4" s="826" t="str">
        <x:v>Alternatives</x:v>
      </x:c>
      <x:c r="G4" s="826" t="str">
        <x:v>Positive consequences</x:v>
      </x:c>
      <x:c r="H4" s="826" t="str">
        <x:v>Risk / trade-off</x:v>
      </x:c>
      <x:c r="I4" s="826" t="str">
        <x:v>Validation</x:v>
      </x:c>
      <x:c r="J4" s="826" t="str">
        <x:v>Owner</x:v>
      </x:c>
      <x:c r="K4" s="827" t="str">
        <x:v>Source</x:v>
      </x:c>
    </x:row>
    <x:row r="5">
      <x:c r="A5" s="844" t="str">
        <x:v>S1011-ADR-001</x:v>
      </x:c>
      <x:c r="B5" s="845" t="str">
        <x:v>Reuse HumanOS frontend and design system</x:v>
      </x:c>
      <x:c r="C5" s="845" t="str">
        <x:v>Accepted in principle</x:v>
      </x:c>
      <x:c r="D5" s="845" t="str">
        <x:v>A parallel UI framework would fragment identity, policy, accessibility and operations.</x:v>
      </x:c>
      <x:c r="E5" s="845" t="str">
        <x:v>Reuse current HumanOS frontend/design-system standards; extend components only where gaps exist.</x:v>
      </x:c>
      <x:c r="F5" s="845" t="str">
        <x:v>New standalone React/Electron/web stack.</x:v>
      </x:c>
      <x:c r="G5" s="845" t="str">
        <x:v>Consistency, lower delivery risk and shared accessibility.</x:v>
      </x:c>
      <x:c r="H5" s="845" t="str">
        <x:v>Existing components may need substantial extension.</x:v>
      </x:c>
      <x:c r="I5" s="845" t="str">
        <x:v>Platform inventory and gap review.</x:v>
      </x:c>
      <x:c r="J5" s="845" t="str">
        <x:v>CTO/Experience Architect</x:v>
      </x:c>
      <x:c r="K5" s="846" t="str">
        <x:v>HumanOS constraint</x:v>
      </x:c>
    </x:row>
    <x:row r="6">
      <x:c r="A6" s="852" t="str">
        <x:v>S1011-ADR-002</x:v>
      </x:c>
      <x:c r="B6" s="853" t="str">
        <x:v>Audience-specific BFFs and read models</x:v>
      </x:c>
      <x:c r="C6" s="853" t="str">
        <x:v>Accepted</x:v>
      </x:c>
      <x:c r="D6" s="853" t="str">
        <x:v>Employee, manager, reviewer and governance audiences require different scopes and content.</x:v>
      </x:c>
      <x:c r="E6" s="853" t="str">
        <x:v>Use policy-filtered audience BFFs/read models derived from reviewed domain state.</x:v>
      </x:c>
      <x:c r="F6" s="853" t="str">
        <x:v>One universal reporting API; frontend joins raw domains.</x:v>
      </x:c>
      <x:c r="G6" s="853" t="str">
        <x:v>Security, performance and clarity.</x:v>
      </x:c>
      <x:c r="H6" s="853" t="str">
        <x:v>More projectors/contracts.</x:v>
      </x:c>
      <x:c r="I6" s="853" t="str">
        <x:v>Access and stale-state tests.</x:v>
      </x:c>
      <x:c r="J6" s="853" t="str">
        <x:v>Architecture Board</x:v>
      </x:c>
      <x:c r="K6" s="854" t="str">
        <x:v>Experience Architecture</x:v>
      </x:c>
    </x:row>
    <x:row r="7">
      <x:c r="A7" s="847" t="str">
        <x:v>S1011-ADR-003</x:v>
      </x:c>
      <x:c r="B7" s="114" t="str">
        <x:v>Employee self-access is primary</x:v>
      </x:c>
      <x:c r="C7" s="114" t="str">
        <x:v>Accepted</x:v>
      </x:c>
      <x:c r="D7" s="114" t="str">
        <x:v>Evidence and assessments can be wrong and materially affect employees.</x:v>
      </x:c>
      <x:c r="E7" s="114" t="str">
        <x:v>Employee workspace exposes material evidence, lineage, confidence, corrections and access history.</x:v>
      </x:c>
      <x:c r="F7" s="114" t="str">
        <x:v>Manager-only evidence view.</x:v>
      </x:c>
      <x:c r="G7" s="114" t="str">
        <x:v>Trust, fairness and data quality.</x:v>
      </x:c>
      <x:c r="H7" s="114" t="str">
        <x:v>Operational correction workload.</x:v>
      </x:c>
      <x:c r="I7" s="114" t="str">
        <x:v>Employee journey tests.</x:v>
      </x:c>
      <x:c r="J7" s="114" t="str">
        <x:v>DPO/Product/HR</x:v>
      </x:c>
      <x:c r="K7" s="848" t="str">
        <x:v>ICO monitoring guidance</x:v>
      </x:c>
    </x:row>
    <x:row r="8">
      <x:c r="A8" s="852" t="str">
        <x:v>S1011-ADR-004</x:v>
      </x:c>
      <x:c r="B8" s="853" t="str">
        <x:v>Manager console is exception-led and summary-first</x:v>
      </x:c>
      <x:c r="C8" s="853" t="str">
        <x:v>Accepted</x:v>
      </x:c>
      <x:c r="D8" s="853" t="str">
        <x:v>Live activity walls and raw feeds create surveillance and misuse risk.</x:v>
      </x:c>
      <x:c r="E8" s="853" t="str">
        <x:v>Managers see outcomes, blockers, quality, reviews and development summaries; raw access requires grant.</x:v>
      </x:c>
      <x:c r="F8" s="853" t="str">
        <x:v>Live screens/full activity feed.</x:v>
      </x:c>
      <x:c r="G8" s="853" t="str">
        <x:v>Purpose limitation and better management action.</x:v>
      </x:c>
      <x:c r="H8" s="853" t="str">
        <x:v>Less immediate curiosity access.</x:v>
      </x:c>
      <x:c r="I8" s="853" t="str">
        <x:v>No-live-view/access tests.</x:v>
      </x:c>
      <x:c r="J8" s="853" t="str">
        <x:v>Product/HR/DPO</x:v>
      </x:c>
      <x:c r="K8" s="854" t="str">
        <x:v>Stage 0/ICO</x:v>
      </x:c>
    </x:row>
    <x:row r="9">
      <x:c r="A9" s="847" t="str">
        <x:v>S1011-ADR-005</x:v>
      </x:c>
      <x:c r="B9" s="114" t="str">
        <x:v>WCAG 2.2 AA target with APG patterns</x:v>
      </x:c>
      <x:c r="C9" s="114" t="str">
        <x:v>Accepted</x:v>
      </x:c>
      <x:c r="D9" s="114" t="str">
        <x:v>Primary employee/review workflows must be usable by disabled users.</x:v>
      </x:c>
      <x:c r="E9" s="114" t="str">
        <x:v>Target WCAG 2.2 AA; use semantic HTML/APG patterns plus manual assistive-technology and disabled-user tests.</x:v>
      </x:c>
      <x:c r="F9" s="114" t="str">
        <x:v>Automated accessibility scan only.</x:v>
      </x:c>
      <x:c r="G9" s="114" t="str">
        <x:v>Inclusive and auditable experience.</x:v>
      </x:c>
      <x:c r="H9" s="114" t="str">
        <x:v>Testing effort and remediation.</x:v>
      </x:c>
      <x:c r="I9" s="114" t="str">
        <x:v>Journey/accessibility evidence.</x:v>
      </x:c>
      <x:c r="J9" s="114" t="str">
        <x:v>Accessibility Lead</x:v>
      </x:c>
      <x:c r="K9" s="848" t="str">
        <x:v>W3C WCAG 2.2/APG</x:v>
      </x:c>
    </x:row>
    <x:row r="10">
      <x:c r="A10" s="852" t="str">
        <x:v>S1011-ADR-006</x:v>
      </x:c>
      <x:c r="B10" s="853" t="str">
        <x:v>Professional private capability character</x:v>
      </x:c>
      <x:c r="C10" s="853" t="str">
        <x:v>Accepted</x:v>
      </x:c>
      <x:c r="D10" s="853" t="str">
        <x:v>Game-like progression can motivate but public/childish mechanics can manipulate or stigmatise.</x:v>
      </x:c>
      <x:c r="E10" s="853" t="str">
        <x:v>Use private professional skill tree, evidence/confidence/freshness and no public leaderboard/streak pressure.</x:v>
      </x:c>
      <x:c r="F10" s="853" t="str">
        <x:v>Traditional HR table only; public gamification.</x:v>
      </x:c>
      <x:c r="G10" s="853" t="str">
        <x:v>Engagement with guardrails.</x:v>
      </x:c>
      <x:c r="H10" s="853" t="str">
        <x:v>Design complexity.</x:v>
      </x:c>
      <x:c r="I10" s="853" t="str">
        <x:v>Employee research.</x:v>
      </x:c>
      <x:c r="J10" s="853" t="str">
        <x:v>Product/HR</x:v>
      </x:c>
      <x:c r="K10" s="854" t="str">
        <x:v>Stage 8 vision</x:v>
      </x:c>
    </x:row>
    <x:row r="11">
      <x:c r="A11" s="847" t="str">
        <x:v>S1011-ADR-007</x:v>
      </x:c>
      <x:c r="B11" s="114" t="str">
        <x:v>Raw evidence only through scoped grants</x:v>
      </x:c>
      <x:c r="C11" s="114" t="str">
        <x:v>Accepted</x:v>
      </x:c>
      <x:c r="D11" s="114" t="str">
        <x:v>Raw screenshots/text are highly sensitive.</x:v>
      </x:c>
      <x:c r="E11" s="114" t="str">
        <x:v>All raw views use purpose/task/time-scoped grants, watermarking and audit.</x:v>
      </x:c>
      <x:c r="F11" s="114" t="str">
        <x:v>Direct role-based raw access.</x:v>
      </x:c>
      <x:c r="G11" s="114" t="str">
        <x:v>Least privilege and accountability.</x:v>
      </x:c>
      <x:c r="H11" s="114" t="str">
        <x:v>Workflow overhead.</x:v>
      </x:c>
      <x:c r="I11" s="114" t="str">
        <x:v>Grant/view/export tests.</x:v>
      </x:c>
      <x:c r="J11" s="114" t="str">
        <x:v>CISO/DPO</x:v>
      </x:c>
      <x:c r="K11" s="848" t="str">
        <x:v>Stage 4 controls</x:v>
      </x:c>
    </x:row>
    <x:row r="12">
      <x:c r="A12" s="852" t="str">
        <x:v>S1011-ADR-008</x:v>
      </x:c>
      <x:c r="B12" s="853" t="str">
        <x:v>Observations and production packages are separate</x:v>
      </x:c>
      <x:c r="C12" s="853" t="str">
        <x:v>Accepted</x:v>
      </x:c>
      <x:c r="D12" s="853" t="str">
        <x:v>User feedback or failures are not reliable production instructions.</x:v>
      </x:c>
      <x:c r="E12" s="853" t="str">
        <x:v>Store source observations separately; proposal, package, evaluation, approval and deployment are explicit stages.</x:v>
      </x:c>
      <x:c r="F12" s="853" t="str">
        <x:v>Mutate active skill from observation.</x:v>
      </x:c>
      <x:c r="G12" s="853" t="str">
        <x:v>Governed self-improvement.</x:v>
      </x:c>
      <x:c r="H12" s="853" t="str">
        <x:v>Slower change cycle.</x:v>
      </x:c>
      <x:c r="I12" s="853" t="str">
        <x:v>Lifecycle tests.</x:v>
      </x:c>
      <x:c r="J12" s="853" t="str">
        <x:v>AI Platform/Governance</x:v>
      </x:c>
      <x:c r="K12" s="854" t="str">
        <x:v>Skill Lifecycle</x:v>
      </x:c>
    </x:row>
    <x:row r="13">
      <x:c r="A13" s="847" t="str">
        <x:v>S1011-ADR-009</x:v>
      </x:c>
      <x:c r="B13" s="114" t="str">
        <x:v>Git source plus signed OCI package</x:v>
      </x:c>
      <x:c r="C13" s="114" t="str">
        <x:v>Accepted in principle</x:v>
      </x:c>
      <x:c r="D13" s="114" t="str">
        <x:v>Skills need human-reviewable source and immutable distributable artifacts.</x:v>
      </x:c>
      <x:c r="E13" s="114" t="str">
        <x:v>Use protected Git source and OCI-compatible immutable package/object store by digest.</x:v>
      </x:c>
      <x:c r="F13" s="114" t="str">
        <x:v>Database-only blob; Git-only runtime load.</x:v>
      </x:c>
      <x:c r="G13" s="114" t="str">
        <x:v>Reviewability, portability and integrity.</x:v>
      </x:c>
      <x:c r="H13" s="114" t="str">
        <x:v>Additional packaging pipeline.</x:v>
      </x:c>
      <x:c r="I13" s="114" t="str">
        <x:v>Package build/resolution tests.</x:v>
      </x:c>
      <x:c r="J13" s="114" t="str">
        <x:v>DevSecOps/Architecture</x:v>
      </x:c>
      <x:c r="K13" s="848" t="str">
        <x:v>OCI 1.1</x:v>
      </x:c>
    </x:row>
    <x:row r="14">
      <x:c r="A14" s="852" t="str">
        <x:v>S1011-ADR-010</x:v>
      </x:c>
      <x:c r="B14" s="853" t="str">
        <x:v>SLSA provenance and Sigstore verification</x:v>
      </x:c>
      <x:c r="C14" s="853" t="str">
        <x:v>Accepted in principle</x:v>
      </x:c>
      <x:c r="D14" s="853" t="str">
        <x:v>Runtime must know package source, builder and signer.</x:v>
      </x:c>
      <x:c r="E14" s="853" t="str">
        <x:v>Attach SLSA provenance and Sigstore/Cosign or approved equivalent signatures/attestations.</x:v>
      </x:c>
      <x:c r="F14" s="853" t="str">
        <x:v>Checksum only; private unsigned registry.</x:v>
      </x:c>
      <x:c r="G14" s="853" t="str">
        <x:v>Supply-chain assurance and incident response.</x:v>
      </x:c>
      <x:c r="H14" s="853" t="str">
        <x:v>PKI/OIDC/build governance effort.</x:v>
      </x:c>
      <x:c r="I14" s="853" t="str">
        <x:v>Signer/builder compromise drills.</x:v>
      </x:c>
      <x:c r="J14" s="853" t="str">
        <x:v>CISO/DevSecOps</x:v>
      </x:c>
      <x:c r="K14" s="854" t="str">
        <x:v>SLSA/Sigstore</x:v>
      </x:c>
    </x:row>
    <x:row r="15">
      <x:c r="A15" s="847" t="str">
        <x:v>S1011-ADR-011</x:v>
      </x:c>
      <x:c r="B15" s="114" t="str">
        <x:v>SPDX and CycloneDX BOM support</x:v>
      </x:c>
      <x:c r="C15" s="114" t="str">
        <x:v>Accepted in principle</x:v>
      </x:c>
      <x:c r="D15" s="114" t="str">
        <x:v>Packages may include software, models, datasets, services and licences.</x:v>
      </x:c>
      <x:c r="E15" s="114" t="str">
        <x:v>Generate SPDX 3.0 and/or CycloneDX 1.7 BOM according to package needs.</x:v>
      </x:c>
      <x:c r="F15" s="114" t="str">
        <x:v>Ad-hoc dependency list.</x:v>
      </x:c>
      <x:c r="G15" s="114" t="str">
        <x:v>Interoperable licence/security metadata.</x:v>
      </x:c>
      <x:c r="H15" s="114" t="str">
        <x:v>Multiple formats/mapping.</x:v>
      </x:c>
      <x:c r="I15" s="114" t="str">
        <x:v>BOM validation and policy tests.</x:v>
      </x:c>
      <x:c r="J15" s="114" t="str">
        <x:v>Supply Chain/Legal</x:v>
      </x:c>
      <x:c r="K15" s="848" t="str">
        <x:v>SPDX/CycloneDX</x:v>
      </x:c>
    </x:row>
    <x:row r="16">
      <x:c r="A16" s="852" t="str">
        <x:v>S1011-ADR-012</x:v>
      </x:c>
      <x:c r="B16" s="853" t="str">
        <x:v>OpenFeature-compatible flag abstraction</x:v>
      </x:c>
      <x:c r="C16" s="853" t="str">
        <x:v>Accepted in principle</x:v>
      </x:c>
      <x:c r="D16" s="853" t="str">
        <x:v>Canary targeting and safe defaults should not lock Skill Forge to one flag vendor.</x:v>
      </x:c>
      <x:c r="E16" s="853" t="str">
        <x:v>Use OpenFeature abstraction over existing HumanOS provider; minimise PII in evaluation context.</x:v>
      </x:c>
      <x:c r="F16" s="853" t="str">
        <x:v>Direct vendor SDK everywhere; new custom flag engine.</x:v>
      </x:c>
      <x:c r="G16" s="853" t="str">
        <x:v>Portability and governance.</x:v>
      </x:c>
      <x:c r="H16" s="853" t="str">
        <x:v>Provider feature mismatch.</x:v>
      </x:c>
      <x:c r="I16" s="853" t="str">
        <x:v>Provider outage/context tests.</x:v>
      </x:c>
      <x:c r="J16" s="853" t="str">
        <x:v>Platform Architect/DPO</x:v>
      </x:c>
      <x:c r="K16" s="854" t="str">
        <x:v>OpenFeature</x:v>
      </x:c>
    </x:row>
    <x:row r="17">
      <x:c r="A17" s="847" t="str">
        <x:v>S1011-ADR-013</x:v>
      </x:c>
      <x:c r="B17" s="114" t="str">
        <x:v>Progressive delivery reuses current platform</x:v>
      </x:c>
      <x:c r="C17" s="114" t="str">
        <x:v>Accepted in principle</x:v>
      </x:c>
      <x:c r="D17" s="114" t="str">
        <x:v>Multiple rollout control planes create operational ambiguity.</x:v>
      </x:c>
      <x:c r="E17" s="114" t="str">
        <x:v>Use existing Kubernetes/GitOps capabilities; adopt Argo Rollouts or Flagger only after documented gaps.</x:v>
      </x:c>
      <x:c r="F17" s="114" t="str">
        <x:v>Mandate new rollout tool immediately.</x:v>
      </x:c>
      <x:c r="G17" s="114" t="str">
        <x:v>Lower complexity.</x:v>
      </x:c>
      <x:c r="H17" s="114" t="str">
        <x:v>Existing platform may need extensions.</x:v>
      </x:c>
      <x:c r="I17" s="114" t="str">
        <x:v>Platform capability assessment.</x:v>
      </x:c>
      <x:c r="J17" s="114" t="str">
        <x:v>SRE/Architecture</x:v>
      </x:c>
      <x:c r="K17" s="848" t="str">
        <x:v>Argo/Flagger references</x:v>
      </x:c>
    </x:row>
    <x:row r="18">
      <x:c r="A18" s="852" t="str">
        <x:v>S1011-ADR-014</x:v>
      </x:c>
      <x:c r="B18" s="853" t="str">
        <x:v>No automatic high-impact promotion</x:v>
      </x:c>
      <x:c r="C18" s="853" t="str">
        <x:v>Accepted</x:v>
      </x:c>
      <x:c r="D18" s="853" t="str">
        <x:v>Metrics can miss rare critical harm.</x:v>
      </x:c>
      <x:c r="E18" s="853" t="str">
        <x:v>High-impact packages require human canary/promotion decision even after thresholds pass.</x:v>
      </x:c>
      <x:c r="F18" s="853" t="str">
        <x:v>Fully automatic promotion.</x:v>
      </x:c>
      <x:c r="G18" s="853" t="str">
        <x:v>Accountability and safety.</x:v>
      </x:c>
      <x:c r="H18" s="853" t="str">
        <x:v>Slower rollout.</x:v>
      </x:c>
      <x:c r="I18" s="853" t="str">
        <x:v>Approval workflow test.</x:v>
      </x:c>
      <x:c r="J18" s="853" t="str">
        <x:v>AI Governance/DPO</x:v>
      </x:c>
      <x:c r="K18" s="854" t="str">
        <x:v>Canary model</x:v>
      </x:c>
    </x:row>
    <x:row r="19">
      <x:c r="A19" s="847" t="str">
        <x:v>S1011-ADR-015</x:v>
      </x:c>
      <x:c r="B19" s="114" t="str">
        <x:v>Official/primary sources first</x:v>
      </x:c>
      <x:c r="C19" s="114" t="str">
        <x:v>Accepted</x:v>
      </x:c>
      <x:c r="D19" s="114" t="str">
        <x:v>Technical/regulatory/product behaviour changes and secondary summaries can be wrong.</x:v>
      </x:c>
      <x:c r="E19" s="114" t="str">
        <x:v>Source registry prefers official/primary sources and records retrieval/version/jurisdiction/conflicts.</x:v>
      </x:c>
      <x:c r="F19" s="114" t="str">
        <x:v>Unstructured web summaries.</x:v>
      </x:c>
      <x:c r="G19" s="114" t="str">
        <x:v>Trustworthy research lineage.</x:v>
      </x:c>
      <x:c r="H19" s="114" t="str">
        <x:v>Research effort.</x:v>
      </x:c>
      <x:c r="I19" s="114" t="str">
        <x:v>Source audit.</x:v>
      </x:c>
      <x:c r="J19" s="114" t="str">
        <x:v>Research Governance</x:v>
      </x:c>
      <x:c r="K19" s="848" t="str">
        <x:v>Web research policy</x:v>
      </x:c>
    </x:row>
    <x:row r="20">
      <x:c r="A20" s="852" t="str">
        <x:v>S1011-ADR-016</x:v>
      </x:c>
      <x:c r="B20" s="853" t="str">
        <x:v>Stable package fallback</x:v>
      </x:c>
      <x:c r="C20" s="853" t="str">
        <x:v>Accepted</x:v>
      </x:c>
      <x:c r="D20" s="853" t="str">
        <x:v>Flag/provider/registry/network failure must not broaden exposure or break critical workflow.</x:v>
      </x:c>
      <x:c r="E20" s="853" t="str">
        <x:v>Resolver falls back to verified stable/default package and emits health/audit event.</x:v>
      </x:c>
      <x:c r="F20" s="853" t="str">
        <x:v>Fail open to newest/cached candidate.</x:v>
      </x:c>
      <x:c r="G20" s="853" t="str">
        <x:v>Reliability and safety.</x:v>
      </x:c>
      <x:c r="H20" s="853" t="str">
        <x:v>May temporarily lose new feature.</x:v>
      </x:c>
      <x:c r="I20" s="853" t="str">
        <x:v>Outage/rollback test.</x:v>
      </x:c>
      <x:c r="J20" s="853" t="str">
        <x:v>Platform/SRE</x:v>
      </x:c>
      <x:c r="K20" s="854" t="str">
        <x:v>OpenFeature safe defaults</x:v>
      </x:c>
    </x:row>
    <x:row r="21">
      <x:c r="A21" s="847" t="str">
        <x:v>S1011-ADR-017</x:v>
      </x:c>
      <x:c r="B21" s="114" t="str">
        <x:v>Affected-output remediation after rollback</x:v>
      </x:c>
      <x:c r="C21" s="114" t="str">
        <x:v>Accepted</x:v>
      </x:c>
      <x:c r="D21" s="114" t="str">
        <x:v>Rollback stops future use but does not correct past findings/interventions.</x:v>
      </x:c>
      <x:c r="E21" s="114" t="str">
        <x:v>Usage lineage triggers review/correction of material affected outputs and employee notification where appropriate.</x:v>
      </x:c>
      <x:c r="F21" s="114" t="str">
        <x:v>Rollback only.</x:v>
      </x:c>
      <x:c r="G21" s="114" t="str">
        <x:v>Addresses prior harm and trust.</x:v>
      </x:c>
      <x:c r="H21" s="114" t="str">
        <x:v>Operational review effort.</x:v>
      </x:c>
      <x:c r="I21" s="114" t="str">
        <x:v>Invalid-package scenario test.</x:v>
      </x:c>
      <x:c r="J21" s="114" t="str">
        <x:v>Governance/Domain Owners</x:v>
      </x:c>
      <x:c r="K21" s="848" t="str">
        <x:v>Canary model</x:v>
      </x:c>
    </x:row>
    <x:row r="22">
      <x:c r="A22" s="855" t="str">
        <x:v>S1011-ADR-018</x:v>
      </x:c>
      <x:c r="B22" s="856" t="str">
        <x:v>Skill Forge metrics evaluate package/system</x:v>
      </x:c>
      <x:c r="C22" s="856" t="str">
        <x:v>Accepted</x:v>
      </x:c>
      <x:c r="D22" s="856" t="str">
        <x:v>Observation, feedback and canary metrics can be misused as employee performance data.</x:v>
      </x:c>
      <x:c r="E22" s="856" t="str">
        <x:v>Metrics are package/system quality with aggregate safeguards and explicit deny-list.</x:v>
      </x:c>
      <x:c r="F22" s="856" t="str">
        <x:v>Employee/team leaderboard.</x:v>
      </x:c>
      <x:c r="G22" s="856" t="str">
        <x:v>Valid evaluation and trust.</x:v>
      </x:c>
      <x:c r="H22" s="856" t="str">
        <x:v>Governance enforcement required.</x:v>
      </x:c>
      <x:c r="I22" s="856" t="str">
        <x:v>Report/schema tests.</x:v>
      </x:c>
      <x:c r="J22" s="856" t="str">
        <x:v>HR/DPO/Product</x:v>
      </x:c>
      <x:c r="K22" s="857" t="str">
        <x:v>Non-negotiable rule</x:v>
      </x:c>
    </x:row>
  </x:sheetData>
  <x:mergeCells>
    <x:mergeCell ref="A1:K1"/>
    <x:mergeCell ref="A2:K2"/>
  </x:mergeCells>
  <x:dataValidations count="1">
    <x:dataValidation type="list" sqref="C5:C22">
      <x:formula1>"Proposed,Accepted in principle,Accepted,Rejected,Deferred"</x:formula1>
    </x:dataValidation>
  </x:dataValidations>
  <x:pageMargins left="0.7" right="0.7" top="0.75" bottom="0.75" header="0.3" footer="0.3"/>
</x:worksheet>
</file>

<file path=xl/worksheets/sheet161.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0" hidden="0" customWidth="1"/>
    <x:col min="9" max="9" width="32" hidden="0" customWidth="1"/>
    <x:col min="11" max="11" width="30" hidden="0" customWidth="1"/>
    <x:col min="12" max="12" width="18" hidden="0" customWidth="1"/>
  </x:cols>
  <x:sheetData>
    <x:row r="1" ht="30" customHeight="1">
      <x:c r="A1" s="809" t="str">
        <x:v>Stage 10 — Employee, Manager, Reviewer and Governance Experience Gate</x:v>
      </x:c>
      <x:c r="B1" s="809"/>
      <x:c r="C1" s="809"/>
      <x:c r="D1" s="809"/>
      <x:c r="E1" s="809"/>
      <x:c r="F1" s="809"/>
      <x:c r="G1" s="809"/>
      <x:c r="H1" s="809"/>
      <x:c r="I1" s="809"/>
    </x:row>
    <x:row r="2" ht="38" customHeight="1">
      <x:c r="A2" s="813" t="str">
        <x:v>Readiness criteria for trustworthy, accessible and audience-scoped HumanOS experiences.</x:v>
      </x:c>
      <x:c r="B2" s="813"/>
      <x:c r="C2" s="813"/>
      <x:c r="D2" s="813"/>
      <x:c r="E2" s="813"/>
      <x:c r="F2" s="813"/>
      <x:c r="G2" s="813"/>
      <x:c r="H2" s="813"/>
      <x:c r="I2" s="813"/>
    </x:row>
    <x:row r="4" ht="30" customHeight="1">
      <x:c r="A4" s="825" t="str">
        <x:v>Gate ID</x:v>
      </x:c>
      <x:c r="B4" s="826" t="str">
        <x:v>Category</x:v>
      </x:c>
      <x:c r="C4" s="826" t="str">
        <x:v>Mandatory</x:v>
      </x:c>
      <x:c r="D4" s="826" t="str">
        <x:v>Requirement</x:v>
      </x:c>
      <x:c r="E4" s="826" t="str">
        <x:v>Required evidence</x:v>
      </x:c>
      <x:c r="F4" s="826" t="str">
        <x:v>Status</x:v>
      </x:c>
      <x:c r="G4" s="826" t="str">
        <x:v>Readiness</x:v>
      </x:c>
      <x:c r="H4" s="826" t="str">
        <x:v>Blocking condition</x:v>
      </x:c>
      <x:c r="I4" s="827" t="str">
        <x:v>Authority</x:v>
      </x:c>
      <x:c r="K4" s="825" t="str">
        <x:v>Metric</x:v>
      </x:c>
      <x:c r="L4" s="827" t="str">
        <x:v>Value</x:v>
      </x:c>
    </x:row>
    <x:row r="5">
      <x:c r="A5" s="844" t="str">
        <x:v>S10-G-001</x:v>
      </x:c>
      <x:c r="B5" s="845" t="str">
        <x:v>Experience architecture</x:v>
      </x:c>
      <x:c r="C5" s="845" t="str">
        <x:v>Yes</x:v>
      </x:c>
      <x:c r="D5" s="845" t="str">
        <x:v>Audience-specific experience shell, BFFs/read models, privacy, notification, feature and degraded-state boundaries are defined.</x:v>
      </x:c>
      <x:c r="E5" s="845" t="str">
        <x:v>Experience Architecture</x:v>
      </x:c>
      <x:c r="F5" s="845" t="str">
        <x:v>Draft Ready</x:v>
      </x:c>
      <x:c r="G5" s="858" t="n">
        <x:f>IF(F5="Met",1,IF(F5="Draft Ready",0.8,IF(F5="In Review",0.6,IF(F5="Owner Input",0.3,IF(F5="Blocked",0,0)))))</x:f>
        <x:v>0.8</x:v>
      </x:c>
      <x:c r="H5" s="845" t="str">
        <x:v>No secure/audience-specific architecture.</x:v>
      </x:c>
      <x:c r="I5" s="846" t="str">
        <x:v>CTO/Architecture/Product</x:v>
      </x:c>
      <x:c r="K5" s="844" t="str">
        <x:v>Stage 10 readiness</x:v>
      </x:c>
      <x:c r="L5" s="861" t="n">
        <x:f>AVERAGE(G5:G22)</x:f>
        <x:v>0.7444444444444446</x:v>
      </x:c>
    </x:row>
    <x:row r="6">
      <x:c r="A6" s="852" t="str">
        <x:v>S10-G-002</x:v>
      </x:c>
      <x:c r="B6" s="853" t="str">
        <x:v>Employee workspace</x:v>
      </x:c>
      <x:c r="C6" s="853" t="str">
        <x:v>Yes</x:v>
      </x:c>
      <x:c r="D6" s="853" t="str">
        <x:v>Tasks, monitoring status, evidence, capability, coaching, learning, reviews and privacy are specified.</x:v>
      </x:c>
      <x:c r="E6" s="853" t="str">
        <x:v>Employee Workspace</x:v>
      </x:c>
      <x:c r="F6" s="853" t="str">
        <x:v>Draft Ready</x:v>
      </x:c>
      <x:c r="G6" s="859" t="n">
        <x:f>IF(F6="Met",1,IF(F6="Draft Ready",0.8,IF(F6="In Review",0.6,IF(F6="Owner Input",0.3,IF(F6="Blocked",0,0)))))</x:f>
        <x:v>0.8</x:v>
      </x:c>
      <x:c r="H6" s="853" t="str">
        <x:v>Employee cannot inspect/control/challenge material data.</x:v>
      </x:c>
      <x:c r="I6" s="854" t="str">
        <x:v>Product/HR/DPO</x:v>
      </x:c>
      <x:c r="K6" s="847" t="str">
        <x:v>Mandatory not started/blocked</x:v>
      </x:c>
      <x:c r="L6" s="848" t="n">
        <x:f>COUNTIFS(C5:C22,"Yes",F5:F22,"Not Started")+COUNTIFS(C5:C22,"Yes",F5:F22,"Blocked")</x:f>
        <x:v>1</x:v>
      </x:c>
    </x:row>
    <x:row r="7">
      <x:c r="A7" s="847" t="str">
        <x:v>S10-G-003</x:v>
      </x:c>
      <x:c r="B7" s="114" t="str">
        <x:v>Manager console</x:v>
      </x:c>
      <x:c r="C7" s="114" t="str">
        <x:v>Yes</x:v>
      </x:c>
      <x:c r="D7" s="114" t="str">
        <x:v>Manager view is exception-led, summary-first and excludes live/raw/private surveillance by default.</x:v>
      </x:c>
      <x:c r="E7" s="114" t="str">
        <x:v>Manager Console</x:v>
      </x:c>
      <x:c r="F7" s="114" t="str">
        <x:v>Draft Ready</x:v>
      </x:c>
      <x:c r="G7" s="135" t="n">
        <x:f>IF(F7="Met",1,IF(F7="Draft Ready",0.8,IF(F7="In Review",0.6,IF(F7="Owner Input",0.3,IF(F7="Blocked",0,0)))))</x:f>
        <x:v>0.8</x:v>
      </x:c>
      <x:c r="H7" s="114" t="str">
        <x:v>Live surveillance or prohibited activity score exists.</x:v>
      </x:c>
      <x:c r="I7" s="848" t="str">
        <x:v>Product/HR/DPO</x:v>
      </x:c>
      <x:c r="K7" s="847" t="str">
        <x:v>Draft-ready/met items</x:v>
      </x:c>
      <x:c r="L7" s="848" t="n">
        <x:f>COUNTIF(F5:F22,"Met")+COUNTIF(F5:F22,"Draft Ready")</x:f>
        <x:v>16</x:v>
      </x:c>
    </x:row>
    <x:row r="8">
      <x:c r="A8" s="852" t="str">
        <x:v>S10-G-004</x:v>
      </x:c>
      <x:c r="B8" s="853" t="str">
        <x:v>Reviewer/governance</x:v>
      </x:c>
      <x:c r="C8" s="853" t="str">
        <x:v>Yes</x:v>
      </x:c>
      <x:c r="D8" s="853" t="str">
        <x:v>Finding package, employee response, reviewer independence, evidence grants, audit, retention and kill switch are specified.</x:v>
      </x:c>
      <x:c r="E8" s="853" t="str">
        <x:v>Review and Governance Console</x:v>
      </x:c>
      <x:c r="F8" s="853" t="str">
        <x:v>Draft Ready</x:v>
      </x:c>
      <x:c r="G8" s="859" t="n">
        <x:f>IF(F8="Met",1,IF(F8="Draft Ready",0.8,IF(F8="In Review",0.6,IF(F8="Owner Input",0.3,IF(F8="Blocked",0,0)))))</x:f>
        <x:v>0.8</x:v>
      </x:c>
      <x:c r="H8" s="853" t="str">
        <x:v>Meaningful review/access governance not operational.</x:v>
      </x:c>
      <x:c r="I8" s="854" t="str">
        <x:v>DPO/HR/CISO</x:v>
      </x:c>
      <x:c r="K8" s="849" t="str">
        <x:v>Formal decision count</x:v>
      </x:c>
      <x:c r="L8" s="851" t="n">
        <x:v>0</x:v>
      </x:c>
    </x:row>
    <x:row r="9">
      <x:c r="A9" s="847" t="str">
        <x:v>S10-G-005</x:v>
      </x:c>
      <x:c r="B9" s="114" t="str">
        <x:v>Evidence timeline</x:v>
      </x:c>
      <x:c r="C9" s="114" t="str">
        <x:v>Yes</x:v>
      </x:c>
      <x:c r="D9" s="114" t="str">
        <x:v>Semantic-first timeline, gaps, corrections, versions, provenance and raw-evidence grant flow are defined.</x:v>
      </x:c>
      <x:c r="E9" s="114" t="str">
        <x:v>Evidence Timeline UX</x:v>
      </x:c>
      <x:c r="F9" s="114" t="str">
        <x:v>Draft Ready</x:v>
      </x:c>
      <x:c r="G9" s="135" t="n">
        <x:f>IF(F9="Met",1,IF(F9="Draft Ready",0.8,IF(F9="In Review",0.6,IF(F9="Owner Input",0.3,IF(F9="Blocked",0,0)))))</x:f>
        <x:v>0.8</x:v>
      </x:c>
      <x:c r="H9" s="114" t="str">
        <x:v>Missing evidence appears complete or raw content is default.</x:v>
      </x:c>
      <x:c r="I9" s="848" t="str">
        <x:v>Evidence/Product/DPO</x:v>
      </x:c>
    </x:row>
    <x:row r="10">
      <x:c r="A10" s="852" t="str">
        <x:v>S10-G-006</x:v>
      </x:c>
      <x:c r="B10" s="853" t="str">
        <x:v>Capability experience</x:v>
      </x:c>
      <x:c r="C10" s="853" t="str">
        <x:v>Yes</x:v>
      </x:c>
      <x:c r="D10" s="853" t="str">
        <x:v>Private professional skill tree, confidence, freshness, claims and role path are defined without ranking.</x:v>
      </x:c>
      <x:c r="E10" s="853" t="str">
        <x:v>Capability Character UX</x:v>
      </x:c>
      <x:c r="F10" s="853" t="str">
        <x:v>Draft Ready</x:v>
      </x:c>
      <x:c r="G10" s="859" t="n">
        <x:f>IF(F10="Met",1,IF(F10="Draft Ready",0.8,IF(F10="In Review",0.6,IF(F10="Owner Input",0.3,IF(F10="Blocked",0,0)))))</x:f>
        <x:v>0.8</x:v>
      </x:c>
      <x:c r="H10" s="853" t="str">
        <x:v>Public leaderboard or permanent/opaque label.</x:v>
      </x:c>
      <x:c r="I10" s="854" t="str">
        <x:v>Capability/HR/Product</x:v>
      </x:c>
    </x:row>
    <x:row r="11">
      <x:c r="A11" s="847" t="str">
        <x:v>S10-G-007</x:v>
      </x:c>
      <x:c r="B11" s="114" t="str">
        <x:v>Coaching/learning experience</x:v>
      </x:c>
      <x:c r="C11" s="114" t="str">
        <x:v>Yes</x:v>
      </x:c>
      <x:c r="D11" s="114" t="str">
        <x:v>Private coaching, preferences, learning, practice, mentor and feedback boundaries are defined.</x:v>
      </x:c>
      <x:c r="E11" s="114" t="str">
        <x:v>Coaching and Learning UX</x:v>
      </x:c>
      <x:c r="F11" s="114" t="str">
        <x:v>Draft Ready</x:v>
      </x:c>
      <x:c r="G11" s="135" t="n">
        <x:f>IF(F11="Met",1,IF(F11="Draft Ready",0.8,IF(F11="In Review",0.6,IF(F11="Owner Input",0.3,IF(F11="Blocked",0,0)))))</x:f>
        <x:v>0.8</x:v>
      </x:c>
      <x:c r="H11" s="114" t="str">
        <x:v>Private content exposed or employee controls absent.</x:v>
      </x:c>
      <x:c r="I11" s="848" t="str">
        <x:v>Product/L&amp;D/DPO</x:v>
      </x:c>
    </x:row>
    <x:row r="12">
      <x:c r="A12" s="852" t="str">
        <x:v>S10-G-008</x:v>
      </x:c>
      <x:c r="B12" s="853" t="str">
        <x:v>Privacy/access UX</x:v>
      </x:c>
      <x:c r="C12" s="853" t="str">
        <x:v>Yes</x:v>
      </x:c>
      <x:c r="D12" s="853" t="str">
        <x:v>Monitoring, sensors, exclusions, policy, access history, retention, correction, export and support are defined.</x:v>
      </x:c>
      <x:c r="E12" s="853" t="str">
        <x:v>Access and Privacy UX</x:v>
      </x:c>
      <x:c r="F12" s="853" t="str">
        <x:v>Draft Ready</x:v>
      </x:c>
      <x:c r="G12" s="859" t="n">
        <x:f>IF(F12="Met",1,IF(F12="Draft Ready",0.8,IF(F12="In Review",0.6,IF(F12="Owner Input",0.3,IF(F12="Blocked",0,0)))))</x:f>
        <x:v>0.8</x:v>
      </x:c>
      <x:c r="H12" s="853" t="str">
        <x:v>Opaque monitoring or hidden evidence access.</x:v>
      </x:c>
      <x:c r="I12" s="854" t="str">
        <x:v>DPO/Security/Product</x:v>
      </x:c>
    </x:row>
    <x:row r="13">
      <x:c r="A13" s="847" t="str">
        <x:v>S10-G-009</x:v>
      </x:c>
      <x:c r="B13" s="114" t="str">
        <x:v>Access grants</x:v>
      </x:c>
      <x:c r="C13" s="114" t="str">
        <x:v>Yes</x:v>
      </x:c>
      <x:c r="D13" s="114" t="str">
        <x:v>Raw evidence requires purpose/task/class/time-scoped grant, watermarking and audit.</x:v>
      </x:c>
      <x:c r="E13" s="114" t="str">
        <x:v>Timeline/Privacy/Reviewer designs</x:v>
      </x:c>
      <x:c r="F13" s="114" t="str">
        <x:v>Draft Ready</x:v>
      </x:c>
      <x:c r="G13" s="135" t="n">
        <x:f>IF(F13="Met",1,IF(F13="Draft Ready",0.8,IF(F13="In Review",0.6,IF(F13="Owner Input",0.3,IF(F13="Blocked",0,0)))))</x:f>
        <x:v>0.8</x:v>
      </x:c>
      <x:c r="H13" s="114" t="str">
        <x:v>Direct broad raw access.</x:v>
      </x:c>
      <x:c r="I13" s="848" t="str">
        <x:v>CISO/DPO</x:v>
      </x:c>
    </x:row>
    <x:row r="14">
      <x:c r="A14" s="852" t="str">
        <x:v>S10-G-010</x:v>
      </x:c>
      <x:c r="B14" s="853" t="str">
        <x:v>Read models/APIs</x:v>
      </x:c>
      <x:c r="C14" s="853" t="str">
        <x:v>Yes</x:v>
      </x:c>
      <x:c r="D14" s="853" t="str">
        <x:v>Audience read models, freshness, access, prohibited content and BFF/API contracts are specified.</x:v>
      </x:c>
      <x:c r="E14" s="853" t="str">
        <x:v>Reporting Read Models / APIs</x:v>
      </x:c>
      <x:c r="F14" s="853" t="str">
        <x:v>Draft Ready</x:v>
      </x:c>
      <x:c r="G14" s="859" t="n">
        <x:f>IF(F14="Met",1,IF(F14="Draft Ready",0.8,IF(F14="In Review",0.6,IF(F14="Owner Input",0.3,IF(F14="Blocked",0,0)))))</x:f>
        <x:v>0.8</x:v>
      </x:c>
      <x:c r="H14" s="853" t="str">
        <x:v>Frontend consumes unrestricted raw domains.</x:v>
      </x:c>
      <x:c r="I14" s="854" t="str">
        <x:v>Architecture/Data/Security</x:v>
      </x:c>
    </x:row>
    <x:row r="15">
      <x:c r="A15" s="847" t="str">
        <x:v>S10-G-011</x:v>
      </x:c>
      <x:c r="B15" s="114" t="str">
        <x:v>Notifications/search/export</x:v>
      </x:c>
      <x:c r="C15" s="114" t="str">
        <x:v>Yes</x:v>
      </x:c>
      <x:c r="D15" s="114" t="str">
        <x:v>Secure notification, scoped search and watermarked export behaviour are defined.</x:v>
      </x:c>
      <x:c r="E15" s="114" t="str">
        <x:v>Notification Model / Read Models / APIs</x:v>
      </x:c>
      <x:c r="F15" s="114" t="str">
        <x:v>Draft Ready</x:v>
      </x:c>
      <x:c r="G15" s="135" t="n">
        <x:f>IF(F15="Met",1,IF(F15="Draft Ready",0.8,IF(F15="In Review",0.6,IF(F15="Owner Input",0.3,IF(F15="Blocked",0,0)))))</x:f>
        <x:v>0.8</x:v>
      </x:c>
      <x:c r="H15" s="114" t="str">
        <x:v>Sensitive previews or unscoped search/export.</x:v>
      </x:c>
      <x:c r="I15" s="848" t="str">
        <x:v>Product/CISO/DPO</x:v>
      </x:c>
    </x:row>
    <x:row r="16">
      <x:c r="A16" s="852" t="str">
        <x:v>S10-G-012</x:v>
      </x:c>
      <x:c r="B16" s="853" t="str">
        <x:v>Accessibility</x:v>
      </x:c>
      <x:c r="C16" s="853" t="str">
        <x:v>Yes</x:v>
      </x:c>
      <x:c r="D16" s="853" t="str">
        <x:v>WCAG 2.2 AA target, APG patterns, manual AT testing and disabled-user journeys are defined.</x:v>
      </x:c>
      <x:c r="E16" s="853" t="str">
        <x:v>Experience Architecture / Journeys / Backlog</x:v>
      </x:c>
      <x:c r="F16" s="853" t="str">
        <x:v>Draft Ready</x:v>
      </x:c>
      <x:c r="G16" s="859" t="n">
        <x:f>IF(F16="Met",1,IF(F16="Draft Ready",0.8,IF(F16="In Review",0.6,IF(F16="Owner Input",0.3,IF(F16="Blocked",0,0)))))</x:f>
        <x:v>0.8</x:v>
      </x:c>
      <x:c r="H16" s="853" t="str">
        <x:v>Primary journey inaccessible or conformance assumed from automation.</x:v>
      </x:c>
      <x:c r="I16" s="854" t="str">
        <x:v>Accessibility Lead</x:v>
      </x:c>
    </x:row>
    <x:row r="17">
      <x:c r="A17" s="847" t="str">
        <x:v>S10-G-013</x:v>
      </x:c>
      <x:c r="B17" s="114" t="str">
        <x:v>Localisation/degraded state</x:v>
      </x:c>
      <x:c r="C17" s="114" t="str">
        <x:v>Yes</x:v>
      </x:c>
      <x:c r="D17" s="114" t="str">
        <x:v>Jurisdiction content, time zones, partial data, outages and safe fallback are specified.</x:v>
      </x:c>
      <x:c r="E17" s="114" t="str">
        <x:v>Architecture / Journeys</x:v>
      </x:c>
      <x:c r="F17" s="114" t="str">
        <x:v>Draft Ready</x:v>
      </x:c>
      <x:c r="G17" s="135" t="n">
        <x:f>IF(F17="Met",1,IF(F17="Draft Ready",0.8,IF(F17="In Review",0.6,IF(F17="Owner Input",0.3,IF(F17="Blocked",0,0)))))</x:f>
        <x:v>0.8</x:v>
      </x:c>
      <x:c r="H17" s="114" t="str">
        <x:v>Stale/missing state appears as negative employee outcome.</x:v>
      </x:c>
      <x:c r="I17" s="848" t="str">
        <x:v>Product/Legal/SRE</x:v>
      </x:c>
    </x:row>
    <x:row r="18">
      <x:c r="A18" s="852" t="str">
        <x:v>S10-G-014</x:v>
      </x:c>
      <x:c r="B18" s="853" t="str">
        <x:v>Security/privacy testing</x:v>
      </x:c>
      <x:c r="C18" s="853" t="str">
        <x:v>Yes</x:v>
      </x:c>
      <x:c r="D18" s="853" t="str">
        <x:v>BFF, tenant, grant, cache, log, export, notification and raw/private-data tests are planned.</x:v>
      </x:c>
      <x:c r="E18" s="853" t="str">
        <x:v>Stage 10 Backlog / Risks</x:v>
      </x:c>
      <x:c r="F18" s="853" t="str">
        <x:v>Draft Ready</x:v>
      </x:c>
      <x:c r="G18" s="859" t="n">
        <x:f>IF(F18="Met",1,IF(F18="Draft Ready",0.8,IF(F18="In Review",0.6,IF(F18="Owner Input",0.3,IF(F18="Blocked",0,0)))))</x:f>
        <x:v>0.8</x:v>
      </x:c>
      <x:c r="H18" s="853" t="str">
        <x:v>Unauthorised or leaked raw/private data possible.</x:v>
      </x:c>
      <x:c r="I18" s="854" t="str">
        <x:v>Application Security/DPO</x:v>
      </x:c>
    </x:row>
    <x:row r="19">
      <x:c r="A19" s="847" t="str">
        <x:v>S10-G-015</x:v>
      </x:c>
      <x:c r="B19" s="114" t="str">
        <x:v>User research/journeys</x:v>
      </x:c>
      <x:c r="C19" s="114" t="str">
        <x:v>Yes</x:v>
      </x:c>
      <x:c r="D19" s="114" t="str">
        <x:v>Employee, manager, reviewer, DPO, accessibility and degraded-state journeys have measurable acceptance criteria.</x:v>
      </x:c>
      <x:c r="E19" s="114" t="str">
        <x:v>User Journeys and Acceptance Tests</x:v>
      </x:c>
      <x:c r="F19" s="114" t="str">
        <x:v>Draft Ready</x:v>
      </x:c>
      <x:c r="G19" s="135" t="n">
        <x:f>IF(F19="Met",1,IF(F19="Draft Ready",0.8,IF(F19="In Review",0.6,IF(F19="Owner Input",0.3,IF(F19="Blocked",0,0)))))</x:f>
        <x:v>0.8</x:v>
      </x:c>
      <x:c r="H19" s="114" t="str">
        <x:v>Core experience not tested with representative users.</x:v>
      </x:c>
      <x:c r="I19" s="848" t="str">
        <x:v>User Research/QA</x:v>
      </x:c>
    </x:row>
    <x:row r="20">
      <x:c r="A20" s="852" t="str">
        <x:v>S10-G-016</x:v>
      </x:c>
      <x:c r="B20" s="853" t="str">
        <x:v>Backlog</x:v>
      </x:c>
      <x:c r="C20" s="853" t="str">
        <x:v>Yes</x:v>
      </x:c>
      <x:c r="D20" s="853" t="str">
        <x:v>Stage 10 backlog has owners, dependencies, effort, deliverables, tests and privacy impact.</x:v>
      </x:c>
      <x:c r="E20" s="853" t="str">
        <x:v>Stage 10 Backlog</x:v>
      </x:c>
      <x:c r="F20" s="853" t="str">
        <x:v>Draft Ready</x:v>
      </x:c>
      <x:c r="G20" s="859" t="n">
        <x:f>IF(F20="Met",1,IF(F20="Draft Ready",0.8,IF(F20="In Review",0.6,IF(F20="Owner Input",0.3,IF(F20="Blocked",0,0)))))</x:f>
        <x:v>0.8</x:v>
      </x:c>
      <x:c r="H20" s="853" t="str">
        <x:v>No executable delivery plan.</x:v>
      </x:c>
      <x:c r="I20" s="854" t="str">
        <x:v>Programme</x:v>
      </x:c>
    </x:row>
    <x:row r="21">
      <x:c r="A21" s="847" t="str">
        <x:v>S10-G-017</x:v>
      </x:c>
      <x:c r="B21" s="114" t="str">
        <x:v>HumanOS fit</x:v>
      </x:c>
      <x:c r="C21" s="114" t="str">
        <x:v>Yes</x:v>
      </x:c>
      <x:c r="D21" s="114" t="str">
        <x:v>Current frontend/design system, identity, policy, workflow, audit, notification, search and feature services are reused.</x:v>
      </x:c>
      <x:c r="E21" s="114" t="str">
        <x:v>Architecture/ADRs/Backlog</x:v>
      </x:c>
      <x:c r="F21" s="114" t="str">
        <x:v>In Review</x:v>
      </x:c>
      <x:c r="G21" s="135" t="n">
        <x:f>IF(F21="Met",1,IF(F21="Draft Ready",0.8,IF(F21="In Review",0.6,IF(F21="Owner Input",0.3,IF(F21="Blocked",0,0)))))</x:f>
        <x:v>0.6</x:v>
      </x:c>
      <x:c r="H21" s="114" t="str">
        <x:v>Duplicated platform/control-plane services.</x:v>
      </x:c>
      <x:c r="I21" s="848" t="str">
        <x:v>Enterprise Architect</x:v>
      </x:c>
    </x:row>
    <x:row r="22">
      <x:c r="A22" s="855" t="str">
        <x:v>S10-G-018</x:v>
      </x:c>
      <x:c r="B22" s="856" t="str">
        <x:v>Formal decision</x:v>
      </x:c>
      <x:c r="C22" s="856" t="str">
        <x:v>Yes</x:v>
      </x:c>
      <x:c r="D22" s="856" t="str">
        <x:v>CTO, Product, HR, DPO, CISO, Accessibility, Employee Experience and Architecture record Stage 10 gate decision.</x:v>
      </x:c>
      <x:c r="E22" s="856" t="str">
        <x:v>Review minutes and decision</x:v>
      </x:c>
      <x:c r="F22" s="856" t="str">
        <x:v>Not Started</x:v>
      </x:c>
      <x:c r="G22" s="860" t="n">
        <x:f>IF(F22="Met",1,IF(F22="Draft Ready",0.8,IF(F22="In Review",0.6,IF(F22="Owner Input",0.3,IF(F22="Blocked",0,0)))))</x:f>
        <x:v>0</x:v>
      </x:c>
      <x:c r="H22" s="856" t="str">
        <x:v>No formal gate decision.</x:v>
      </x:c>
      <x:c r="I22" s="857" t="str">
        <x:v>Executive Sponsor/CTO</x:v>
      </x:c>
    </x:row>
  </x:sheetData>
  <x:mergeCells>
    <x:mergeCell ref="A1:I1"/>
    <x:mergeCell ref="A2:I2"/>
  </x:mergeCells>
  <x:dataValidations count="1">
    <x:dataValidation type="list" sqref="F5:F22">
      <x:formula1>"Met,Draft Ready,In Review,Owner Input,Not Started,Blocked"</x:formula1>
    </x:dataValidation>
  </x:dataValidations>
  <x:pageMargins left="0.7" right="0.7" top="0.75" bottom="0.75" header="0.3" footer="0.3"/>
</x:worksheet>
</file>

<file path=xl/worksheets/sheet162.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0" hidden="0" customWidth="1"/>
    <x:col min="9" max="9" width="32" hidden="0" customWidth="1"/>
    <x:col min="11" max="11" width="30" hidden="0" customWidth="1"/>
    <x:col min="12" max="12" width="18" hidden="0" customWidth="1"/>
  </x:cols>
  <x:sheetData>
    <x:row r="1" ht="30" customHeight="1">
      <x:c r="A1" s="809" t="str">
        <x:v>Stage 11 — Skill Forge and Governed Self-Improvement Gate</x:v>
      </x:c>
      <x:c r="B1" s="809"/>
      <x:c r="C1" s="809"/>
      <x:c r="D1" s="809"/>
      <x:c r="E1" s="809"/>
      <x:c r="F1" s="809"/>
      <x:c r="G1" s="809"/>
      <x:c r="H1" s="809"/>
      <x:c r="I1" s="809"/>
    </x:row>
    <x:row r="2" ht="38" customHeight="1">
      <x:c r="A2" s="813" t="str">
        <x:v>Readiness criteria for source-backed, evaluated, signed, reviewed, canaried and reversible HumanOS skill packages.</x:v>
      </x:c>
      <x:c r="B2" s="813"/>
      <x:c r="C2" s="813"/>
      <x:c r="D2" s="813"/>
      <x:c r="E2" s="813"/>
      <x:c r="F2" s="813"/>
      <x:c r="G2" s="813"/>
      <x:c r="H2" s="813"/>
      <x:c r="I2" s="813"/>
    </x:row>
    <x:row r="4" ht="30" customHeight="1">
      <x:c r="A4" s="825" t="str">
        <x:v>Gate ID</x:v>
      </x:c>
      <x:c r="B4" s="826" t="str">
        <x:v>Category</x:v>
      </x:c>
      <x:c r="C4" s="826" t="str">
        <x:v>Mandatory</x:v>
      </x:c>
      <x:c r="D4" s="826" t="str">
        <x:v>Requirement</x:v>
      </x:c>
      <x:c r="E4" s="826" t="str">
        <x:v>Required evidence</x:v>
      </x:c>
      <x:c r="F4" s="826" t="str">
        <x:v>Status</x:v>
      </x:c>
      <x:c r="G4" s="826" t="str">
        <x:v>Readiness</x:v>
      </x:c>
      <x:c r="H4" s="826" t="str">
        <x:v>Blocking condition</x:v>
      </x:c>
      <x:c r="I4" s="827" t="str">
        <x:v>Authority</x:v>
      </x:c>
      <x:c r="K4" s="825" t="str">
        <x:v>Metric</x:v>
      </x:c>
      <x:c r="L4" s="827" t="str">
        <x:v>Value</x:v>
      </x:c>
    </x:row>
    <x:row r="5">
      <x:c r="A5" s="844" t="str">
        <x:v>S11-G-001</x:v>
      </x:c>
      <x:c r="B5" s="845" t="str">
        <x:v>Architecture</x:v>
      </x:c>
      <x:c r="C5" s="845" t="str">
        <x:v>Yes</x:v>
      </x:c>
      <x:c r="D5" s="845" t="str">
        <x:v>Observation, proposal, registry, source/package store, eval, review, signing, resolver, canary, monitoring and rollback boundaries are defined.</x:v>
      </x:c>
      <x:c r="E5" s="845" t="str">
        <x:v>Skill Forge Architecture</x:v>
      </x:c>
      <x:c r="F5" s="845" t="str">
        <x:v>Draft Ready</x:v>
      </x:c>
      <x:c r="G5" s="858" t="n">
        <x:f>IF(F5="Met",1,IF(F5="Draft Ready",0.8,IF(F5="In Review",0.6,IF(F5="Owner Input",0.3,IF(F5="Blocked",0,0)))))</x:f>
        <x:v>0.8</x:v>
      </x:c>
      <x:c r="H5" s="845" t="str">
        <x:v>No governed end-to-end Skill Forge architecture.</x:v>
      </x:c>
      <x:c r="I5" s="846" t="str">
        <x:v>CTO/Architecture/AI Platform</x:v>
      </x:c>
      <x:c r="K5" s="844" t="str">
        <x:v>Stage 11 readiness</x:v>
      </x:c>
      <x:c r="L5" s="861" t="n">
        <x:f>AVERAGE(G5:G22)</x:f>
        <x:v>0.7444444444444446</x:v>
      </x:c>
    </x:row>
    <x:row r="6">
      <x:c r="A6" s="852" t="str">
        <x:v>S11-G-002</x:v>
      </x:c>
      <x:c r="B6" s="853" t="str">
        <x:v>Observation model</x:v>
      </x:c>
      <x:c r="C6" s="853" t="str">
        <x:v>Yes</x:v>
      </x:c>
      <x:c r="D6" s="853" t="str">
        <x:v>Source facts, inference, proposed category, scope, confidentiality, recurrence and triage are specified.</x:v>
      </x:c>
      <x:c r="E6" s="853" t="str">
        <x:v>Skill Observation Model</x:v>
      </x:c>
      <x:c r="F6" s="853" t="str">
        <x:v>Draft Ready</x:v>
      </x:c>
      <x:c r="G6" s="859" t="n">
        <x:f>IF(F6="Met",1,IF(F6="Draft Ready",0.8,IF(F6="In Review",0.6,IF(F6="Owner Input",0.3,IF(F6="Blocked",0,0)))))</x:f>
        <x:v>0.8</x:v>
      </x:c>
      <x:c r="H6" s="853" t="str">
        <x:v>Observation becomes untraceable production instruction.</x:v>
      </x:c>
      <x:c r="I6" s="854" t="str">
        <x:v>Product/DPO/Data</x:v>
      </x:c>
      <x:c r="K6" s="847" t="str">
        <x:v>Mandatory not started/blocked</x:v>
      </x:c>
      <x:c r="L6" s="848" t="n">
        <x:f>COUNTIFS(C5:C22,"Yes",F5:F22,"Not Started")+COUNTIFS(C5:C22,"Yes",F5:F22,"Blocked")</x:f>
        <x:v>1</x:v>
      </x:c>
    </x:row>
    <x:row r="7">
      <x:c r="A7" s="847" t="str">
        <x:v>S11-G-003</x:v>
      </x:c>
      <x:c r="B7" s="114" t="str">
        <x:v>Package contract</x:v>
      </x:c>
      <x:c r="C7" s="114" t="str">
        <x:v>Yes</x:v>
      </x:c>
      <x:c r="D7" s="114" t="str">
        <x:v>Purpose, inputs/outputs, tools, data, sources, licence, BOM, evals, reviews, signatures, canary, monitoring and rollback are specified.</x:v>
      </x:c>
      <x:c r="E7" s="114" t="str">
        <x:v>Skill Package Contract</x:v>
      </x:c>
      <x:c r="F7" s="114" t="str">
        <x:v>Draft Ready</x:v>
      </x:c>
      <x:c r="G7" s="135" t="n">
        <x:f>IF(F7="Met",1,IF(F7="Draft Ready",0.8,IF(F7="In Review",0.6,IF(F7="Owner Input",0.3,IF(F7="Blocked",0,0)))))</x:f>
        <x:v>0.8</x:v>
      </x:c>
      <x:c r="H7" s="114" t="str">
        <x:v>Package lacks enforceable contract/lineage.</x:v>
      </x:c>
      <x:c r="I7" s="848" t="str">
        <x:v>Architecture/CISO/AI Platform</x:v>
      </x:c>
      <x:c r="K7" s="847" t="str">
        <x:v>Draft-ready/met items</x:v>
      </x:c>
      <x:c r="L7" s="848" t="n">
        <x:f>COUNTIF(F5:F22,"Met")+COUNTIF(F5:F22,"Draft Ready")</x:f>
        <x:v>16</x:v>
      </x:c>
    </x:row>
    <x:row r="8">
      <x:c r="A8" s="852" t="str">
        <x:v>S11-G-004</x:v>
      </x:c>
      <x:c r="B8" s="853" t="str">
        <x:v>Lifecycle</x:v>
      </x:c>
      <x:c r="C8" s="853" t="str">
        <x:v>Yes</x:v>
      </x:c>
      <x:c r="D8" s="853" t="str">
        <x:v>Observation-to-active lifecycle includes evaluation, review, canary, pause, rollback, deprecation and expiry.</x:v>
      </x:c>
      <x:c r="E8" s="853" t="str">
        <x:v>Skill Lifecycle</x:v>
      </x:c>
      <x:c r="F8" s="853" t="str">
        <x:v>Draft Ready</x:v>
      </x:c>
      <x:c r="G8" s="859" t="n">
        <x:f>IF(F8="Met",1,IF(F8="Draft Ready",0.8,IF(F8="In Review",0.6,IF(F8="Owner Input",0.3,IF(F8="Blocked",0,0)))))</x:f>
        <x:v>0.8</x:v>
      </x:c>
      <x:c r="H8" s="853" t="str">
        <x:v>Package can self-activate or bypass approval.</x:v>
      </x:c>
      <x:c r="I8" s="854" t="str">
        <x:v>AI Governance</x:v>
      </x:c>
      <x:c r="K8" s="849" t="str">
        <x:v>Formal decision count</x:v>
      </x:c>
      <x:c r="L8" s="851" t="n">
        <x:v>0</x:v>
      </x:c>
    </x:row>
    <x:row r="9">
      <x:c r="A9" s="847" t="str">
        <x:v>S11-G-005</x:v>
      </x:c>
      <x:c r="B9" s="114" t="str">
        <x:v>Proposal/evaluation</x:v>
      </x:c>
      <x:c r="C9" s="114" t="str">
        <x:v>Yes</x:v>
      </x:c>
      <x:c r="D9" s="114" t="str">
        <x:v>Positive, negative, adversarial, privacy, fairness, grounding, compatibility, cost and rollback evaluations are defined.</x:v>
      </x:c>
      <x:c r="E9" s="114" t="str">
        <x:v>Skill Proposal and Evaluation</x:v>
      </x:c>
      <x:c r="F9" s="114" t="str">
        <x:v>Draft Ready</x:v>
      </x:c>
      <x:c r="G9" s="135" t="n">
        <x:f>IF(F9="Met",1,IF(F9="Draft Ready",0.8,IF(F9="In Review",0.6,IF(F9="Owner Input",0.3,IF(F9="Blocked",0,0)))))</x:f>
        <x:v>0.8</x:v>
      </x:c>
      <x:c r="H9" s="114" t="str">
        <x:v>High-impact package lacks qualifying eval evidence.</x:v>
      </x:c>
      <x:c r="I9" s="848" t="str">
        <x:v>AI Evaluation/Domain Review</x:v>
      </x:c>
    </x:row>
    <x:row r="10">
      <x:c r="A10" s="852" t="str">
        <x:v>S11-G-006</x:v>
      </x:c>
      <x:c r="B10" s="853" t="str">
        <x:v>Security/confidentiality</x:v>
      </x:c>
      <x:c r="C10" s="853" t="str">
        <x:v>Yes</x:v>
      </x:c>
      <x:c r="D10" s="853" t="str">
        <x:v>Tenant isolation, default-deny tools, sandbox, secret/data egress, publication, logging and incident controls are defined.</x:v>
      </x:c>
      <x:c r="E10" s="853" t="str">
        <x:v>Skill Security and Confidentiality</x:v>
      </x:c>
      <x:c r="F10" s="853" t="str">
        <x:v>Draft Ready</x:v>
      </x:c>
      <x:c r="G10" s="859" t="n">
        <x:f>IF(F10="Met",1,IF(F10="Draft Ready",0.8,IF(F10="In Review",0.6,IF(F10="Owner Input",0.3,IF(F10="Blocked",0,0)))))</x:f>
        <x:v>0.8</x:v>
      </x:c>
      <x:c r="H10" s="853" t="str">
        <x:v>Malicious/overprivileged/confidential package possible.</x:v>
      </x:c>
      <x:c r="I10" s="854" t="str">
        <x:v>CISO/DPO</x:v>
      </x:c>
    </x:row>
    <x:row r="11">
      <x:c r="A11" s="847" t="str">
        <x:v>S11-G-007</x:v>
      </x:c>
      <x:c r="B11" s="114" t="str">
        <x:v>Source/licence governance</x:v>
      </x:c>
      <x:c r="C11" s="114" t="str">
        <x:v>Yes</x:v>
      </x:c>
      <x:c r="D11" s="114" t="str">
        <x:v>Official-source preference, current verification, conflicts, licence, attribution, expiry and research boundary are defined.</x:v>
      </x:c>
      <x:c r="E11" s="114" t="str">
        <x:v>Research and Source Governance</x:v>
      </x:c>
      <x:c r="F11" s="114" t="str">
        <x:v>Draft Ready</x:v>
      </x:c>
      <x:c r="G11" s="135" t="n">
        <x:f>IF(F11="Met",1,IF(F11="Draft Ready",0.8,IF(F11="In Review",0.6,IF(F11="Owner Input",0.3,IF(F11="Blocked",0,0)))))</x:f>
        <x:v>0.8</x:v>
      </x:c>
      <x:c r="H11" s="114" t="str">
        <x:v>Stale/unauthorised source drives production.</x:v>
      </x:c>
      <x:c r="I11" s="848" t="str">
        <x:v>Research/Legal/Domain</x:v>
      </x:c>
    </x:row>
    <x:row r="12">
      <x:c r="A12" s="852" t="str">
        <x:v>S11-G-008</x:v>
      </x:c>
      <x:c r="B12" s="853" t="str">
        <x:v>Supply-chain assurance</x:v>
      </x:c>
      <x:c r="C12" s="853" t="str">
        <x:v>Yes</x:v>
      </x:c>
      <x:c r="D12" s="853" t="str">
        <x:v>Protected source, immutable package digest, BOM, SLSA provenance and signature verification are defined.</x:v>
      </x:c>
      <x:c r="E12" s="853" t="str">
        <x:v>Architecture/Package Contract/Security</x:v>
      </x:c>
      <x:c r="F12" s="853" t="str">
        <x:v>Draft Ready</x:v>
      </x:c>
      <x:c r="G12" s="859" t="n">
        <x:f>IF(F12="Met",1,IF(F12="Draft Ready",0.8,IF(F12="In Review",0.6,IF(F12="Owner Input",0.3,IF(F12="Blocked",0,0)))))</x:f>
        <x:v>0.8</x:v>
      </x:c>
      <x:c r="H12" s="853" t="str">
        <x:v>Unsigned/untrusted package can load.</x:v>
      </x:c>
      <x:c r="I12" s="854" t="str">
        <x:v>DevSecOps/CISO</x:v>
      </x:c>
    </x:row>
    <x:row r="13">
      <x:c r="A13" s="847" t="str">
        <x:v>S11-G-009</x:v>
      </x:c>
      <x:c r="B13" s="114" t="str">
        <x:v>Review workflow</x:v>
      </x:c>
      <x:c r="C13" s="114" t="str">
        <x:v>Yes</x:v>
      </x:c>
      <x:c r="D13" s="114" t="str">
        <x:v>Domain, evaluation, security, privacy, legal/licence and deployment reviews are impact-based and auditable.</x:v>
      </x:c>
      <x:c r="E13" s="114" t="str">
        <x:v>Architecture/Evaluation/Backlog</x:v>
      </x:c>
      <x:c r="F13" s="114" t="str">
        <x:v>Draft Ready</x:v>
      </x:c>
      <x:c r="G13" s="135" t="n">
        <x:f>IF(F13="Met",1,IF(F13="Draft Ready",0.8,IF(F13="In Review",0.6,IF(F13="Owner Input",0.3,IF(F13="Blocked",0,0)))))</x:f>
        <x:v>0.8</x:v>
      </x:c>
      <x:c r="H13" s="114" t="str">
        <x:v>Package self-approval or missing reviewer.</x:v>
      </x:c>
      <x:c r="I13" s="848" t="str">
        <x:v>Governance/Workflow</x:v>
      </x:c>
    </x:row>
    <x:row r="14">
      <x:c r="A14" s="852" t="str">
        <x:v>S11-G-010</x:v>
      </x:c>
      <x:c r="B14" s="853" t="str">
        <x:v>Canary/rollback</x:v>
      </x:c>
      <x:c r="C14" s="853" t="str">
        <x:v>Yes</x:v>
      </x:c>
      <x:c r="D14" s="853" t="str">
        <x:v>Cohort, metrics, safe context, automatic pause, human promotion, rollback and affected-output review are defined.</x:v>
      </x:c>
      <x:c r="E14" s="853" t="str">
        <x:v>Canary Promotion and Rollback</x:v>
      </x:c>
      <x:c r="F14" s="853" t="str">
        <x:v>Draft Ready</x:v>
      </x:c>
      <x:c r="G14" s="859" t="n">
        <x:f>IF(F14="Met",1,IF(F14="Draft Ready",0.8,IF(F14="In Review",0.6,IF(F14="Owner Input",0.3,IF(F14="Blocked",0,0)))))</x:f>
        <x:v>0.8</x:v>
      </x:c>
      <x:c r="H14" s="853" t="str">
        <x:v>Unsafe broad rollout or rollback without remediation.</x:v>
      </x:c>
      <x:c r="I14" s="854" t="str">
        <x:v>SRE/Product/DPO/AI Governance</x:v>
      </x:c>
    </x:row>
    <x:row r="15">
      <x:c r="A15" s="847" t="str">
        <x:v>S11-G-011</x:v>
      </x:c>
      <x:c r="B15" s="114" t="str">
        <x:v>Runtime resolver</x:v>
      </x:c>
      <x:c r="C15" s="114" t="str">
        <x:v>Yes</x:v>
      </x:c>
      <x:c r="D15" s="114" t="str">
        <x:v>Runtime verifies lifecycle, signature, digest, policy, scope, expiry and stable fallback.</x:v>
      </x:c>
      <x:c r="E15" s="114" t="str">
        <x:v>Package Contract/Architecture/ADRs</x:v>
      </x:c>
      <x:c r="F15" s="114" t="str">
        <x:v>Draft Ready</x:v>
      </x:c>
      <x:c r="G15" s="135" t="n">
        <x:f>IF(F15="Met",1,IF(F15="Draft Ready",0.8,IF(F15="In Review",0.6,IF(F15="Owner Input",0.3,IF(F15="Blocked",0,0)))))</x:f>
        <x:v>0.8</x:v>
      </x:c>
      <x:c r="H15" s="114" t="str">
        <x:v>Unapproved/stale package resolves or failure broadens access.</x:v>
      </x:c>
      <x:c r="I15" s="848" t="str">
        <x:v>Platform/CISO</x:v>
      </x:c>
    </x:row>
    <x:row r="16">
      <x:c r="A16" s="852" t="str">
        <x:v>S11-G-012</x:v>
      </x:c>
      <x:c r="B16" s="853" t="str">
        <x:v>Monitoring/impact remediation</x:v>
      </x:c>
      <x:c r="C16" s="853" t="str">
        <x:v>Yes</x:v>
      </x:c>
      <x:c r="D16" s="853" t="str">
        <x:v>Version-level safety, quality, fairness, experience, cost, drift and affected-output correction are defined.</x:v>
      </x:c>
      <x:c r="E16" s="853" t="str">
        <x:v>Canary/Risks/Architecture</x:v>
      </x:c>
      <x:c r="F16" s="853" t="str">
        <x:v>Draft Ready</x:v>
      </x:c>
      <x:c r="G16" s="859" t="n">
        <x:f>IF(F16="Met",1,IF(F16="Draft Ready",0.8,IF(F16="In Review",0.6,IF(F16="Owner Input",0.3,IF(F16="Blocked",0,0)))))</x:f>
        <x:v>0.8</x:v>
      </x:c>
      <x:c r="H16" s="853" t="str">
        <x:v>Bad version's prior outputs remain unreviewed.</x:v>
      </x:c>
      <x:c r="I16" s="854" t="str">
        <x:v>Evaluation/Governance</x:v>
      </x:c>
    </x:row>
    <x:row r="17">
      <x:c r="A17" s="847" t="str">
        <x:v>S11-G-013</x:v>
      </x:c>
      <x:c r="B17" s="114" t="str">
        <x:v>Tenant/publication boundary</x:v>
      </x:c>
      <x:c r="C17" s="114" t="str">
        <x:v>Yes</x:v>
      </x:c>
      <x:c r="D17" s="114" t="str">
        <x:v>Tenant overlays, generalisation, publication classes, clean-room and external export reviews are defined.</x:v>
      </x:c>
      <x:c r="E17" s="114" t="str">
        <x:v>Architecture/Security/Research</x:v>
      </x:c>
      <x:c r="F17" s="114" t="str">
        <x:v>Draft Ready</x:v>
      </x:c>
      <x:c r="G17" s="135" t="n">
        <x:f>IF(F17="Met",1,IF(F17="Draft Ready",0.8,IF(F17="In Review",0.6,IF(F17="Owner Input",0.3,IF(F17="Blocked",0,0)))))</x:f>
        <x:v>0.8</x:v>
      </x:c>
      <x:c r="H17" s="114" t="str">
        <x:v>Confidential tenant/employee data enters global/public package.</x:v>
      </x:c>
      <x:c r="I17" s="848" t="str">
        <x:v>DPO/Legal/CISO</x:v>
      </x:c>
    </x:row>
    <x:row r="18">
      <x:c r="A18" s="852" t="str">
        <x:v>S11-G-014</x:v>
      </x:c>
      <x:c r="B18" s="853" t="str">
        <x:v>APIs/events</x:v>
      </x:c>
      <x:c r="C18" s="853" t="str">
        <x:v>Yes</x:v>
      </x:c>
      <x:c r="D18" s="853" t="str">
        <x:v>Observation, proposal, package, eval, review, source, canary, rollback and lineage APIs/events are specified.</x:v>
      </x:c>
      <x:c r="E18" s="853" t="str">
        <x:v>Stage 10-11 APIs and Events</x:v>
      </x:c>
      <x:c r="F18" s="853" t="str">
        <x:v>Draft Ready</x:v>
      </x:c>
      <x:c r="G18" s="859" t="n">
        <x:f>IF(F18="Met",1,IF(F18="Draft Ready",0.8,IF(F18="In Review",0.6,IF(F18="Owner Input",0.3,IF(F18="Blocked",0,0)))))</x:f>
        <x:v>0.8</x:v>
      </x:c>
      <x:c r="H18" s="853" t="str">
        <x:v>No implementable lifecycle contract.</x:v>
      </x:c>
      <x:c r="I18" s="854" t="str">
        <x:v>Backend/Data/Platform</x:v>
      </x:c>
    </x:row>
    <x:row r="19">
      <x:c r="A19" s="847" t="str">
        <x:v>S11-G-015</x:v>
      </x:c>
      <x:c r="B19" s="114" t="str">
        <x:v>Backlog</x:v>
      </x:c>
      <x:c r="C19" s="114" t="str">
        <x:v>Yes</x:v>
      </x:c>
      <x:c r="D19" s="114" t="str">
        <x:v>Stage 11 backlog has owners, dependencies, effort, deliverables, tests and security/privacy impact.</x:v>
      </x:c>
      <x:c r="E19" s="114" t="str">
        <x:v>Stage 11 Backlog</x:v>
      </x:c>
      <x:c r="F19" s="114" t="str">
        <x:v>Draft Ready</x:v>
      </x:c>
      <x:c r="G19" s="135" t="n">
        <x:f>IF(F19="Met",1,IF(F19="Draft Ready",0.8,IF(F19="In Review",0.6,IF(F19="Owner Input",0.3,IF(F19="Blocked",0,0)))))</x:f>
        <x:v>0.8</x:v>
      </x:c>
      <x:c r="H19" s="114" t="str">
        <x:v>No executable delivery plan.</x:v>
      </x:c>
      <x:c r="I19" s="848" t="str">
        <x:v>Programme</x:v>
      </x:c>
    </x:row>
    <x:row r="20">
      <x:c r="A20" s="852" t="str">
        <x:v>S11-G-016</x:v>
      </x:c>
      <x:c r="B20" s="853" t="str">
        <x:v>End-to-end validation</x:v>
      </x:c>
      <x:c r="C20" s="853" t="str">
        <x:v>Yes</x:v>
      </x:c>
      <x:c r="D20" s="853" t="str">
        <x:v>Representative package categories can complete source→eval→review→sign→canary→promote/rollback→audit.</x:v>
      </x:c>
      <x:c r="E20" s="853" t="str">
        <x:v>Stage 11 Backlog/Evaluation/Canary</x:v>
      </x:c>
      <x:c r="F20" s="853" t="str">
        <x:v>Draft Ready</x:v>
      </x:c>
      <x:c r="G20" s="859" t="n">
        <x:f>IF(F20="Met",1,IF(F20="Draft Ready",0.8,IF(F20="In Review",0.6,IF(F20="Owner Input",0.3,IF(F20="Blocked",0,0)))))</x:f>
        <x:v>0.8</x:v>
      </x:c>
      <x:c r="H20" s="853" t="str">
        <x:v>Lifecycle not validated end to end.</x:v>
      </x:c>
      <x:c r="I20" s="854" t="str">
        <x:v>QA/AI Governance</x:v>
      </x:c>
    </x:row>
    <x:row r="21">
      <x:c r="A21" s="847" t="str">
        <x:v>S11-G-017</x:v>
      </x:c>
      <x:c r="B21" s="114" t="str">
        <x:v>HumanOS fit</x:v>
      </x:c>
      <x:c r="C21" s="114" t="str">
        <x:v>Yes</x:v>
      </x:c>
      <x:c r="D21" s="114" t="str">
        <x:v>Existing Git, object/OCI, workflow, policy, audit, feature flag, deployment and Model Gateway services are reused where suitable.</x:v>
      </x:c>
      <x:c r="E21" s="114" t="str">
        <x:v>Architecture/ADRs/Backlog</x:v>
      </x:c>
      <x:c r="F21" s="114" t="str">
        <x:v>In Review</x:v>
      </x:c>
      <x:c r="G21" s="135" t="n">
        <x:f>IF(F21="Met",1,IF(F21="Draft Ready",0.8,IF(F21="In Review",0.6,IF(F21="Owner Input",0.3,IF(F21="Blocked",0,0)))))</x:f>
        <x:v>0.6</x:v>
      </x:c>
      <x:c r="H21" s="114" t="str">
        <x:v>Duplicate/inconsistent platform control planes.</x:v>
      </x:c>
      <x:c r="I21" s="848" t="str">
        <x:v>Enterprise/Platform Architect</x:v>
      </x:c>
    </x:row>
    <x:row r="22">
      <x:c r="A22" s="855" t="str">
        <x:v>S11-G-018</x:v>
      </x:c>
      <x:c r="B22" s="856" t="str">
        <x:v>Formal decision</x:v>
      </x:c>
      <x:c r="C22" s="856" t="str">
        <x:v>Yes</x:v>
      </x:c>
      <x:c r="D22" s="856" t="str">
        <x:v>CTO, AI Platform, Architecture, CISO, DPO, Legal, Domain, Evaluation, SRE and Product record Stage 11 gate decision.</x:v>
      </x:c>
      <x:c r="E22" s="856" t="str">
        <x:v>Review minutes and decision</x:v>
      </x:c>
      <x:c r="F22" s="856" t="str">
        <x:v>Not Started</x:v>
      </x:c>
      <x:c r="G22" s="860" t="n">
        <x:f>IF(F22="Met",1,IF(F22="Draft Ready",0.8,IF(F22="In Review",0.6,IF(F22="Owner Input",0.3,IF(F22="Blocked",0,0)))))</x:f>
        <x:v>0</x:v>
      </x:c>
      <x:c r="H22" s="856" t="str">
        <x:v>No formal gate decision.</x:v>
      </x:c>
      <x:c r="I22" s="857" t="str">
        <x:v>Executive Sponsor/CTO</x:v>
      </x:c>
    </x:row>
  </x:sheetData>
  <x:mergeCells>
    <x:mergeCell ref="A1:I1"/>
    <x:mergeCell ref="A2:I2"/>
  </x:mergeCells>
  <x:dataValidations count="1">
    <x:dataValidation type="list" sqref="F5:F22">
      <x:formula1>"Met,Draft Ready,In Review,Owner Input,Not Started,Blocked"</x:formula1>
    </x:dataValidation>
  </x:dataValidations>
  <x:pageMargins left="0.7" right="0.7" top="0.75" bottom="0.75" header="0.3" footer="0.3"/>
</x:worksheet>
</file>

<file path=xl/worksheets/sheet163.xml><?xml version="1.0" encoding="utf-8"?>
<x:worksheet xmlns:x="http://schemas.openxmlformats.org/spreadsheetml/2006/main">
  <x:sheetFormatPr defaultRowHeight="15"/>
  <x:cols>
    <x:col min="1" max="1" width="15" hidden="0" customWidth="1"/>
    <x:col min="2" max="2" width="42" hidden="0" customWidth="1"/>
    <x:col min="3" max="3" width="28" hidden="0" customWidth="1"/>
    <x:col min="4" max="4" width="60" hidden="0" customWidth="1"/>
    <x:col min="5" max="5" width="72" hidden="0" customWidth="1"/>
    <x:col min="6" max="6" width="12" hidden="0" customWidth="1"/>
    <x:col min="7" max="7" width="52" hidden="0" customWidth="1"/>
  </x:cols>
  <x:sheetData>
    <x:row r="1" ht="30" customHeight="1">
      <x:c r="A1" s="809" t="str">
        <x:v>Stage 10–11 — Source Register</x:v>
      </x:c>
      <x:c r="B1" s="809"/>
      <x:c r="C1" s="809"/>
      <x:c r="D1" s="809"/>
      <x:c r="E1" s="809"/>
      <x:c r="F1" s="809"/>
      <x:c r="G1" s="809"/>
    </x:row>
    <x:row r="2" ht="38" customHeight="1">
      <x:c r="A2" s="813" t="str">
        <x:v>Primary official standards, regulator guidance, product documentation and supply-chain/progressive-delivery references used for Stage 10 experiences and Stage 11 Skill Forge.</x:v>
      </x:c>
      <x:c r="B2" s="813"/>
      <x:c r="C2" s="813"/>
      <x:c r="D2" s="813"/>
      <x:c r="E2" s="813"/>
      <x:c r="F2" s="813"/>
      <x:c r="G2" s="813"/>
    </x:row>
    <x:row r="4" ht="30" customHeight="1">
      <x:c r="A4" s="825" t="str">
        <x:v>Source ID</x:v>
      </x:c>
      <x:c r="B4" s="826" t="str">
        <x:v>Source</x:v>
      </x:c>
      <x:c r="C4" s="826" t="str">
        <x:v>Type</x:v>
      </x:c>
      <x:c r="D4" s="826" t="str">
        <x:v>Supports</x:v>
      </x:c>
      <x:c r="E4" s="826" t="str">
        <x:v>Source URL</x:v>
      </x:c>
      <x:c r="F4" s="826" t="str">
        <x:v>Priority</x:v>
      </x:c>
      <x:c r="G4" s="827" t="str">
        <x:v>Use / note</x:v>
      </x:c>
    </x:row>
    <x:row r="5">
      <x:c r="A5" s="844" t="str">
        <x:v>S1011-SRC-001</x:v>
      </x:c>
      <x:c r="B5" s="845" t="str">
        <x:v>W3C — Web Content Accessibility Guidelines 2.2</x:v>
      </x:c>
      <x:c r="C5" s="845" t="str">
        <x:v>Accessibility standard</x:v>
      </x:c>
      <x:c r="D5" s="845" t="str">
        <x:v>Current WCAG 2.2 success criteria and conformance model.</x:v>
      </x:c>
      <x:c r="E5" s="845" t="str">
        <x:v>https://www.w3.org/TR/WCAG22/</x:v>
      </x:c>
      <x:c r="F5" s="845" t="str">
        <x:v>Critical</x:v>
      </x:c>
      <x:c r="G5" s="846" t="str">
        <x:v>Stage 10 accessibility target.</x:v>
      </x:c>
    </x:row>
    <x:row r="6">
      <x:c r="A6" s="852" t="str">
        <x:v>S1011-SRC-002</x:v>
      </x:c>
      <x:c r="B6" s="853" t="str">
        <x:v>W3C WAI — ARIA Authoring Practices Guide</x:v>
      </x:c>
      <x:c r="C6" s="853" t="str">
        <x:v>Accessibility guidance</x:v>
      </x:c>
      <x:c r="D6" s="853" t="str">
        <x:v>Accessible interaction patterns, names/roles/states, keyboard and focus practices.</x:v>
      </x:c>
      <x:c r="E6" s="853" t="str">
        <x:v>https://www.w3.org/WAI/ARIA/apg/</x:v>
      </x:c>
      <x:c r="F6" s="853" t="str">
        <x:v>Critical</x:v>
      </x:c>
      <x:c r="G6" s="854" t="str">
        <x:v>Use semantic HTML first; APG patterns where needed.</x:v>
      </x:c>
    </x:row>
    <x:row r="7">
      <x:c r="A7" s="847" t="str">
        <x:v>S1011-SRC-003</x:v>
      </x:c>
      <x:c r="B7" s="114" t="str">
        <x:v>GOV.UK Design System — Accessibility</x:v>
      </x:c>
      <x:c r="C7" s="114" t="str">
        <x:v>Public-service design guidance</x:v>
      </x:c>
      <x:c r="D7" s="114" t="str">
        <x:v>Accessible component testing and service-level accessibility responsibility.</x:v>
      </x:c>
      <x:c r="E7" s="114" t="str">
        <x:v>https://design-system.service.gov.uk/accessibility/</x:v>
      </x:c>
      <x:c r="F7" s="114" t="str">
        <x:v>High</x:v>
      </x:c>
      <x:c r="G7" s="848" t="str">
        <x:v>Reference for accessible design-system governance.</x:v>
      </x:c>
    </x:row>
    <x:row r="8">
      <x:c r="A8" s="852" t="str">
        <x:v>S1011-SRC-004</x:v>
      </x:c>
      <x:c r="B8" s="853" t="str">
        <x:v>GOV.UK Design System — Notification banner</x:v>
      </x:c>
      <x:c r="C8" s="853" t="str">
        <x:v>UI pattern</x:v>
      </x:c>
      <x:c r="D8" s="853" t="str">
        <x:v>Accessible success/important notification presentation.</x:v>
      </x:c>
      <x:c r="E8" s="853" t="str">
        <x:v>https://design-system.service.gov.uk/components/notification-banner/</x:v>
      </x:c>
      <x:c r="F8" s="853" t="str">
        <x:v>Medium</x:v>
      </x:c>
      <x:c r="G8" s="854" t="str">
        <x:v>Notification/status UX reference.</x:v>
      </x:c>
    </x:row>
    <x:row r="9">
      <x:c r="A9" s="847" t="str">
        <x:v>S1011-SRC-005</x:v>
      </x:c>
      <x:c r="B9" s="114" t="str">
        <x:v>GOV.UK Design System — Check answers</x:v>
      </x:c>
      <x:c r="C9" s="114" t="str">
        <x:v>UI pattern</x:v>
      </x:c>
      <x:c r="D9" s="114" t="str">
        <x:v>Review and confirmation before submitting consequential information.</x:v>
      </x:c>
      <x:c r="E9" s="114" t="str">
        <x:v>https://design-system.service.gov.uk/patterns/check-answers/</x:v>
      </x:c>
      <x:c r="F9" s="114" t="str">
        <x:v>High</x:v>
      </x:c>
      <x:c r="G9" s="848" t="str">
        <x:v>Used for corrections, disputes, grants and exports.</x:v>
      </x:c>
    </x:row>
    <x:row r="10">
      <x:c r="A10" s="852" t="str">
        <x:v>S1011-SRC-006</x:v>
      </x:c>
      <x:c r="B10" s="853" t="str">
        <x:v>GOV.UK — Monitoring staff at work</x:v>
      </x:c>
      <x:c r="C10" s="853" t="str">
        <x:v>Government guidance</x:v>
      </x:c>
      <x:c r="D10" s="853" t="str">
        <x:v>Justification, worker information and covert-monitoring limitations.</x:v>
      </x:c>
      <x:c r="E10" s="853" t="str">
        <x:v>https://www.gov.uk/data-protection-your-business/monitoring-staff-at-work</x:v>
      </x:c>
      <x:c r="F10" s="853" t="str">
        <x:v>Critical</x:v>
      </x:c>
      <x:c r="G10" s="854" t="str">
        <x:v>Stage 10 monitoring/privacy experience.</x:v>
      </x:c>
    </x:row>
    <x:row r="11">
      <x:c r="A11" s="847" t="str">
        <x:v>S1011-SRC-007</x:v>
      </x:c>
      <x:c r="B11" s="114" t="str">
        <x:v>ICO — Data protection and monitoring workers</x:v>
      </x:c>
      <x:c r="C11" s="114" t="str">
        <x:v>Regulator guidance</x:v>
      </x:c>
      <x:c r="D11" s="114" t="str">
        <x:v>Transparency, necessity, proportionality, accuracy, challenge and homeworking risk.</x:v>
      </x:c>
      <x:c r="E11" s="114" t="str">
        <x:v>https://ico.org.uk/for-organisations/uk-gdpr-guidance-and-resources/employment/monitoring-workers/data-protection-and-monitoring-workers/</x:v>
      </x:c>
      <x:c r="F11" s="114" t="str">
        <x:v>Critical</x:v>
      </x:c>
      <x:c r="G11" s="848" t="str">
        <x:v>Employee/manager access and privacy boundaries.</x:v>
      </x:c>
    </x:row>
    <x:row r="12">
      <x:c r="A12" s="852" t="str">
        <x:v>S1011-SRC-008</x:v>
      </x:c>
      <x:c r="B12" s="853" t="str">
        <x:v>ICO — Human review</x:v>
      </x:c>
      <x:c r="C12" s="853" t="str">
        <x:v>Regulator guidance</x:v>
      </x:c>
      <x:c r="D12" s="853" t="str">
        <x:v>Meaningful reviewer competence, authority and independence.</x:v>
      </x:c>
      <x:c r="E12" s="853" t="str">
        <x:v>https://ico.org.uk/for-organisations/advice-and-services/audits/data-protection-audit-framework/toolkits/artificial-intelligence/human-review/</x:v>
      </x:c>
      <x:c r="F12" s="853" t="str">
        <x:v>Critical</x:v>
      </x:c>
      <x:c r="G12" s="854" t="str">
        <x:v>Reviewer/governance experience and Skill Forge decisions.</x:v>
      </x:c>
    </x:row>
    <x:row r="13">
      <x:c r="A13" s="847" t="str">
        <x:v>S1011-SRC-009</x:v>
      </x:c>
      <x:c r="B13" s="114" t="str">
        <x:v>EU AI Act Article 26</x:v>
      </x:c>
      <x:c r="C13" s="114" t="str">
        <x:v>Regulatory reference</x:v>
      </x:c>
      <x:c r="D13" s="114" t="str">
        <x:v>Deployer obligations, human oversight, monitoring and worker information for high-risk systems.</x:v>
      </x:c>
      <x:c r="E13" s="114" t="str">
        <x:v>https://ai-act-service-desk.ec.europa.eu/en/ai-act/article-26</x:v>
      </x:c>
      <x:c r="F13" s="114" t="str">
        <x:v>High</x:v>
      </x:c>
      <x:c r="G13" s="848" t="str">
        <x:v>Future EU deployment/reference.</x:v>
      </x:c>
    </x:row>
    <x:row r="14">
      <x:c r="A14" s="852" t="str">
        <x:v>S1011-SRC-010</x:v>
      </x:c>
      <x:c r="B14" s="853" t="str">
        <x:v>EU AI Act Article 5</x:v>
      </x:c>
      <x:c r="C14" s="853" t="str">
        <x:v>Regulatory reference</x:v>
      </x:c>
      <x:c r="D14" s="853" t="str">
        <x:v>Prohibited manipulative, social-scoring and certain emotion-inference practices.</x:v>
      </x:c>
      <x:c r="E14" s="853" t="str">
        <x:v>https://ai-act-service-desk.ec.europa.eu/en/ai-act/article-5</x:v>
      </x:c>
      <x:c r="F14" s="853" t="str">
        <x:v>High</x:v>
      </x:c>
      <x:c r="G14" s="854" t="str">
        <x:v>Prohibited UX/model behaviour reference.</x:v>
      </x:c>
    </x:row>
    <x:row r="15">
      <x:c r="A15" s="847" t="str">
        <x:v>S1011-SRC-011</x:v>
      </x:c>
      <x:c r="B15" s="114" t="str">
        <x:v>OpenAI Developers — Evals</x:v>
      </x:c>
      <x:c r="C15" s="114" t="str">
        <x:v>Official product documentation</x:v>
      </x:c>
      <x:c r="D15" s="114" t="str">
        <x:v>Programmatic evaluation resources and current OpenAI evaluation tooling.</x:v>
      </x:c>
      <x:c r="E15" s="114" t="str">
        <x:v>https://platform.openai.com/docs/api-reference/evals</x:v>
      </x:c>
      <x:c r="F15" s="114" t="str">
        <x:v>High</x:v>
      </x:c>
      <x:c r="G15" s="848" t="str">
        <x:v>Skill Forge evaluation integration reference.</x:v>
      </x:c>
    </x:row>
    <x:row r="16">
      <x:c r="A16" s="852" t="str">
        <x:v>S1011-SRC-012</x:v>
      </x:c>
      <x:c r="B16" s="853" t="str">
        <x:v>OpenAI API — Data controls and usage policies</x:v>
      </x:c>
      <x:c r="C16" s="853" t="str">
        <x:v>Official product documentation</x:v>
      </x:c>
      <x:c r="D16" s="853" t="str">
        <x:v>Endpoint data handling and storage/training controls.</x:v>
      </x:c>
      <x:c r="E16" s="853" t="str">
        <x:v>https://platform.openai.com/docs/models/default-usage-policies-by-endpoint</x:v>
      </x:c>
      <x:c r="F16" s="853" t="str">
        <x:v>High</x:v>
      </x:c>
      <x:c r="G16" s="854" t="str">
        <x:v>Model/provider privacy review.</x:v>
      </x:c>
    </x:row>
    <x:row r="17">
      <x:c r="A17" s="847" t="str">
        <x:v>S1011-SRC-013</x:v>
      </x:c>
      <x:c r="B17" s="114" t="str">
        <x:v>GitHub Copilot — About Agent Skills</x:v>
      </x:c>
      <x:c r="C17" s="114" t="str">
        <x:v>Official documentation</x:v>
      </x:c>
      <x:c r="D17" s="114" t="str">
        <x:v>Agent Skills as reusable instructions, scripts and resources.</x:v>
      </x:c>
      <x:c r="E17" s="114" t="str">
        <x:v>https://docs.github.com/en/copilot/concepts/agents/about-agent-skills</x:v>
      </x:c>
      <x:c r="F17" s="114" t="str">
        <x:v>High</x:v>
      </x:c>
      <x:c r="G17" s="848" t="str">
        <x:v>Skill package/category reference.</x:v>
      </x:c>
    </x:row>
    <x:row r="18">
      <x:c r="A18" s="852" t="str">
        <x:v>S1011-SRC-014</x:v>
      </x:c>
      <x:c r="B18" s="853" t="str">
        <x:v>GitHub Copilot SDK — Custom Skills</x:v>
      </x:c>
      <x:c r="C18" s="853" t="str">
        <x:v>Official documentation</x:v>
      </x:c>
      <x:c r="D18" s="853" t="str">
        <x:v>Loading and using custom skills with agents.</x:v>
      </x:c>
      <x:c r="E18" s="853" t="str">
        <x:v>https://docs.github.com/en/copilot/how-tos/copilot-sdk/features/skills</x:v>
      </x:c>
      <x:c r="F18" s="853" t="str">
        <x:v>Medium</x:v>
      </x:c>
      <x:c r="G18" s="854" t="str">
        <x:v>Adapter/skill interoperability reference.</x:v>
      </x:c>
    </x:row>
    <x:row r="19">
      <x:c r="A19" s="847" t="str">
        <x:v>S1011-SRC-015</x:v>
      </x:c>
      <x:c r="B19" s="114" t="str">
        <x:v>Claude Code — Skills</x:v>
      </x:c>
      <x:c r="C19" s="114" t="str">
        <x:v>Official documentation</x:v>
      </x:c>
      <x:c r="D19" s="114" t="str">
        <x:v>Directory-based skills, instructions and supporting resources.</x:v>
      </x:c>
      <x:c r="E19" s="114" t="str">
        <x:v>https://code.claude.com/docs/en/skills</x:v>
      </x:c>
      <x:c r="F19" s="114" t="str">
        <x:v>High</x:v>
      </x:c>
      <x:c r="G19" s="848" t="str">
        <x:v>Skill source/package design reference.</x:v>
      </x:c>
    </x:row>
    <x:row r="20">
      <x:c r="A20" s="852" t="str">
        <x:v>S1011-SRC-016</x:v>
      </x:c>
      <x:c r="B20" s="853" t="str">
        <x:v>Claude Code — Plugins</x:v>
      </x:c>
      <x:c r="C20" s="853" t="str">
        <x:v>Official documentation</x:v>
      </x:c>
      <x:c r="D20" s="853" t="str">
        <x:v>Plugin packaging and distribution of skills/hooks/agents.</x:v>
      </x:c>
      <x:c r="E20" s="853" t="str">
        <x:v>https://code.claude.com/docs/en/plugins</x:v>
      </x:c>
      <x:c r="F20" s="853" t="str">
        <x:v>Medium</x:v>
      </x:c>
      <x:c r="G20" s="854" t="str">
        <x:v>Skill/plugin distribution reference.</x:v>
      </x:c>
    </x:row>
    <x:row r="21">
      <x:c r="A21" s="847" t="str">
        <x:v>S1011-SRC-017</x:v>
      </x:c>
      <x:c r="B21" s="114" t="str">
        <x:v>SLSA v1.2 Specification</x:v>
      </x:c>
      <x:c r="C21" s="114" t="str">
        <x:v>Supply-chain standard</x:v>
      </x:c>
      <x:c r="D21" s="114" t="str">
        <x:v>Current SLSA specification and provenance model.</x:v>
      </x:c>
      <x:c r="E21" s="114" t="str">
        <x:v>https://slsa.dev/spec/v1.2/</x:v>
      </x:c>
      <x:c r="F21" s="114" t="str">
        <x:v>Critical</x:v>
      </x:c>
      <x:c r="G21" s="848" t="str">
        <x:v>Build/source provenance.</x:v>
      </x:c>
    </x:row>
    <x:row r="22">
      <x:c r="A22" s="852" t="str">
        <x:v>S1011-SRC-018</x:v>
      </x:c>
      <x:c r="B22" s="853" t="str">
        <x:v>Sigstore Documentation</x:v>
      </x:c>
      <x:c r="C22" s="853" t="str">
        <x:v>Supply-chain signing</x:v>
      </x:c>
      <x:c r="D22" s="853" t="str">
        <x:v>Keyless/identity-based signing and verification with Cosign.</x:v>
      </x:c>
      <x:c r="E22" s="853" t="str">
        <x:v>https://docs.sigstore.dev/</x:v>
      </x:c>
      <x:c r="F22" s="853" t="str">
        <x:v>Critical</x:v>
      </x:c>
      <x:c r="G22" s="854" t="str">
        <x:v>Package signing and verification.</x:v>
      </x:c>
    </x:row>
    <x:row r="23">
      <x:c r="A23" s="847" t="str">
        <x:v>S1011-SRC-019</x:v>
      </x:c>
      <x:c r="B23" s="114" t="str">
        <x:v>Sigstore Cosign — Verify</x:v>
      </x:c>
      <x:c r="C23" s="114" t="str">
        <x:v>Supply-chain verification</x:v>
      </x:c>
      <x:c r="D23" s="114" t="str">
        <x:v>Verification of signatures, identities and artifacts.</x:v>
      </x:c>
      <x:c r="E23" s="114" t="str">
        <x:v>https://docs.sigstore.dev/cosign/verifying/verify/</x:v>
      </x:c>
      <x:c r="F23" s="114" t="str">
        <x:v>High</x:v>
      </x:c>
      <x:c r="G23" s="848" t="str">
        <x:v>Runtime/package verification.</x:v>
      </x:c>
    </x:row>
    <x:row r="24">
      <x:c r="A24" s="852" t="str">
        <x:v>S1011-SRC-020</x:v>
      </x:c>
      <x:c r="B24" s="853" t="str">
        <x:v>SPDX Specifications</x:v>
      </x:c>
      <x:c r="C24" s="853" t="str">
        <x:v>SBOM/licence standard</x:v>
      </x:c>
      <x:c r="D24" s="853" t="str">
        <x:v>Current SPDX 3.0 specification family.</x:v>
      </x:c>
      <x:c r="E24" s="853" t="str">
        <x:v>https://spdx.dev/use/specifications/</x:v>
      </x:c>
      <x:c r="F24" s="853" t="str">
        <x:v>High</x:v>
      </x:c>
      <x:c r="G24" s="854" t="str">
        <x:v>Dependency, licence and provenance metadata.</x:v>
      </x:c>
    </x:row>
    <x:row r="25">
      <x:c r="A25" s="847" t="str">
        <x:v>S1011-SRC-021</x:v>
      </x:c>
      <x:c r="B25" s="114" t="str">
        <x:v>CycloneDX Specification Overview</x:v>
      </x:c>
      <x:c r="C25" s="114" t="str">
        <x:v>BOM standard</x:v>
      </x:c>
      <x:c r="D25" s="114" t="str">
        <x:v>CycloneDX 1.7 model for software, services, ML and related BOM use cases.</x:v>
      </x:c>
      <x:c r="E25" s="114" t="str">
        <x:v>https://cyclonedx.org/specification/overview/</x:v>
      </x:c>
      <x:c r="F25" s="114" t="str">
        <x:v>High</x:v>
      </x:c>
      <x:c r="G25" s="848" t="str">
        <x:v>Package BOM and supply-chain metadata.</x:v>
      </x:c>
    </x:row>
    <x:row r="26">
      <x:c r="A26" s="852" t="str">
        <x:v>S1011-SRC-022</x:v>
      </x:c>
      <x:c r="B26" s="853" t="str">
        <x:v>OCI — Image and Distribution Specifications 1.1</x:v>
      </x:c>
      <x:c r="C26" s="853" t="str">
        <x:v>Artifact standard</x:v>
      </x:c>
      <x:c r="D26" s="853" t="str">
        <x:v>OCI 1.1 support for artifact types, referrers and distribution.</x:v>
      </x:c>
      <x:c r="E26" s="853" t="str">
        <x:v>https://opencontainers.org/posts/blog/2024-03-13-image-and-distribution-1-1/</x:v>
      </x:c>
      <x:c r="F26" s="853" t="str">
        <x:v>High</x:v>
      </x:c>
      <x:c r="G26" s="854" t="str">
        <x:v>Signed immutable skill package storage.</x:v>
      </x:c>
    </x:row>
    <x:row r="27">
      <x:c r="A27" s="847" t="str">
        <x:v>S1011-SRC-023</x:v>
      </x:c>
      <x:c r="B27" s="114" t="str">
        <x:v>OpenFeature — Evaluation Context</x:v>
      </x:c>
      <x:c r="C27" s="114" t="str">
        <x:v>Feature-flag standard</x:v>
      </x:c>
      <x:c r="D27" s="114" t="str">
        <x:v>Standard evaluation context and privacy caution for targeting attributes.</x:v>
      </x:c>
      <x:c r="E27" s="114" t="str">
        <x:v>https://openfeature.dev/specification/sections/evaluation-context/</x:v>
      </x:c>
      <x:c r="F27" s="114" t="str">
        <x:v>High</x:v>
      </x:c>
      <x:c r="G27" s="848" t="str">
        <x:v>PII-minimised canary targeting.</x:v>
      </x:c>
    </x:row>
    <x:row r="28">
      <x:c r="A28" s="852" t="str">
        <x:v>S1011-SRC-024</x:v>
      </x:c>
      <x:c r="B28" s="853" t="str">
        <x:v>OpenFeature — Flag Evaluation</x:v>
      </x:c>
      <x:c r="C28" s="853" t="str">
        <x:v>Feature-flag standard</x:v>
      </x:c>
      <x:c r="D28" s="853" t="str">
        <x:v>Provider-neutral evaluation and default-value behaviour.</x:v>
      </x:c>
      <x:c r="E28" s="853" t="str">
        <x:v>https://openfeature.dev/specification/sections/flag-evaluation/</x:v>
      </x:c>
      <x:c r="F28" s="853" t="str">
        <x:v>High</x:v>
      </x:c>
      <x:c r="G28" s="854" t="str">
        <x:v>Safe stable/default resolver behaviour.</x:v>
      </x:c>
    </x:row>
    <x:row r="29">
      <x:c r="A29" s="847" t="str">
        <x:v>S1011-SRC-025</x:v>
      </x:c>
      <x:c r="B29" s="114" t="str">
        <x:v>Argo Rollouts — Overview</x:v>
      </x:c>
      <x:c r="C29" s="114" t="str">
        <x:v>Progressive-delivery reference</x:v>
      </x:c>
      <x:c r="D29" s="114" t="str">
        <x:v>Canary/blue-green rollout, analysis, pause and promotion patterns.</x:v>
      </x:c>
      <x:c r="E29" s="114" t="str">
        <x:v>https://argo-rollouts.readthedocs.io/en/stable/</x:v>
      </x:c>
      <x:c r="F29" s="114" t="str">
        <x:v>Medium</x:v>
      </x:c>
      <x:c r="G29" s="848" t="str">
        <x:v>Optional platform reference after capability assessment.</x:v>
      </x:c>
    </x:row>
    <x:row r="30">
      <x:c r="A30" s="852" t="str">
        <x:v>S1011-SRC-026</x:v>
      </x:c>
      <x:c r="B30" s="853" t="str">
        <x:v>Flagger — Progressive Delivery</x:v>
      </x:c>
      <x:c r="C30" s="853" t="str">
        <x:v>Progressive-delivery reference</x:v>
      </x:c>
      <x:c r="D30" s="853" t="str">
        <x:v>Metric-driven canary, webhooks and rollback automation.</x:v>
      </x:c>
      <x:c r="E30" s="853" t="str">
        <x:v>https://docs.flagger.app/</x:v>
      </x:c>
      <x:c r="F30" s="853" t="str">
        <x:v>Medium</x:v>
      </x:c>
      <x:c r="G30" s="854" t="str">
        <x:v>Optional platform reference after capability assessment.</x:v>
      </x:c>
    </x:row>
    <x:row r="31">
      <x:c r="A31" s="847" t="str">
        <x:v>S1011-SRC-027</x:v>
      </x:c>
      <x:c r="B31" s="114" t="str">
        <x:v>NIST AI Risk Management Framework</x:v>
      </x:c>
      <x:c r="C31" s="114" t="str">
        <x:v>AI governance framework</x:v>
      </x:c>
      <x:c r="D31" s="114" t="str">
        <x:v>Govern, map, measure and manage trustworthy AI risks.</x:v>
      </x:c>
      <x:c r="E31" s="114" t="str">
        <x:v>https://www.nist.gov/itl/ai-risk-management-framework</x:v>
      </x:c>
      <x:c r="F31" s="114" t="str">
        <x:v>Critical</x:v>
      </x:c>
      <x:c r="G31" s="848" t="str">
        <x:v>Skill evaluation, deployment and monitoring governance.</x:v>
      </x:c>
    </x:row>
    <x:row r="32">
      <x:c r="A32" s="852" t="str">
        <x:v>S1011-SRC-028</x:v>
      </x:c>
      <x:c r="B32" s="853" t="str">
        <x:v>NIST AI Resource Center</x:v>
      </x:c>
      <x:c r="C32" s="853" t="str">
        <x:v>AI TEVV resource</x:v>
      </x:c>
      <x:c r="D32" s="853" t="str">
        <x:v>Testing, evaluation, verification and validation resources.</x:v>
      </x:c>
      <x:c r="E32" s="853" t="str">
        <x:v>https://airc.nist.gov/</x:v>
      </x:c>
      <x:c r="F32" s="853" t="str">
        <x:v>High</x:v>
      </x:c>
      <x:c r="G32" s="854" t="str">
        <x:v>Skill evaluation and measurement programme.</x:v>
      </x:c>
    </x:row>
    <x:row r="33">
      <x:c r="A33" s="847" t="str">
        <x:v>S1011-SRC-029</x:v>
      </x:c>
      <x:c r="B33" s="114" t="str">
        <x:v>OpenTelemetry — Handling Sensitive Data</x:v>
      </x:c>
      <x:c r="C33" s="114" t="str">
        <x:v>Observability guidance</x:v>
      </x:c>
      <x:c r="D33" s="114" t="str">
        <x:v>Minimisation, filtering, redaction and transformation of sensitive telemetry.</x:v>
      </x:c>
      <x:c r="E33" s="114" t="str">
        <x:v>https://opentelemetry.io/docs/security/handling-sensitive-data/</x:v>
      </x:c>
      <x:c r="F33" s="114" t="str">
        <x:v>Critical</x:v>
      </x:c>
      <x:c r="G33" s="848" t="str">
        <x:v>No raw evidence/package secrets in logs/traces.</x:v>
      </x:c>
    </x:row>
    <x:row r="34">
      <x:c r="A34" s="855" t="str">
        <x:v>S1011-SRC-030</x:v>
      </x:c>
      <x:c r="B34" s="856" t="str">
        <x:v>HumanOS Stage 4–9 internal contracts</x:v>
      </x:c>
      <x:c r="C34" s="856" t="str">
        <x:v>Internal workbook</x:v>
      </x:c>
      <x:c r="D34" s="856" t="str">
        <x:v>Evidence access, task assurance, capability, coaching, review and audit contracts.</x:v>
      </x:c>
      <x:c r="E34" s="856" t="str">
        <x:v>Internal workbook: Stage 4–9 sheets</x:v>
      </x:c>
      <x:c r="F34" s="856" t="str">
        <x:v>Critical</x:v>
      </x:c>
      <x:c r="G34" s="857" t="str">
        <x:v>Authoritative upstream HumanOS domain model.</x:v>
      </x:c>
    </x:row>
  </x:sheetData>
  <x:mergeCells>
    <x:mergeCell ref="A1:G1"/>
    <x:mergeCell ref="A2:G2"/>
  </x:mergeCells>
  <x:dataValidations count="1">
    <x:dataValidation type="list" sqref="F5:F34">
      <x:formula1>"Critical,High,Medium,Low"</x:formula1>
    </x:dataValidation>
  </x:dataValidations>
  <x:pageMargins left="0.7" right="0.7" top="0.75" bottom="0.75" header="0.3" footer="0.3"/>
</x:worksheet>
</file>